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marticus\Excel\Excel Exam\Excel_Exam_Dataset - LMS\"/>
    </mc:Choice>
  </mc:AlternateContent>
  <xr:revisionPtr revIDLastSave="0" documentId="13_ncr:1_{98C46C15-65EE-40CB-BF25-F138310F3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  <sheet name="Raw_Data" sheetId="1" r:id="rId2"/>
    <sheet name="Clean_Data" sheetId="2" r:id="rId3"/>
    <sheet name="Summary_Tables" sheetId="3" r:id="rId4"/>
  </sheets>
  <externalReferences>
    <externalReference r:id="rId5"/>
  </externalReferences>
  <definedNames>
    <definedName name="_xlnm._FilterDatabase" localSheetId="1" hidden="1">Raw_Data!$A$1:$Q$501</definedName>
  </definedNames>
  <calcPr calcId="191029"/>
  <pivotCaches>
    <pivotCache cacheId="3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A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S2" i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" i="2"/>
  <c r="A3" i="2"/>
  <c r="C3" i="2" s="1"/>
  <c r="A4" i="2"/>
  <c r="A5" i="2"/>
  <c r="A6" i="2"/>
  <c r="C6" i="2" s="1"/>
  <c r="A7" i="2"/>
  <c r="C7" i="2" s="1"/>
  <c r="A8" i="2"/>
  <c r="A9" i="2"/>
  <c r="C9" i="2" s="1"/>
  <c r="A10" i="2"/>
  <c r="A11" i="2"/>
  <c r="C11" i="2" s="1"/>
  <c r="A12" i="2"/>
  <c r="A13" i="2"/>
  <c r="A14" i="2"/>
  <c r="A15" i="2"/>
  <c r="C15" i="2" s="1"/>
  <c r="A16" i="2"/>
  <c r="A17" i="2"/>
  <c r="A18" i="2"/>
  <c r="C18" i="2" s="1"/>
  <c r="A19" i="2"/>
  <c r="C19" i="2" s="1"/>
  <c r="A20" i="2"/>
  <c r="A21" i="2"/>
  <c r="C21" i="2" s="1"/>
  <c r="A22" i="2"/>
  <c r="A23" i="2"/>
  <c r="C23" i="2" s="1"/>
  <c r="A24" i="2"/>
  <c r="C24" i="2" s="1"/>
  <c r="A25" i="2"/>
  <c r="A26" i="2"/>
  <c r="A27" i="2"/>
  <c r="C27" i="2" s="1"/>
  <c r="A28" i="2"/>
  <c r="A29" i="2"/>
  <c r="A30" i="2"/>
  <c r="C30" i="2" s="1"/>
  <c r="A31" i="2"/>
  <c r="C31" i="2" s="1"/>
  <c r="A32" i="2"/>
  <c r="A33" i="2"/>
  <c r="C33" i="2" s="1"/>
  <c r="A34" i="2"/>
  <c r="A35" i="2"/>
  <c r="C35" i="2" s="1"/>
  <c r="A36" i="2"/>
  <c r="C36" i="2" s="1"/>
  <c r="A37" i="2"/>
  <c r="A38" i="2"/>
  <c r="A39" i="2"/>
  <c r="C39" i="2" s="1"/>
  <c r="A40" i="2"/>
  <c r="A41" i="2"/>
  <c r="A42" i="2"/>
  <c r="C42" i="2" s="1"/>
  <c r="A43" i="2"/>
  <c r="C43" i="2" s="1"/>
  <c r="A44" i="2"/>
  <c r="A45" i="2"/>
  <c r="C45" i="2" s="1"/>
  <c r="A46" i="2"/>
  <c r="A47" i="2"/>
  <c r="C47" i="2" s="1"/>
  <c r="A48" i="2"/>
  <c r="C48" i="2" s="1"/>
  <c r="A49" i="2"/>
  <c r="A50" i="2"/>
  <c r="A51" i="2"/>
  <c r="C51" i="2" s="1"/>
  <c r="A52" i="2"/>
  <c r="A53" i="2"/>
  <c r="A54" i="2"/>
  <c r="C54" i="2" s="1"/>
  <c r="A55" i="2"/>
  <c r="C55" i="2" s="1"/>
  <c r="A56" i="2"/>
  <c r="A57" i="2"/>
  <c r="C57" i="2" s="1"/>
  <c r="A58" i="2"/>
  <c r="A59" i="2"/>
  <c r="C59" i="2" s="1"/>
  <c r="A60" i="2"/>
  <c r="C60" i="2" s="1"/>
  <c r="A61" i="2"/>
  <c r="A62" i="2"/>
  <c r="A63" i="2"/>
  <c r="C63" i="2" s="1"/>
  <c r="A64" i="2"/>
  <c r="A65" i="2"/>
  <c r="A66" i="2"/>
  <c r="C66" i="2" s="1"/>
  <c r="A67" i="2"/>
  <c r="C67" i="2" s="1"/>
  <c r="A68" i="2"/>
  <c r="A69" i="2"/>
  <c r="C69" i="2" s="1"/>
  <c r="A70" i="2"/>
  <c r="A71" i="2"/>
  <c r="C71" i="2" s="1"/>
  <c r="A72" i="2"/>
  <c r="C72" i="2" s="1"/>
  <c r="A73" i="2"/>
  <c r="A74" i="2"/>
  <c r="A75" i="2"/>
  <c r="C75" i="2" s="1"/>
  <c r="A76" i="2"/>
  <c r="A77" i="2"/>
  <c r="A78" i="2"/>
  <c r="C78" i="2" s="1"/>
  <c r="A79" i="2"/>
  <c r="C79" i="2" s="1"/>
  <c r="A80" i="2"/>
  <c r="A81" i="2"/>
  <c r="C81" i="2" s="1"/>
  <c r="A82" i="2"/>
  <c r="A83" i="2"/>
  <c r="C83" i="2" s="1"/>
  <c r="A84" i="2"/>
  <c r="C84" i="2" s="1"/>
  <c r="A85" i="2"/>
  <c r="A86" i="2"/>
  <c r="A87" i="2"/>
  <c r="C87" i="2" s="1"/>
  <c r="A88" i="2"/>
  <c r="A89" i="2"/>
  <c r="A90" i="2"/>
  <c r="C90" i="2" s="1"/>
  <c r="A91" i="2"/>
  <c r="C91" i="2" s="1"/>
  <c r="A92" i="2"/>
  <c r="A93" i="2"/>
  <c r="C93" i="2" s="1"/>
  <c r="A94" i="2"/>
  <c r="A95" i="2"/>
  <c r="C95" i="2" s="1"/>
  <c r="A96" i="2"/>
  <c r="C96" i="2" s="1"/>
  <c r="A97" i="2"/>
  <c r="A98" i="2"/>
  <c r="A99" i="2"/>
  <c r="C99" i="2" s="1"/>
  <c r="A100" i="2"/>
  <c r="A101" i="2"/>
  <c r="A102" i="2"/>
  <c r="C102" i="2" s="1"/>
  <c r="A103" i="2"/>
  <c r="C103" i="2" s="1"/>
  <c r="A104" i="2"/>
  <c r="A105" i="2"/>
  <c r="C105" i="2" s="1"/>
  <c r="A106" i="2"/>
  <c r="A107" i="2"/>
  <c r="C107" i="2" s="1"/>
  <c r="A108" i="2"/>
  <c r="C108" i="2" s="1"/>
  <c r="A109" i="2"/>
  <c r="A110" i="2"/>
  <c r="A111" i="2"/>
  <c r="C111" i="2" s="1"/>
  <c r="A112" i="2"/>
  <c r="A113" i="2"/>
  <c r="A114" i="2"/>
  <c r="C114" i="2" s="1"/>
  <c r="A115" i="2"/>
  <c r="A116" i="2"/>
  <c r="A117" i="2"/>
  <c r="C117" i="2" s="1"/>
  <c r="A118" i="2"/>
  <c r="A119" i="2"/>
  <c r="C119" i="2" s="1"/>
  <c r="A120" i="2"/>
  <c r="C120" i="2" s="1"/>
  <c r="A121" i="2"/>
  <c r="A122" i="2"/>
  <c r="A123" i="2"/>
  <c r="C123" i="2" s="1"/>
  <c r="A124" i="2"/>
  <c r="A125" i="2"/>
  <c r="A126" i="2"/>
  <c r="C126" i="2" s="1"/>
  <c r="A127" i="2"/>
  <c r="C127" i="2" s="1"/>
  <c r="A128" i="2"/>
  <c r="A129" i="2"/>
  <c r="C129" i="2" s="1"/>
  <c r="A130" i="2"/>
  <c r="A131" i="2"/>
  <c r="C131" i="2" s="1"/>
  <c r="A132" i="2"/>
  <c r="C132" i="2" s="1"/>
  <c r="A133" i="2"/>
  <c r="A134" i="2"/>
  <c r="A135" i="2"/>
  <c r="C135" i="2" s="1"/>
  <c r="A136" i="2"/>
  <c r="A137" i="2"/>
  <c r="A138" i="2"/>
  <c r="C138" i="2" s="1"/>
  <c r="A139" i="2"/>
  <c r="C139" i="2" s="1"/>
  <c r="A140" i="2"/>
  <c r="A141" i="2"/>
  <c r="C141" i="2" s="1"/>
  <c r="A142" i="2"/>
  <c r="A143" i="2"/>
  <c r="C143" i="2" s="1"/>
  <c r="A144" i="2"/>
  <c r="C144" i="2" s="1"/>
  <c r="A145" i="2"/>
  <c r="A146" i="2"/>
  <c r="A147" i="2"/>
  <c r="C147" i="2" s="1"/>
  <c r="A148" i="2"/>
  <c r="A149" i="2"/>
  <c r="A150" i="2"/>
  <c r="C150" i="2" s="1"/>
  <c r="A151" i="2"/>
  <c r="C151" i="2" s="1"/>
  <c r="A152" i="2"/>
  <c r="A153" i="2"/>
  <c r="C153" i="2" s="1"/>
  <c r="A154" i="2"/>
  <c r="A155" i="2"/>
  <c r="C155" i="2" s="1"/>
  <c r="A156" i="2"/>
  <c r="C156" i="2" s="1"/>
  <c r="A157" i="2"/>
  <c r="A158" i="2"/>
  <c r="A159" i="2"/>
  <c r="C159" i="2" s="1"/>
  <c r="A160" i="2"/>
  <c r="A161" i="2"/>
  <c r="A162" i="2"/>
  <c r="C162" i="2" s="1"/>
  <c r="A163" i="2"/>
  <c r="C163" i="2" s="1"/>
  <c r="A164" i="2"/>
  <c r="A165" i="2"/>
  <c r="C165" i="2" s="1"/>
  <c r="A166" i="2"/>
  <c r="A167" i="2"/>
  <c r="C167" i="2" s="1"/>
  <c r="A168" i="2"/>
  <c r="C168" i="2" s="1"/>
  <c r="A169" i="2"/>
  <c r="A170" i="2"/>
  <c r="A171" i="2"/>
  <c r="C171" i="2" s="1"/>
  <c r="A172" i="2"/>
  <c r="A173" i="2"/>
  <c r="A174" i="2"/>
  <c r="C174" i="2" s="1"/>
  <c r="A175" i="2"/>
  <c r="C175" i="2" s="1"/>
  <c r="A176" i="2"/>
  <c r="A177" i="2"/>
  <c r="C177" i="2" s="1"/>
  <c r="A178" i="2"/>
  <c r="A179" i="2"/>
  <c r="C179" i="2" s="1"/>
  <c r="A180" i="2"/>
  <c r="C180" i="2" s="1"/>
  <c r="A181" i="2"/>
  <c r="A182" i="2"/>
  <c r="A183" i="2"/>
  <c r="C183" i="2" s="1"/>
  <c r="A184" i="2"/>
  <c r="A185" i="2"/>
  <c r="A186" i="2"/>
  <c r="C186" i="2" s="1"/>
  <c r="A187" i="2"/>
  <c r="C187" i="2" s="1"/>
  <c r="A188" i="2"/>
  <c r="C188" i="2" s="1"/>
  <c r="A189" i="2"/>
  <c r="C189" i="2" s="1"/>
  <c r="A190" i="2"/>
  <c r="A191" i="2"/>
  <c r="C191" i="2" s="1"/>
  <c r="A192" i="2"/>
  <c r="C192" i="2" s="1"/>
  <c r="A193" i="2"/>
  <c r="A194" i="2"/>
  <c r="A195" i="2"/>
  <c r="C195" i="2" s="1"/>
  <c r="A196" i="2"/>
  <c r="A197" i="2"/>
  <c r="A198" i="2"/>
  <c r="C198" i="2" s="1"/>
  <c r="A199" i="2"/>
  <c r="C199" i="2" s="1"/>
  <c r="A200" i="2"/>
  <c r="C200" i="2" s="1"/>
  <c r="A201" i="2"/>
  <c r="C201" i="2" s="1"/>
  <c r="A202" i="2"/>
  <c r="A203" i="2"/>
  <c r="C203" i="2" s="1"/>
  <c r="A204" i="2"/>
  <c r="C204" i="2" s="1"/>
  <c r="A205" i="2"/>
  <c r="A206" i="2"/>
  <c r="A207" i="2"/>
  <c r="C207" i="2" s="1"/>
  <c r="A208" i="2"/>
  <c r="C208" i="2" s="1"/>
  <c r="A209" i="2"/>
  <c r="A210" i="2"/>
  <c r="C210" i="2" s="1"/>
  <c r="A211" i="2"/>
  <c r="C211" i="2" s="1"/>
  <c r="A212" i="2"/>
  <c r="C212" i="2" s="1"/>
  <c r="A213" i="2"/>
  <c r="C213" i="2" s="1"/>
  <c r="A214" i="2"/>
  <c r="A215" i="2"/>
  <c r="C215" i="2" s="1"/>
  <c r="A216" i="2"/>
  <c r="C216" i="2" s="1"/>
  <c r="A217" i="2"/>
  <c r="A218" i="2"/>
  <c r="A219" i="2"/>
  <c r="C219" i="2" s="1"/>
  <c r="A220" i="2"/>
  <c r="C220" i="2" s="1"/>
  <c r="A221" i="2"/>
  <c r="A222" i="2"/>
  <c r="C222" i="2" s="1"/>
  <c r="A223" i="2"/>
  <c r="C223" i="2" s="1"/>
  <c r="A224" i="2"/>
  <c r="C224" i="2" s="1"/>
  <c r="A225" i="2"/>
  <c r="C225" i="2" s="1"/>
  <c r="A226" i="2"/>
  <c r="A227" i="2"/>
  <c r="C227" i="2" s="1"/>
  <c r="A228" i="2"/>
  <c r="C228" i="2" s="1"/>
  <c r="A229" i="2"/>
  <c r="A230" i="2"/>
  <c r="A231" i="2"/>
  <c r="C231" i="2" s="1"/>
  <c r="A232" i="2"/>
  <c r="C232" i="2" s="1"/>
  <c r="A233" i="2"/>
  <c r="A234" i="2"/>
  <c r="C234" i="2" s="1"/>
  <c r="A235" i="2"/>
  <c r="C235" i="2" s="1"/>
  <c r="A236" i="2"/>
  <c r="C236" i="2" s="1"/>
  <c r="A237" i="2"/>
  <c r="C237" i="2" s="1"/>
  <c r="A238" i="2"/>
  <c r="A239" i="2"/>
  <c r="C239" i="2" s="1"/>
  <c r="A240" i="2"/>
  <c r="C240" i="2" s="1"/>
  <c r="A241" i="2"/>
  <c r="A242" i="2"/>
  <c r="C2" i="2"/>
  <c r="C196" i="2" l="1"/>
  <c r="C184" i="2"/>
  <c r="C172" i="2"/>
  <c r="C160" i="2"/>
  <c r="C148" i="2"/>
  <c r="C136" i="2"/>
  <c r="C124" i="2"/>
  <c r="C112" i="2"/>
  <c r="C100" i="2"/>
  <c r="C88" i="2"/>
  <c r="C76" i="2"/>
  <c r="C64" i="2"/>
  <c r="C52" i="2"/>
  <c r="C40" i="2"/>
  <c r="C28" i="2"/>
  <c r="C16" i="2"/>
  <c r="C4" i="2"/>
  <c r="C176" i="2"/>
  <c r="C164" i="2"/>
  <c r="C152" i="2"/>
  <c r="C140" i="2"/>
  <c r="C128" i="2"/>
  <c r="C116" i="2"/>
  <c r="C104" i="2"/>
  <c r="C92" i="2"/>
  <c r="C80" i="2"/>
  <c r="C68" i="2"/>
  <c r="C56" i="2"/>
  <c r="C44" i="2"/>
  <c r="C32" i="2"/>
  <c r="C20" i="2"/>
  <c r="C8" i="2"/>
  <c r="C241" i="2"/>
  <c r="C229" i="2"/>
  <c r="C217" i="2"/>
  <c r="C205" i="2"/>
  <c r="C193" i="2"/>
  <c r="C181" i="2"/>
  <c r="C169" i="2"/>
  <c r="C157" i="2"/>
  <c r="C145" i="2"/>
  <c r="C133" i="2"/>
  <c r="C121" i="2"/>
  <c r="C109" i="2"/>
  <c r="C97" i="2"/>
  <c r="C85" i="2"/>
  <c r="C73" i="2"/>
  <c r="C61" i="2"/>
  <c r="C49" i="2"/>
  <c r="C37" i="2"/>
  <c r="C25" i="2"/>
  <c r="C13" i="2"/>
  <c r="C233" i="2"/>
  <c r="C221" i="2"/>
  <c r="C209" i="2"/>
  <c r="C197" i="2"/>
  <c r="C185" i="2"/>
  <c r="C173" i="2"/>
  <c r="C161" i="2"/>
  <c r="C137" i="2"/>
  <c r="C125" i="2"/>
  <c r="C113" i="2"/>
  <c r="C101" i="2"/>
  <c r="C89" i="2"/>
  <c r="C77" i="2"/>
  <c r="C65" i="2"/>
  <c r="C53" i="2"/>
  <c r="C41" i="2"/>
  <c r="C29" i="2"/>
  <c r="C17" i="2"/>
  <c r="C5" i="2"/>
  <c r="C12" i="2"/>
  <c r="C238" i="2"/>
  <c r="C226" i="2"/>
  <c r="C214" i="2"/>
  <c r="C202" i="2"/>
  <c r="C190" i="2"/>
  <c r="C178" i="2"/>
  <c r="C166" i="2"/>
  <c r="C154" i="2"/>
  <c r="C142" i="2"/>
  <c r="C130" i="2"/>
  <c r="C118" i="2"/>
  <c r="C106" i="2"/>
  <c r="C94" i="2"/>
  <c r="C82" i="2"/>
  <c r="C70" i="2"/>
  <c r="C58" i="2"/>
  <c r="C46" i="2"/>
  <c r="C34" i="2"/>
  <c r="C22" i="2"/>
  <c r="C10" i="2"/>
  <c r="C149" i="2"/>
  <c r="C115" i="2"/>
  <c r="C242" i="2"/>
  <c r="C230" i="2"/>
  <c r="C218" i="2"/>
  <c r="C206" i="2"/>
  <c r="C194" i="2"/>
  <c r="C182" i="2"/>
  <c r="C170" i="2"/>
  <c r="C158" i="2"/>
  <c r="C146" i="2"/>
  <c r="C134" i="2"/>
  <c r="C122" i="2"/>
  <c r="C110" i="2"/>
  <c r="C98" i="2"/>
  <c r="C86" i="2"/>
  <c r="C74" i="2"/>
  <c r="C62" i="2"/>
  <c r="C50" i="2"/>
  <c r="C38" i="2"/>
  <c r="C26" i="2"/>
  <c r="C14" i="2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3" i="1"/>
  <c r="Q4" i="1"/>
  <c r="Q5" i="1"/>
  <c r="Q6" i="1"/>
  <c r="Q7" i="1"/>
  <c r="Q8" i="1"/>
  <c r="Q2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" i="1"/>
</calcChain>
</file>

<file path=xl/sharedStrings.xml><?xml version="1.0" encoding="utf-8"?>
<sst xmlns="http://schemas.openxmlformats.org/spreadsheetml/2006/main" count="4541" uniqueCount="682">
  <si>
    <t>Order_Date</t>
  </si>
  <si>
    <t>Customer_Name</t>
  </si>
  <si>
    <t>Country</t>
  </si>
  <si>
    <t>Product</t>
  </si>
  <si>
    <t>Category</t>
  </si>
  <si>
    <t>Quantity</t>
  </si>
  <si>
    <t>Unit_Price</t>
  </si>
  <si>
    <t>Total_Sales</t>
  </si>
  <si>
    <t>Shipping_Cost</t>
  </si>
  <si>
    <t>Profit</t>
  </si>
  <si>
    <t>Ship_Mode</t>
  </si>
  <si>
    <t>Order_Priority</t>
  </si>
  <si>
    <t>Region_Code</t>
  </si>
  <si>
    <t>ORD_2025_0001</t>
  </si>
  <si>
    <t>Smith, Emily</t>
  </si>
  <si>
    <t>Travel Backpack</t>
  </si>
  <si>
    <t>Accessories</t>
  </si>
  <si>
    <t>Land</t>
  </si>
  <si>
    <t>Low</t>
  </si>
  <si>
    <t>NA</t>
  </si>
  <si>
    <t>ORD_2025_0002</t>
  </si>
  <si>
    <t>Brown, Laura</t>
  </si>
  <si>
    <t>Leather Wallet</t>
  </si>
  <si>
    <t>Sea</t>
  </si>
  <si>
    <t>Medium</t>
  </si>
  <si>
    <t>EU</t>
  </si>
  <si>
    <t>ORD_2025_0003</t>
  </si>
  <si>
    <t>Davis, John</t>
  </si>
  <si>
    <t>Italy</t>
  </si>
  <si>
    <t>High</t>
  </si>
  <si>
    <t>ORD_2025_0004</t>
  </si>
  <si>
    <t>Miller, Daniel</t>
  </si>
  <si>
    <t>Brazil</t>
  </si>
  <si>
    <t>Bluetooth Speaker</t>
  </si>
  <si>
    <t>Electronics</t>
  </si>
  <si>
    <t>Air</t>
  </si>
  <si>
    <t>SA</t>
  </si>
  <si>
    <t>ORD_2025_0005</t>
  </si>
  <si>
    <t>Johnson, Emma</t>
  </si>
  <si>
    <t>Canada</t>
  </si>
  <si>
    <t>Denim Jacket</t>
  </si>
  <si>
    <t>Apparel</t>
  </si>
  <si>
    <t>ORD_2025_0006</t>
  </si>
  <si>
    <t>Johnson, Michael</t>
  </si>
  <si>
    <t>Mexico</t>
  </si>
  <si>
    <t>Wireless Mouse</t>
  </si>
  <si>
    <t>ORD_2025_0007</t>
  </si>
  <si>
    <t>Hernandez, Emma</t>
  </si>
  <si>
    <t>Glass Bowl Set</t>
  </si>
  <si>
    <t>Home Decor</t>
  </si>
  <si>
    <t>ORD_2025_0008</t>
  </si>
  <si>
    <t>Miller, John</t>
  </si>
  <si>
    <t>China</t>
  </si>
  <si>
    <t>Cotton Bedsheet</t>
  </si>
  <si>
    <t>Textiles</t>
  </si>
  <si>
    <t>AS</t>
  </si>
  <si>
    <t>ORD_2025_0009</t>
  </si>
  <si>
    <t>Ceramic Vase</t>
  </si>
  <si>
    <t>ORD_2025_0010</t>
  </si>
  <si>
    <t>Martinez, Laura</t>
  </si>
  <si>
    <t>LED Lamp</t>
  </si>
  <si>
    <t>ORD_2025_0011</t>
  </si>
  <si>
    <t>Martinez, James</t>
  </si>
  <si>
    <t>ORD_2025_0012</t>
  </si>
  <si>
    <t>Davis, James</t>
  </si>
  <si>
    <t>ORD_2025_0013</t>
  </si>
  <si>
    <t>Singapore</t>
  </si>
  <si>
    <t>ORD_2025_0014</t>
  </si>
  <si>
    <t>Smith, Emma</t>
  </si>
  <si>
    <t>ORD_2025_0015</t>
  </si>
  <si>
    <t>Davis, Sarah</t>
  </si>
  <si>
    <t>ORD_2025_0016</t>
  </si>
  <si>
    <t>Williams, David</t>
  </si>
  <si>
    <t>Japan</t>
  </si>
  <si>
    <t>ORD_2025_0017</t>
  </si>
  <si>
    <t>ORD_2025_0018</t>
  </si>
  <si>
    <t>ORD_2025_0019</t>
  </si>
  <si>
    <t>Smith, Sarah</t>
  </si>
  <si>
    <t>ORD_2025_0020</t>
  </si>
  <si>
    <t>Table Lamp</t>
  </si>
  <si>
    <t>ORD_2025_0021</t>
  </si>
  <si>
    <t>Miller, Michael</t>
  </si>
  <si>
    <t>South Africa</t>
  </si>
  <si>
    <t>AF</t>
  </si>
  <si>
    <t>ORD_2025_0022</t>
  </si>
  <si>
    <t>Davis, David</t>
  </si>
  <si>
    <t>ORD_2025_0023</t>
  </si>
  <si>
    <t>Johnson, Sarah</t>
  </si>
  <si>
    <t>ORD_2025_0024</t>
  </si>
  <si>
    <t>Hernandez, Sophia</t>
  </si>
  <si>
    <t>ORD_2025_0025</t>
  </si>
  <si>
    <t>Williams, Daniel</t>
  </si>
  <si>
    <t>ORD_2025_0026</t>
  </si>
  <si>
    <t>Martinez, Michael</t>
  </si>
  <si>
    <t>ORD_2025_0027</t>
  </si>
  <si>
    <t>ORD_2025_0028</t>
  </si>
  <si>
    <t>Jones, Laura</t>
  </si>
  <si>
    <t>ORD_2025_0029</t>
  </si>
  <si>
    <t>Brown, Michael</t>
  </si>
  <si>
    <t>ORD_2025_0030</t>
  </si>
  <si>
    <t>ORD_2025_0031</t>
  </si>
  <si>
    <t>Miller, Laura</t>
  </si>
  <si>
    <t>France</t>
  </si>
  <si>
    <t>ORD_2025_0032</t>
  </si>
  <si>
    <t>Garcia, Sophia</t>
  </si>
  <si>
    <t>ORD_2025_0033</t>
  </si>
  <si>
    <t>Smith, Sophia</t>
  </si>
  <si>
    <t>ORD_2025_0034</t>
  </si>
  <si>
    <t>ORD_2025_0035</t>
  </si>
  <si>
    <t>Hernandez, John</t>
  </si>
  <si>
    <t>ORD_2025_0036</t>
  </si>
  <si>
    <t>Williams, Laura</t>
  </si>
  <si>
    <t>ORD_2025_0037</t>
  </si>
  <si>
    <t>Miller, David</t>
  </si>
  <si>
    <t>ORD_2025_0038</t>
  </si>
  <si>
    <t>Smith, Michael</t>
  </si>
  <si>
    <t>ORD_2025_0039</t>
  </si>
  <si>
    <t>Martinez, Sarah</t>
  </si>
  <si>
    <t>ORD_2025_0040</t>
  </si>
  <si>
    <t>Garcia, Emily</t>
  </si>
  <si>
    <t>ORD_2025_0041</t>
  </si>
  <si>
    <t>Williams, Emma</t>
  </si>
  <si>
    <t>ORD_2025_0042</t>
  </si>
  <si>
    <t>ORD_2025_0043</t>
  </si>
  <si>
    <t>ORD_2025_0044</t>
  </si>
  <si>
    <t>Australia</t>
  </si>
  <si>
    <t>OC</t>
  </si>
  <si>
    <t>ORD_2025_0045</t>
  </si>
  <si>
    <t>ORD_2025_0046</t>
  </si>
  <si>
    <t>ORD_2025_0047</t>
  </si>
  <si>
    <t>ORD_2025_0048</t>
  </si>
  <si>
    <t>Smith, Daniel</t>
  </si>
  <si>
    <t>ORD_2025_0049</t>
  </si>
  <si>
    <t>Jones, David</t>
  </si>
  <si>
    <t>ORD_2025_0050</t>
  </si>
  <si>
    <t>Brown, Sarah</t>
  </si>
  <si>
    <t>ORD_2025_0051</t>
  </si>
  <si>
    <t>ORD_2025_0052</t>
  </si>
  <si>
    <t>Martinez, Emma</t>
  </si>
  <si>
    <t>ORD_2025_0053</t>
  </si>
  <si>
    <t>ORD_2025_0054</t>
  </si>
  <si>
    <t>Johnson, Daniel</t>
  </si>
  <si>
    <t>ORD_2025_0055</t>
  </si>
  <si>
    <t>Jones, Sophia</t>
  </si>
  <si>
    <t>ORD_2025_0056</t>
  </si>
  <si>
    <t>Garcia, Sarah</t>
  </si>
  <si>
    <t>ORD_2025_0057</t>
  </si>
  <si>
    <t>Germany</t>
  </si>
  <si>
    <t>ORD_2025_0058</t>
  </si>
  <si>
    <t>ORD_2025_0059</t>
  </si>
  <si>
    <t>Williams, Michael</t>
  </si>
  <si>
    <t>ORD_2025_0060</t>
  </si>
  <si>
    <t>Hernandez, James</t>
  </si>
  <si>
    <t>ORD_2025_0061</t>
  </si>
  <si>
    <t>Williams, Sarah</t>
  </si>
  <si>
    <t>ORD_2025_0062</t>
  </si>
  <si>
    <t>ORD_2025_0063</t>
  </si>
  <si>
    <t>Williams, Emily</t>
  </si>
  <si>
    <t>ORD_2025_0064</t>
  </si>
  <si>
    <t>ORD_2025_0065</t>
  </si>
  <si>
    <t>ORD_2025_0066</t>
  </si>
  <si>
    <t>ORD_2025_0067</t>
  </si>
  <si>
    <t>Brown, Daniel</t>
  </si>
  <si>
    <t>ORD_2025_0068</t>
  </si>
  <si>
    <t>Martinez, Daniel</t>
  </si>
  <si>
    <t>ORD_2025_0069</t>
  </si>
  <si>
    <t>Jones, Michael</t>
  </si>
  <si>
    <t>ORD_2025_0070</t>
  </si>
  <si>
    <t>ORD_2025_0071</t>
  </si>
  <si>
    <t>Garcia, Michael</t>
  </si>
  <si>
    <t>ORD_2025_0072</t>
  </si>
  <si>
    <t>ORD_2025_0073</t>
  </si>
  <si>
    <t>Smith, David</t>
  </si>
  <si>
    <t>India</t>
  </si>
  <si>
    <t>ORD_2025_0074</t>
  </si>
  <si>
    <t>Miller, Sophia</t>
  </si>
  <si>
    <t>ORD_2025_0075</t>
  </si>
  <si>
    <t>Garcia, Laura</t>
  </si>
  <si>
    <t>ORD_2025_0076</t>
  </si>
  <si>
    <t>Davis, Michael</t>
  </si>
  <si>
    <t>ORD_2025_0077</t>
  </si>
  <si>
    <t>ORD_2025_0078</t>
  </si>
  <si>
    <t>ORD_2025_0079</t>
  </si>
  <si>
    <t>ORD_2025_0080</t>
  </si>
  <si>
    <t>ORD_2025_0081</t>
  </si>
  <si>
    <t>Davis, Emma</t>
  </si>
  <si>
    <t>ORD_2025_0082</t>
  </si>
  <si>
    <t>ORD_2025_0083</t>
  </si>
  <si>
    <t>ORD_2025_0084</t>
  </si>
  <si>
    <t>Hernandez, Laura</t>
  </si>
  <si>
    <t>ORD_2025_0085</t>
  </si>
  <si>
    <t>ORD_2025_0086</t>
  </si>
  <si>
    <t>ORD_2025_0087</t>
  </si>
  <si>
    <t>ORD_2025_0088</t>
  </si>
  <si>
    <t>ORD_2025_0089</t>
  </si>
  <si>
    <t>Davis, Emily</t>
  </si>
  <si>
    <t>ORD_2025_0090</t>
  </si>
  <si>
    <t>ORD_2025_0091</t>
  </si>
  <si>
    <t>Johnson, James</t>
  </si>
  <si>
    <t>ORD_2025_0092</t>
  </si>
  <si>
    <t>Martinez, Sophia</t>
  </si>
  <si>
    <t>ORD_2025_0093</t>
  </si>
  <si>
    <t>ORD_2025_0094</t>
  </si>
  <si>
    <t>Miller, Sarah</t>
  </si>
  <si>
    <t>ORD_2025_0095</t>
  </si>
  <si>
    <t>Williams, James</t>
  </si>
  <si>
    <t>ORD_2025_0096</t>
  </si>
  <si>
    <t>Garcia, Emma</t>
  </si>
  <si>
    <t>ORD_2025_0097</t>
  </si>
  <si>
    <t>ORD_2025_0098</t>
  </si>
  <si>
    <t>ORD_2025_0099</t>
  </si>
  <si>
    <t>ORD_2025_0100</t>
  </si>
  <si>
    <t>ORD_2025_0101</t>
  </si>
  <si>
    <t>ORD_2025_0102</t>
  </si>
  <si>
    <t>ORD_2025_0103</t>
  </si>
  <si>
    <t>ORD_2025_0104</t>
  </si>
  <si>
    <t>ORD_2025_0105</t>
  </si>
  <si>
    <t>Johnson, David</t>
  </si>
  <si>
    <t>ORD_2025_0106</t>
  </si>
  <si>
    <t>ORD_2025_0107</t>
  </si>
  <si>
    <t>ORD_2025_0108</t>
  </si>
  <si>
    <t>ORD_2025_0109</t>
  </si>
  <si>
    <t>Miller, Emily</t>
  </si>
  <si>
    <t>ORD_2025_0110</t>
  </si>
  <si>
    <t>ORD_2025_0111</t>
  </si>
  <si>
    <t>ORD_2025_0112</t>
  </si>
  <si>
    <t>ORD_2025_0113</t>
  </si>
  <si>
    <t>Martinez, Emily</t>
  </si>
  <si>
    <t>ORD_2025_0114</t>
  </si>
  <si>
    <t>Hernandez, Daniel</t>
  </si>
  <si>
    <t>ORD_2025_0115</t>
  </si>
  <si>
    <t>ORD_2025_0116</t>
  </si>
  <si>
    <t>ORD_2025_0117</t>
  </si>
  <si>
    <t>ORD_2025_0118</t>
  </si>
  <si>
    <t>ORD_2025_0119</t>
  </si>
  <si>
    <t>ORD_2025_0120</t>
  </si>
  <si>
    <t>Hernandez, David</t>
  </si>
  <si>
    <t>ORD_2025_0121</t>
  </si>
  <si>
    <t>ORD_2025_0122</t>
  </si>
  <si>
    <t>ORD_2025_0123</t>
  </si>
  <si>
    <t>ORD_2025_0124</t>
  </si>
  <si>
    <t>ORD_2025_0125</t>
  </si>
  <si>
    <t>Martinez, John</t>
  </si>
  <si>
    <t>ORD_2025_0126</t>
  </si>
  <si>
    <t>ORD_2025_0127</t>
  </si>
  <si>
    <t>Garcia, David</t>
  </si>
  <si>
    <t>ORD_2025_0128</t>
  </si>
  <si>
    <t>ORD_2025_0129</t>
  </si>
  <si>
    <t>ORD_2025_0130</t>
  </si>
  <si>
    <t>ORD_2025_0131</t>
  </si>
  <si>
    <t>ORD_2025_0132</t>
  </si>
  <si>
    <t>ORD_2025_0133</t>
  </si>
  <si>
    <t>ORD_2025_0134</t>
  </si>
  <si>
    <t>Smith, James</t>
  </si>
  <si>
    <t>ORD_2025_0135</t>
  </si>
  <si>
    <t>ORD_2025_0136</t>
  </si>
  <si>
    <t>ORD_2025_0137</t>
  </si>
  <si>
    <t>Brown, Emily</t>
  </si>
  <si>
    <t>ORD_2025_0138</t>
  </si>
  <si>
    <t>ORD_2025_0139</t>
  </si>
  <si>
    <t>ORD_2025_0140</t>
  </si>
  <si>
    <t>ORD_2025_0141</t>
  </si>
  <si>
    <t>ORD_2025_0142</t>
  </si>
  <si>
    <t>ORD_2025_0143</t>
  </si>
  <si>
    <t>Brown, James</t>
  </si>
  <si>
    <t>ORD_2025_0144</t>
  </si>
  <si>
    <t>ORD_2025_0145</t>
  </si>
  <si>
    <t>ORD_2025_0146</t>
  </si>
  <si>
    <t>ORD_2025_0147</t>
  </si>
  <si>
    <t>ORD_2025_0148</t>
  </si>
  <si>
    <t>Johnson, Sophia</t>
  </si>
  <si>
    <t>ORD_2025_0149</t>
  </si>
  <si>
    <t>Davis, Sophia</t>
  </si>
  <si>
    <t>ORD_2025_0150</t>
  </si>
  <si>
    <t>Jones, Daniel</t>
  </si>
  <si>
    <t>ORD_2025_0151</t>
  </si>
  <si>
    <t>ORD_2025_0152</t>
  </si>
  <si>
    <t>Davis, Laura</t>
  </si>
  <si>
    <t>ORD_2025_0153</t>
  </si>
  <si>
    <t>ORD_2025_0154</t>
  </si>
  <si>
    <t>ORD_2025_0155</t>
  </si>
  <si>
    <t>ORD_2025_0156</t>
  </si>
  <si>
    <t>Hernandez, Michael</t>
  </si>
  <si>
    <t>ORD_2025_0157</t>
  </si>
  <si>
    <t>ORD_2025_0158</t>
  </si>
  <si>
    <t>ORD_2025_0159</t>
  </si>
  <si>
    <t>ORD_2025_0160</t>
  </si>
  <si>
    <t>Brown, John</t>
  </si>
  <si>
    <t>ORD_2025_0161</t>
  </si>
  <si>
    <t>Martinez, David</t>
  </si>
  <si>
    <t>ORD_2025_0162</t>
  </si>
  <si>
    <t>ORD_2025_0163</t>
  </si>
  <si>
    <t>ORD_2025_0164</t>
  </si>
  <si>
    <t>Johnson, Emily</t>
  </si>
  <si>
    <t>ORD_2025_0165</t>
  </si>
  <si>
    <t>ORD_2025_0166</t>
  </si>
  <si>
    <t>Garcia, John</t>
  </si>
  <si>
    <t>ORD_2025_0167</t>
  </si>
  <si>
    <t>ORD_2025_0168</t>
  </si>
  <si>
    <t>Jones, Emily</t>
  </si>
  <si>
    <t>ORD_2025_0169</t>
  </si>
  <si>
    <t>ORD_2025_0170</t>
  </si>
  <si>
    <t>Miller, James</t>
  </si>
  <si>
    <t>ORD_2025_0171</t>
  </si>
  <si>
    <t>ORD_2025_0172</t>
  </si>
  <si>
    <t>ORD_2025_0173</t>
  </si>
  <si>
    <t>ORD_2025_0174</t>
  </si>
  <si>
    <t>ORD_2025_0175</t>
  </si>
  <si>
    <t>ORD_2025_0176</t>
  </si>
  <si>
    <t>ORD_2025_0177</t>
  </si>
  <si>
    <t>ORD_2025_0178</t>
  </si>
  <si>
    <t>Hernandez, Sarah</t>
  </si>
  <si>
    <t>ORD_2025_0179</t>
  </si>
  <si>
    <t>ORD_2025_0180</t>
  </si>
  <si>
    <t>ORD_2025_0181</t>
  </si>
  <si>
    <t>Davis, Daniel</t>
  </si>
  <si>
    <t>ORD_2025_0182</t>
  </si>
  <si>
    <t>ORD_2025_0183</t>
  </si>
  <si>
    <t>ORD_2025_0184</t>
  </si>
  <si>
    <t>Miller, Emma</t>
  </si>
  <si>
    <t>ORD_2025_0185</t>
  </si>
  <si>
    <t>ORD_2025_0186</t>
  </si>
  <si>
    <t>ORD_2025_0187</t>
  </si>
  <si>
    <t>ORD_2025_0188</t>
  </si>
  <si>
    <t>ORD_2025_0189</t>
  </si>
  <si>
    <t>ORD_2025_0190</t>
  </si>
  <si>
    <t>Garcia, Daniel</t>
  </si>
  <si>
    <t>ORD_2025_0191</t>
  </si>
  <si>
    <t>ORD_2025_0192</t>
  </si>
  <si>
    <t>ORD_2025_0193</t>
  </si>
  <si>
    <t>ORD_2025_0194</t>
  </si>
  <si>
    <t>ORD_2025_0195</t>
  </si>
  <si>
    <t>ORD_2025_0196</t>
  </si>
  <si>
    <t>ORD_2025_0197</t>
  </si>
  <si>
    <t>ORD_2025_0198</t>
  </si>
  <si>
    <t>ORD_2025_0199</t>
  </si>
  <si>
    <t>ORD_2025_0200</t>
  </si>
  <si>
    <t>ORD_2025_0201</t>
  </si>
  <si>
    <t>Jones, Sarah</t>
  </si>
  <si>
    <t>ORD_2025_0202</t>
  </si>
  <si>
    <t>ORD_2025_0203</t>
  </si>
  <si>
    <t>ORD_2025_0204</t>
  </si>
  <si>
    <t>ORD_2025_0205</t>
  </si>
  <si>
    <t>ORD_2025_0206</t>
  </si>
  <si>
    <t>ORD_2025_0207</t>
  </si>
  <si>
    <t>ORD_2025_0208</t>
  </si>
  <si>
    <t>ORD_2025_0209</t>
  </si>
  <si>
    <t>ORD_2025_0210</t>
  </si>
  <si>
    <t>ORD_2025_0211</t>
  </si>
  <si>
    <t>ORD_2025_0212</t>
  </si>
  <si>
    <t>Brown, David</t>
  </si>
  <si>
    <t>ORD_2025_0213</t>
  </si>
  <si>
    <t>ORD_2025_0214</t>
  </si>
  <si>
    <t>ORD_2025_0215</t>
  </si>
  <si>
    <t>ORD_2025_0216</t>
  </si>
  <si>
    <t>ORD_2025_0217</t>
  </si>
  <si>
    <t>Johnson, John</t>
  </si>
  <si>
    <t>ORD_2025_0218</t>
  </si>
  <si>
    <t>ORD_2025_0219</t>
  </si>
  <si>
    <t>ORD_2025_0220</t>
  </si>
  <si>
    <t>Brown, Sophia</t>
  </si>
  <si>
    <t>ORD_2025_0221</t>
  </si>
  <si>
    <t>ORD_2025_0222</t>
  </si>
  <si>
    <t>ORD_2025_0223</t>
  </si>
  <si>
    <t>ORD_2025_0224</t>
  </si>
  <si>
    <t>ORD_2025_0225</t>
  </si>
  <si>
    <t>ORD_2025_0226</t>
  </si>
  <si>
    <t>Jones, Emma</t>
  </si>
  <si>
    <t>ORD_2025_0227</t>
  </si>
  <si>
    <t>ORD_2025_0228</t>
  </si>
  <si>
    <t>ORD_2025_0229</t>
  </si>
  <si>
    <t>ORD_2025_0230</t>
  </si>
  <si>
    <t>ORD_2025_0231</t>
  </si>
  <si>
    <t>ORD_2025_0232</t>
  </si>
  <si>
    <t>ORD_2025_0233</t>
  </si>
  <si>
    <t>ORD_2025_0234</t>
  </si>
  <si>
    <t>ORD_2025_0235</t>
  </si>
  <si>
    <t>ORD_2025_0236</t>
  </si>
  <si>
    <t>ORD_2025_0237</t>
  </si>
  <si>
    <t>ORD_2025_0238</t>
  </si>
  <si>
    <t>ORD_2025_0239</t>
  </si>
  <si>
    <t>ORD_2025_0240</t>
  </si>
  <si>
    <t>ORD_2025_0241</t>
  </si>
  <si>
    <t>ORD_2025_0242</t>
  </si>
  <si>
    <t>ORD_2025_0243</t>
  </si>
  <si>
    <t>Johnson, Laura</t>
  </si>
  <si>
    <t>ORD_2025_0244</t>
  </si>
  <si>
    <t>ORD_2025_0245</t>
  </si>
  <si>
    <t>ORD_2025_0246</t>
  </si>
  <si>
    <t>ORD_2025_0247</t>
  </si>
  <si>
    <t>ORD_2025_0248</t>
  </si>
  <si>
    <t>ORD_2025_0249</t>
  </si>
  <si>
    <t>ORD_2025_0250</t>
  </si>
  <si>
    <t>ORD_2025_0251</t>
  </si>
  <si>
    <t>ORD_2025_0252</t>
  </si>
  <si>
    <t>Smith, John</t>
  </si>
  <si>
    <t>ORD_2025_0253</t>
  </si>
  <si>
    <t>ORD_2025_0254</t>
  </si>
  <si>
    <t>ORD_2025_0255</t>
  </si>
  <si>
    <t>ORD_2025_0256</t>
  </si>
  <si>
    <t>ORD_2025_0257</t>
  </si>
  <si>
    <t>ORD_2025_0258</t>
  </si>
  <si>
    <t>ORD_2025_0259</t>
  </si>
  <si>
    <t>ORD_2025_0260</t>
  </si>
  <si>
    <t>Williams, Sophia</t>
  </si>
  <si>
    <t>ORD_2025_0261</t>
  </si>
  <si>
    <t>Garcia, James</t>
  </si>
  <si>
    <t>ORD_2025_0262</t>
  </si>
  <si>
    <t>ORD_2025_0263</t>
  </si>
  <si>
    <t>ORD_2025_0264</t>
  </si>
  <si>
    <t>ORD_2025_0265</t>
  </si>
  <si>
    <t>ORD_2025_0266</t>
  </si>
  <si>
    <t>ORD_2025_0267</t>
  </si>
  <si>
    <t>ORD_2025_0268</t>
  </si>
  <si>
    <t>ORD_2025_0269</t>
  </si>
  <si>
    <t>ORD_2025_0270</t>
  </si>
  <si>
    <t>ORD_2025_0271</t>
  </si>
  <si>
    <t>Smith, Laura</t>
  </si>
  <si>
    <t>ORD_2025_0272</t>
  </si>
  <si>
    <t>ORD_2025_0273</t>
  </si>
  <si>
    <t>ORD_2025_0274</t>
  </si>
  <si>
    <t>ORD_2025_0275</t>
  </si>
  <si>
    <t>ORD_2025_0276</t>
  </si>
  <si>
    <t>ORD_2025_0277</t>
  </si>
  <si>
    <t>ORD_2025_0278</t>
  </si>
  <si>
    <t>ORD_2025_0279</t>
  </si>
  <si>
    <t>ORD_2025_0280</t>
  </si>
  <si>
    <t>ORD_2025_0281</t>
  </si>
  <si>
    <t>ORD_2025_0282</t>
  </si>
  <si>
    <t>ORD_2025_0283</t>
  </si>
  <si>
    <t>ORD_2025_0284</t>
  </si>
  <si>
    <t>ORD_2025_0285</t>
  </si>
  <si>
    <t>ORD_2025_0286</t>
  </si>
  <si>
    <t>ORD_2025_0287</t>
  </si>
  <si>
    <t>ORD_2025_0288</t>
  </si>
  <si>
    <t>ORD_2025_0289</t>
  </si>
  <si>
    <t>ORD_2025_0290</t>
  </si>
  <si>
    <t>ORD_2025_0291</t>
  </si>
  <si>
    <t>ORD_2025_0292</t>
  </si>
  <si>
    <t>ORD_2025_0293</t>
  </si>
  <si>
    <t>ORD_2025_0294</t>
  </si>
  <si>
    <t>ORD_2025_0295</t>
  </si>
  <si>
    <t>ORD_2025_0296</t>
  </si>
  <si>
    <t>ORD_2025_0297</t>
  </si>
  <si>
    <t>ORD_2025_0298</t>
  </si>
  <si>
    <t>ORD_2025_0299</t>
  </si>
  <si>
    <t>ORD_2025_0300</t>
  </si>
  <si>
    <t>ORD_2025_0301</t>
  </si>
  <si>
    <t>ORD_2025_0302</t>
  </si>
  <si>
    <t>ORD_2025_0303</t>
  </si>
  <si>
    <t>ORD_2025_0304</t>
  </si>
  <si>
    <t>ORD_2025_0305</t>
  </si>
  <si>
    <t>ORD_2025_0306</t>
  </si>
  <si>
    <t>ORD_2025_0307</t>
  </si>
  <si>
    <t>ORD_2025_0308</t>
  </si>
  <si>
    <t>ORD_2025_0309</t>
  </si>
  <si>
    <t>ORD_2025_0310</t>
  </si>
  <si>
    <t>ORD_2025_0311</t>
  </si>
  <si>
    <t>ORD_2025_0312</t>
  </si>
  <si>
    <t>ORD_2025_0313</t>
  </si>
  <si>
    <t>ORD_2025_0314</t>
  </si>
  <si>
    <t>Jones, James</t>
  </si>
  <si>
    <t>ORD_2025_0315</t>
  </si>
  <si>
    <t>ORD_2025_0316</t>
  </si>
  <si>
    <t>ORD_2025_0317</t>
  </si>
  <si>
    <t>ORD_2025_0318</t>
  </si>
  <si>
    <t>ORD_2025_0319</t>
  </si>
  <si>
    <t>ORD_2025_0320</t>
  </si>
  <si>
    <t>ORD_2025_0321</t>
  </si>
  <si>
    <t>Jones, John</t>
  </si>
  <si>
    <t>ORD_2025_0322</t>
  </si>
  <si>
    <t>ORD_2025_0323</t>
  </si>
  <si>
    <t>ORD_2025_0324</t>
  </si>
  <si>
    <t>ORD_2025_0325</t>
  </si>
  <si>
    <t>ORD_2025_0326</t>
  </si>
  <si>
    <t>ORD_2025_0327</t>
  </si>
  <si>
    <t>ORD_2025_0328</t>
  </si>
  <si>
    <t>ORD_2025_0329</t>
  </si>
  <si>
    <t>ORD_2025_0330</t>
  </si>
  <si>
    <t>Hernandez, Emily</t>
  </si>
  <si>
    <t>ORD_2025_0331</t>
  </si>
  <si>
    <t>ORD_2025_0332</t>
  </si>
  <si>
    <t>ORD_2025_0333</t>
  </si>
  <si>
    <t>ORD_2025_0334</t>
  </si>
  <si>
    <t>ORD_2025_0335</t>
  </si>
  <si>
    <t>ORD_2025_0336</t>
  </si>
  <si>
    <t>ORD_2025_0337</t>
  </si>
  <si>
    <t>ORD_2025_0338</t>
  </si>
  <si>
    <t>ORD_2025_0339</t>
  </si>
  <si>
    <t>ORD_2025_0340</t>
  </si>
  <si>
    <t>ORD_2025_0341</t>
  </si>
  <si>
    <t>ORD_2025_0342</t>
  </si>
  <si>
    <t>ORD_2025_0343</t>
  </si>
  <si>
    <t>ORD_2025_0344</t>
  </si>
  <si>
    <t>ORD_2025_0345</t>
  </si>
  <si>
    <t>ORD_2025_0346</t>
  </si>
  <si>
    <t>ORD_2025_0347</t>
  </si>
  <si>
    <t>ORD_2025_0348</t>
  </si>
  <si>
    <t>ORD_2025_0349</t>
  </si>
  <si>
    <t>ORD_2025_0350</t>
  </si>
  <si>
    <t>Williams, John</t>
  </si>
  <si>
    <t>ORD_2025_0351</t>
  </si>
  <si>
    <t>ORD_2025_0352</t>
  </si>
  <si>
    <t>ORD_2025_0353</t>
  </si>
  <si>
    <t>ORD_2025_0354</t>
  </si>
  <si>
    <t>ORD_2025_0355</t>
  </si>
  <si>
    <t>ORD_2025_0356</t>
  </si>
  <si>
    <t>ORD_2025_0357</t>
  </si>
  <si>
    <t>ORD_2025_0358</t>
  </si>
  <si>
    <t>ORD_2025_0359</t>
  </si>
  <si>
    <t>ORD_2025_0360</t>
  </si>
  <si>
    <t>ORD_2025_0361</t>
  </si>
  <si>
    <t>ORD_2025_0362</t>
  </si>
  <si>
    <t>ORD_2025_0363</t>
  </si>
  <si>
    <t>ORD_2025_0364</t>
  </si>
  <si>
    <t>ORD_2025_0365</t>
  </si>
  <si>
    <t>ORD_2025_0366</t>
  </si>
  <si>
    <t>ORD_2025_0367</t>
  </si>
  <si>
    <t>ORD_2025_0368</t>
  </si>
  <si>
    <t>ORD_2025_0369</t>
  </si>
  <si>
    <t>ORD_2025_0370</t>
  </si>
  <si>
    <t>ORD_2025_0371</t>
  </si>
  <si>
    <t>ORD_2025_0372</t>
  </si>
  <si>
    <t>ORD_2025_0373</t>
  </si>
  <si>
    <t>ORD_2025_0374</t>
  </si>
  <si>
    <t>ORD_2025_0375</t>
  </si>
  <si>
    <t>ORD_2025_0376</t>
  </si>
  <si>
    <t>ORD_2025_0377</t>
  </si>
  <si>
    <t>ORD_2025_0378</t>
  </si>
  <si>
    <t>ORD_2025_0379</t>
  </si>
  <si>
    <t>ORD_2025_0380</t>
  </si>
  <si>
    <t>ORD_2025_0381</t>
  </si>
  <si>
    <t>ORD_2025_0382</t>
  </si>
  <si>
    <t>ORD_2025_0383</t>
  </si>
  <si>
    <t>ORD_2025_0384</t>
  </si>
  <si>
    <t>ORD_2025_0385</t>
  </si>
  <si>
    <t>ORD_2025_0386</t>
  </si>
  <si>
    <t>ORD_2025_0387</t>
  </si>
  <si>
    <t>ORD_2025_0388</t>
  </si>
  <si>
    <t>ORD_2025_0389</t>
  </si>
  <si>
    <t>ORD_2025_0390</t>
  </si>
  <si>
    <t>ORD_2025_0391</t>
  </si>
  <si>
    <t>ORD_2025_0392</t>
  </si>
  <si>
    <t>ORD_2025_0393</t>
  </si>
  <si>
    <t>ORD_2025_0394</t>
  </si>
  <si>
    <t>ORD_2025_0395</t>
  </si>
  <si>
    <t>ORD_2025_0396</t>
  </si>
  <si>
    <t>ORD_2025_0397</t>
  </si>
  <si>
    <t>ORD_2025_0398</t>
  </si>
  <si>
    <t>ORD_2025_0399</t>
  </si>
  <si>
    <t>ORD_2025_0400</t>
  </si>
  <si>
    <t>ORD_2025_0401</t>
  </si>
  <si>
    <t>ORD_2025_0402</t>
  </si>
  <si>
    <t>ORD_2025_0403</t>
  </si>
  <si>
    <t>ORD_2025_0404</t>
  </si>
  <si>
    <t>ORD_2025_0405</t>
  </si>
  <si>
    <t>ORD_2025_0406</t>
  </si>
  <si>
    <t>ORD_2025_0407</t>
  </si>
  <si>
    <t>ORD_2025_0408</t>
  </si>
  <si>
    <t>ORD_2025_0409</t>
  </si>
  <si>
    <t>ORD_2025_0410</t>
  </si>
  <si>
    <t>ORD_2025_0411</t>
  </si>
  <si>
    <t>ORD_2025_0412</t>
  </si>
  <si>
    <t>ORD_2025_0413</t>
  </si>
  <si>
    <t>ORD_2025_0414</t>
  </si>
  <si>
    <t>ORD_2025_0415</t>
  </si>
  <si>
    <t>ORD_2025_0416</t>
  </si>
  <si>
    <t>ORD_2025_0417</t>
  </si>
  <si>
    <t>ORD_2025_0418</t>
  </si>
  <si>
    <t>ORD_2025_0419</t>
  </si>
  <si>
    <t>ORD_2025_0420</t>
  </si>
  <si>
    <t>ORD_2025_0421</t>
  </si>
  <si>
    <t>ORD_2025_0422</t>
  </si>
  <si>
    <t>ORD_2025_0423</t>
  </si>
  <si>
    <t>ORD_2025_0424</t>
  </si>
  <si>
    <t>ORD_2025_0425</t>
  </si>
  <si>
    <t>ORD_2025_0426</t>
  </si>
  <si>
    <t>ORD_2025_0427</t>
  </si>
  <si>
    <t>ORD_2025_0428</t>
  </si>
  <si>
    <t>ORD_2025_0429</t>
  </si>
  <si>
    <t>ORD_2025_0430</t>
  </si>
  <si>
    <t>ORD_2025_0431</t>
  </si>
  <si>
    <t>ORD_2025_0432</t>
  </si>
  <si>
    <t>ORD_2025_0433</t>
  </si>
  <si>
    <t>ORD_2025_0434</t>
  </si>
  <si>
    <t>ORD_2025_0435</t>
  </si>
  <si>
    <t>ORD_2025_0436</t>
  </si>
  <si>
    <t>ORD_2025_0437</t>
  </si>
  <si>
    <t>ORD_2025_0438</t>
  </si>
  <si>
    <t>ORD_2025_0439</t>
  </si>
  <si>
    <t>ORD_2025_0440</t>
  </si>
  <si>
    <t>ORD_2025_0441</t>
  </si>
  <si>
    <t>ORD_2025_0442</t>
  </si>
  <si>
    <t>ORD_2025_0443</t>
  </si>
  <si>
    <t>ORD_2025_0444</t>
  </si>
  <si>
    <t>ORD_2025_0445</t>
  </si>
  <si>
    <t>ORD_2025_0446</t>
  </si>
  <si>
    <t>ORD_2025_0447</t>
  </si>
  <si>
    <t>ORD_2025_0448</t>
  </si>
  <si>
    <t>ORD_2025_0449</t>
  </si>
  <si>
    <t>ORD_2025_0450</t>
  </si>
  <si>
    <t>ORD_2025_0451</t>
  </si>
  <si>
    <t>ORD_2025_0452</t>
  </si>
  <si>
    <t>ORD_2025_0453</t>
  </si>
  <si>
    <t>ORD_2025_0454</t>
  </si>
  <si>
    <t>ORD_2025_0455</t>
  </si>
  <si>
    <t>ORD_2025_0456</t>
  </si>
  <si>
    <t>ORD_2025_0457</t>
  </si>
  <si>
    <t>ORD_2025_0458</t>
  </si>
  <si>
    <t>ORD_2025_0459</t>
  </si>
  <si>
    <t>ORD_2025_0460</t>
  </si>
  <si>
    <t>ORD_2025_0461</t>
  </si>
  <si>
    <t>ORD_2025_0462</t>
  </si>
  <si>
    <t>ORD_2025_0463</t>
  </si>
  <si>
    <t>ORD_2025_0464</t>
  </si>
  <si>
    <t>ORD_2025_0465</t>
  </si>
  <si>
    <t>ORD_2025_0466</t>
  </si>
  <si>
    <t>ORD_2025_0467</t>
  </si>
  <si>
    <t>ORD_2025_0468</t>
  </si>
  <si>
    <t>ORD_2025_0469</t>
  </si>
  <si>
    <t>ORD_2025_0470</t>
  </si>
  <si>
    <t>ORD_2025_0471</t>
  </si>
  <si>
    <t>ORD_2025_0472</t>
  </si>
  <si>
    <t>ORD_2025_0473</t>
  </si>
  <si>
    <t>ORD_2025_0474</t>
  </si>
  <si>
    <t>ORD_2025_0475</t>
  </si>
  <si>
    <t>ORD_2025_0476</t>
  </si>
  <si>
    <t>ORD_2025_0477</t>
  </si>
  <si>
    <t>ORD_2025_0478</t>
  </si>
  <si>
    <t>ORD_2025_0479</t>
  </si>
  <si>
    <t>ORD_2025_0480</t>
  </si>
  <si>
    <t>ORD_2025_0481</t>
  </si>
  <si>
    <t>ORD_2025_0482</t>
  </si>
  <si>
    <t>ORD_2025_0483</t>
  </si>
  <si>
    <t>ORD_2025_0484</t>
  </si>
  <si>
    <t>ORD_2025_0485</t>
  </si>
  <si>
    <t>ORD_2025_0486</t>
  </si>
  <si>
    <t>ORD_2025_0487</t>
  </si>
  <si>
    <t>ORD_2025_0488</t>
  </si>
  <si>
    <t>ORD_2025_0489</t>
  </si>
  <si>
    <t>ORD_2025_0490</t>
  </si>
  <si>
    <t>ORD_2025_0491</t>
  </si>
  <si>
    <t>ORD_2025_0492</t>
  </si>
  <si>
    <t>ORD_2025_0493</t>
  </si>
  <si>
    <t>ORD_2025_0494</t>
  </si>
  <si>
    <t>ORD_2025_0495</t>
  </si>
  <si>
    <t>ORD_2025_0496</t>
  </si>
  <si>
    <t>ORD_2025_0497</t>
  </si>
  <si>
    <t>ORD_2025_0498</t>
  </si>
  <si>
    <t>ORD_2025_0499</t>
  </si>
  <si>
    <t>ORD_2025_0500</t>
  </si>
  <si>
    <t>i</t>
  </si>
  <si>
    <t>Usa</t>
  </si>
  <si>
    <t>Uk</t>
  </si>
  <si>
    <t>Uae</t>
  </si>
  <si>
    <t>unit cost</t>
  </si>
  <si>
    <t>COGS</t>
  </si>
  <si>
    <t>Profit Margin</t>
  </si>
  <si>
    <t>first name</t>
  </si>
  <si>
    <t>last name</t>
  </si>
  <si>
    <t>Cust Code</t>
  </si>
  <si>
    <t>Jan-2025</t>
  </si>
  <si>
    <t>Feb-2025</t>
  </si>
  <si>
    <t>Apr-2024</t>
  </si>
  <si>
    <t>Oct-2024</t>
  </si>
  <si>
    <t>Jun-2024</t>
  </si>
  <si>
    <t>May-2025</t>
  </si>
  <si>
    <t>Sep-2024</t>
  </si>
  <si>
    <t>Aug-2024</t>
  </si>
  <si>
    <t>Apr-2025</t>
  </si>
  <si>
    <t>Dec-2024</t>
  </si>
  <si>
    <t>Feb-2024</t>
  </si>
  <si>
    <t>Mar-2024</t>
  </si>
  <si>
    <t>Jul-2024</t>
  </si>
  <si>
    <t>Mar-2025</t>
  </si>
  <si>
    <t>May-2024</t>
  </si>
  <si>
    <t>Nov-2024</t>
  </si>
  <si>
    <t>Jan-2024</t>
  </si>
  <si>
    <t>Row Labels</t>
  </si>
  <si>
    <t>Sum of Profit</t>
  </si>
  <si>
    <t>Grand Total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</si>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</sst>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_-[$$-409]* #,##0.00_ ;_-[$$-409]* \-#,##0.0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[Global_Trade_Data.xlsx]Sheet1!PivotTable16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13648293963255"/>
          <c:y val="0.12397929425488481"/>
          <c:w val="0.56868175853018377"/>
          <c:h val="0.5377435112277632"/>
        </c:manualLayout>
      </c:layout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Sheet1!$A$4:$A$21</c:f>
              <c:strCache>
                <c:ptCount val="17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Dec-2024</c:v>
                </c:pt>
                <c:pt idx="4">
                  <c:v>Feb-2024</c:v>
                </c:pt>
                <c:pt idx="5">
                  <c:v>Feb-2025</c:v>
                </c:pt>
                <c:pt idx="6">
                  <c:v>Jan-2024</c:v>
                </c:pt>
                <c:pt idx="7">
                  <c:v>Jan-2025</c:v>
                </c:pt>
                <c:pt idx="8">
                  <c:v>Jul-2024</c:v>
                </c:pt>
                <c:pt idx="9">
                  <c:v>Jun-2024</c:v>
                </c:pt>
                <c:pt idx="10">
                  <c:v>Mar-2024</c:v>
                </c:pt>
                <c:pt idx="11">
                  <c:v>Mar-2025</c:v>
                </c:pt>
                <c:pt idx="12">
                  <c:v>May-2024</c:v>
                </c:pt>
                <c:pt idx="13">
                  <c:v>May-2025</c:v>
                </c:pt>
                <c:pt idx="14">
                  <c:v>Nov-2024</c:v>
                </c:pt>
                <c:pt idx="15">
                  <c:v>Oct-2024</c:v>
                </c:pt>
                <c:pt idx="16">
                  <c:v>Sep-2024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4322.6099999999997</c:v>
                </c:pt>
                <c:pt idx="1">
                  <c:v>10237.879999999999</c:v>
                </c:pt>
                <c:pt idx="2">
                  <c:v>7976.39</c:v>
                </c:pt>
                <c:pt idx="3">
                  <c:v>10480.899999999998</c:v>
                </c:pt>
                <c:pt idx="4">
                  <c:v>9234.0300000000025</c:v>
                </c:pt>
                <c:pt idx="5">
                  <c:v>7308.920000000001</c:v>
                </c:pt>
                <c:pt idx="6">
                  <c:v>6054.28</c:v>
                </c:pt>
                <c:pt idx="7">
                  <c:v>7409.7800000000007</c:v>
                </c:pt>
                <c:pt idx="8">
                  <c:v>8441.1899999999987</c:v>
                </c:pt>
                <c:pt idx="9">
                  <c:v>11775.910000000003</c:v>
                </c:pt>
                <c:pt idx="10">
                  <c:v>7448.9700000000021</c:v>
                </c:pt>
                <c:pt idx="11">
                  <c:v>10348.179999999998</c:v>
                </c:pt>
                <c:pt idx="12">
                  <c:v>6249.32</c:v>
                </c:pt>
                <c:pt idx="13">
                  <c:v>2579.2200000000007</c:v>
                </c:pt>
                <c:pt idx="14">
                  <c:v>7763.1299999999983</c:v>
                </c:pt>
                <c:pt idx="15">
                  <c:v>7552.51</c:v>
                </c:pt>
                <c:pt idx="16">
                  <c:v>8387.18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4-4B7E-8E46-7CF09AD26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5680"/>
        <c:axId val="5413200"/>
      </c:lineChart>
      <c:catAx>
        <c:axId val="54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200"/>
        <c:crosses val="autoZero"/>
        <c:auto val="1"/>
        <c:lblAlgn val="ctr"/>
        <c:lblOffset val="100"/>
        <c:noMultiLvlLbl val="0"/>
      </c:catAx>
      <c:valAx>
        <c:axId val="54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</xdr:row>
      <xdr:rowOff>11430</xdr:rowOff>
    </xdr:from>
    <xdr:to>
      <xdr:col>12</xdr:col>
      <xdr:colOff>167640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CB1CC-4CFB-9D34-E913-793E8805B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marticus\Excel\Excel%20Exam\Excel_Exam_Dataset%20-%20LMS\Product_Master.xlsx" TargetMode="External"/><Relationship Id="rId1" Type="http://schemas.openxmlformats.org/officeDocument/2006/relationships/externalLinkPath" Target="Product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"/>
      <sheetName val="Sheet1"/>
    </sheetNames>
    <sheetDataSet>
      <sheetData sheetId="0">
        <row r="2">
          <cell r="B2" t="str">
            <v>Bluetooth Speaker</v>
          </cell>
          <cell r="F2">
            <v>32</v>
          </cell>
        </row>
        <row r="3">
          <cell r="B3" t="str">
            <v>Ceramic Vase</v>
          </cell>
          <cell r="F3">
            <v>15.5</v>
          </cell>
        </row>
        <row r="4">
          <cell r="B4" t="str">
            <v>Leather Wallet</v>
          </cell>
          <cell r="F4">
            <v>18</v>
          </cell>
        </row>
        <row r="5">
          <cell r="B5" t="str">
            <v>LED Lamp</v>
          </cell>
          <cell r="F5">
            <v>12.75</v>
          </cell>
        </row>
        <row r="6">
          <cell r="B6" t="str">
            <v>Cotton Bedsheet</v>
          </cell>
          <cell r="F6">
            <v>25</v>
          </cell>
        </row>
        <row r="7">
          <cell r="B7" t="str">
            <v>Wireless Mouse</v>
          </cell>
          <cell r="F7">
            <v>20</v>
          </cell>
        </row>
        <row r="8">
          <cell r="B8" t="str">
            <v>Glass Bowl Set</v>
          </cell>
          <cell r="F8">
            <v>22.5</v>
          </cell>
        </row>
        <row r="9">
          <cell r="B9" t="str">
            <v>Travel Backpack</v>
          </cell>
          <cell r="F9">
            <v>35</v>
          </cell>
        </row>
        <row r="10">
          <cell r="B10" t="str">
            <v>Table Lamp</v>
          </cell>
          <cell r="F10">
            <v>28</v>
          </cell>
        </row>
        <row r="11">
          <cell r="B11" t="str">
            <v>Denim Jacket</v>
          </cell>
          <cell r="F11">
            <v>40</v>
          </cell>
        </row>
      </sheetData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more" refreshedDate="46131.066906712964" createdVersion="8" refreshedVersion="8" minRefreshableVersion="3" recordCount="500" xr:uid="{B0C5EE20-95BB-4B90-BAF0-4C3FBE29AE7C}">
  <cacheSource type="worksheet">
    <worksheetSource name="Table1"/>
  </cacheSource>
  <cacheFields count="18">
    <cacheField name="i" numFmtId="0">
      <sharedItems/>
    </cacheField>
    <cacheField name="Order_Date" numFmtId="0">
      <sharedItems count="42">
        <s v="Jan-2025"/>
        <s v="Feb-2025"/>
        <s v="Apr-2024"/>
        <s v="Oct-2024"/>
        <s v="Jun-2024"/>
        <s v="May-2025"/>
        <s v="Sep-2024"/>
        <s v="Aug-2024"/>
        <s v="Apr-2025"/>
        <s v="Dec-2024"/>
        <s v="Feb-2024"/>
        <s v="Mar-2024"/>
        <s v="Jul-2024"/>
        <s v="Mar-2025"/>
        <s v="May-2024"/>
        <s v="Nov-2024"/>
        <s v="Jan-2024"/>
        <s v="2024-05-13" u="1"/>
        <s v="2024-01-30" u="1"/>
        <s v="2024-06-17" u="1"/>
        <s v="2025-04-20" u="1"/>
        <s v="2024-11-13" u="1"/>
        <s v="2024-12-07" u="1"/>
        <s v="2024-03-04" u="1"/>
        <s v="2024-09-27" u="1"/>
        <s v="2024-03-11" u="1"/>
        <s v="2024-12-26" u="1"/>
        <s v="2025-01-06" u="1"/>
        <s v="2024-12-05" u="1"/>
        <s v="2024-01-21" u="1"/>
        <s v="2025-05-10" u="1"/>
        <s v="2024-09-15" u="1"/>
        <s v="2024-05-27" u="1"/>
        <s v="2025-04-24" u="1"/>
        <s v="2025-03-18" u="1"/>
        <s v="2024-04-17" u="1"/>
        <s v="2025-02-18" u="1"/>
        <s v="2024-04-13" u="1"/>
        <s v="2024-07-04" u="1"/>
        <s v="2024-12-25" u="1"/>
        <s v="2024-09-02" u="1"/>
        <s v="2024-07-14" u="1"/>
      </sharedItems>
    </cacheField>
    <cacheField name="Customer_Name" numFmtId="0">
      <sharedItems/>
    </cacheField>
    <cacheField name="Country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0"/>
    </cacheField>
    <cacheField name="Unit_Price" numFmtId="165">
      <sharedItems containsSemiMixedTypes="0" containsString="0" containsNumber="1" minValue="15.44" maxValue="71.8"/>
    </cacheField>
    <cacheField name="Total_Sales" numFmtId="0">
      <sharedItems containsSemiMixedTypes="0" containsString="0" containsNumber="1" minValue="18.739999999999998" maxValue="3247.6"/>
    </cacheField>
    <cacheField name="Shipping_Cost" numFmtId="0">
      <sharedItems containsSemiMixedTypes="0" containsString="0" containsNumber="1" minValue="0.5" maxValue="197.89"/>
    </cacheField>
    <cacheField name="Profit" numFmtId="0">
      <sharedItems containsSemiMixedTypes="0" containsString="0" containsNumber="1" minValue="2.74" maxValue="1240.69"/>
    </cacheField>
    <cacheField name="Ship_Mode" numFmtId="0">
      <sharedItems/>
    </cacheField>
    <cacheField name="Order_Priority" numFmtId="0">
      <sharedItems/>
    </cacheField>
    <cacheField name="Region_Code" numFmtId="0">
      <sharedItems/>
    </cacheField>
    <cacheField name="unit cost" numFmtId="0">
      <sharedItems containsSemiMixedTypes="0" containsString="0" containsNumber="1" minValue="12.75" maxValue="40"/>
    </cacheField>
    <cacheField name="COGS" numFmtId="0">
      <sharedItems containsSemiMixedTypes="0" containsString="0" containsNumber="1" minValue="15.5" maxValue="2000"/>
    </cacheField>
    <cacheField name="Profit Margin" numFmtId="9">
      <sharedItems containsSemiMixedTypes="0" containsString="0" containsNumber="1" minValue="9.3578691423519017E-2" maxValue="0.42019875028231574"/>
    </cacheField>
    <cacheField name="Column1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_2025_0001"/>
    <x v="0"/>
    <s v="Smith, Emily"/>
    <s v="Usa"/>
    <s v="Travel Backpack"/>
    <s v="Accessories"/>
    <n v="20"/>
    <n v="55.22"/>
    <n v="1104.4000000000001"/>
    <n v="49.36"/>
    <n v="355.04"/>
    <s v="Land"/>
    <s v="Low"/>
    <s v="NA"/>
    <n v="35"/>
    <n v="700"/>
    <n v="0.32147772546178921"/>
    <n v="1"/>
  </r>
  <r>
    <s v="ORD_2025_0002"/>
    <x v="1"/>
    <s v="Brown, Laura"/>
    <s v="Uk"/>
    <s v="Leather Wallet"/>
    <s v="Accessories"/>
    <n v="33"/>
    <n v="32.03"/>
    <n v="1056.99"/>
    <n v="59.59"/>
    <n v="403.4"/>
    <s v="Sea"/>
    <s v="Medium"/>
    <s v="EU"/>
    <n v="18"/>
    <n v="594"/>
    <n v="0.38164977908967918"/>
    <n v="2"/>
  </r>
  <r>
    <s v="ORD_2025_0003"/>
    <x v="2"/>
    <s v="Davis, John"/>
    <s v="Italy"/>
    <s v="Leather Wallet"/>
    <s v="Accessories"/>
    <n v="34"/>
    <n v="28.48"/>
    <n v="968.32"/>
    <n v="73.95"/>
    <n v="282.37"/>
    <s v="Land"/>
    <s v="High"/>
    <s v="EU"/>
    <n v="18"/>
    <n v="612"/>
    <n v="0.2916081460674157"/>
    <n v="4"/>
  </r>
  <r>
    <s v="ORD_2025_0004"/>
    <x v="3"/>
    <s v="Miller, Daniel"/>
    <s v="Brazil"/>
    <s v="Bluetooth Speaker"/>
    <s v="Electronics"/>
    <n v="6"/>
    <n v="56.36"/>
    <n v="338.16"/>
    <n v="11.39"/>
    <n v="134.77000000000001"/>
    <s v="Air"/>
    <s v="Medium"/>
    <s v="SA"/>
    <n v="32"/>
    <n v="192"/>
    <n v="0.39853915306363852"/>
    <n v="10"/>
  </r>
  <r>
    <s v="ORD_2025_0005"/>
    <x v="1"/>
    <s v="Johnson, Emma"/>
    <s v="Canada"/>
    <s v="Denim Jacket"/>
    <s v="Apparel"/>
    <n v="17"/>
    <n v="69.22"/>
    <n v="1176.74"/>
    <n v="65.94"/>
    <n v="430.8"/>
    <s v="Sea"/>
    <s v="Low"/>
    <s v="NA"/>
    <n v="40"/>
    <n v="680"/>
    <n v="0.36609616397844896"/>
    <n v="2"/>
  </r>
  <r>
    <s v="ORD_2025_0006"/>
    <x v="1"/>
    <s v="Johnson, Michael"/>
    <s v="Mexico"/>
    <s v="Wireless Mouse"/>
    <s v="Electronics"/>
    <n v="13"/>
    <n v="27.94"/>
    <n v="363.22"/>
    <n v="15.36"/>
    <n v="87.86"/>
    <s v="Sea"/>
    <s v="Low"/>
    <s v="NA"/>
    <n v="20"/>
    <n v="260"/>
    <n v="0.2418919663014151"/>
    <n v="2"/>
  </r>
  <r>
    <s v="ORD_2025_0007"/>
    <x v="4"/>
    <s v="Hernandez, Emma"/>
    <s v="Uk"/>
    <s v="Glass Bowl Set"/>
    <s v="Home Decor"/>
    <n v="3"/>
    <n v="31.52"/>
    <n v="94.56"/>
    <n v="6.98"/>
    <n v="20.079999999999998"/>
    <s v="Land"/>
    <s v="High"/>
    <s v="EU"/>
    <n v="22.5"/>
    <n v="67.5"/>
    <n v="0.21235194585448391"/>
    <n v="6"/>
  </r>
  <r>
    <s v="ORD_2025_0008"/>
    <x v="5"/>
    <s v="Miller, John"/>
    <s v="China"/>
    <s v="Cotton Bedsheet"/>
    <s v="Textiles"/>
    <n v="14"/>
    <n v="30.71"/>
    <n v="429.94"/>
    <n v="13.03"/>
    <n v="66.91"/>
    <s v="Sea"/>
    <s v="Low"/>
    <s v="AS"/>
    <n v="25"/>
    <n v="350"/>
    <n v="0.15562636646973996"/>
    <n v="5"/>
  </r>
  <r>
    <s v="ORD_2025_0009"/>
    <x v="6"/>
    <s v="Davis, John"/>
    <s v="Usa"/>
    <s v="Ceramic Vase"/>
    <s v="Home Decor"/>
    <n v="47"/>
    <n v="24.47"/>
    <n v="1150.0899999999999"/>
    <n v="61.3"/>
    <n v="360.29"/>
    <s v="Sea"/>
    <s v="Low"/>
    <s v="NA"/>
    <n v="15.5"/>
    <n v="728.5"/>
    <n v="0.31327113530245465"/>
    <n v="9"/>
  </r>
  <r>
    <s v="ORD_2025_0010"/>
    <x v="7"/>
    <s v="Martinez, Laura"/>
    <s v="Italy"/>
    <s v="LED Lamp"/>
    <s v="Electronics"/>
    <n v="27"/>
    <n v="18.98"/>
    <n v="512.46"/>
    <n v="28.89"/>
    <n v="139.32"/>
    <s v="Sea"/>
    <s v="High"/>
    <s v="EU"/>
    <n v="12.75"/>
    <n v="344.25"/>
    <n v="0.27186512118018963"/>
    <n v="8"/>
  </r>
  <r>
    <s v="ORD_2025_0011"/>
    <x v="8"/>
    <s v="Martinez, James"/>
    <s v="China"/>
    <s v="Travel Backpack"/>
    <s v="Accessories"/>
    <n v="32"/>
    <n v="57.84"/>
    <n v="1850.88"/>
    <n v="55.15"/>
    <n v="675.73"/>
    <s v="Land"/>
    <s v="Low"/>
    <s v="AS"/>
    <n v="35"/>
    <n v="1120"/>
    <n v="0.36508579702627936"/>
    <n v="4"/>
  </r>
  <r>
    <s v="ORD_2025_0012"/>
    <x v="9"/>
    <s v="Davis, James"/>
    <s v="Canada"/>
    <s v="Denim Jacket"/>
    <s v="Apparel"/>
    <n v="49"/>
    <n v="58.77"/>
    <n v="2879.73"/>
    <n v="140.29"/>
    <n v="779.44"/>
    <s v="Air"/>
    <s v="High"/>
    <s v="NA"/>
    <n v="40"/>
    <n v="1960"/>
    <n v="0.27066426366360735"/>
    <n v="12"/>
  </r>
  <r>
    <s v="ORD_2025_0013"/>
    <x v="6"/>
    <s v="Martinez, James"/>
    <s v="Singapore"/>
    <s v="Travel Backpack"/>
    <s v="Accessories"/>
    <n v="43"/>
    <n v="56.92"/>
    <n v="2447.56"/>
    <n v="140.4"/>
    <n v="802.16"/>
    <s v="Land"/>
    <s v="Medium"/>
    <s v="AS"/>
    <n v="35"/>
    <n v="1505"/>
    <n v="0.3277386458350357"/>
    <n v="9"/>
  </r>
  <r>
    <s v="ORD_2025_0014"/>
    <x v="10"/>
    <s v="Smith, Emma"/>
    <s v="Italy"/>
    <s v="Cotton Bedsheet"/>
    <s v="Textiles"/>
    <n v="32"/>
    <n v="43.45"/>
    <n v="1390.4"/>
    <n v="30.04"/>
    <n v="560.36"/>
    <s v="Land"/>
    <s v="High"/>
    <s v="EU"/>
    <n v="25"/>
    <n v="800"/>
    <n v="0.4030207134637514"/>
    <n v="2"/>
  </r>
  <r>
    <s v="ORD_2025_0015"/>
    <x v="11"/>
    <s v="Davis, Sarah"/>
    <s v="Uae"/>
    <s v="Cotton Bedsheet"/>
    <s v="Textiles"/>
    <n v="22"/>
    <n v="42.59"/>
    <n v="936.98"/>
    <n v="29.87"/>
    <n v="357.11"/>
    <s v="Sea"/>
    <s v="High"/>
    <s v="AS"/>
    <n v="25"/>
    <n v="550"/>
    <n v="0.38112873273709152"/>
    <n v="3"/>
  </r>
  <r>
    <s v="ORD_2025_0016"/>
    <x v="6"/>
    <s v="Williams, David"/>
    <s v="Japan"/>
    <s v="Wireless Mouse"/>
    <s v="Electronics"/>
    <n v="48"/>
    <n v="25.36"/>
    <n v="1217.28"/>
    <n v="49.68"/>
    <n v="207.6"/>
    <s v="Sea"/>
    <s v="Low"/>
    <s v="AS"/>
    <n v="20"/>
    <n v="960"/>
    <n v="0.17054416403785488"/>
    <n v="9"/>
  </r>
  <r>
    <s v="ORD_2025_0017"/>
    <x v="7"/>
    <s v="Martinez, James"/>
    <s v="Uae"/>
    <s v="Leather Wallet"/>
    <s v="Accessories"/>
    <n v="48"/>
    <n v="30.07"/>
    <n v="1443.36"/>
    <n v="102.31"/>
    <n v="477.05"/>
    <s v="Air"/>
    <s v="Low"/>
    <s v="AS"/>
    <n v="18"/>
    <n v="864"/>
    <n v="0.33051352399955664"/>
    <n v="8"/>
  </r>
  <r>
    <s v="ORD_2025_0018"/>
    <x v="6"/>
    <s v="Johnson, Michael"/>
    <s v="Uae"/>
    <s v="Wireless Mouse"/>
    <s v="Electronics"/>
    <n v="6"/>
    <n v="32.17"/>
    <n v="193.02"/>
    <n v="14.45"/>
    <n v="58.57"/>
    <s v="Air"/>
    <s v="Low"/>
    <s v="AS"/>
    <n v="20"/>
    <n v="120"/>
    <n v="0.30344005802507512"/>
    <n v="9"/>
  </r>
  <r>
    <s v="ORD_2025_0019"/>
    <x v="12"/>
    <s v="Smith, Sarah"/>
    <s v="Singapore"/>
    <s v="Leather Wallet"/>
    <s v="Accessories"/>
    <n v="37"/>
    <n v="24.14"/>
    <n v="893.18"/>
    <n v="31.39"/>
    <n v="195.79"/>
    <s v="Sea"/>
    <s v="Medium"/>
    <s v="AS"/>
    <n v="18"/>
    <n v="666"/>
    <n v="0.21920553527844333"/>
    <n v="7"/>
  </r>
  <r>
    <s v="ORD_2025_0020"/>
    <x v="8"/>
    <s v="Johnson, Emma"/>
    <s v="Uk"/>
    <s v="Table Lamp"/>
    <s v="Home Decor"/>
    <n v="39"/>
    <n v="37.840000000000003"/>
    <n v="1475.76"/>
    <n v="73.400000000000006"/>
    <n v="310.36"/>
    <s v="Sea"/>
    <s v="High"/>
    <s v="EU"/>
    <n v="28"/>
    <n v="1092"/>
    <n v="0.21030519867729172"/>
    <n v="4"/>
  </r>
  <r>
    <s v="ORD_2025_0021"/>
    <x v="1"/>
    <s v="Miller, Michael"/>
    <s v="South Africa"/>
    <s v="Denim Jacket"/>
    <s v="Apparel"/>
    <n v="6"/>
    <n v="68.77"/>
    <n v="412.62"/>
    <n v="17.18"/>
    <n v="155.44"/>
    <s v="Sea"/>
    <s v="Low"/>
    <s v="AF"/>
    <n v="40"/>
    <n v="240"/>
    <n v="0.37671465270709126"/>
    <n v="2"/>
  </r>
  <r>
    <s v="ORD_2025_0022"/>
    <x v="13"/>
    <s v="Davis, David"/>
    <s v="Canada"/>
    <s v="LED Lamp"/>
    <s v="Electronics"/>
    <n v="6"/>
    <n v="18.5"/>
    <n v="111"/>
    <n v="5.26"/>
    <n v="29.24"/>
    <s v="Air"/>
    <s v="Medium"/>
    <s v="NA"/>
    <n v="12.75"/>
    <n v="76.5"/>
    <n v="0.2634234234234234"/>
    <n v="3"/>
  </r>
  <r>
    <s v="ORD_2025_0023"/>
    <x v="14"/>
    <s v="Johnson, Sarah"/>
    <s v="Italy"/>
    <s v="Glass Bowl Set"/>
    <s v="Home Decor"/>
    <n v="33"/>
    <n v="28.96"/>
    <n v="955.68"/>
    <n v="49.07"/>
    <n v="164.11"/>
    <s v="Sea"/>
    <s v="Low"/>
    <s v="EU"/>
    <n v="22.5"/>
    <n v="742.5"/>
    <n v="0.17172065963502431"/>
    <n v="5"/>
  </r>
  <r>
    <s v="ORD_2025_0024"/>
    <x v="10"/>
    <s v="Hernandez, Sophia"/>
    <s v="Canada"/>
    <s v="Glass Bowl Set"/>
    <s v="Home Decor"/>
    <n v="31"/>
    <n v="35.020000000000003"/>
    <n v="1085.6199999999999"/>
    <n v="74.650000000000006"/>
    <n v="313.47000000000003"/>
    <s v="Air"/>
    <s v="Low"/>
    <s v="NA"/>
    <n v="22.5"/>
    <n v="697.5"/>
    <n v="0.2887474438569666"/>
    <n v="2"/>
  </r>
  <r>
    <s v="ORD_2025_0025"/>
    <x v="8"/>
    <s v="Williams, Daniel"/>
    <s v="Canada"/>
    <s v="Wireless Mouse"/>
    <s v="Electronics"/>
    <n v="25"/>
    <n v="31.57"/>
    <n v="789.25"/>
    <n v="56.47"/>
    <n v="232.78"/>
    <s v="Sea"/>
    <s v="Medium"/>
    <s v="NA"/>
    <n v="20"/>
    <n v="500"/>
    <n v="0.29493823249920809"/>
    <n v="4"/>
  </r>
  <r>
    <s v="ORD_2025_0026"/>
    <x v="9"/>
    <s v="Martinez, Michael"/>
    <s v="Italy"/>
    <s v="Ceramic Vase"/>
    <s v="Home Decor"/>
    <n v="14"/>
    <n v="27.08"/>
    <n v="379.12"/>
    <n v="11.12"/>
    <n v="151"/>
    <s v="Sea"/>
    <s v="High"/>
    <s v="EU"/>
    <n v="15.5"/>
    <n v="217"/>
    <n v="0.39829077864528378"/>
    <n v="12"/>
  </r>
  <r>
    <s v="ORD_2025_0027"/>
    <x v="4"/>
    <s v="Miller, Daniel"/>
    <s v="Italy"/>
    <s v="Table Lamp"/>
    <s v="Home Decor"/>
    <n v="39"/>
    <n v="35.32"/>
    <n v="1377.48"/>
    <n v="63.72"/>
    <n v="221.76"/>
    <s v="Sea"/>
    <s v="Medium"/>
    <s v="EU"/>
    <n v="28"/>
    <n v="1092"/>
    <n v="0.16098963324331386"/>
    <n v="6"/>
  </r>
  <r>
    <s v="ORD_2025_0028"/>
    <x v="7"/>
    <s v="Jones, Laura"/>
    <s v="China"/>
    <s v="Glass Bowl Set"/>
    <s v="Home Decor"/>
    <n v="6"/>
    <n v="39.630000000000003"/>
    <n v="237.78"/>
    <n v="8.08"/>
    <n v="94.7"/>
    <s v="Land"/>
    <s v="High"/>
    <s v="AS"/>
    <n v="22.5"/>
    <n v="135"/>
    <n v="0.39826730591302884"/>
    <n v="8"/>
  </r>
  <r>
    <s v="ORD_2025_0029"/>
    <x v="0"/>
    <s v="Brown, Michael"/>
    <s v="South Africa"/>
    <s v="Denim Jacket"/>
    <s v="Apparel"/>
    <n v="36"/>
    <n v="68.400000000000006"/>
    <n v="2462.4"/>
    <n v="150.83000000000001"/>
    <n v="871.57"/>
    <s v="Sea"/>
    <s v="Low"/>
    <s v="AF"/>
    <n v="40"/>
    <n v="1440"/>
    <n v="0.35395142949967512"/>
    <n v="1"/>
  </r>
  <r>
    <s v="ORD_2025_0030"/>
    <x v="12"/>
    <s v="Williams, David"/>
    <s v="Italy"/>
    <s v="Cotton Bedsheet"/>
    <s v="Textiles"/>
    <n v="1"/>
    <n v="44.98"/>
    <n v="44.98"/>
    <n v="2.81"/>
    <n v="17.170000000000002"/>
    <s v="Sea"/>
    <s v="Medium"/>
    <s v="EU"/>
    <n v="25"/>
    <n v="25"/>
    <n v="0.38172521120498004"/>
    <n v="7"/>
  </r>
  <r>
    <s v="ORD_2025_0031"/>
    <x v="8"/>
    <s v="Miller, Laura"/>
    <s v="France"/>
    <s v="Table Lamp"/>
    <s v="Home Decor"/>
    <n v="3"/>
    <n v="37.74"/>
    <n v="113.22"/>
    <n v="4.04"/>
    <n v="25.18"/>
    <s v="Sea"/>
    <s v="Medium"/>
    <s v="EU"/>
    <n v="28"/>
    <n v="84"/>
    <n v="0.22239886945769299"/>
    <n v="4"/>
  </r>
  <r>
    <s v="ORD_2025_0032"/>
    <x v="14"/>
    <s v="Garcia, Sophia"/>
    <s v="France"/>
    <s v="Cotton Bedsheet"/>
    <s v="Textiles"/>
    <n v="12"/>
    <n v="39.799999999999997"/>
    <n v="477.6"/>
    <n v="20.54"/>
    <n v="157.06"/>
    <s v="Air"/>
    <s v="Medium"/>
    <s v="EU"/>
    <n v="25"/>
    <n v="300"/>
    <n v="0.32885259631490787"/>
    <n v="5"/>
  </r>
  <r>
    <s v="ORD_2025_0033"/>
    <x v="2"/>
    <s v="Smith, Sophia"/>
    <s v="China"/>
    <s v="Bluetooth Speaker"/>
    <s v="Electronics"/>
    <n v="26"/>
    <n v="43.23"/>
    <n v="1123.98"/>
    <n v="57.2"/>
    <n v="234.78"/>
    <s v="Sea"/>
    <s v="High"/>
    <s v="AS"/>
    <n v="32"/>
    <n v="832"/>
    <n v="0.20888272033310201"/>
    <n v="4"/>
  </r>
  <r>
    <s v="ORD_2025_0034"/>
    <x v="0"/>
    <s v="Miller, Daniel"/>
    <s v="Italy"/>
    <s v="Denim Jacket"/>
    <s v="Apparel"/>
    <n v="17"/>
    <n v="66.34"/>
    <n v="1127.78"/>
    <n v="81.150000000000006"/>
    <n v="366.63"/>
    <s v="Sea"/>
    <s v="High"/>
    <s v="EU"/>
    <n v="40"/>
    <n v="680"/>
    <n v="0.32508999982266046"/>
    <n v="1"/>
  </r>
  <r>
    <s v="ORD_2025_0035"/>
    <x v="3"/>
    <s v="Hernandez, John"/>
    <s v="Singapore"/>
    <s v="Cotton Bedsheet"/>
    <s v="Textiles"/>
    <n v="4"/>
    <n v="33.869999999999997"/>
    <n v="135.47999999999999"/>
    <n v="6.59"/>
    <n v="28.89"/>
    <s v="Land"/>
    <s v="High"/>
    <s v="AS"/>
    <n v="25"/>
    <n v="100"/>
    <n v="0.21324180690876884"/>
    <n v="10"/>
  </r>
  <r>
    <s v="ORD_2025_0036"/>
    <x v="15"/>
    <s v="Williams, Laura"/>
    <s v="Italy"/>
    <s v="Denim Jacket"/>
    <s v="Apparel"/>
    <n v="10"/>
    <n v="64.650000000000006"/>
    <n v="646.5"/>
    <n v="17.89"/>
    <n v="228.61"/>
    <s v="Air"/>
    <s v="Low"/>
    <s v="EU"/>
    <n v="40"/>
    <n v="400"/>
    <n v="0.35361175560711527"/>
    <n v="11"/>
  </r>
  <r>
    <s v="ORD_2025_0037"/>
    <x v="9"/>
    <s v="Miller, David"/>
    <s v="South Africa"/>
    <s v="Glass Bowl Set"/>
    <s v="Home Decor"/>
    <n v="12"/>
    <n v="29.56"/>
    <n v="354.72"/>
    <n v="21.4"/>
    <n v="63.32"/>
    <s v="Sea"/>
    <s v="Low"/>
    <s v="AF"/>
    <n v="22.5"/>
    <n v="270"/>
    <n v="0.17850699142986015"/>
    <n v="12"/>
  </r>
  <r>
    <s v="ORD_2025_0038"/>
    <x v="14"/>
    <s v="Smith, Michael"/>
    <s v="Usa"/>
    <s v="Cotton Bedsheet"/>
    <s v="Textiles"/>
    <n v="4"/>
    <n v="35.36"/>
    <n v="141.44"/>
    <n v="8.66"/>
    <n v="32.78"/>
    <s v="Air"/>
    <s v="Medium"/>
    <s v="NA"/>
    <n v="25"/>
    <n v="100"/>
    <n v="0.23175904977375567"/>
    <n v="5"/>
  </r>
  <r>
    <s v="ORD_2025_0039"/>
    <x v="0"/>
    <s v="Martinez, Sarah"/>
    <s v="Italy"/>
    <s v="Wireless Mouse"/>
    <s v="Electronics"/>
    <n v="28"/>
    <n v="31.42"/>
    <n v="879.76"/>
    <n v="69.319999999999993"/>
    <n v="250.44"/>
    <s v="Land"/>
    <s v="High"/>
    <s v="EU"/>
    <n v="20"/>
    <n v="560"/>
    <n v="0.28466854596708191"/>
    <n v="1"/>
  </r>
  <r>
    <s v="ORD_2025_0040"/>
    <x v="14"/>
    <s v="Garcia, Emily"/>
    <s v="Usa"/>
    <s v="Travel Backpack"/>
    <s v="Accessories"/>
    <n v="35"/>
    <n v="55.12"/>
    <n v="1929.2"/>
    <n v="58.22"/>
    <n v="645.98"/>
    <s v="Land"/>
    <s v="Low"/>
    <s v="NA"/>
    <n v="35"/>
    <n v="1225"/>
    <n v="0.3348434584283641"/>
    <n v="5"/>
  </r>
  <r>
    <s v="ORD_2025_0041"/>
    <x v="8"/>
    <s v="Williams, Emma"/>
    <s v="Uae"/>
    <s v="Glass Bowl Set"/>
    <s v="Home Decor"/>
    <n v="41"/>
    <n v="33.94"/>
    <n v="1391.54"/>
    <n v="33.26"/>
    <n v="435.78"/>
    <s v="Land"/>
    <s v="High"/>
    <s v="AS"/>
    <n v="22.5"/>
    <n v="922.5"/>
    <n v="0.31316383287580662"/>
    <n v="4"/>
  </r>
  <r>
    <s v="ORD_2025_0042"/>
    <x v="7"/>
    <s v="Smith, Emma"/>
    <s v="Singapore"/>
    <s v="Glass Bowl Set"/>
    <s v="Home Decor"/>
    <n v="20"/>
    <n v="38.43"/>
    <n v="768.6"/>
    <n v="60.07"/>
    <n v="258.52999999999997"/>
    <s v="Air"/>
    <s v="High"/>
    <s v="AS"/>
    <n v="22.5"/>
    <n v="450"/>
    <n v="0.33636481915170435"/>
    <n v="8"/>
  </r>
  <r>
    <s v="ORD_2025_0043"/>
    <x v="14"/>
    <s v="Davis, Sarah"/>
    <s v="Brazil"/>
    <s v="Cotton Bedsheet"/>
    <s v="Textiles"/>
    <n v="23"/>
    <n v="35.07"/>
    <n v="806.61"/>
    <n v="21.23"/>
    <n v="210.38"/>
    <s v="Land"/>
    <s v="High"/>
    <s v="SA"/>
    <n v="25"/>
    <n v="575"/>
    <n v="0.26081997495691844"/>
    <n v="5"/>
  </r>
  <r>
    <s v="ORD_2025_0044"/>
    <x v="13"/>
    <s v="Davis, James"/>
    <s v="Australia"/>
    <s v="Denim Jacket"/>
    <s v="Apparel"/>
    <n v="35"/>
    <n v="71.44"/>
    <n v="2500.4"/>
    <n v="166.81"/>
    <n v="933.59"/>
    <s v="Sea"/>
    <s v="Medium"/>
    <s v="OC"/>
    <n v="40"/>
    <n v="1400"/>
    <n v="0.37337625979843225"/>
    <n v="3"/>
  </r>
  <r>
    <s v="ORD_2025_0045"/>
    <x v="9"/>
    <s v="Williams, Laura"/>
    <s v="Canada"/>
    <s v="Leather Wallet"/>
    <s v="Accessories"/>
    <n v="11"/>
    <n v="26.05"/>
    <n v="286.55"/>
    <n v="13.39"/>
    <n v="75.16"/>
    <s v="Sea"/>
    <s v="Low"/>
    <s v="NA"/>
    <n v="18"/>
    <n v="198"/>
    <n v="0.26229279357878205"/>
    <n v="12"/>
  </r>
  <r>
    <s v="ORD_2025_0046"/>
    <x v="10"/>
    <s v="Johnson, Emma"/>
    <s v="Uk"/>
    <s v="Ceramic Vase"/>
    <s v="Home Decor"/>
    <n v="46"/>
    <n v="26.67"/>
    <n v="1226.82"/>
    <n v="83.55"/>
    <n v="430.27"/>
    <s v="Land"/>
    <s v="High"/>
    <s v="EU"/>
    <n v="15.5"/>
    <n v="713"/>
    <n v="0.35071974698814823"/>
    <n v="2"/>
  </r>
  <r>
    <s v="ORD_2025_0047"/>
    <x v="15"/>
    <s v="Johnson, Sarah"/>
    <s v="Uk"/>
    <s v="Table Lamp"/>
    <s v="Home Decor"/>
    <n v="12"/>
    <n v="42.84"/>
    <n v="514.08000000000004"/>
    <n v="22.74"/>
    <n v="155.34"/>
    <s v="Air"/>
    <s v="Low"/>
    <s v="EU"/>
    <n v="28"/>
    <n v="336"/>
    <n v="0.30217086834733892"/>
    <n v="11"/>
  </r>
  <r>
    <s v="ORD_2025_0048"/>
    <x v="12"/>
    <s v="Smith, Daniel"/>
    <s v="Singapore"/>
    <s v="Leather Wallet"/>
    <s v="Accessories"/>
    <n v="18"/>
    <n v="30.89"/>
    <n v="556.02"/>
    <n v="12"/>
    <n v="220.02"/>
    <s v="Sea"/>
    <s v="Low"/>
    <s v="AS"/>
    <n v="18"/>
    <n v="324"/>
    <n v="0.39570519046077485"/>
    <n v="7"/>
  </r>
  <r>
    <s v="ORD_2025_0049"/>
    <x v="9"/>
    <s v="Jones, David"/>
    <s v="Canada"/>
    <s v="Travel Backpack"/>
    <s v="Accessories"/>
    <n v="21"/>
    <n v="52.41"/>
    <n v="1100.6099999999999"/>
    <n v="81.099999999999994"/>
    <n v="284.51"/>
    <s v="Air"/>
    <s v="Medium"/>
    <s v="NA"/>
    <n v="35"/>
    <n v="735"/>
    <n v="0.25850210337903529"/>
    <n v="12"/>
  </r>
  <r>
    <s v="ORD_2025_0050"/>
    <x v="16"/>
    <s v="Brown, Sarah"/>
    <s v="Australia"/>
    <s v="Table Lamp"/>
    <s v="Home Decor"/>
    <n v="17"/>
    <n v="38.64"/>
    <n v="656.88"/>
    <n v="13.86"/>
    <n v="167.02"/>
    <s v="Sea"/>
    <s v="Low"/>
    <s v="OC"/>
    <n v="28"/>
    <n v="476"/>
    <n v="0.25426257459505541"/>
    <n v="1"/>
  </r>
  <r>
    <s v="ORD_2025_0051"/>
    <x v="8"/>
    <s v="Smith, Michael"/>
    <s v="Japan"/>
    <s v="Leather Wallet"/>
    <s v="Accessories"/>
    <n v="41"/>
    <n v="25.79"/>
    <n v="1057.3900000000001"/>
    <n v="71.22"/>
    <n v="248.17"/>
    <s v="Sea"/>
    <s v="Medium"/>
    <s v="AS"/>
    <n v="18"/>
    <n v="738"/>
    <n v="0.23470053622599038"/>
    <n v="4"/>
  </r>
  <r>
    <s v="ORD_2025_0052"/>
    <x v="12"/>
    <s v="Martinez, Emma"/>
    <s v="Japan"/>
    <s v="Table Lamp"/>
    <s v="Home Decor"/>
    <n v="41"/>
    <n v="41.13"/>
    <n v="1686.33"/>
    <n v="80.12"/>
    <n v="458.21"/>
    <s v="Sea"/>
    <s v="High"/>
    <s v="AS"/>
    <n v="28"/>
    <n v="1148"/>
    <n v="0.27172024455474314"/>
    <n v="7"/>
  </r>
  <r>
    <s v="ORD_2025_0053"/>
    <x v="15"/>
    <s v="Davis, James"/>
    <s v="China"/>
    <s v="Denim Jacket"/>
    <s v="Apparel"/>
    <n v="33"/>
    <n v="55.67"/>
    <n v="1837.11"/>
    <n v="144.32"/>
    <n v="372.79"/>
    <s v="Land"/>
    <s v="Low"/>
    <s v="AS"/>
    <n v="40"/>
    <n v="1320"/>
    <n v="0.2029219807197174"/>
    <n v="11"/>
  </r>
  <r>
    <s v="ORD_2025_0054"/>
    <x v="15"/>
    <s v="Johnson, Daniel"/>
    <s v="Japan"/>
    <s v="Denim Jacket"/>
    <s v="Apparel"/>
    <n v="18"/>
    <n v="50.87"/>
    <n v="915.66"/>
    <n v="49.93"/>
    <n v="145.72999999999999"/>
    <s v="Land"/>
    <s v="Medium"/>
    <s v="AS"/>
    <n v="40"/>
    <n v="720"/>
    <n v="0.15915296070593887"/>
    <n v="11"/>
  </r>
  <r>
    <s v="ORD_2025_0055"/>
    <x v="8"/>
    <s v="Jones, Sophia"/>
    <s v="South Africa"/>
    <s v="Ceramic Vase"/>
    <s v="Home Decor"/>
    <n v="14"/>
    <n v="26.7"/>
    <n v="373.8"/>
    <n v="11.84"/>
    <n v="144.96"/>
    <s v="Air"/>
    <s v="Low"/>
    <s v="AF"/>
    <n v="15.5"/>
    <n v="217"/>
    <n v="0.38780096308186196"/>
    <n v="4"/>
  </r>
  <r>
    <s v="ORD_2025_0056"/>
    <x v="6"/>
    <s v="Garcia, Sarah"/>
    <s v="Usa"/>
    <s v="Leather Wallet"/>
    <s v="Accessories"/>
    <n v="16"/>
    <n v="28.96"/>
    <n v="463.36"/>
    <n v="35.65"/>
    <n v="139.71"/>
    <s v="Land"/>
    <s v="High"/>
    <s v="NA"/>
    <n v="18"/>
    <n v="288"/>
    <n v="0.30151502071823205"/>
    <n v="9"/>
  </r>
  <r>
    <s v="ORD_2025_0057"/>
    <x v="14"/>
    <s v="Davis, James"/>
    <s v="Germany"/>
    <s v="Leather Wallet"/>
    <s v="Accessories"/>
    <n v="47"/>
    <n v="23.03"/>
    <n v="1082.4100000000001"/>
    <n v="50.12"/>
    <n v="186.29"/>
    <s v="Air"/>
    <s v="Low"/>
    <s v="EU"/>
    <n v="18"/>
    <n v="846"/>
    <n v="0.1721066878539555"/>
    <n v="5"/>
  </r>
  <r>
    <s v="ORD_2025_0058"/>
    <x v="14"/>
    <s v="Garcia, Sarah"/>
    <s v="Australia"/>
    <s v="Travel Backpack"/>
    <s v="Accessories"/>
    <n v="18"/>
    <n v="50.03"/>
    <n v="900.54"/>
    <n v="68.44"/>
    <n v="202.1"/>
    <s v="Air"/>
    <s v="Low"/>
    <s v="OC"/>
    <n v="35"/>
    <n v="630"/>
    <n v="0.22442090301374731"/>
    <n v="5"/>
  </r>
  <r>
    <s v="ORD_2025_0059"/>
    <x v="12"/>
    <s v="Williams, Michael"/>
    <s v="Uk"/>
    <s v="Cotton Bedsheet"/>
    <s v="Textiles"/>
    <n v="38"/>
    <n v="32.07"/>
    <n v="1218.6600000000001"/>
    <n v="54.49"/>
    <n v="214.17"/>
    <s v="Air"/>
    <s v="High"/>
    <s v="EU"/>
    <n v="25"/>
    <n v="950"/>
    <n v="0.17574220865540838"/>
    <n v="7"/>
  </r>
  <r>
    <s v="ORD_2025_0060"/>
    <x v="8"/>
    <s v="Hernandez, James"/>
    <s v="Brazil"/>
    <s v="Bluetooth Speaker"/>
    <s v="Electronics"/>
    <n v="23"/>
    <n v="50.96"/>
    <n v="1172.08"/>
    <n v="61"/>
    <n v="375.08"/>
    <s v="Air"/>
    <s v="Medium"/>
    <s v="SA"/>
    <n v="32"/>
    <n v="736"/>
    <n v="0.32001228585079516"/>
    <n v="4"/>
  </r>
  <r>
    <s v="ORD_2025_0061"/>
    <x v="13"/>
    <s v="Williams, Sarah"/>
    <s v="Japan"/>
    <s v="Denim Jacket"/>
    <s v="Apparel"/>
    <n v="46"/>
    <n v="70.599999999999994"/>
    <n v="3247.6"/>
    <n v="166.91"/>
    <n v="1240.69"/>
    <s v="Air"/>
    <s v="Medium"/>
    <s v="AS"/>
    <n v="40"/>
    <n v="1840"/>
    <n v="0.3820328858233773"/>
    <n v="3"/>
  </r>
  <r>
    <s v="ORD_2025_0062"/>
    <x v="7"/>
    <s v="Johnson, Sarah"/>
    <s v="Japan"/>
    <s v="Denim Jacket"/>
    <s v="Apparel"/>
    <n v="15"/>
    <n v="53.36"/>
    <n v="800.4"/>
    <n v="56.29"/>
    <n v="144.11000000000001"/>
    <s v="Land"/>
    <s v="Low"/>
    <s v="AS"/>
    <n v="40"/>
    <n v="600"/>
    <n v="0.18004747626186909"/>
    <n v="8"/>
  </r>
  <r>
    <s v="ORD_2025_0063"/>
    <x v="11"/>
    <s v="Williams, Emily"/>
    <s v="Australia"/>
    <s v="Bluetooth Speaker"/>
    <s v="Electronics"/>
    <n v="42"/>
    <n v="39.840000000000003"/>
    <n v="1673.28"/>
    <n v="132.74"/>
    <n v="196.54"/>
    <s v="Land"/>
    <s v="High"/>
    <s v="OC"/>
    <n v="32"/>
    <n v="1344"/>
    <n v="0.11745792694587875"/>
    <n v="3"/>
  </r>
  <r>
    <s v="ORD_2025_0064"/>
    <x v="8"/>
    <s v="Johnson, Daniel"/>
    <s v="Japan"/>
    <s v="Cotton Bedsheet"/>
    <s v="Textiles"/>
    <n v="31"/>
    <n v="38.26"/>
    <n v="1186.06"/>
    <n v="69.33"/>
    <n v="341.73"/>
    <s v="Sea"/>
    <s v="Low"/>
    <s v="AS"/>
    <n v="25"/>
    <n v="775"/>
    <n v="0.28812201743588017"/>
    <n v="4"/>
  </r>
  <r>
    <s v="ORD_2025_0065"/>
    <x v="3"/>
    <s v="Jones, Sophia"/>
    <s v="France"/>
    <s v="Ceramic Vase"/>
    <s v="Home Decor"/>
    <n v="2"/>
    <n v="23.09"/>
    <n v="46.18"/>
    <n v="2.52"/>
    <n v="12.66"/>
    <s v="Sea"/>
    <s v="Medium"/>
    <s v="EU"/>
    <n v="15.5"/>
    <n v="31"/>
    <n v="0.27414465136422694"/>
    <n v="10"/>
  </r>
  <r>
    <s v="ORD_2025_0066"/>
    <x v="9"/>
    <s v="Hernandez, Emma"/>
    <s v="Uae"/>
    <s v="Bluetooth Speaker"/>
    <s v="Electronics"/>
    <n v="40"/>
    <n v="46.81"/>
    <n v="1872.4"/>
    <n v="43.01"/>
    <n v="549.39"/>
    <s v="Land"/>
    <s v="High"/>
    <s v="AS"/>
    <n v="32"/>
    <n v="1280"/>
    <n v="0.29341486861781668"/>
    <n v="12"/>
  </r>
  <r>
    <s v="ORD_2025_0067"/>
    <x v="13"/>
    <s v="Brown, Daniel"/>
    <s v="China"/>
    <s v="Bluetooth Speaker"/>
    <s v="Electronics"/>
    <n v="43"/>
    <n v="57.01"/>
    <n v="2451.4299999999998"/>
    <n v="115.04"/>
    <n v="960.39"/>
    <s v="Sea"/>
    <s v="Low"/>
    <s v="AS"/>
    <n v="32"/>
    <n v="1376"/>
    <n v="0.39176725421488684"/>
    <n v="3"/>
  </r>
  <r>
    <s v="ORD_2025_0068"/>
    <x v="11"/>
    <s v="Martinez, Daniel"/>
    <s v="Mexico"/>
    <s v="LED Lamp"/>
    <s v="Electronics"/>
    <n v="15"/>
    <n v="22.23"/>
    <n v="333.45"/>
    <n v="16.89"/>
    <n v="125.31"/>
    <s v="Air"/>
    <s v="Medium"/>
    <s v="NA"/>
    <n v="12.75"/>
    <n v="191.25"/>
    <n v="0.37579847053531268"/>
    <n v="3"/>
  </r>
  <r>
    <s v="ORD_2025_0069"/>
    <x v="7"/>
    <s v="Jones, Michael"/>
    <s v="France"/>
    <s v="Ceramic Vase"/>
    <s v="Home Decor"/>
    <n v="15"/>
    <n v="19.23"/>
    <n v="288.45"/>
    <n v="20.22"/>
    <n v="35.729999999999997"/>
    <s v="Land"/>
    <s v="Low"/>
    <s v="EU"/>
    <n v="15.5"/>
    <n v="232.5"/>
    <n v="0.12386895475819032"/>
    <n v="8"/>
  </r>
  <r>
    <s v="ORD_2025_0070"/>
    <x v="4"/>
    <s v="Hernandez, Sophia"/>
    <s v="Italy"/>
    <s v="Table Lamp"/>
    <s v="Home Decor"/>
    <n v="34"/>
    <n v="45.54"/>
    <n v="1548.36"/>
    <n v="36.76"/>
    <n v="559.6"/>
    <s v="Land"/>
    <s v="Low"/>
    <s v="EU"/>
    <n v="28"/>
    <n v="952"/>
    <n v="0.36141465808984996"/>
    <n v="6"/>
  </r>
  <r>
    <s v="ORD_2025_0071"/>
    <x v="7"/>
    <s v="Garcia, Michael"/>
    <s v="France"/>
    <s v="Denim Jacket"/>
    <s v="Apparel"/>
    <n v="33"/>
    <n v="63.88"/>
    <n v="2108.04"/>
    <n v="111.7"/>
    <n v="676.34"/>
    <s v="Land"/>
    <s v="High"/>
    <s v="EU"/>
    <n v="40"/>
    <n v="1320"/>
    <n v="0.32083831426348647"/>
    <n v="8"/>
  </r>
  <r>
    <s v="ORD_2025_0072"/>
    <x v="4"/>
    <s v="Johnson, Sarah"/>
    <s v="Germany"/>
    <s v="Leather Wallet"/>
    <s v="Accessories"/>
    <n v="39"/>
    <n v="25.38"/>
    <n v="989.82"/>
    <n v="50.82"/>
    <n v="237"/>
    <s v="Sea"/>
    <s v="Medium"/>
    <s v="EU"/>
    <n v="18"/>
    <n v="702"/>
    <n v="0.23943747348002667"/>
    <n v="6"/>
  </r>
  <r>
    <s v="ORD_2025_0073"/>
    <x v="4"/>
    <s v="Smith, David"/>
    <s v="India"/>
    <s v="Cotton Bedsheet"/>
    <s v="Textiles"/>
    <n v="9"/>
    <n v="38.979999999999997"/>
    <n v="350.82"/>
    <n v="25.56"/>
    <n v="100.26"/>
    <s v="Land"/>
    <s v="Low"/>
    <s v="AS"/>
    <n v="25"/>
    <n v="225"/>
    <n v="0.28578758337609034"/>
    <n v="6"/>
  </r>
  <r>
    <s v="ORD_2025_0074"/>
    <x v="3"/>
    <s v="Miller, Sophia"/>
    <s v="South Africa"/>
    <s v="Wireless Mouse"/>
    <s v="Electronics"/>
    <n v="14"/>
    <n v="35.86"/>
    <n v="502.04"/>
    <n v="40.130000000000003"/>
    <n v="181.91"/>
    <s v="Air"/>
    <s v="High"/>
    <s v="AF"/>
    <n v="20"/>
    <n v="280"/>
    <n v="0.36234164608397734"/>
    <n v="10"/>
  </r>
  <r>
    <s v="ORD_2025_0075"/>
    <x v="16"/>
    <s v="Garcia, Laura"/>
    <s v="Japan"/>
    <s v="Ceramic Vase"/>
    <s v="Home Decor"/>
    <n v="49"/>
    <n v="21.37"/>
    <n v="1047.1300000000001"/>
    <n v="65.98"/>
    <n v="221.65"/>
    <s v="Air"/>
    <s v="High"/>
    <s v="AS"/>
    <n v="15.5"/>
    <n v="759.5"/>
    <n v="0.21167381318460934"/>
    <n v="1"/>
  </r>
  <r>
    <s v="ORD_2025_0076"/>
    <x v="13"/>
    <s v="Davis, Michael"/>
    <s v="Mexico"/>
    <s v="Leather Wallet"/>
    <s v="Accessories"/>
    <n v="42"/>
    <n v="24.57"/>
    <n v="1031.94"/>
    <n v="56.45"/>
    <n v="219.49"/>
    <s v="Sea"/>
    <s v="Low"/>
    <s v="NA"/>
    <n v="18"/>
    <n v="756"/>
    <n v="0.2126964746012365"/>
    <n v="3"/>
  </r>
  <r>
    <s v="ORD_2025_0077"/>
    <x v="15"/>
    <s v="Davis, Michael"/>
    <s v="Singapore"/>
    <s v="Leather Wallet"/>
    <s v="Accessories"/>
    <n v="42"/>
    <n v="26.39"/>
    <n v="1108.3800000000001"/>
    <n v="44.56"/>
    <n v="307.82"/>
    <s v="Sea"/>
    <s v="Low"/>
    <s v="AS"/>
    <n v="18"/>
    <n v="756"/>
    <n v="0.27772063732654861"/>
    <n v="11"/>
  </r>
  <r>
    <s v="ORD_2025_0078"/>
    <x v="15"/>
    <s v="Garcia, Laura"/>
    <s v="Canada"/>
    <s v="Wireless Mouse"/>
    <s v="Electronics"/>
    <n v="50"/>
    <n v="29.73"/>
    <n v="1486.5"/>
    <n v="96.77"/>
    <n v="389.73"/>
    <s v="Air"/>
    <s v="Low"/>
    <s v="NA"/>
    <n v="20"/>
    <n v="1000"/>
    <n v="0.26217961654894045"/>
    <n v="11"/>
  </r>
  <r>
    <s v="ORD_2025_0079"/>
    <x v="13"/>
    <s v="Miller, Sophia"/>
    <s v="China"/>
    <s v="Ceramic Vase"/>
    <s v="Home Decor"/>
    <n v="39"/>
    <n v="20.56"/>
    <n v="801.84"/>
    <n v="43.55"/>
    <n v="153.79"/>
    <s v="Land"/>
    <s v="Low"/>
    <s v="AS"/>
    <n v="15.5"/>
    <n v="604.5"/>
    <n v="0.19179636835278857"/>
    <n v="3"/>
  </r>
  <r>
    <s v="ORD_2025_0080"/>
    <x v="16"/>
    <s v="Brown, Laura"/>
    <s v="China"/>
    <s v="Ceramic Vase"/>
    <s v="Home Decor"/>
    <n v="48"/>
    <n v="24.36"/>
    <n v="1169.28"/>
    <n v="81.599999999999994"/>
    <n v="343.68"/>
    <s v="Air"/>
    <s v="High"/>
    <s v="AS"/>
    <n v="15.5"/>
    <n v="744"/>
    <n v="0.29392446633825947"/>
    <n v="1"/>
  </r>
  <r>
    <s v="ORD_2025_0081"/>
    <x v="6"/>
    <s v="Davis, Emma"/>
    <s v="Germany"/>
    <s v="Glass Bowl Set"/>
    <s v="Home Decor"/>
    <n v="40"/>
    <n v="27.95"/>
    <n v="1118"/>
    <n v="37.590000000000003"/>
    <n v="180.41"/>
    <s v="Air"/>
    <s v="High"/>
    <s v="EU"/>
    <n v="22.5"/>
    <n v="900"/>
    <n v="0.16136851520572451"/>
    <n v="9"/>
  </r>
  <r>
    <s v="ORD_2025_0082"/>
    <x v="1"/>
    <s v="Smith, Michael"/>
    <s v="India"/>
    <s v="Table Lamp"/>
    <s v="Home Decor"/>
    <n v="21"/>
    <n v="40.19"/>
    <n v="843.99"/>
    <n v="32.4"/>
    <n v="223.59"/>
    <s v="Sea"/>
    <s v="Medium"/>
    <s v="AS"/>
    <n v="28"/>
    <n v="588"/>
    <n v="0.26492020047630899"/>
    <n v="2"/>
  </r>
  <r>
    <s v="ORD_2025_0083"/>
    <x v="4"/>
    <s v="Davis, David"/>
    <s v="Singapore"/>
    <s v="LED Lamp"/>
    <s v="Electronics"/>
    <n v="26"/>
    <n v="16.670000000000002"/>
    <n v="433.42"/>
    <n v="32.79"/>
    <n v="69.13"/>
    <s v="Air"/>
    <s v="Medium"/>
    <s v="AS"/>
    <n v="12.75"/>
    <n v="331.5"/>
    <n v="0.15949886945687783"/>
    <n v="6"/>
  </r>
  <r>
    <s v="ORD_2025_0084"/>
    <x v="15"/>
    <s v="Hernandez, Laura"/>
    <s v="Brazil"/>
    <s v="Bluetooth Speaker"/>
    <s v="Electronics"/>
    <n v="28"/>
    <n v="39.85"/>
    <n v="1115.8"/>
    <n v="43.87"/>
    <n v="175.93"/>
    <s v="Air"/>
    <s v="Low"/>
    <s v="SA"/>
    <n v="32"/>
    <n v="896"/>
    <n v="0.15767162573937982"/>
    <n v="11"/>
  </r>
  <r>
    <s v="ORD_2025_0085"/>
    <x v="15"/>
    <s v="Hernandez, Laura"/>
    <s v="Mexico"/>
    <s v="LED Lamp"/>
    <s v="Electronics"/>
    <n v="47"/>
    <n v="15.97"/>
    <n v="750.59"/>
    <n v="48.55"/>
    <n v="102.79"/>
    <s v="Air"/>
    <s v="High"/>
    <s v="NA"/>
    <n v="12.75"/>
    <n v="599.25"/>
    <n v="0.13694560279246992"/>
    <n v="11"/>
  </r>
  <r>
    <s v="ORD_2025_0086"/>
    <x v="15"/>
    <s v="Smith, Daniel"/>
    <s v="China"/>
    <s v="Denim Jacket"/>
    <s v="Apparel"/>
    <n v="28"/>
    <n v="53.6"/>
    <n v="1500.8"/>
    <n v="68.55"/>
    <n v="312.25"/>
    <s v="Sea"/>
    <s v="Medium"/>
    <s v="AS"/>
    <n v="40"/>
    <n v="1120"/>
    <n v="0.20805570362473347"/>
    <n v="11"/>
  </r>
  <r>
    <s v="ORD_2025_0087"/>
    <x v="9"/>
    <s v="Garcia, Sophia"/>
    <s v="India"/>
    <s v="Table Lamp"/>
    <s v="Home Decor"/>
    <n v="37"/>
    <n v="40.049999999999997"/>
    <n v="1481.85"/>
    <n v="45.6"/>
    <n v="400.25"/>
    <s v="Land"/>
    <s v="High"/>
    <s v="AS"/>
    <n v="28"/>
    <n v="1036"/>
    <n v="0.2701015622363937"/>
    <n v="12"/>
  </r>
  <r>
    <s v="ORD_2025_0088"/>
    <x v="1"/>
    <s v="Brown, Sarah"/>
    <s v="Italy"/>
    <s v="Travel Backpack"/>
    <s v="Accessories"/>
    <n v="45"/>
    <n v="43.74"/>
    <n v="1968.3"/>
    <n v="80.55"/>
    <n v="312.75"/>
    <s v="Sea"/>
    <s v="High"/>
    <s v="EU"/>
    <n v="35"/>
    <n v="1575"/>
    <n v="0.15889346136259716"/>
    <n v="2"/>
  </r>
  <r>
    <s v="ORD_2025_0089"/>
    <x v="13"/>
    <s v="Davis, Emily"/>
    <s v="Uk"/>
    <s v="Ceramic Vase"/>
    <s v="Home Decor"/>
    <n v="9"/>
    <n v="24.63"/>
    <n v="221.67"/>
    <n v="13.53"/>
    <n v="68.64"/>
    <s v="Sea"/>
    <s v="High"/>
    <s v="EU"/>
    <n v="15.5"/>
    <n v="139.5"/>
    <n v="0.30964947895520373"/>
    <n v="3"/>
  </r>
  <r>
    <s v="ORD_2025_0090"/>
    <x v="13"/>
    <s v="Johnson, Emma"/>
    <s v="South Africa"/>
    <s v="Ceramic Vase"/>
    <s v="Home Decor"/>
    <n v="6"/>
    <n v="21.79"/>
    <n v="130.74"/>
    <n v="7.75"/>
    <n v="29.99"/>
    <s v="Sea"/>
    <s v="High"/>
    <s v="AF"/>
    <n v="15.5"/>
    <n v="93"/>
    <n v="0.22938656876242922"/>
    <n v="3"/>
  </r>
  <r>
    <s v="ORD_2025_0091"/>
    <x v="12"/>
    <s v="Johnson, James"/>
    <s v="France"/>
    <s v="Travel Backpack"/>
    <s v="Accessories"/>
    <n v="23"/>
    <n v="58.43"/>
    <n v="1343.89"/>
    <n v="38.729999999999997"/>
    <n v="500.16"/>
    <s v="Sea"/>
    <s v="Low"/>
    <s v="EU"/>
    <n v="35"/>
    <n v="805"/>
    <n v="0.37217331775666163"/>
    <n v="7"/>
  </r>
  <r>
    <s v="ORD_2025_0092"/>
    <x v="6"/>
    <s v="Martinez, Sophia"/>
    <s v="Singapore"/>
    <s v="Denim Jacket"/>
    <s v="Apparel"/>
    <n v="19"/>
    <n v="67.06"/>
    <n v="1274.1400000000001"/>
    <n v="85.73"/>
    <n v="428.41"/>
    <s v="Land"/>
    <s v="Medium"/>
    <s v="AS"/>
    <n v="40"/>
    <n v="760"/>
    <n v="0.33623463669612441"/>
    <n v="9"/>
  </r>
  <r>
    <s v="ORD_2025_0093"/>
    <x v="12"/>
    <s v="Davis, Emily"/>
    <s v="Italy"/>
    <s v="Leather Wallet"/>
    <s v="Accessories"/>
    <n v="4"/>
    <n v="25.13"/>
    <n v="100.52"/>
    <n v="5.6"/>
    <n v="22.92"/>
    <s v="Sea"/>
    <s v="High"/>
    <s v="EU"/>
    <n v="18"/>
    <n v="72"/>
    <n v="0.22801432550736175"/>
    <n v="7"/>
  </r>
  <r>
    <s v="ORD_2025_0094"/>
    <x v="8"/>
    <s v="Miller, Sarah"/>
    <s v="Italy"/>
    <s v="Ceramic Vase"/>
    <s v="Home Decor"/>
    <n v="26"/>
    <n v="19.34"/>
    <n v="502.84"/>
    <n v="26.51"/>
    <n v="73.33"/>
    <s v="Sea"/>
    <s v="Low"/>
    <s v="EU"/>
    <n v="15.5"/>
    <n v="403"/>
    <n v="0.14583167607986636"/>
    <n v="4"/>
  </r>
  <r>
    <s v="ORD_2025_0095"/>
    <x v="6"/>
    <s v="Williams, James"/>
    <s v="South Africa"/>
    <s v="Wireless Mouse"/>
    <s v="Electronics"/>
    <n v="26"/>
    <n v="35.81"/>
    <n v="931.06"/>
    <n v="61.06"/>
    <n v="350"/>
    <s v="Land"/>
    <s v="Low"/>
    <s v="AF"/>
    <n v="20"/>
    <n v="520"/>
    <n v="0.37591562305329412"/>
    <n v="9"/>
  </r>
  <r>
    <s v="ORD_2025_0096"/>
    <x v="13"/>
    <s v="Garcia, Emma"/>
    <s v="Singapore"/>
    <s v="Glass Bowl Set"/>
    <s v="Home Decor"/>
    <n v="42"/>
    <n v="39.950000000000003"/>
    <n v="1677.9"/>
    <n v="93.95"/>
    <n v="638.95000000000005"/>
    <s v="Sea"/>
    <s v="Medium"/>
    <s v="AS"/>
    <n v="22.5"/>
    <n v="945"/>
    <n v="0.38080338518386081"/>
    <n v="3"/>
  </r>
  <r>
    <s v="ORD_2025_0097"/>
    <x v="12"/>
    <s v="Davis, David"/>
    <s v="Uae"/>
    <s v="Travel Backpack"/>
    <s v="Accessories"/>
    <n v="38"/>
    <n v="49.98"/>
    <n v="1899.24"/>
    <n v="112.91"/>
    <n v="456.33"/>
    <s v="Air"/>
    <s v="High"/>
    <s v="AS"/>
    <n v="35"/>
    <n v="1330"/>
    <n v="0.24026979212737726"/>
    <n v="7"/>
  </r>
  <r>
    <s v="ORD_2025_0098"/>
    <x v="7"/>
    <s v="Smith, Michael"/>
    <s v="Japan"/>
    <s v="Table Lamp"/>
    <s v="Home Decor"/>
    <n v="1"/>
    <n v="45.84"/>
    <n v="45.84"/>
    <n v="1.26"/>
    <n v="16.579999999999998"/>
    <s v="Air"/>
    <s v="Low"/>
    <s v="AS"/>
    <n v="28"/>
    <n v="28"/>
    <n v="0.3616928446771378"/>
    <n v="8"/>
  </r>
  <r>
    <s v="ORD_2025_0099"/>
    <x v="8"/>
    <s v="Davis, Emma"/>
    <s v="Australia"/>
    <s v="Leather Wallet"/>
    <s v="Accessories"/>
    <n v="38"/>
    <n v="26.34"/>
    <n v="1000.92"/>
    <n v="47.88"/>
    <n v="269.04000000000002"/>
    <s v="Land"/>
    <s v="Medium"/>
    <s v="OC"/>
    <n v="18"/>
    <n v="684"/>
    <n v="0.26879271070615035"/>
    <n v="4"/>
  </r>
  <r>
    <s v="ORD_2025_0100"/>
    <x v="3"/>
    <s v="Martinez, Daniel"/>
    <s v="France"/>
    <s v="Cotton Bedsheet"/>
    <s v="Textiles"/>
    <n v="30"/>
    <n v="36.43"/>
    <n v="1092.9000000000001"/>
    <n v="61.97"/>
    <n v="280.93"/>
    <s v="Air"/>
    <s v="Medium"/>
    <s v="EU"/>
    <n v="25"/>
    <n v="750"/>
    <n v="0.25705005032482386"/>
    <n v="10"/>
  </r>
  <r>
    <s v="ORD_2025_0101"/>
    <x v="4"/>
    <s v="Hernandez, Laura"/>
    <s v="Italy"/>
    <s v="LED Lamp"/>
    <s v="Electronics"/>
    <n v="9"/>
    <n v="22.27"/>
    <n v="200.43"/>
    <n v="13.21"/>
    <n v="72.47"/>
    <s v="Sea"/>
    <s v="Medium"/>
    <s v="EU"/>
    <n v="12.75"/>
    <n v="114.75"/>
    <n v="0.36157261886943071"/>
    <n v="6"/>
  </r>
  <r>
    <s v="ORD_2025_0102"/>
    <x v="6"/>
    <s v="Jones, Laura"/>
    <s v="Australia"/>
    <s v="Ceramic Vase"/>
    <s v="Home Decor"/>
    <n v="26"/>
    <n v="27.65"/>
    <n v="718.9"/>
    <n v="46.25"/>
    <n v="269.64999999999998"/>
    <s v="Sea"/>
    <s v="High"/>
    <s v="OC"/>
    <n v="15.5"/>
    <n v="403"/>
    <n v="0.37508693837807761"/>
    <n v="9"/>
  </r>
  <r>
    <s v="ORD_2025_0103"/>
    <x v="12"/>
    <s v="Davis, Emma"/>
    <s v="Uk"/>
    <s v="Ceramic Vase"/>
    <s v="Home Decor"/>
    <n v="23"/>
    <n v="22.45"/>
    <n v="516.35"/>
    <n v="15.68"/>
    <n v="144.16999999999999"/>
    <s v="Air"/>
    <s v="High"/>
    <s v="EU"/>
    <n v="15.5"/>
    <n v="356.5"/>
    <n v="0.2792098382879829"/>
    <n v="7"/>
  </r>
  <r>
    <s v="ORD_2025_0104"/>
    <x v="7"/>
    <s v="Garcia, Emily"/>
    <s v="Uk"/>
    <s v="Ceramic Vase"/>
    <s v="Home Decor"/>
    <n v="30"/>
    <n v="21.93"/>
    <n v="657.9"/>
    <n v="24.66"/>
    <n v="168.24"/>
    <s v="Sea"/>
    <s v="Low"/>
    <s v="EU"/>
    <n v="15.5"/>
    <n v="465"/>
    <n v="0.25572275421796625"/>
    <n v="8"/>
  </r>
  <r>
    <s v="ORD_2025_0105"/>
    <x v="6"/>
    <s v="Johnson, David"/>
    <s v="Singapore"/>
    <s v="LED Lamp"/>
    <s v="Electronics"/>
    <n v="43"/>
    <n v="21.92"/>
    <n v="942.56"/>
    <n v="51.15"/>
    <n v="343.16"/>
    <s v="Land"/>
    <s v="High"/>
    <s v="AS"/>
    <n v="12.75"/>
    <n v="548.25"/>
    <n v="0.36407231369886273"/>
    <n v="9"/>
  </r>
  <r>
    <s v="ORD_2025_0106"/>
    <x v="1"/>
    <s v="Martinez, Laura"/>
    <s v="Brazil"/>
    <s v="Denim Jacket"/>
    <s v="Apparel"/>
    <n v="3"/>
    <n v="56.21"/>
    <n v="168.63"/>
    <n v="7.56"/>
    <n v="41.07"/>
    <s v="Air"/>
    <s v="Low"/>
    <s v="SA"/>
    <n v="40"/>
    <n v="120"/>
    <n v="0.24355096957836686"/>
    <n v="2"/>
  </r>
  <r>
    <s v="ORD_2025_0107"/>
    <x v="2"/>
    <s v="Smith, Emily"/>
    <s v="Italy"/>
    <s v="LED Lamp"/>
    <s v="Electronics"/>
    <n v="33"/>
    <n v="15.44"/>
    <n v="509.52"/>
    <n v="19.7"/>
    <n v="69.069999999999993"/>
    <s v="Land"/>
    <s v="High"/>
    <s v="EU"/>
    <n v="12.75"/>
    <n v="420.75"/>
    <n v="0.13555895745014915"/>
    <n v="4"/>
  </r>
  <r>
    <s v="ORD_2025_0108"/>
    <x v="6"/>
    <s v="Hernandez, Sophia"/>
    <s v="South Africa"/>
    <s v="Ceramic Vase"/>
    <s v="Home Decor"/>
    <n v="50"/>
    <n v="23.02"/>
    <n v="1151"/>
    <n v="69.3"/>
    <n v="306.7"/>
    <s v="Sea"/>
    <s v="Medium"/>
    <s v="AF"/>
    <n v="15.5"/>
    <n v="775"/>
    <n v="0.26646394439617721"/>
    <n v="9"/>
  </r>
  <r>
    <s v="ORD_2025_0109"/>
    <x v="11"/>
    <s v="Miller, Emily"/>
    <s v="Brazil"/>
    <s v="LED Lamp"/>
    <s v="Electronics"/>
    <n v="8"/>
    <n v="17.010000000000002"/>
    <n v="136.08000000000001"/>
    <n v="8.84"/>
    <n v="25.24"/>
    <s v="Land"/>
    <s v="High"/>
    <s v="SA"/>
    <n v="12.75"/>
    <n v="102"/>
    <n v="0.18547912992357435"/>
    <n v="3"/>
  </r>
  <r>
    <s v="ORD_2025_0110"/>
    <x v="3"/>
    <s v="Davis, Emma"/>
    <s v="France"/>
    <s v="Leather Wallet"/>
    <s v="Accessories"/>
    <n v="16"/>
    <n v="26.47"/>
    <n v="423.52"/>
    <n v="15.87"/>
    <n v="119.65"/>
    <s v="Sea"/>
    <s v="Low"/>
    <s v="EU"/>
    <n v="18"/>
    <n v="288"/>
    <n v="0.28251322251605593"/>
    <n v="10"/>
  </r>
  <r>
    <s v="ORD_2025_0111"/>
    <x v="6"/>
    <s v="Jones, Michael"/>
    <s v="Brazil"/>
    <s v="Bluetooth Speaker"/>
    <s v="Electronics"/>
    <n v="32"/>
    <n v="43.18"/>
    <n v="1381.76"/>
    <n v="88.54"/>
    <n v="269.22000000000003"/>
    <s v="Sea"/>
    <s v="High"/>
    <s v="SA"/>
    <n v="32"/>
    <n v="1024"/>
    <n v="0.19483846688281614"/>
    <n v="9"/>
  </r>
  <r>
    <s v="ORD_2025_0112"/>
    <x v="4"/>
    <s v="Smith, Sophia"/>
    <s v="Australia"/>
    <s v="Ceramic Vase"/>
    <s v="Home Decor"/>
    <n v="29"/>
    <n v="18.850000000000001"/>
    <n v="546.65"/>
    <n v="13.22"/>
    <n v="83.93"/>
    <s v="Land"/>
    <s v="High"/>
    <s v="OC"/>
    <n v="15.5"/>
    <n v="449.5"/>
    <n v="0.153535168755145"/>
    <n v="6"/>
  </r>
  <r>
    <s v="ORD_2025_0113"/>
    <x v="0"/>
    <s v="Martinez, Emily"/>
    <s v="France"/>
    <s v="Denim Jacket"/>
    <s v="Apparel"/>
    <n v="16"/>
    <n v="64.400000000000006"/>
    <n v="1030.4000000000001"/>
    <n v="61.72"/>
    <n v="328.68"/>
    <s v="Sea"/>
    <s v="Medium"/>
    <s v="EU"/>
    <n v="40"/>
    <n v="640"/>
    <n v="0.31898291925465838"/>
    <n v="1"/>
  </r>
  <r>
    <s v="ORD_2025_0114"/>
    <x v="15"/>
    <s v="Hernandez, Daniel"/>
    <s v="Singapore"/>
    <s v="Ceramic Vase"/>
    <s v="Home Decor"/>
    <n v="15"/>
    <n v="19.53"/>
    <n v="292.95"/>
    <n v="7.15"/>
    <n v="53.3"/>
    <s v="Air"/>
    <s v="Medium"/>
    <s v="AS"/>
    <n v="15.5"/>
    <n v="232.5"/>
    <n v="0.18194231097456903"/>
    <n v="11"/>
  </r>
  <r>
    <s v="ORD_2025_0115"/>
    <x v="12"/>
    <s v="Hernandez, John"/>
    <s v="Germany"/>
    <s v="Wireless Mouse"/>
    <s v="Electronics"/>
    <n v="36"/>
    <n v="26.05"/>
    <n v="937.8"/>
    <n v="32.799999999999997"/>
    <n v="185"/>
    <s v="Land"/>
    <s v="High"/>
    <s v="EU"/>
    <n v="20"/>
    <n v="720"/>
    <n v="0.19727020686713587"/>
    <n v="7"/>
  </r>
  <r>
    <s v="ORD_2025_0116"/>
    <x v="10"/>
    <s v="Miller, John"/>
    <s v="South Africa"/>
    <s v="Bluetooth Speaker"/>
    <s v="Electronics"/>
    <n v="26"/>
    <n v="47.52"/>
    <n v="1235.52"/>
    <n v="31.41"/>
    <n v="372.11"/>
    <s v="Sea"/>
    <s v="Low"/>
    <s v="AF"/>
    <n v="32"/>
    <n v="832"/>
    <n v="0.30117683242683246"/>
    <n v="2"/>
  </r>
  <r>
    <s v="ORD_2025_0117"/>
    <x v="6"/>
    <s v="Garcia, Emma"/>
    <s v="France"/>
    <s v="Leather Wallet"/>
    <s v="Accessories"/>
    <n v="38"/>
    <n v="26.38"/>
    <n v="1002.44"/>
    <n v="33.049999999999997"/>
    <n v="285.39"/>
    <s v="Sea"/>
    <s v="Low"/>
    <s v="EU"/>
    <n v="18"/>
    <n v="684"/>
    <n v="0.28469534336219621"/>
    <n v="9"/>
  </r>
  <r>
    <s v="ORD_2025_0118"/>
    <x v="8"/>
    <s v="Brown, Sarah"/>
    <s v="Japan"/>
    <s v="LED Lamp"/>
    <s v="Electronics"/>
    <n v="7"/>
    <n v="17.66"/>
    <n v="123.62"/>
    <n v="6.95"/>
    <n v="27.42"/>
    <s v="Land"/>
    <s v="Low"/>
    <s v="AS"/>
    <n v="12.75"/>
    <n v="89.25"/>
    <n v="0.22180876880763631"/>
    <n v="4"/>
  </r>
  <r>
    <s v="ORD_2025_0119"/>
    <x v="15"/>
    <s v="Martinez, Emma"/>
    <s v="Australia"/>
    <s v="Travel Backpack"/>
    <s v="Accessories"/>
    <n v="26"/>
    <n v="51.5"/>
    <n v="1339"/>
    <n v="92.09"/>
    <n v="336.91"/>
    <s v="Sea"/>
    <s v="Medium"/>
    <s v="OC"/>
    <n v="35"/>
    <n v="910"/>
    <n v="0.25161314413741598"/>
    <n v="11"/>
  </r>
  <r>
    <s v="ORD_2025_0120"/>
    <x v="8"/>
    <s v="Hernandez, David"/>
    <s v="Usa"/>
    <s v="Ceramic Vase"/>
    <s v="Home Decor"/>
    <n v="27"/>
    <n v="25"/>
    <n v="675"/>
    <n v="15.49"/>
    <n v="241.01"/>
    <s v="Sea"/>
    <s v="Medium"/>
    <s v="NA"/>
    <n v="15.5"/>
    <n v="418.5"/>
    <n v="0.35705185185185184"/>
    <n v="4"/>
  </r>
  <r>
    <s v="ORD_2025_0121"/>
    <x v="12"/>
    <s v="Johnson, Michael"/>
    <s v="South Africa"/>
    <s v="LED Lamp"/>
    <s v="Electronics"/>
    <n v="4"/>
    <n v="19"/>
    <n v="76"/>
    <n v="3.78"/>
    <n v="21.22"/>
    <s v="Sea"/>
    <s v="High"/>
    <s v="AF"/>
    <n v="12.75"/>
    <n v="51"/>
    <n v="0.27921052631578946"/>
    <n v="7"/>
  </r>
  <r>
    <s v="ORD_2025_0122"/>
    <x v="14"/>
    <s v="Hernandez, Laura"/>
    <s v="Canada"/>
    <s v="Ceramic Vase"/>
    <s v="Home Decor"/>
    <n v="24"/>
    <n v="26.63"/>
    <n v="639.12"/>
    <n v="31.92"/>
    <n v="235.2"/>
    <s v="Air"/>
    <s v="High"/>
    <s v="NA"/>
    <n v="15.5"/>
    <n v="372"/>
    <n v="0.36800600826135937"/>
    <n v="5"/>
  </r>
  <r>
    <s v="ORD_2025_0123"/>
    <x v="0"/>
    <s v="Smith, Sarah"/>
    <s v="Singapore"/>
    <s v="Cotton Bedsheet"/>
    <s v="Textiles"/>
    <n v="26"/>
    <n v="43.14"/>
    <n v="1121.6400000000001"/>
    <n v="48.08"/>
    <n v="423.56"/>
    <s v="Land"/>
    <s v="Medium"/>
    <s v="AS"/>
    <n v="25"/>
    <n v="650"/>
    <n v="0.37762561962840124"/>
    <n v="1"/>
  </r>
  <r>
    <s v="ORD_2025_0124"/>
    <x v="9"/>
    <s v="Davis, Emily"/>
    <s v="Canada"/>
    <s v="Cotton Bedsheet"/>
    <s v="Textiles"/>
    <n v="39"/>
    <n v="30.01"/>
    <n v="1170.3900000000001"/>
    <n v="60.43"/>
    <n v="134.96"/>
    <s v="Sea"/>
    <s v="Low"/>
    <s v="NA"/>
    <n v="25"/>
    <n v="975"/>
    <n v="0.11531199002042054"/>
    <n v="12"/>
  </r>
  <r>
    <s v="ORD_2025_0125"/>
    <x v="9"/>
    <s v="Martinez, John"/>
    <s v="Germany"/>
    <s v="Glass Bowl Set"/>
    <s v="Home Decor"/>
    <n v="5"/>
    <n v="31.31"/>
    <n v="156.55000000000001"/>
    <n v="4.04"/>
    <n v="40.01"/>
    <s v="Air"/>
    <s v="High"/>
    <s v="EU"/>
    <n v="22.5"/>
    <n v="112.5"/>
    <n v="0.25557329926541039"/>
    <n v="12"/>
  </r>
  <r>
    <s v="ORD_2025_0126"/>
    <x v="7"/>
    <s v="Davis, Michael"/>
    <s v="Usa"/>
    <s v="Table Lamp"/>
    <s v="Home Decor"/>
    <n v="42"/>
    <n v="36.950000000000003"/>
    <n v="1551.9"/>
    <n v="74.260000000000005"/>
    <n v="301.64"/>
    <s v="Sea"/>
    <s v="Medium"/>
    <s v="NA"/>
    <n v="28"/>
    <n v="1176"/>
    <n v="0.19436819382692183"/>
    <n v="8"/>
  </r>
  <r>
    <s v="ORD_2025_0127"/>
    <x v="0"/>
    <s v="Garcia, David"/>
    <s v="Singapore"/>
    <s v="Denim Jacket"/>
    <s v="Apparel"/>
    <n v="36"/>
    <n v="57.37"/>
    <n v="2065.3200000000002"/>
    <n v="94.34"/>
    <n v="530.98"/>
    <s v="Air"/>
    <s v="Low"/>
    <s v="AS"/>
    <n v="40"/>
    <n v="1440"/>
    <n v="0.25709333178393662"/>
    <n v="1"/>
  </r>
  <r>
    <s v="ORD_2025_0128"/>
    <x v="15"/>
    <s v="Miller, Daniel"/>
    <s v="Uae"/>
    <s v="Table Lamp"/>
    <s v="Home Decor"/>
    <n v="13"/>
    <n v="40.18"/>
    <n v="522.34"/>
    <n v="37.369999999999997"/>
    <n v="120.97"/>
    <s v="Sea"/>
    <s v="High"/>
    <s v="AS"/>
    <n v="28"/>
    <n v="364"/>
    <n v="0.23159244936248419"/>
    <n v="11"/>
  </r>
  <r>
    <s v="ORD_2025_0129"/>
    <x v="8"/>
    <s v="Miller, Sarah"/>
    <s v="Japan"/>
    <s v="Bluetooth Speaker"/>
    <s v="Electronics"/>
    <n v="37"/>
    <n v="39.299999999999997"/>
    <n v="1454.1"/>
    <n v="67.08"/>
    <n v="203.02"/>
    <s v="Air"/>
    <s v="Low"/>
    <s v="AS"/>
    <n v="32"/>
    <n v="1184"/>
    <n v="0.13961900832129842"/>
    <n v="4"/>
  </r>
  <r>
    <s v="ORD_2025_0130"/>
    <x v="8"/>
    <s v="Hernandez, Laura"/>
    <s v="Canada"/>
    <s v="Bluetooth Speaker"/>
    <s v="Electronics"/>
    <n v="17"/>
    <n v="43.28"/>
    <n v="735.76"/>
    <n v="50.96"/>
    <n v="140.80000000000001"/>
    <s v="Sea"/>
    <s v="Medium"/>
    <s v="NA"/>
    <n v="32"/>
    <n v="544"/>
    <n v="0.19136675002718279"/>
    <n v="4"/>
  </r>
  <r>
    <s v="ORD_2025_0131"/>
    <x v="3"/>
    <s v="Smith, Emily"/>
    <s v="Uae"/>
    <s v="Travel Backpack"/>
    <s v="Accessories"/>
    <n v="22"/>
    <n v="62.79"/>
    <n v="1381.38"/>
    <n v="75.84"/>
    <n v="535.54"/>
    <s v="Air"/>
    <s v="High"/>
    <s v="AS"/>
    <n v="35"/>
    <n v="770"/>
    <n v="0.38768477898912673"/>
    <n v="10"/>
  </r>
  <r>
    <s v="ORD_2025_0132"/>
    <x v="8"/>
    <s v="Hernandez, James"/>
    <s v="Germany"/>
    <s v="Denim Jacket"/>
    <s v="Apparel"/>
    <n v="23"/>
    <n v="56.76"/>
    <n v="1305.48"/>
    <n v="62.93"/>
    <n v="322.55"/>
    <s v="Air"/>
    <s v="High"/>
    <s v="EU"/>
    <n v="40"/>
    <n v="920"/>
    <n v="0.24707387321138585"/>
    <n v="4"/>
  </r>
  <r>
    <s v="ORD_2025_0133"/>
    <x v="12"/>
    <s v="Davis, John"/>
    <s v="Uk"/>
    <s v="Denim Jacket"/>
    <s v="Apparel"/>
    <n v="22"/>
    <n v="60.13"/>
    <n v="1322.86"/>
    <n v="54.06"/>
    <n v="388.8"/>
    <s v="Air"/>
    <s v="Medium"/>
    <s v="EU"/>
    <n v="40"/>
    <n v="880"/>
    <n v="0.2939086524651135"/>
    <n v="7"/>
  </r>
  <r>
    <s v="ORD_2025_0134"/>
    <x v="0"/>
    <s v="Smith, James"/>
    <s v="Singapore"/>
    <s v="Cotton Bedsheet"/>
    <s v="Textiles"/>
    <n v="21"/>
    <n v="40.98"/>
    <n v="860.58"/>
    <n v="37.01"/>
    <n v="298.57"/>
    <s v="Land"/>
    <s v="High"/>
    <s v="AS"/>
    <n v="25"/>
    <n v="525"/>
    <n v="0.34694043552023052"/>
    <n v="1"/>
  </r>
  <r>
    <s v="ORD_2025_0135"/>
    <x v="9"/>
    <s v="Miller, David"/>
    <s v="Brazil"/>
    <s v="Denim Jacket"/>
    <s v="Apparel"/>
    <n v="36"/>
    <n v="54.6"/>
    <n v="1965.6"/>
    <n v="150.34"/>
    <n v="375.26"/>
    <s v="Sea"/>
    <s v="Low"/>
    <s v="SA"/>
    <n v="40"/>
    <n v="1440"/>
    <n v="0.19091371591371592"/>
    <n v="12"/>
  </r>
  <r>
    <s v="ORD_2025_0136"/>
    <x v="12"/>
    <s v="Miller, Emily"/>
    <s v="Italy"/>
    <s v="Ceramic Vase"/>
    <s v="Home Decor"/>
    <n v="1"/>
    <n v="27.49"/>
    <n v="27.49"/>
    <n v="0.63"/>
    <n v="11.36"/>
    <s v="Sea"/>
    <s v="High"/>
    <s v="EU"/>
    <n v="15.5"/>
    <n v="15.5"/>
    <n v="0.41324117861040377"/>
    <n v="7"/>
  </r>
  <r>
    <s v="ORD_2025_0137"/>
    <x v="16"/>
    <s v="Brown, Emily"/>
    <s v="Singapore"/>
    <s v="Bluetooth Speaker"/>
    <s v="Electronics"/>
    <n v="50"/>
    <n v="41.11"/>
    <n v="2055.5"/>
    <n v="95.61"/>
    <n v="359.89"/>
    <s v="Air"/>
    <s v="Medium"/>
    <s v="AS"/>
    <n v="32"/>
    <n v="1600"/>
    <n v="0.17508635368523473"/>
    <n v="1"/>
  </r>
  <r>
    <s v="ORD_2025_0138"/>
    <x v="9"/>
    <s v="Smith, Michael"/>
    <s v="China"/>
    <s v="Ceramic Vase"/>
    <s v="Home Decor"/>
    <n v="18"/>
    <n v="25.54"/>
    <n v="459.72"/>
    <n v="27.02"/>
    <n v="153.69999999999999"/>
    <s v="Sea"/>
    <s v="Low"/>
    <s v="AS"/>
    <n v="15.5"/>
    <n v="279"/>
    <n v="0.33433394239972153"/>
    <n v="12"/>
  </r>
  <r>
    <s v="ORD_2025_0139"/>
    <x v="0"/>
    <s v="Martinez, Emily"/>
    <s v="Japan"/>
    <s v="Table Lamp"/>
    <s v="Home Decor"/>
    <n v="4"/>
    <n v="47.52"/>
    <n v="190.08"/>
    <n v="10.23"/>
    <n v="67.849999999999994"/>
    <s v="Land"/>
    <s v="Low"/>
    <s v="AS"/>
    <n v="28"/>
    <n v="112"/>
    <n v="0.35695496632996626"/>
    <n v="1"/>
  </r>
  <r>
    <s v="ORD_2025_0140"/>
    <x v="7"/>
    <s v="Jones, Michael"/>
    <s v="Italy"/>
    <s v="Cotton Bedsheet"/>
    <s v="Textiles"/>
    <n v="29"/>
    <n v="30.48"/>
    <n v="883.92"/>
    <n v="33.15"/>
    <n v="125.77"/>
    <s v="Air"/>
    <s v="Low"/>
    <s v="EU"/>
    <n v="25"/>
    <n v="725"/>
    <n v="0.14228663227441399"/>
    <n v="8"/>
  </r>
  <r>
    <s v="ORD_2025_0141"/>
    <x v="11"/>
    <s v="Martinez, Daniel"/>
    <s v="South Africa"/>
    <s v="Denim Jacket"/>
    <s v="Apparel"/>
    <n v="27"/>
    <n v="50.39"/>
    <n v="1360.53"/>
    <n v="106.4"/>
    <n v="174.13"/>
    <s v="Sea"/>
    <s v="Medium"/>
    <s v="AF"/>
    <n v="40"/>
    <n v="1080"/>
    <n v="0.12798688746297399"/>
    <n v="3"/>
  </r>
  <r>
    <s v="ORD_2025_0142"/>
    <x v="0"/>
    <s v="Johnson, Daniel"/>
    <s v="Germany"/>
    <s v="Cotton Bedsheet"/>
    <s v="Textiles"/>
    <n v="34"/>
    <n v="37.68"/>
    <n v="1281.1199999999999"/>
    <n v="54.86"/>
    <n v="376.26"/>
    <s v="Air"/>
    <s v="Low"/>
    <s v="EU"/>
    <n v="25"/>
    <n v="850"/>
    <n v="0.2936961408767329"/>
    <n v="1"/>
  </r>
  <r>
    <s v="ORD_2025_0143"/>
    <x v="8"/>
    <s v="Brown, James"/>
    <s v="Japan"/>
    <s v="Cotton Bedsheet"/>
    <s v="Textiles"/>
    <n v="3"/>
    <n v="39.32"/>
    <n v="117.96"/>
    <n v="6.97"/>
    <n v="35.99"/>
    <s v="Sea"/>
    <s v="Medium"/>
    <s v="AS"/>
    <n v="25"/>
    <n v="75"/>
    <n v="0.3051034248897932"/>
    <n v="4"/>
  </r>
  <r>
    <s v="ORD_2025_0144"/>
    <x v="9"/>
    <s v="Hernandez, Daniel"/>
    <s v="Canada"/>
    <s v="LED Lamp"/>
    <s v="Electronics"/>
    <n v="24"/>
    <n v="18"/>
    <n v="432"/>
    <n v="22.68"/>
    <n v="103.32"/>
    <s v="Land"/>
    <s v="High"/>
    <s v="NA"/>
    <n v="12.75"/>
    <n v="306"/>
    <n v="0.23916666666666664"/>
    <n v="12"/>
  </r>
  <r>
    <s v="ORD_2025_0145"/>
    <x v="9"/>
    <s v="Jones, Laura"/>
    <s v="Uk"/>
    <s v="Glass Bowl Set"/>
    <s v="Home Decor"/>
    <n v="5"/>
    <n v="36.43"/>
    <n v="182.15"/>
    <n v="7.82"/>
    <n v="61.83"/>
    <s v="Land"/>
    <s v="High"/>
    <s v="EU"/>
    <n v="22.5"/>
    <n v="112.5"/>
    <n v="0.33944551194070821"/>
    <n v="12"/>
  </r>
  <r>
    <s v="ORD_2025_0146"/>
    <x v="12"/>
    <s v="Miller, Laura"/>
    <s v="China"/>
    <s v="Glass Bowl Set"/>
    <s v="Home Decor"/>
    <n v="27"/>
    <n v="38.39"/>
    <n v="1036.53"/>
    <n v="28.6"/>
    <n v="400.43"/>
    <s v="Sea"/>
    <s v="Low"/>
    <s v="AS"/>
    <n v="22.5"/>
    <n v="607.5"/>
    <n v="0.38631781038657831"/>
    <n v="7"/>
  </r>
  <r>
    <s v="ORD_2025_0147"/>
    <x v="14"/>
    <s v="Jones, David"/>
    <s v="Brazil"/>
    <s v="Table Lamp"/>
    <s v="Home Decor"/>
    <n v="10"/>
    <n v="47.5"/>
    <n v="475"/>
    <n v="15.95"/>
    <n v="179.05"/>
    <s v="Land"/>
    <s v="Low"/>
    <s v="SA"/>
    <n v="28"/>
    <n v="280"/>
    <n v="0.37694736842105264"/>
    <n v="5"/>
  </r>
  <r>
    <s v="ORD_2025_0148"/>
    <x v="4"/>
    <s v="Johnson, Sophia"/>
    <s v="Uae"/>
    <s v="Bluetooth Speaker"/>
    <s v="Electronics"/>
    <n v="47"/>
    <n v="50.13"/>
    <n v="2356.11"/>
    <n v="166.22"/>
    <n v="685.89"/>
    <s v="Land"/>
    <s v="Low"/>
    <s v="AS"/>
    <n v="32"/>
    <n v="1504"/>
    <n v="0.29111119599679131"/>
    <n v="6"/>
  </r>
  <r>
    <s v="ORD_2025_0149"/>
    <x v="3"/>
    <s v="Davis, Sophia"/>
    <s v="Mexico"/>
    <s v="Table Lamp"/>
    <s v="Home Decor"/>
    <n v="47"/>
    <n v="42.25"/>
    <n v="1985.75"/>
    <n v="116.75"/>
    <n v="553"/>
    <s v="Sea"/>
    <s v="Low"/>
    <s v="NA"/>
    <n v="28"/>
    <n v="1316"/>
    <n v="0.27848419992446177"/>
    <n v="10"/>
  </r>
  <r>
    <s v="ORD_2025_0150"/>
    <x v="11"/>
    <s v="Jones, Daniel"/>
    <s v="China"/>
    <s v="Cotton Bedsheet"/>
    <s v="Textiles"/>
    <n v="18"/>
    <n v="38.26"/>
    <n v="688.68"/>
    <n v="18.78"/>
    <n v="219.9"/>
    <s v="Sea"/>
    <s v="Low"/>
    <s v="AS"/>
    <n v="25"/>
    <n v="450"/>
    <n v="0.31930649939013767"/>
    <n v="3"/>
  </r>
  <r>
    <s v="ORD_2025_0151"/>
    <x v="10"/>
    <s v="Miller, Michael"/>
    <s v="Singapore"/>
    <s v="Table Lamp"/>
    <s v="Home Decor"/>
    <n v="31"/>
    <n v="46.66"/>
    <n v="1446.46"/>
    <n v="109.24"/>
    <n v="469.22"/>
    <s v="Land"/>
    <s v="High"/>
    <s v="AS"/>
    <n v="28"/>
    <n v="868"/>
    <n v="0.32439196382893409"/>
    <n v="2"/>
  </r>
  <r>
    <s v="ORD_2025_0152"/>
    <x v="11"/>
    <s v="Davis, Laura"/>
    <s v="South Africa"/>
    <s v="Bluetooth Speaker"/>
    <s v="Electronics"/>
    <n v="41"/>
    <n v="52.65"/>
    <n v="2158.65"/>
    <n v="110.1"/>
    <n v="736.55"/>
    <s v="Sea"/>
    <s v="High"/>
    <s v="AF"/>
    <n v="32"/>
    <n v="1312"/>
    <n v="0.34120862576147126"/>
    <n v="3"/>
  </r>
  <r>
    <s v="ORD_2025_0153"/>
    <x v="11"/>
    <s v="Williams, Laura"/>
    <s v="Japan"/>
    <s v="Leather Wallet"/>
    <s v="Accessories"/>
    <n v="28"/>
    <n v="22.66"/>
    <n v="634.48"/>
    <n v="15.55"/>
    <n v="114.93"/>
    <s v="Air"/>
    <s v="Low"/>
    <s v="AS"/>
    <n v="18"/>
    <n v="504"/>
    <n v="0.1811404614802673"/>
    <n v="3"/>
  </r>
  <r>
    <s v="ORD_2025_0154"/>
    <x v="1"/>
    <s v="Brown, James"/>
    <s v="Mexico"/>
    <s v="Ceramic Vase"/>
    <s v="Home Decor"/>
    <n v="48"/>
    <n v="25.07"/>
    <n v="1203.3599999999999"/>
    <n v="29.93"/>
    <n v="429.43"/>
    <s v="Sea"/>
    <s v="Medium"/>
    <s v="NA"/>
    <n v="15.5"/>
    <n v="744"/>
    <n v="0.35685912777556178"/>
    <n v="2"/>
  </r>
  <r>
    <s v="ORD_2025_0155"/>
    <x v="14"/>
    <s v="Miller, Daniel"/>
    <s v="Brazil"/>
    <s v="Leather Wallet"/>
    <s v="Accessories"/>
    <n v="31"/>
    <n v="30.53"/>
    <n v="946.43"/>
    <n v="72.150000000000006"/>
    <n v="316.27999999999997"/>
    <s v="Air"/>
    <s v="Medium"/>
    <s v="SA"/>
    <n v="18"/>
    <n v="558"/>
    <n v="0.33418213708356664"/>
    <n v="5"/>
  </r>
  <r>
    <s v="ORD_2025_0156"/>
    <x v="9"/>
    <s v="Hernandez, Michael"/>
    <s v="South Africa"/>
    <s v="Glass Bowl Set"/>
    <s v="Home Decor"/>
    <n v="33"/>
    <n v="31"/>
    <n v="1023"/>
    <n v="63.94"/>
    <n v="216.56"/>
    <s v="Sea"/>
    <s v="Low"/>
    <s v="AF"/>
    <n v="22.5"/>
    <n v="742.5"/>
    <n v="0.21169110459433041"/>
    <n v="12"/>
  </r>
  <r>
    <s v="ORD_2025_0157"/>
    <x v="3"/>
    <s v="Smith, Michael"/>
    <s v="Uk"/>
    <s v="Ceramic Vase"/>
    <s v="Home Decor"/>
    <n v="32"/>
    <n v="20.86"/>
    <n v="667.52"/>
    <n v="21.62"/>
    <n v="149.9"/>
    <s v="Air"/>
    <s v="High"/>
    <s v="EU"/>
    <n v="15.5"/>
    <n v="496"/>
    <n v="0.22456255992329818"/>
    <n v="10"/>
  </r>
  <r>
    <s v="ORD_2025_0158"/>
    <x v="6"/>
    <s v="Brown, Sarah"/>
    <s v="Germany"/>
    <s v="Wireless Mouse"/>
    <s v="Electronics"/>
    <n v="18"/>
    <n v="24.61"/>
    <n v="442.98"/>
    <n v="26.99"/>
    <n v="55.99"/>
    <s v="Air"/>
    <s v="Low"/>
    <s v="EU"/>
    <n v="20"/>
    <n v="360"/>
    <n v="0.12639396812497178"/>
    <n v="9"/>
  </r>
  <r>
    <s v="ORD_2025_0159"/>
    <x v="3"/>
    <s v="Williams, Daniel"/>
    <s v="Singapore"/>
    <s v="Denim Jacket"/>
    <s v="Apparel"/>
    <n v="18"/>
    <n v="64.83"/>
    <n v="1166.94"/>
    <n v="34.28"/>
    <n v="412.66"/>
    <s v="Air"/>
    <s v="Low"/>
    <s v="AS"/>
    <n v="40"/>
    <n v="720"/>
    <n v="0.35362572197370901"/>
    <n v="10"/>
  </r>
  <r>
    <s v="ORD_2025_0160"/>
    <x v="12"/>
    <s v="Brown, John"/>
    <s v="Mexico"/>
    <s v="Wireless Mouse"/>
    <s v="Electronics"/>
    <n v="49"/>
    <n v="29.52"/>
    <n v="1446.48"/>
    <n v="104.7"/>
    <n v="361.78"/>
    <s v="Air"/>
    <s v="High"/>
    <s v="NA"/>
    <n v="20"/>
    <n v="980"/>
    <n v="0.25011061335103146"/>
    <n v="7"/>
  </r>
  <r>
    <s v="ORD_2025_0161"/>
    <x v="12"/>
    <s v="Martinez, David"/>
    <s v="South Africa"/>
    <s v="Wireless Mouse"/>
    <s v="Electronics"/>
    <n v="10"/>
    <n v="26.73"/>
    <n v="267.3"/>
    <n v="10.210000000000001"/>
    <n v="57.09"/>
    <s v="Air"/>
    <s v="High"/>
    <s v="AF"/>
    <n v="20"/>
    <n v="200"/>
    <n v="0.21358024691358024"/>
    <n v="7"/>
  </r>
  <r>
    <s v="ORD_2025_0162"/>
    <x v="10"/>
    <s v="Martinez, Laura"/>
    <s v="Uk"/>
    <s v="Bluetooth Speaker"/>
    <s v="Electronics"/>
    <n v="10"/>
    <n v="54.45"/>
    <n v="544.5"/>
    <n v="16.59"/>
    <n v="207.91"/>
    <s v="Land"/>
    <s v="Low"/>
    <s v="EU"/>
    <n v="32"/>
    <n v="320"/>
    <n v="0.38183654729109273"/>
    <n v="2"/>
  </r>
  <r>
    <s v="ORD_2025_0163"/>
    <x v="4"/>
    <s v="Martinez, Laura"/>
    <s v="India"/>
    <s v="Leather Wallet"/>
    <s v="Accessories"/>
    <n v="46"/>
    <n v="30.06"/>
    <n v="1382.76"/>
    <n v="77.17"/>
    <n v="477.59"/>
    <s v="Sea"/>
    <s v="Medium"/>
    <s v="AS"/>
    <n v="18"/>
    <n v="828"/>
    <n v="0.34538893228036677"/>
    <n v="6"/>
  </r>
  <r>
    <s v="ORD_2025_0164"/>
    <x v="10"/>
    <s v="Johnson, Emily"/>
    <s v="Mexico"/>
    <s v="Ceramic Vase"/>
    <s v="Home Decor"/>
    <n v="25"/>
    <n v="21.52"/>
    <n v="538"/>
    <n v="26.73"/>
    <n v="123.77"/>
    <s v="Sea"/>
    <s v="Low"/>
    <s v="NA"/>
    <n v="15.5"/>
    <n v="387.5"/>
    <n v="0.23005576208178438"/>
    <n v="2"/>
  </r>
  <r>
    <s v="ORD_2025_0165"/>
    <x v="10"/>
    <s v="Garcia, Emma"/>
    <s v="India"/>
    <s v="Leather Wallet"/>
    <s v="Accessories"/>
    <n v="5"/>
    <n v="26.25"/>
    <n v="131.25"/>
    <n v="3.35"/>
    <n v="37.9"/>
    <s v="Sea"/>
    <s v="Medium"/>
    <s v="AS"/>
    <n v="18"/>
    <n v="90"/>
    <n v="0.28876190476190478"/>
    <n v="2"/>
  </r>
  <r>
    <s v="ORD_2025_0166"/>
    <x v="4"/>
    <s v="Garcia, John"/>
    <s v="Uk"/>
    <s v="Cotton Bedsheet"/>
    <s v="Textiles"/>
    <n v="10"/>
    <n v="31.48"/>
    <n v="314.8"/>
    <n v="10.23"/>
    <n v="54.57"/>
    <s v="Air"/>
    <s v="High"/>
    <s v="EU"/>
    <n v="25"/>
    <n v="250"/>
    <n v="0.17334815756035576"/>
    <n v="6"/>
  </r>
  <r>
    <s v="ORD_2025_0167"/>
    <x v="7"/>
    <s v="Smith, Sophia"/>
    <s v="Brazil"/>
    <s v="Wireless Mouse"/>
    <s v="Electronics"/>
    <n v="21"/>
    <n v="30.91"/>
    <n v="649.11"/>
    <n v="38.42"/>
    <n v="190.69"/>
    <s v="Sea"/>
    <s v="High"/>
    <s v="SA"/>
    <n v="20"/>
    <n v="420"/>
    <n v="0.29377147170741474"/>
    <n v="8"/>
  </r>
  <r>
    <s v="ORD_2025_0168"/>
    <x v="5"/>
    <s v="Jones, Emily"/>
    <s v="Singapore"/>
    <s v="LED Lamp"/>
    <s v="Electronics"/>
    <n v="29"/>
    <n v="18.47"/>
    <n v="535.63"/>
    <n v="13.21"/>
    <n v="152.66999999999999"/>
    <s v="Land"/>
    <s v="Low"/>
    <s v="AS"/>
    <n v="12.75"/>
    <n v="369.75"/>
    <n v="0.28502884453820732"/>
    <n v="5"/>
  </r>
  <r>
    <s v="ORD_2025_0169"/>
    <x v="15"/>
    <s v="Williams, Laura"/>
    <s v="Mexico"/>
    <s v="Travel Backpack"/>
    <s v="Accessories"/>
    <n v="36"/>
    <n v="44.79"/>
    <n v="1612.44"/>
    <n v="68.599999999999994"/>
    <n v="283.83999999999997"/>
    <s v="Air"/>
    <s v="Medium"/>
    <s v="NA"/>
    <n v="35"/>
    <n v="1260"/>
    <n v="0.1760313562055022"/>
    <n v="11"/>
  </r>
  <r>
    <s v="ORD_2025_0170"/>
    <x v="2"/>
    <s v="Miller, James"/>
    <s v="Brazil"/>
    <s v="Ceramic Vase"/>
    <s v="Home Decor"/>
    <n v="3"/>
    <n v="18.86"/>
    <n v="56.58"/>
    <n v="2.61"/>
    <n v="7.47"/>
    <s v="Sea"/>
    <s v="High"/>
    <s v="SA"/>
    <n v="15.5"/>
    <n v="46.5"/>
    <n v="0.1320254506892895"/>
    <n v="4"/>
  </r>
  <r>
    <s v="ORD_2025_0171"/>
    <x v="15"/>
    <s v="Hernandez, Emma"/>
    <s v="China"/>
    <s v="Table Lamp"/>
    <s v="Home Decor"/>
    <n v="10"/>
    <n v="45.86"/>
    <n v="458.6"/>
    <n v="14.4"/>
    <n v="164.2"/>
    <s v="Air"/>
    <s v="Low"/>
    <s v="AS"/>
    <n v="28"/>
    <n v="280"/>
    <n v="0.35804622764936761"/>
    <n v="11"/>
  </r>
  <r>
    <s v="ORD_2025_0172"/>
    <x v="10"/>
    <s v="Miller, James"/>
    <s v="Italy"/>
    <s v="Leather Wallet"/>
    <s v="Accessories"/>
    <n v="1"/>
    <n v="24.64"/>
    <n v="24.64"/>
    <n v="0.65"/>
    <n v="5.99"/>
    <s v="Air"/>
    <s v="Medium"/>
    <s v="EU"/>
    <n v="18"/>
    <n v="18"/>
    <n v="0.24310064935064934"/>
    <n v="2"/>
  </r>
  <r>
    <s v="ORD_2025_0173"/>
    <x v="12"/>
    <s v="Williams, Michael"/>
    <s v="Italy"/>
    <s v="Ceramic Vase"/>
    <s v="Home Decor"/>
    <n v="49"/>
    <n v="22.8"/>
    <n v="1117.2"/>
    <n v="51.06"/>
    <n v="306.64"/>
    <s v="Land"/>
    <s v="Medium"/>
    <s v="EU"/>
    <n v="15.5"/>
    <n v="759.5"/>
    <n v="0.27447189402076616"/>
    <n v="7"/>
  </r>
  <r>
    <s v="ORD_2025_0174"/>
    <x v="3"/>
    <s v="Hernandez, Laura"/>
    <s v="Mexico"/>
    <s v="Travel Backpack"/>
    <s v="Accessories"/>
    <n v="32"/>
    <n v="44.5"/>
    <n v="1424"/>
    <n v="43.92"/>
    <n v="260.08"/>
    <s v="Air"/>
    <s v="Medium"/>
    <s v="NA"/>
    <n v="35"/>
    <n v="1120"/>
    <n v="0.18264044943820223"/>
    <n v="10"/>
  </r>
  <r>
    <s v="ORD_2025_0175"/>
    <x v="7"/>
    <s v="Williams, James"/>
    <s v="Brazil"/>
    <s v="Travel Backpack"/>
    <s v="Accessories"/>
    <n v="43"/>
    <n v="55.74"/>
    <n v="2396.8200000000002"/>
    <n v="63.85"/>
    <n v="827.97"/>
    <s v="Sea"/>
    <s v="High"/>
    <s v="SA"/>
    <n v="35"/>
    <n v="1505"/>
    <n v="0.34544521490975544"/>
    <n v="8"/>
  </r>
  <r>
    <s v="ORD_2025_0176"/>
    <x v="3"/>
    <s v="Miller, Laura"/>
    <s v="Singapore"/>
    <s v="Ceramic Vase"/>
    <s v="Home Decor"/>
    <n v="19"/>
    <n v="25.78"/>
    <n v="489.82"/>
    <n v="28.4"/>
    <n v="166.92"/>
    <s v="Air"/>
    <s v="Medium"/>
    <s v="AS"/>
    <n v="15.5"/>
    <n v="294.5"/>
    <n v="0.3407782450696174"/>
    <n v="10"/>
  </r>
  <r>
    <s v="ORD_2025_0177"/>
    <x v="10"/>
    <s v="Martinez, John"/>
    <s v="Mexico"/>
    <s v="Leather Wallet"/>
    <s v="Accessories"/>
    <n v="43"/>
    <n v="30.43"/>
    <n v="1308.49"/>
    <n v="35.340000000000003"/>
    <n v="499.15"/>
    <s v="Sea"/>
    <s v="Medium"/>
    <s v="NA"/>
    <n v="18"/>
    <n v="774"/>
    <n v="0.38147024432743082"/>
    <n v="2"/>
  </r>
  <r>
    <s v="ORD_2025_0178"/>
    <x v="9"/>
    <s v="Hernandez, Sarah"/>
    <s v="France"/>
    <s v="Ceramic Vase"/>
    <s v="Home Decor"/>
    <n v="17"/>
    <n v="18.71"/>
    <n v="318.07"/>
    <n v="22.03"/>
    <n v="32.54"/>
    <s v="Air"/>
    <s v="Low"/>
    <s v="EU"/>
    <n v="15.5"/>
    <n v="263.5"/>
    <n v="0.10230452416134814"/>
    <n v="12"/>
  </r>
  <r>
    <s v="ORD_2025_0179"/>
    <x v="11"/>
    <s v="Johnson, Emma"/>
    <s v="China"/>
    <s v="Ceramic Vase"/>
    <s v="Home Decor"/>
    <n v="44"/>
    <n v="23.87"/>
    <n v="1050.28"/>
    <n v="33.51"/>
    <n v="334.77"/>
    <s v="Land"/>
    <s v="Medium"/>
    <s v="AS"/>
    <n v="15.5"/>
    <n v="682"/>
    <n v="0.31874357314240009"/>
    <n v="3"/>
  </r>
  <r>
    <s v="ORD_2025_0180"/>
    <x v="6"/>
    <s v="Martinez, Sarah"/>
    <s v="Australia"/>
    <s v="Bluetooth Speaker"/>
    <s v="Electronics"/>
    <n v="12"/>
    <n v="42.91"/>
    <n v="514.91999999999996"/>
    <n v="15.18"/>
    <n v="115.74"/>
    <s v="Air"/>
    <s v="High"/>
    <s v="OC"/>
    <n v="32"/>
    <n v="384"/>
    <n v="0.22477278023770683"/>
    <n v="9"/>
  </r>
  <r>
    <s v="ORD_2025_0181"/>
    <x v="15"/>
    <s v="Davis, Daniel"/>
    <s v="India"/>
    <s v="Denim Jacket"/>
    <s v="Apparel"/>
    <n v="21"/>
    <n v="50.49"/>
    <n v="1060.29"/>
    <n v="32.340000000000003"/>
    <n v="187.95"/>
    <s v="Air"/>
    <s v="Low"/>
    <s v="AS"/>
    <n v="40"/>
    <n v="840"/>
    <n v="0.17726282432164783"/>
    <n v="11"/>
  </r>
  <r>
    <s v="ORD_2025_0182"/>
    <x v="9"/>
    <s v="Hernandez, Laura"/>
    <s v="Italy"/>
    <s v="Travel Backpack"/>
    <s v="Accessories"/>
    <n v="41"/>
    <n v="43.18"/>
    <n v="1770.38"/>
    <n v="128.4"/>
    <n v="206.98"/>
    <s v="Sea"/>
    <s v="High"/>
    <s v="EU"/>
    <n v="35"/>
    <n v="1435"/>
    <n v="0.11691275319422947"/>
    <n v="12"/>
  </r>
  <r>
    <s v="ORD_2025_0183"/>
    <x v="11"/>
    <s v="Jones, Laura"/>
    <s v="Australia"/>
    <s v="LED Lamp"/>
    <s v="Electronics"/>
    <n v="37"/>
    <n v="19.8"/>
    <n v="732.6"/>
    <n v="54.68"/>
    <n v="206.17"/>
    <s v="Land"/>
    <s v="Medium"/>
    <s v="OC"/>
    <n v="12.75"/>
    <n v="471.75"/>
    <n v="0.28142233142233142"/>
    <n v="3"/>
  </r>
  <r>
    <s v="ORD_2025_0184"/>
    <x v="11"/>
    <s v="Miller, Emma"/>
    <s v="Mexico"/>
    <s v="LED Lamp"/>
    <s v="Electronics"/>
    <n v="4"/>
    <n v="18.059999999999999"/>
    <n v="72.239999999999995"/>
    <n v="4.66"/>
    <n v="16.579999999999998"/>
    <s v="Land"/>
    <s v="Low"/>
    <s v="NA"/>
    <n v="12.75"/>
    <n v="51"/>
    <n v="0.22951273532668881"/>
    <n v="3"/>
  </r>
  <r>
    <s v="ORD_2025_0185"/>
    <x v="9"/>
    <s v="Martinez, John"/>
    <s v="Usa"/>
    <s v="Travel Backpack"/>
    <s v="Accessories"/>
    <n v="40"/>
    <n v="55.59"/>
    <n v="2223.6"/>
    <n v="74.569999999999993"/>
    <n v="749.03"/>
    <s v="Land"/>
    <s v="Low"/>
    <s v="NA"/>
    <n v="35"/>
    <n v="1400"/>
    <n v="0.3368546501169275"/>
    <n v="12"/>
  </r>
  <r>
    <s v="ORD_2025_0186"/>
    <x v="8"/>
    <s v="Smith, Emily"/>
    <s v="Japan"/>
    <s v="Cotton Bedsheet"/>
    <s v="Textiles"/>
    <n v="5"/>
    <n v="31.58"/>
    <n v="157.9"/>
    <n v="3.73"/>
    <n v="29.17"/>
    <s v="Land"/>
    <s v="Medium"/>
    <s v="AS"/>
    <n v="25"/>
    <n v="125"/>
    <n v="0.18473717542748574"/>
    <n v="4"/>
  </r>
  <r>
    <s v="ORD_2025_0187"/>
    <x v="2"/>
    <s v="Miller, David"/>
    <s v="Canada"/>
    <s v="Leather Wallet"/>
    <s v="Accessories"/>
    <n v="50"/>
    <n v="26.67"/>
    <n v="1333.5"/>
    <n v="80.150000000000006"/>
    <n v="353.35"/>
    <s v="Air"/>
    <s v="Low"/>
    <s v="NA"/>
    <n v="18"/>
    <n v="900"/>
    <n v="0.26497937757780277"/>
    <n v="4"/>
  </r>
  <r>
    <s v="ORD_2025_0188"/>
    <x v="11"/>
    <s v="Johnson, David"/>
    <s v="Singapore"/>
    <s v="Ceramic Vase"/>
    <s v="Home Decor"/>
    <n v="17"/>
    <n v="20.68"/>
    <n v="351.56"/>
    <n v="18.47"/>
    <n v="69.59"/>
    <s v="Air"/>
    <s v="Medium"/>
    <s v="AS"/>
    <n v="15.5"/>
    <n v="263.5"/>
    <n v="0.19794629650699738"/>
    <n v="3"/>
  </r>
  <r>
    <s v="ORD_2025_0189"/>
    <x v="8"/>
    <s v="Davis, Sophia"/>
    <s v="South Africa"/>
    <s v="Travel Backpack"/>
    <s v="Accessories"/>
    <n v="29"/>
    <n v="55.19"/>
    <n v="1600.51"/>
    <n v="103.06"/>
    <n v="482.45"/>
    <s v="Land"/>
    <s v="High"/>
    <s v="AF"/>
    <n v="35"/>
    <n v="1015"/>
    <n v="0.30143516754034649"/>
    <n v="4"/>
  </r>
  <r>
    <s v="ORD_2025_0190"/>
    <x v="2"/>
    <s v="Garcia, Daniel"/>
    <s v="Singapore"/>
    <s v="Travel Backpack"/>
    <s v="Accessories"/>
    <n v="34"/>
    <n v="61.62"/>
    <n v="2095.08"/>
    <n v="80.13"/>
    <n v="824.95"/>
    <s v="Sea"/>
    <s v="Low"/>
    <s v="AS"/>
    <n v="35"/>
    <n v="1190"/>
    <n v="0.39375584703209426"/>
    <n v="4"/>
  </r>
  <r>
    <s v="ORD_2025_0191"/>
    <x v="15"/>
    <s v="Garcia, Michael"/>
    <s v="Mexico"/>
    <s v="Glass Bowl Set"/>
    <s v="Home Decor"/>
    <n v="10"/>
    <n v="40.03"/>
    <n v="400.3"/>
    <n v="25.8"/>
    <n v="149.5"/>
    <s v="Air"/>
    <s v="Low"/>
    <s v="NA"/>
    <n v="22.5"/>
    <n v="225"/>
    <n v="0.37346989757681737"/>
    <n v="11"/>
  </r>
  <r>
    <s v="ORD_2025_0192"/>
    <x v="13"/>
    <s v="Smith, Sarah"/>
    <s v="Uae"/>
    <s v="Wireless Mouse"/>
    <s v="Electronics"/>
    <n v="23"/>
    <n v="31.3"/>
    <n v="719.9"/>
    <n v="47.88"/>
    <n v="212.02"/>
    <s v="Sea"/>
    <s v="Medium"/>
    <s v="AS"/>
    <n v="20"/>
    <n v="460"/>
    <n v="0.29451312682316994"/>
    <n v="3"/>
  </r>
  <r>
    <s v="ORD_2025_0193"/>
    <x v="5"/>
    <s v="Johnson, Sarah"/>
    <s v="Mexico"/>
    <s v="Travel Backpack"/>
    <s v="Accessories"/>
    <n v="37"/>
    <n v="50.39"/>
    <n v="1864.43"/>
    <n v="60.06"/>
    <n v="509.37"/>
    <s v="Sea"/>
    <s v="Medium"/>
    <s v="NA"/>
    <n v="35"/>
    <n v="1295"/>
    <n v="0.27320414282113031"/>
    <n v="5"/>
  </r>
  <r>
    <s v="ORD_2025_0194"/>
    <x v="9"/>
    <s v="Jones, Daniel"/>
    <s v="Usa"/>
    <s v="LED Lamp"/>
    <s v="Electronics"/>
    <n v="38"/>
    <n v="16.97"/>
    <n v="644.86"/>
    <n v="40"/>
    <n v="120.36"/>
    <s v="Air"/>
    <s v="Low"/>
    <s v="NA"/>
    <n v="12.75"/>
    <n v="484.5"/>
    <n v="0.18664516329125702"/>
    <n v="12"/>
  </r>
  <r>
    <s v="ORD_2025_0195"/>
    <x v="12"/>
    <s v="Miller, Sarah"/>
    <s v="South Africa"/>
    <s v="Wireless Mouse"/>
    <s v="Electronics"/>
    <n v="2"/>
    <n v="35.92"/>
    <n v="71.84"/>
    <n v="2.34"/>
    <n v="29.5"/>
    <s v="Air"/>
    <s v="Medium"/>
    <s v="AF"/>
    <n v="20"/>
    <n v="40"/>
    <n v="0.41063474387527837"/>
    <n v="7"/>
  </r>
  <r>
    <s v="ORD_2025_0196"/>
    <x v="14"/>
    <s v="Martinez, Laura"/>
    <s v="Brazil"/>
    <s v="Wireless Mouse"/>
    <s v="Electronics"/>
    <n v="48"/>
    <n v="31.87"/>
    <n v="1529.76"/>
    <n v="89.85"/>
    <n v="479.91"/>
    <s v="Air"/>
    <s v="Low"/>
    <s v="SA"/>
    <n v="20"/>
    <n v="960"/>
    <n v="0.31371587700031378"/>
    <n v="5"/>
  </r>
  <r>
    <s v="ORD_2025_0197"/>
    <x v="9"/>
    <s v="Johnson, David"/>
    <s v="Australia"/>
    <s v="Denim Jacket"/>
    <s v="Apparel"/>
    <n v="46"/>
    <n v="70"/>
    <n v="3220"/>
    <n v="160.11000000000001"/>
    <n v="1219.8900000000001"/>
    <s v="Sea"/>
    <s v="Medium"/>
    <s v="OC"/>
    <n v="40"/>
    <n v="1840"/>
    <n v="0.37884782608695655"/>
    <n v="12"/>
  </r>
  <r>
    <s v="ORD_2025_0198"/>
    <x v="8"/>
    <s v="Jones, Emily"/>
    <s v="Singapore"/>
    <s v="Travel Backpack"/>
    <s v="Accessories"/>
    <n v="45"/>
    <n v="57.7"/>
    <n v="2596.5"/>
    <n v="102.52"/>
    <n v="918.98"/>
    <s v="Sea"/>
    <s v="Low"/>
    <s v="AS"/>
    <n v="35"/>
    <n v="1575"/>
    <n v="0.35393029077604471"/>
    <n v="4"/>
  </r>
  <r>
    <s v="ORD_2025_0199"/>
    <x v="5"/>
    <s v="Smith, Michael"/>
    <s v="Japan"/>
    <s v="LED Lamp"/>
    <s v="Electronics"/>
    <n v="23"/>
    <n v="20.23"/>
    <n v="465.29"/>
    <n v="17.29"/>
    <n v="154.75"/>
    <s v="Air"/>
    <s v="Low"/>
    <s v="AS"/>
    <n v="12.75"/>
    <n v="293.25"/>
    <n v="0.33258827827806314"/>
    <n v="5"/>
  </r>
  <r>
    <s v="ORD_2025_0200"/>
    <x v="8"/>
    <s v="Martinez, Sarah"/>
    <s v="Italy"/>
    <s v="Leather Wallet"/>
    <s v="Accessories"/>
    <n v="10"/>
    <n v="22.96"/>
    <n v="229.6"/>
    <n v="18.260000000000002"/>
    <n v="31.34"/>
    <s v="Land"/>
    <s v="High"/>
    <s v="EU"/>
    <n v="18"/>
    <n v="180"/>
    <n v="0.13649825783972125"/>
    <n v="4"/>
  </r>
  <r>
    <s v="ORD_2025_0201"/>
    <x v="7"/>
    <s v="Jones, Sarah"/>
    <s v="Brazil"/>
    <s v="Travel Backpack"/>
    <s v="Accessories"/>
    <n v="40"/>
    <n v="54.84"/>
    <n v="2193.6"/>
    <n v="89.26"/>
    <n v="704.34"/>
    <s v="Sea"/>
    <s v="Low"/>
    <s v="SA"/>
    <n v="35"/>
    <n v="1400"/>
    <n v="0.32108862144420136"/>
    <n v="8"/>
  </r>
  <r>
    <s v="ORD_2025_0202"/>
    <x v="2"/>
    <s v="Brown, Daniel"/>
    <s v="Singapore"/>
    <s v="Cotton Bedsheet"/>
    <s v="Textiles"/>
    <n v="7"/>
    <n v="36.43"/>
    <n v="255.01"/>
    <n v="6.3"/>
    <n v="73.709999999999994"/>
    <s v="Land"/>
    <s v="Medium"/>
    <s v="AS"/>
    <n v="25"/>
    <n v="175"/>
    <n v="0.28904748833379079"/>
    <n v="4"/>
  </r>
  <r>
    <s v="ORD_2025_0203"/>
    <x v="13"/>
    <s v="Miller, Sarah"/>
    <s v="Mexico"/>
    <s v="LED Lamp"/>
    <s v="Electronics"/>
    <n v="39"/>
    <n v="19.48"/>
    <n v="759.72"/>
    <n v="40.090000000000003"/>
    <n v="222.38"/>
    <s v="Air"/>
    <s v="Medium"/>
    <s v="NA"/>
    <n v="12.75"/>
    <n v="497.25"/>
    <n v="0.29271310482809454"/>
    <n v="3"/>
  </r>
  <r>
    <s v="ORD_2025_0204"/>
    <x v="10"/>
    <s v="Brown, James"/>
    <s v="South Africa"/>
    <s v="Glass Bowl Set"/>
    <s v="Home Decor"/>
    <n v="35"/>
    <n v="38.83"/>
    <n v="1359.05"/>
    <n v="93.92"/>
    <n v="477.63"/>
    <s v="Air"/>
    <s v="Medium"/>
    <s v="AF"/>
    <n v="22.5"/>
    <n v="787.5"/>
    <n v="0.35144402339869762"/>
    <n v="2"/>
  </r>
  <r>
    <s v="ORD_2025_0205"/>
    <x v="3"/>
    <s v="Johnson, Daniel"/>
    <s v="China"/>
    <s v="Wireless Mouse"/>
    <s v="Electronics"/>
    <n v="39"/>
    <n v="32.76"/>
    <n v="1277.6400000000001"/>
    <n v="35.81"/>
    <n v="461.83"/>
    <s v="Sea"/>
    <s v="High"/>
    <s v="AS"/>
    <n v="20"/>
    <n v="780"/>
    <n v="0.36147114993268836"/>
    <n v="10"/>
  </r>
  <r>
    <s v="ORD_2025_0206"/>
    <x v="0"/>
    <s v="Davis, Emma"/>
    <s v="Usa"/>
    <s v="Bluetooth Speaker"/>
    <s v="Electronics"/>
    <n v="8"/>
    <n v="39.869999999999997"/>
    <n v="318.95999999999998"/>
    <n v="15.95"/>
    <n v="47.01"/>
    <s v="Air"/>
    <s v="High"/>
    <s v="NA"/>
    <n v="32"/>
    <n v="256"/>
    <n v="0.14738525206922498"/>
    <n v="1"/>
  </r>
  <r>
    <s v="ORD_2025_0207"/>
    <x v="8"/>
    <s v="Brown, Emily"/>
    <s v="Uae"/>
    <s v="Denim Jacket"/>
    <s v="Apparel"/>
    <n v="10"/>
    <n v="63.1"/>
    <n v="631"/>
    <n v="26.93"/>
    <n v="204.07"/>
    <s v="Sea"/>
    <s v="Medium"/>
    <s v="AS"/>
    <n v="40"/>
    <n v="400"/>
    <n v="0.32340729001584784"/>
    <n v="4"/>
  </r>
  <r>
    <s v="ORD_2025_0208"/>
    <x v="14"/>
    <s v="Jones, Laura"/>
    <s v="Germany"/>
    <s v="Bluetooth Speaker"/>
    <s v="Electronics"/>
    <n v="3"/>
    <n v="55.1"/>
    <n v="165.3"/>
    <n v="9.17"/>
    <n v="60.13"/>
    <s v="Land"/>
    <s v="Low"/>
    <s v="EU"/>
    <n v="32"/>
    <n v="96"/>
    <n v="0.36376285541439807"/>
    <n v="5"/>
  </r>
  <r>
    <s v="ORD_2025_0209"/>
    <x v="10"/>
    <s v="Smith, Emma"/>
    <s v="India"/>
    <s v="Ceramic Vase"/>
    <s v="Home Decor"/>
    <n v="26"/>
    <n v="19.809999999999999"/>
    <n v="515.05999999999995"/>
    <n v="10.3"/>
    <n v="101.76"/>
    <s v="Air"/>
    <s v="Medium"/>
    <s v="AS"/>
    <n v="15.5"/>
    <n v="403"/>
    <n v="0.19756921523705978"/>
    <n v="2"/>
  </r>
  <r>
    <s v="ORD_2025_0210"/>
    <x v="8"/>
    <s v="Garcia, Sophia"/>
    <s v="Uae"/>
    <s v="Denim Jacket"/>
    <s v="Apparel"/>
    <n v="17"/>
    <n v="53.34"/>
    <n v="906.78"/>
    <n v="30.6"/>
    <n v="196.18"/>
    <s v="Land"/>
    <s v="Medium"/>
    <s v="AS"/>
    <n v="40"/>
    <n v="680"/>
    <n v="0.21634795650543684"/>
    <n v="4"/>
  </r>
  <r>
    <s v="ORD_2025_0211"/>
    <x v="12"/>
    <s v="Hernandez, Sophia"/>
    <s v="China"/>
    <s v="Wireless Mouse"/>
    <s v="Electronics"/>
    <n v="17"/>
    <n v="28.23"/>
    <n v="479.91"/>
    <n v="31.88"/>
    <n v="108.03"/>
    <s v="Sea"/>
    <s v="Low"/>
    <s v="AS"/>
    <n v="20"/>
    <n v="340"/>
    <n v="0.22510470713258734"/>
    <n v="7"/>
  </r>
  <r>
    <s v="ORD_2025_0212"/>
    <x v="11"/>
    <s v="Brown, David"/>
    <s v="Germany"/>
    <s v="Leather Wallet"/>
    <s v="Accessories"/>
    <n v="42"/>
    <n v="25.26"/>
    <n v="1060.92"/>
    <n v="77.05"/>
    <n v="227.87"/>
    <s v="Land"/>
    <s v="High"/>
    <s v="EU"/>
    <n v="18"/>
    <n v="756"/>
    <n v="0.21478528069976999"/>
    <n v="3"/>
  </r>
  <r>
    <s v="ORD_2025_0213"/>
    <x v="6"/>
    <s v="Garcia, Sarah"/>
    <s v="India"/>
    <s v="Leather Wallet"/>
    <s v="Accessories"/>
    <n v="2"/>
    <n v="27.27"/>
    <n v="54.54"/>
    <n v="1.45"/>
    <n v="17.09"/>
    <s v="Land"/>
    <s v="High"/>
    <s v="AS"/>
    <n v="18"/>
    <n v="36"/>
    <n v="0.31334800146681335"/>
    <n v="9"/>
  </r>
  <r>
    <s v="ORD_2025_0214"/>
    <x v="15"/>
    <s v="Martinez, Emily"/>
    <s v="Uae"/>
    <s v="Table Lamp"/>
    <s v="Home Decor"/>
    <n v="48"/>
    <n v="44.95"/>
    <n v="2157.6"/>
    <n v="148.41"/>
    <n v="665.19"/>
    <s v="Land"/>
    <s v="Low"/>
    <s v="AS"/>
    <n v="28"/>
    <n v="1344"/>
    <n v="0.30830088987764187"/>
    <n v="11"/>
  </r>
  <r>
    <s v="ORD_2025_0215"/>
    <x v="8"/>
    <s v="Brown, David"/>
    <s v="Singapore"/>
    <s v="Wireless Mouse"/>
    <s v="Electronics"/>
    <n v="23"/>
    <n v="28.6"/>
    <n v="657.8"/>
    <n v="13.36"/>
    <n v="184.44"/>
    <s v="Land"/>
    <s v="High"/>
    <s v="AS"/>
    <n v="20"/>
    <n v="460"/>
    <n v="0.28038917604135"/>
    <n v="4"/>
  </r>
  <r>
    <s v="ORD_2025_0216"/>
    <x v="15"/>
    <s v="Garcia, Sophia"/>
    <s v="France"/>
    <s v="Ceramic Vase"/>
    <s v="Home Decor"/>
    <n v="18"/>
    <n v="26.1"/>
    <n v="469.8"/>
    <n v="19.52"/>
    <n v="171.28"/>
    <s v="Air"/>
    <s v="Low"/>
    <s v="EU"/>
    <n v="15.5"/>
    <n v="279"/>
    <n v="0.36458067262664962"/>
    <n v="11"/>
  </r>
  <r>
    <s v="ORD_2025_0217"/>
    <x v="3"/>
    <s v="Johnson, John"/>
    <s v="Mexico"/>
    <s v="Table Lamp"/>
    <s v="Home Decor"/>
    <n v="21"/>
    <n v="37.450000000000003"/>
    <n v="786.45"/>
    <n v="62.4"/>
    <n v="136.05000000000001"/>
    <s v="Land"/>
    <s v="High"/>
    <s v="NA"/>
    <n v="28"/>
    <n v="588"/>
    <n v="0.17299256151058554"/>
    <n v="10"/>
  </r>
  <r>
    <s v="ORD_2025_0218"/>
    <x v="9"/>
    <s v="Miller, Emma"/>
    <s v="Singapore"/>
    <s v="Wireless Mouse"/>
    <s v="Electronics"/>
    <n v="25"/>
    <n v="28.54"/>
    <n v="713.5"/>
    <n v="50.38"/>
    <n v="163.12"/>
    <s v="Land"/>
    <s v="Low"/>
    <s v="AS"/>
    <n v="20"/>
    <n v="500"/>
    <n v="0.22861948142957253"/>
    <n v="12"/>
  </r>
  <r>
    <s v="ORD_2025_0219"/>
    <x v="1"/>
    <s v="Hernandez, John"/>
    <s v="Usa"/>
    <s v="Cotton Bedsheet"/>
    <s v="Textiles"/>
    <n v="11"/>
    <n v="38.07"/>
    <n v="418.77"/>
    <n v="29.02"/>
    <n v="114.75"/>
    <s v="Sea"/>
    <s v="Low"/>
    <s v="NA"/>
    <n v="25"/>
    <n v="275"/>
    <n v="0.27401676337846553"/>
    <n v="2"/>
  </r>
  <r>
    <s v="ORD_2025_0220"/>
    <x v="3"/>
    <s v="Brown, Sophia"/>
    <s v="Canada"/>
    <s v="Ceramic Vase"/>
    <s v="Home Decor"/>
    <n v="18"/>
    <n v="19.32"/>
    <n v="347.76"/>
    <n v="21.34"/>
    <n v="47.42"/>
    <s v="Sea"/>
    <s v="Low"/>
    <s v="NA"/>
    <n v="15.5"/>
    <n v="279"/>
    <n v="0.13635840809753855"/>
    <n v="10"/>
  </r>
  <r>
    <s v="ORD_2025_0221"/>
    <x v="4"/>
    <s v="Martinez, James"/>
    <s v="Uk"/>
    <s v="Table Lamp"/>
    <s v="Home Decor"/>
    <n v="42"/>
    <n v="50.02"/>
    <n v="2100.84"/>
    <n v="89.65"/>
    <n v="835.19"/>
    <s v="Sea"/>
    <s v="Medium"/>
    <s v="EU"/>
    <n v="28"/>
    <n v="1176"/>
    <n v="0.39755050360808059"/>
    <n v="6"/>
  </r>
  <r>
    <s v="ORD_2025_0222"/>
    <x v="0"/>
    <s v="Smith, James"/>
    <s v="Australia"/>
    <s v="Table Lamp"/>
    <s v="Home Decor"/>
    <n v="13"/>
    <n v="49.39"/>
    <n v="642.07000000000005"/>
    <n v="38.32"/>
    <n v="239.75"/>
    <s v="Sea"/>
    <s v="Low"/>
    <s v="OC"/>
    <n v="28"/>
    <n v="364"/>
    <n v="0.37340165402526199"/>
    <n v="1"/>
  </r>
  <r>
    <s v="ORD_2025_0223"/>
    <x v="5"/>
    <s v="Miller, David"/>
    <s v="Uk"/>
    <s v="Leather Wallet"/>
    <s v="Accessories"/>
    <n v="15"/>
    <n v="22.86"/>
    <n v="342.9"/>
    <n v="27.16"/>
    <n v="45.74"/>
    <s v="Air"/>
    <s v="High"/>
    <s v="EU"/>
    <n v="18"/>
    <n v="270"/>
    <n v="0.13339165937591135"/>
    <n v="5"/>
  </r>
  <r>
    <s v="ORD_2025_0224"/>
    <x v="6"/>
    <s v="Johnson, John"/>
    <s v="India"/>
    <s v="Cotton Bedsheet"/>
    <s v="Textiles"/>
    <n v="37"/>
    <n v="37.270000000000003"/>
    <n v="1378.99"/>
    <n v="92.92"/>
    <n v="361.07"/>
    <s v="Land"/>
    <s v="Low"/>
    <s v="AS"/>
    <n v="25"/>
    <n v="925"/>
    <n v="0.26183656154141799"/>
    <n v="9"/>
  </r>
  <r>
    <s v="ORD_2025_0225"/>
    <x v="11"/>
    <s v="Johnson, Michael"/>
    <s v="France"/>
    <s v="Travel Backpack"/>
    <s v="Accessories"/>
    <n v="49"/>
    <n v="54.05"/>
    <n v="2648.45"/>
    <n v="66.8"/>
    <n v="866.65"/>
    <s v="Air"/>
    <s v="Low"/>
    <s v="EU"/>
    <n v="35"/>
    <n v="1715"/>
    <n v="0.32722913402178633"/>
    <n v="3"/>
  </r>
  <r>
    <s v="ORD_2025_0226"/>
    <x v="7"/>
    <s v="Jones, Emma"/>
    <s v="Uk"/>
    <s v="LED Lamp"/>
    <s v="Electronics"/>
    <n v="33"/>
    <n v="20.059999999999999"/>
    <n v="661.98"/>
    <n v="50.02"/>
    <n v="191.21"/>
    <s v="Air"/>
    <s v="Medium"/>
    <s v="EU"/>
    <n v="12.75"/>
    <n v="420.75"/>
    <n v="0.28884558445874498"/>
    <n v="8"/>
  </r>
  <r>
    <s v="ORD_2025_0227"/>
    <x v="15"/>
    <s v="Miller, Sarah"/>
    <s v="Germany"/>
    <s v="Table Lamp"/>
    <s v="Home Decor"/>
    <n v="49"/>
    <n v="35.68"/>
    <n v="1748.32"/>
    <n v="124.47"/>
    <n v="251.85"/>
    <s v="Air"/>
    <s v="High"/>
    <s v="EU"/>
    <n v="28"/>
    <n v="1372"/>
    <n v="0.14405257618742565"/>
    <n v="11"/>
  </r>
  <r>
    <s v="ORD_2025_0228"/>
    <x v="13"/>
    <s v="Davis, John"/>
    <s v="India"/>
    <s v="Cotton Bedsheet"/>
    <s v="Textiles"/>
    <n v="23"/>
    <n v="30.89"/>
    <n v="710.47"/>
    <n v="18.739999999999998"/>
    <n v="116.73"/>
    <s v="Sea"/>
    <s v="Low"/>
    <s v="AS"/>
    <n v="25"/>
    <n v="575"/>
    <n v="0.16429968893830843"/>
    <n v="3"/>
  </r>
  <r>
    <s v="ORD_2025_0229"/>
    <x v="3"/>
    <s v="Miller, Daniel"/>
    <s v="France"/>
    <s v="Travel Backpack"/>
    <s v="Accessories"/>
    <n v="14"/>
    <n v="59.6"/>
    <n v="834.4"/>
    <n v="19.11"/>
    <n v="325.29000000000002"/>
    <s v="Sea"/>
    <s v="Medium"/>
    <s v="EU"/>
    <n v="35"/>
    <n v="490"/>
    <n v="0.38984899328859063"/>
    <n v="10"/>
  </r>
  <r>
    <s v="ORD_2025_0230"/>
    <x v="1"/>
    <s v="Jones, Emily"/>
    <s v="Germany"/>
    <s v="Glass Bowl Set"/>
    <s v="Home Decor"/>
    <n v="3"/>
    <n v="28.36"/>
    <n v="85.08"/>
    <n v="4.46"/>
    <n v="13.12"/>
    <s v="Land"/>
    <s v="Medium"/>
    <s v="EU"/>
    <n v="22.5"/>
    <n v="67.5"/>
    <n v="0.15420780441936999"/>
    <n v="2"/>
  </r>
  <r>
    <s v="ORD_2025_0231"/>
    <x v="15"/>
    <s v="Smith, Daniel"/>
    <s v="Germany"/>
    <s v="LED Lamp"/>
    <s v="Electronics"/>
    <n v="28"/>
    <n v="22.13"/>
    <n v="619.64"/>
    <n v="17.2"/>
    <n v="245.44"/>
    <s v="Sea"/>
    <s v="High"/>
    <s v="EU"/>
    <n v="12.75"/>
    <n v="357"/>
    <n v="0.39610096184881544"/>
    <n v="11"/>
  </r>
  <r>
    <s v="ORD_2025_0232"/>
    <x v="9"/>
    <s v="Hernandez, Daniel"/>
    <s v="Usa"/>
    <s v="Leather Wallet"/>
    <s v="Accessories"/>
    <n v="28"/>
    <n v="27.62"/>
    <n v="773.36"/>
    <n v="29.88"/>
    <n v="239.48"/>
    <s v="Land"/>
    <s v="Low"/>
    <s v="NA"/>
    <n v="18"/>
    <n v="504"/>
    <n v="0.30966173580221368"/>
    <n v="12"/>
  </r>
  <r>
    <s v="ORD_2025_0233"/>
    <x v="13"/>
    <s v="Martinez, Sarah"/>
    <s v="Canada"/>
    <s v="Cotton Bedsheet"/>
    <s v="Textiles"/>
    <n v="40"/>
    <n v="34.229999999999997"/>
    <n v="1369.2"/>
    <n v="78.03"/>
    <n v="291.17"/>
    <s v="Land"/>
    <s v="Low"/>
    <s v="NA"/>
    <n v="25"/>
    <n v="1000"/>
    <n v="0.21265702600058428"/>
    <n v="3"/>
  </r>
  <r>
    <s v="ORD_2025_0234"/>
    <x v="0"/>
    <s v="Miller, Sophia"/>
    <s v="Japan"/>
    <s v="Denim Jacket"/>
    <s v="Apparel"/>
    <n v="9"/>
    <n v="52.2"/>
    <n v="469.8"/>
    <n v="31.5"/>
    <n v="78.3"/>
    <s v="Air"/>
    <s v="High"/>
    <s v="AS"/>
    <n v="40"/>
    <n v="360"/>
    <n v="0.16666666666666666"/>
    <n v="1"/>
  </r>
  <r>
    <s v="ORD_2025_0235"/>
    <x v="13"/>
    <s v="Hernandez, Daniel"/>
    <s v="France"/>
    <s v="Cotton Bedsheet"/>
    <s v="Textiles"/>
    <n v="31"/>
    <n v="43.54"/>
    <n v="1349.74"/>
    <n v="99.86"/>
    <n v="474.88"/>
    <s v="Land"/>
    <s v="Medium"/>
    <s v="EU"/>
    <n v="25"/>
    <n v="775"/>
    <n v="0.35183072295405038"/>
    <n v="3"/>
  </r>
  <r>
    <s v="ORD_2025_0236"/>
    <x v="5"/>
    <s v="Williams, Laura"/>
    <s v="Uae"/>
    <s v="Ceramic Vase"/>
    <s v="Home Decor"/>
    <n v="31"/>
    <n v="18.63"/>
    <n v="577.53"/>
    <n v="36.65"/>
    <n v="60.38"/>
    <s v="Air"/>
    <s v="Low"/>
    <s v="AS"/>
    <n v="15.5"/>
    <n v="480.5"/>
    <n v="0.1045486814537773"/>
    <n v="5"/>
  </r>
  <r>
    <s v="ORD_2025_0237"/>
    <x v="10"/>
    <s v="Jones, Daniel"/>
    <s v="Japan"/>
    <s v="Wireless Mouse"/>
    <s v="Electronics"/>
    <n v="38"/>
    <n v="27.28"/>
    <n v="1036.6400000000001"/>
    <n v="38.770000000000003"/>
    <n v="237.87"/>
    <s v="Land"/>
    <s v="High"/>
    <s v="AS"/>
    <n v="20"/>
    <n v="760"/>
    <n v="0.22946249421206974"/>
    <n v="2"/>
  </r>
  <r>
    <s v="ORD_2025_0238"/>
    <x v="15"/>
    <s v="Miller, Sarah"/>
    <s v="Brazil"/>
    <s v="Leather Wallet"/>
    <s v="Accessories"/>
    <n v="50"/>
    <n v="30.97"/>
    <n v="1548.5"/>
    <n v="82.09"/>
    <n v="566.41"/>
    <s v="Sea"/>
    <s v="Medium"/>
    <s v="SA"/>
    <n v="18"/>
    <n v="900"/>
    <n v="0.36577978689053919"/>
    <n v="11"/>
  </r>
  <r>
    <s v="ORD_2025_0239"/>
    <x v="10"/>
    <s v="Williams, David"/>
    <s v="Japan"/>
    <s v="Denim Jacket"/>
    <s v="Apparel"/>
    <n v="17"/>
    <n v="60.91"/>
    <n v="1035.47"/>
    <n v="54.09"/>
    <n v="301.38"/>
    <s v="Air"/>
    <s v="Low"/>
    <s v="AS"/>
    <n v="40"/>
    <n v="680"/>
    <n v="0.29105623533274744"/>
    <n v="2"/>
  </r>
  <r>
    <s v="ORD_2025_0240"/>
    <x v="5"/>
    <s v="Johnson, Sophia"/>
    <s v="China"/>
    <s v="Wireless Mouse"/>
    <s v="Electronics"/>
    <n v="25"/>
    <n v="31.15"/>
    <n v="778.75"/>
    <n v="47.45"/>
    <n v="231.3"/>
    <s v="Land"/>
    <s v="High"/>
    <s v="AS"/>
    <n v="20"/>
    <n v="500"/>
    <n v="0.29701444622792939"/>
    <n v="5"/>
  </r>
  <r>
    <s v="ORD_2025_0241"/>
    <x v="12"/>
    <s v="Brown, John"/>
    <s v="France"/>
    <s v="Leather Wallet"/>
    <s v="Accessories"/>
    <n v="30"/>
    <n v="31.12"/>
    <n v="933.6"/>
    <n v="50.88"/>
    <n v="342.72"/>
    <s v="Sea"/>
    <s v="Medium"/>
    <s v="EU"/>
    <n v="18"/>
    <n v="540"/>
    <n v="0.36709511568123393"/>
    <n v="7"/>
  </r>
  <r>
    <s v="ORD_2025_0242"/>
    <x v="1"/>
    <s v="Hernandez, John"/>
    <s v="Mexico"/>
    <s v="Ceramic Vase"/>
    <s v="Home Decor"/>
    <n v="17"/>
    <n v="19.64"/>
    <n v="333.88"/>
    <n v="22.23"/>
    <n v="48.15"/>
    <s v="Air"/>
    <s v="High"/>
    <s v="NA"/>
    <n v="15.5"/>
    <n v="263.5"/>
    <n v="0.14421348987660237"/>
    <n v="2"/>
  </r>
  <r>
    <s v="ORD_2025_0243"/>
    <x v="4"/>
    <s v="Johnson, Laura"/>
    <s v="Usa"/>
    <s v="Bluetooth Speaker"/>
    <s v="Electronics"/>
    <n v="37"/>
    <n v="57.35"/>
    <n v="2121.9499999999998"/>
    <n v="147.38999999999999"/>
    <n v="790.56"/>
    <s v="Land"/>
    <s v="Low"/>
    <s v="NA"/>
    <n v="32"/>
    <n v="1184"/>
    <n v="0.37256297273734068"/>
    <n v="6"/>
  </r>
  <r>
    <s v="ORD_2025_0244"/>
    <x v="1"/>
    <s v="Smith, Emily"/>
    <s v="Italy"/>
    <s v="Travel Backpack"/>
    <s v="Accessories"/>
    <n v="45"/>
    <n v="42.6"/>
    <n v="1917"/>
    <n v="104.27"/>
    <n v="237.73"/>
    <s v="Sea"/>
    <s v="High"/>
    <s v="EU"/>
    <n v="35"/>
    <n v="1575"/>
    <n v="0.12401147626499738"/>
    <n v="2"/>
  </r>
  <r>
    <s v="ORD_2025_0245"/>
    <x v="4"/>
    <s v="Brown, Michael"/>
    <s v="Uk"/>
    <s v="Wireless Mouse"/>
    <s v="Electronics"/>
    <n v="25"/>
    <n v="31.82"/>
    <n v="795.5"/>
    <n v="37.33"/>
    <n v="258.17"/>
    <s v="Land"/>
    <s v="Medium"/>
    <s v="EU"/>
    <n v="20"/>
    <n v="500"/>
    <n v="0.32453802639849155"/>
    <n v="6"/>
  </r>
  <r>
    <s v="ORD_2025_0246"/>
    <x v="5"/>
    <s v="Williams, Emma"/>
    <s v="India"/>
    <s v="Cotton Bedsheet"/>
    <s v="Textiles"/>
    <n v="17"/>
    <n v="36.270000000000003"/>
    <n v="616.59"/>
    <n v="22.76"/>
    <n v="168.83"/>
    <s v="Air"/>
    <s v="Low"/>
    <s v="AS"/>
    <n v="25"/>
    <n v="425"/>
    <n v="0.27381241992247685"/>
    <n v="5"/>
  </r>
  <r>
    <s v="ORD_2025_0247"/>
    <x v="15"/>
    <s v="Garcia, Emma"/>
    <s v="Uae"/>
    <s v="Leather Wallet"/>
    <s v="Accessories"/>
    <n v="4"/>
    <n v="27.01"/>
    <n v="108.04"/>
    <n v="4.7300000000000004"/>
    <n v="31.31"/>
    <s v="Air"/>
    <s v="High"/>
    <s v="AS"/>
    <n v="18"/>
    <n v="72"/>
    <n v="0.28980007404664937"/>
    <n v="11"/>
  </r>
  <r>
    <s v="ORD_2025_0248"/>
    <x v="14"/>
    <s v="Martinez, Emily"/>
    <s v="Mexico"/>
    <s v="Travel Backpack"/>
    <s v="Accessories"/>
    <n v="22"/>
    <n v="57.6"/>
    <n v="1267.2"/>
    <n v="35.32"/>
    <n v="461.88"/>
    <s v="Air"/>
    <s v="Low"/>
    <s v="NA"/>
    <n v="35"/>
    <n v="770"/>
    <n v="0.36448863636363632"/>
    <n v="5"/>
  </r>
  <r>
    <s v="ORD_2025_0249"/>
    <x v="16"/>
    <s v="Brown, Emily"/>
    <s v="Germany"/>
    <s v="Cotton Bedsheet"/>
    <s v="Textiles"/>
    <n v="24"/>
    <n v="43.34"/>
    <n v="1040.1600000000001"/>
    <n v="41.18"/>
    <n v="398.98"/>
    <s v="Land"/>
    <s v="High"/>
    <s v="EU"/>
    <n v="25"/>
    <n v="600"/>
    <n v="0.38357560375326871"/>
    <n v="1"/>
  </r>
  <r>
    <s v="ORD_2025_0250"/>
    <x v="1"/>
    <s v="Brown, Daniel"/>
    <s v="Mexico"/>
    <s v="Denim Jacket"/>
    <s v="Apparel"/>
    <n v="37"/>
    <n v="71.8"/>
    <n v="2656.6"/>
    <n v="60.3"/>
    <n v="1116.3"/>
    <s v="Sea"/>
    <s v="Low"/>
    <s v="NA"/>
    <n v="40"/>
    <n v="1480"/>
    <n v="0.42019875028231574"/>
    <n v="2"/>
  </r>
  <r>
    <s v="ORD_2025_0251"/>
    <x v="4"/>
    <s v="Johnson, Laura"/>
    <s v="Uae"/>
    <s v="Wireless Mouse"/>
    <s v="Electronics"/>
    <n v="24"/>
    <n v="29.11"/>
    <n v="698.64"/>
    <n v="53.99"/>
    <n v="164.65"/>
    <s v="Air"/>
    <s v="High"/>
    <s v="AS"/>
    <n v="20"/>
    <n v="480"/>
    <n v="0.23567216305965877"/>
    <n v="6"/>
  </r>
  <r>
    <s v="ORD_2025_0252"/>
    <x v="16"/>
    <s v="Smith, John"/>
    <s v="Japan"/>
    <s v="Glass Bowl Set"/>
    <s v="Home Decor"/>
    <n v="6"/>
    <n v="27.91"/>
    <n v="167.46"/>
    <n v="10.01"/>
    <n v="22.45"/>
    <s v="Land"/>
    <s v="Low"/>
    <s v="AS"/>
    <n v="22.5"/>
    <n v="135"/>
    <n v="0.1340618655201242"/>
    <n v="1"/>
  </r>
  <r>
    <s v="ORD_2025_0253"/>
    <x v="10"/>
    <s v="Miller, Daniel"/>
    <s v="China"/>
    <s v="Glass Bowl Set"/>
    <s v="Home Decor"/>
    <n v="28"/>
    <n v="27.29"/>
    <n v="764.12"/>
    <n v="25.78"/>
    <n v="108.34"/>
    <s v="Air"/>
    <s v="Low"/>
    <s v="AS"/>
    <n v="22.5"/>
    <n v="630"/>
    <n v="0.1417840129822541"/>
    <n v="2"/>
  </r>
  <r>
    <s v="ORD_2025_0254"/>
    <x v="10"/>
    <s v="Davis, Daniel"/>
    <s v="Mexico"/>
    <s v="Glass Bowl Set"/>
    <s v="Home Decor"/>
    <n v="47"/>
    <n v="35.880000000000003"/>
    <n v="1686.36"/>
    <n v="70.3"/>
    <n v="558.55999999999995"/>
    <s v="Land"/>
    <s v="Medium"/>
    <s v="NA"/>
    <n v="22.5"/>
    <n v="1057.5"/>
    <n v="0.33122227756825351"/>
    <n v="2"/>
  </r>
  <r>
    <s v="ORD_2025_0255"/>
    <x v="4"/>
    <s v="Davis, Emily"/>
    <s v="France"/>
    <s v="Ceramic Vase"/>
    <s v="Home Decor"/>
    <n v="19"/>
    <n v="27.47"/>
    <n v="521.92999999999995"/>
    <n v="31.29"/>
    <n v="196.14"/>
    <s v="Sea"/>
    <s v="High"/>
    <s v="EU"/>
    <n v="15.5"/>
    <n v="294.5"/>
    <n v="0.37579752074032918"/>
    <n v="6"/>
  </r>
  <r>
    <s v="ORD_2025_0256"/>
    <x v="15"/>
    <s v="Smith, Daniel"/>
    <s v="Australia"/>
    <s v="Wireless Mouse"/>
    <s v="Electronics"/>
    <n v="13"/>
    <n v="29.26"/>
    <n v="380.38"/>
    <n v="9.4700000000000006"/>
    <n v="110.91"/>
    <s v="Sea"/>
    <s v="High"/>
    <s v="OC"/>
    <n v="20"/>
    <n v="260"/>
    <n v="0.29157684420842317"/>
    <n v="11"/>
  </r>
  <r>
    <s v="ORD_2025_0257"/>
    <x v="0"/>
    <s v="Miller, James"/>
    <s v="Germany"/>
    <s v="Leather Wallet"/>
    <s v="Accessories"/>
    <n v="4"/>
    <n v="26.17"/>
    <n v="104.68"/>
    <n v="6.33"/>
    <n v="26.35"/>
    <s v="Land"/>
    <s v="Medium"/>
    <s v="EU"/>
    <n v="18"/>
    <n v="72"/>
    <n v="0.25171952617500953"/>
    <n v="1"/>
  </r>
  <r>
    <s v="ORD_2025_0258"/>
    <x v="16"/>
    <s v="Brown, Daniel"/>
    <s v="Germany"/>
    <s v="Glass Bowl Set"/>
    <s v="Home Decor"/>
    <n v="43"/>
    <n v="37.32"/>
    <n v="1604.76"/>
    <n v="61.01"/>
    <n v="576.25"/>
    <s v="Land"/>
    <s v="Medium"/>
    <s v="EU"/>
    <n v="22.5"/>
    <n v="967.5"/>
    <n v="0.35908796330915527"/>
    <n v="1"/>
  </r>
  <r>
    <s v="ORD_2025_0259"/>
    <x v="6"/>
    <s v="Martinez, David"/>
    <s v="South Africa"/>
    <s v="Leather Wallet"/>
    <s v="Accessories"/>
    <n v="27"/>
    <n v="23.05"/>
    <n v="622.35"/>
    <n v="20.440000000000001"/>
    <n v="115.91"/>
    <s v="Air"/>
    <s v="Medium"/>
    <s v="AF"/>
    <n v="18"/>
    <n v="486"/>
    <n v="0.18624568169036715"/>
    <n v="9"/>
  </r>
  <r>
    <s v="ORD_2025_0260"/>
    <x v="3"/>
    <s v="Williams, Sophia"/>
    <s v="Japan"/>
    <s v="LED Lamp"/>
    <s v="Electronics"/>
    <n v="38"/>
    <n v="19.02"/>
    <n v="722.76"/>
    <n v="14.63"/>
    <n v="223.63"/>
    <s v="Sea"/>
    <s v="Medium"/>
    <s v="AS"/>
    <n v="12.75"/>
    <n v="484.5"/>
    <n v="0.30941114616193482"/>
    <n v="10"/>
  </r>
  <r>
    <s v="ORD_2025_0261"/>
    <x v="4"/>
    <s v="Garcia, James"/>
    <s v="Canada"/>
    <s v="Denim Jacket"/>
    <s v="Apparel"/>
    <n v="10"/>
    <n v="70.94"/>
    <n v="709.4"/>
    <n v="18.64"/>
    <n v="290.76"/>
    <s v="Sea"/>
    <s v="High"/>
    <s v="NA"/>
    <n v="40"/>
    <n v="400"/>
    <n v="0.40986749365661124"/>
    <n v="6"/>
  </r>
  <r>
    <s v="ORD_2025_0262"/>
    <x v="16"/>
    <s v="Jones, Daniel"/>
    <s v="Singapore"/>
    <s v="Cotton Bedsheet"/>
    <s v="Textiles"/>
    <n v="17"/>
    <n v="38.28"/>
    <n v="650.76"/>
    <n v="38.43"/>
    <n v="187.33"/>
    <s v="Sea"/>
    <s v="High"/>
    <s v="AS"/>
    <n v="25"/>
    <n v="425"/>
    <n v="0.28786342123056119"/>
    <n v="1"/>
  </r>
  <r>
    <s v="ORD_2025_0263"/>
    <x v="6"/>
    <s v="Brown, Sophia"/>
    <s v="Usa"/>
    <s v="Bluetooth Speaker"/>
    <s v="Electronics"/>
    <n v="10"/>
    <n v="38.799999999999997"/>
    <n v="388"/>
    <n v="16.39"/>
    <n v="51.61"/>
    <s v="Air"/>
    <s v="Medium"/>
    <s v="NA"/>
    <n v="32"/>
    <n v="320"/>
    <n v="0.13301546391752578"/>
    <n v="9"/>
  </r>
  <r>
    <s v="ORD_2025_0264"/>
    <x v="14"/>
    <s v="Brown, Daniel"/>
    <s v="China"/>
    <s v="Cotton Bedsheet"/>
    <s v="Textiles"/>
    <n v="3"/>
    <n v="33.840000000000003"/>
    <n v="101.52"/>
    <n v="2.3199999999999998"/>
    <n v="24.2"/>
    <s v="Air"/>
    <s v="High"/>
    <s v="AS"/>
    <n v="25"/>
    <n v="75"/>
    <n v="0.23837667454688732"/>
    <n v="5"/>
  </r>
  <r>
    <s v="ORD_2025_0265"/>
    <x v="11"/>
    <s v="Davis, Emily"/>
    <s v="Germany"/>
    <s v="Ceramic Vase"/>
    <s v="Home Decor"/>
    <n v="20"/>
    <n v="21.12"/>
    <n v="422.4"/>
    <n v="22.08"/>
    <n v="90.32"/>
    <s v="Sea"/>
    <s v="High"/>
    <s v="EU"/>
    <n v="15.5"/>
    <n v="310"/>
    <n v="0.21382575757575756"/>
    <n v="3"/>
  </r>
  <r>
    <s v="ORD_2025_0266"/>
    <x v="9"/>
    <s v="Davis, Sophia"/>
    <s v="South Africa"/>
    <s v="Travel Backpack"/>
    <s v="Accessories"/>
    <n v="1"/>
    <n v="58.15"/>
    <n v="58.15"/>
    <n v="4.2"/>
    <n v="18.95"/>
    <s v="Sea"/>
    <s v="Medium"/>
    <s v="AF"/>
    <n v="35"/>
    <n v="35"/>
    <n v="0.32588134135855545"/>
    <n v="12"/>
  </r>
  <r>
    <s v="ORD_2025_0267"/>
    <x v="11"/>
    <s v="Martinez, Michael"/>
    <s v="Brazil"/>
    <s v="Bluetooth Speaker"/>
    <s v="Electronics"/>
    <n v="32"/>
    <n v="45.96"/>
    <n v="1470.72"/>
    <n v="82.77"/>
    <n v="363.95"/>
    <s v="Land"/>
    <s v="Medium"/>
    <s v="SA"/>
    <n v="32"/>
    <n v="1024"/>
    <n v="0.24746382724107918"/>
    <n v="3"/>
  </r>
  <r>
    <s v="ORD_2025_0268"/>
    <x v="8"/>
    <s v="Johnson, Emily"/>
    <s v="Italy"/>
    <s v="LED Lamp"/>
    <s v="Electronics"/>
    <n v="37"/>
    <n v="16.82"/>
    <n v="622.34"/>
    <n v="32.9"/>
    <n v="117.69"/>
    <s v="Air"/>
    <s v="Medium"/>
    <s v="EU"/>
    <n v="12.75"/>
    <n v="471.75"/>
    <n v="0.18910884725391264"/>
    <n v="4"/>
  </r>
  <r>
    <s v="ORD_2025_0269"/>
    <x v="2"/>
    <s v="Hernandez, Emma"/>
    <s v="Italy"/>
    <s v="Bluetooth Speaker"/>
    <s v="Electronics"/>
    <n v="18"/>
    <n v="54.62"/>
    <n v="983.16"/>
    <n v="22.61"/>
    <n v="384.55"/>
    <s v="Air"/>
    <s v="Medium"/>
    <s v="EU"/>
    <n v="32"/>
    <n v="576"/>
    <n v="0.39113674274787424"/>
    <n v="4"/>
  </r>
  <r>
    <s v="ORD_2025_0270"/>
    <x v="13"/>
    <s v="Miller, Laura"/>
    <s v="Italy"/>
    <s v="LED Lamp"/>
    <s v="Electronics"/>
    <n v="30"/>
    <n v="22.83"/>
    <n v="684.9"/>
    <n v="32.31"/>
    <n v="270.08999999999997"/>
    <s v="Land"/>
    <s v="Medium"/>
    <s v="EU"/>
    <n v="12.75"/>
    <n v="382.5"/>
    <n v="0.3943495400788436"/>
    <n v="3"/>
  </r>
  <r>
    <s v="ORD_2025_0271"/>
    <x v="9"/>
    <s v="Smith, Laura"/>
    <s v="France"/>
    <s v="Bluetooth Speaker"/>
    <s v="Electronics"/>
    <n v="39"/>
    <n v="47.02"/>
    <n v="1833.78"/>
    <n v="50.01"/>
    <n v="535.77"/>
    <s v="Air"/>
    <s v="Medium"/>
    <s v="EU"/>
    <n v="32"/>
    <n v="1248"/>
    <n v="0.29216699931289469"/>
    <n v="12"/>
  </r>
  <r>
    <s v="ORD_2025_0272"/>
    <x v="8"/>
    <s v="Davis, David"/>
    <s v="Usa"/>
    <s v="Table Lamp"/>
    <s v="Home Decor"/>
    <n v="22"/>
    <n v="43.32"/>
    <n v="953.04"/>
    <n v="71.3"/>
    <n v="265.74"/>
    <s v="Sea"/>
    <s v="High"/>
    <s v="NA"/>
    <n v="28"/>
    <n v="616"/>
    <n v="0.27883404683958701"/>
    <n v="4"/>
  </r>
  <r>
    <s v="ORD_2025_0273"/>
    <x v="3"/>
    <s v="Garcia, John"/>
    <s v="Japan"/>
    <s v="Glass Bowl Set"/>
    <s v="Home Decor"/>
    <n v="6"/>
    <n v="31.69"/>
    <n v="190.14"/>
    <n v="12.52"/>
    <n v="42.62"/>
    <s v="Air"/>
    <s v="Medium"/>
    <s v="AS"/>
    <n v="22.5"/>
    <n v="135"/>
    <n v="0.22415062585463344"/>
    <n v="10"/>
  </r>
  <r>
    <s v="ORD_2025_0274"/>
    <x v="4"/>
    <s v="Davis, Emily"/>
    <s v="Germany"/>
    <s v="Travel Backpack"/>
    <s v="Accessories"/>
    <n v="19"/>
    <n v="53.28"/>
    <n v="1012.32"/>
    <n v="27.24"/>
    <n v="320.08"/>
    <s v="Air"/>
    <s v="Medium"/>
    <s v="EU"/>
    <n v="35"/>
    <n v="665"/>
    <n v="0.31618460565828982"/>
    <n v="6"/>
  </r>
  <r>
    <s v="ORD_2025_0275"/>
    <x v="14"/>
    <s v="Williams, Michael"/>
    <s v="Usa"/>
    <s v="Travel Backpack"/>
    <s v="Accessories"/>
    <n v="47"/>
    <n v="47.53"/>
    <n v="2233.91"/>
    <n v="128.91"/>
    <n v="460"/>
    <s v="Sea"/>
    <s v="Low"/>
    <s v="NA"/>
    <n v="35"/>
    <n v="1645"/>
    <n v="0.20591697964555422"/>
    <n v="5"/>
  </r>
  <r>
    <s v="ORD_2025_0276"/>
    <x v="15"/>
    <s v="Hernandez, Michael"/>
    <s v="Singapore"/>
    <s v="Wireless Mouse"/>
    <s v="Electronics"/>
    <n v="12"/>
    <n v="24.02"/>
    <n v="288.24"/>
    <n v="9.8000000000000007"/>
    <n v="38.44"/>
    <s v="Land"/>
    <s v="High"/>
    <s v="AS"/>
    <n v="20"/>
    <n v="240"/>
    <n v="0.133361087982237"/>
    <n v="11"/>
  </r>
  <r>
    <s v="ORD_2025_0277"/>
    <x v="0"/>
    <s v="Brown, Sophia"/>
    <s v="Singapore"/>
    <s v="LED Lamp"/>
    <s v="Electronics"/>
    <n v="32"/>
    <n v="15.64"/>
    <n v="500.48"/>
    <n v="24.69"/>
    <n v="67.790000000000006"/>
    <s v="Air"/>
    <s v="Low"/>
    <s v="AS"/>
    <n v="12.75"/>
    <n v="408"/>
    <n v="0.13544996803069054"/>
    <n v="1"/>
  </r>
  <r>
    <s v="ORD_2025_0278"/>
    <x v="3"/>
    <s v="Hernandez, David"/>
    <s v="Australia"/>
    <s v="Bluetooth Speaker"/>
    <s v="Electronics"/>
    <n v="22"/>
    <n v="42.54"/>
    <n v="935.88"/>
    <n v="45.37"/>
    <n v="186.51"/>
    <s v="Land"/>
    <s v="High"/>
    <s v="OC"/>
    <n v="32"/>
    <n v="704"/>
    <n v="0.1992883703038851"/>
    <n v="10"/>
  </r>
  <r>
    <s v="ORD_2025_0279"/>
    <x v="4"/>
    <s v="Hernandez, Sarah"/>
    <s v="India"/>
    <s v="Cotton Bedsheet"/>
    <s v="Textiles"/>
    <n v="37"/>
    <n v="43.55"/>
    <n v="1611.35"/>
    <n v="67.78"/>
    <n v="618.57000000000005"/>
    <s v="Sea"/>
    <s v="Medium"/>
    <s v="AS"/>
    <n v="25"/>
    <n v="925"/>
    <n v="0.38388307940546751"/>
    <n v="6"/>
  </r>
  <r>
    <s v="ORD_2025_0280"/>
    <x v="7"/>
    <s v="Hernandez, John"/>
    <s v="Brazil"/>
    <s v="Ceramic Vase"/>
    <s v="Home Decor"/>
    <n v="42"/>
    <n v="20.260000000000002"/>
    <n v="850.92"/>
    <n v="22.43"/>
    <n v="177.49"/>
    <s v="Air"/>
    <s v="High"/>
    <s v="SA"/>
    <n v="15.5"/>
    <n v="651"/>
    <n v="0.20858600103417479"/>
    <n v="8"/>
  </r>
  <r>
    <s v="ORD_2025_0281"/>
    <x v="5"/>
    <s v="Davis, James"/>
    <s v="Canada"/>
    <s v="Leather Wallet"/>
    <s v="Accessories"/>
    <n v="43"/>
    <n v="24.08"/>
    <n v="1035.44"/>
    <n v="35.07"/>
    <n v="226.37"/>
    <s v="Sea"/>
    <s v="High"/>
    <s v="NA"/>
    <n v="18"/>
    <n v="774"/>
    <n v="0.21862203507687553"/>
    <n v="5"/>
  </r>
  <r>
    <s v="ORD_2025_0282"/>
    <x v="4"/>
    <s v="Johnson, Emily"/>
    <s v="Germany"/>
    <s v="Denim Jacket"/>
    <s v="Apparel"/>
    <n v="14"/>
    <n v="69.010000000000005"/>
    <n v="966.14"/>
    <n v="32.67"/>
    <n v="373.47"/>
    <s v="Sea"/>
    <s v="Low"/>
    <s v="EU"/>
    <n v="40"/>
    <n v="560"/>
    <n v="0.38655888380565967"/>
    <n v="6"/>
  </r>
  <r>
    <s v="ORD_2025_0283"/>
    <x v="14"/>
    <s v="Miller, David"/>
    <s v="Australia"/>
    <s v="Wireless Mouse"/>
    <s v="Electronics"/>
    <n v="29"/>
    <n v="28.29"/>
    <n v="820.41"/>
    <n v="63.15"/>
    <n v="177.26"/>
    <s v="Air"/>
    <s v="High"/>
    <s v="OC"/>
    <n v="20"/>
    <n v="580"/>
    <n v="0.21606270035713851"/>
    <n v="5"/>
  </r>
  <r>
    <s v="ORD_2025_0284"/>
    <x v="16"/>
    <s v="Johnson, David"/>
    <s v="Mexico"/>
    <s v="Ceramic Vase"/>
    <s v="Home Decor"/>
    <n v="29"/>
    <n v="26.51"/>
    <n v="768.79"/>
    <n v="15.66"/>
    <n v="303.63"/>
    <s v="Sea"/>
    <s v="Low"/>
    <s v="NA"/>
    <n v="15.5"/>
    <n v="449.5"/>
    <n v="0.3949453036589966"/>
    <n v="1"/>
  </r>
  <r>
    <s v="ORD_2025_0285"/>
    <x v="9"/>
    <s v="Martinez, Sarah"/>
    <s v="Canada"/>
    <s v="Travel Backpack"/>
    <s v="Accessories"/>
    <n v="11"/>
    <n v="58.07"/>
    <n v="638.77"/>
    <n v="43.89"/>
    <n v="209.88"/>
    <s v="Land"/>
    <s v="Medium"/>
    <s v="NA"/>
    <n v="35"/>
    <n v="385"/>
    <n v="0.32856896848630962"/>
    <n v="12"/>
  </r>
  <r>
    <s v="ORD_2025_0286"/>
    <x v="5"/>
    <s v="Smith, Sophia"/>
    <s v="Uk"/>
    <s v="Bluetooth Speaker"/>
    <s v="Electronics"/>
    <n v="3"/>
    <n v="48.76"/>
    <n v="146.28"/>
    <n v="10.45"/>
    <n v="39.83"/>
    <s v="Air"/>
    <s v="Medium"/>
    <s v="EU"/>
    <n v="32"/>
    <n v="96"/>
    <n v="0.2722860267979218"/>
    <n v="5"/>
  </r>
  <r>
    <s v="ORD_2025_0287"/>
    <x v="14"/>
    <s v="Williams, Emily"/>
    <s v="India"/>
    <s v="Wireless Mouse"/>
    <s v="Electronics"/>
    <n v="49"/>
    <n v="30.46"/>
    <n v="1492.54"/>
    <n v="51.82"/>
    <n v="460.72"/>
    <s v="Sea"/>
    <s v="Low"/>
    <s v="AS"/>
    <n v="20"/>
    <n v="980"/>
    <n v="0.30868184437268015"/>
    <n v="5"/>
  </r>
  <r>
    <s v="ORD_2025_0288"/>
    <x v="6"/>
    <s v="Davis, John"/>
    <s v="China"/>
    <s v="Table Lamp"/>
    <s v="Home Decor"/>
    <n v="25"/>
    <n v="35.21"/>
    <n v="880.25"/>
    <n v="39.799999999999997"/>
    <n v="140.44999999999999"/>
    <s v="Air"/>
    <s v="Medium"/>
    <s v="AS"/>
    <n v="28"/>
    <n v="700"/>
    <n v="0.1595569440499858"/>
    <n v="9"/>
  </r>
  <r>
    <s v="ORD_2025_0289"/>
    <x v="16"/>
    <s v="Johnson, David"/>
    <s v="Usa"/>
    <s v="Table Lamp"/>
    <s v="Home Decor"/>
    <n v="37"/>
    <n v="44.82"/>
    <n v="1658.34"/>
    <n v="65.75"/>
    <n v="556.59"/>
    <s v="Sea"/>
    <s v="Medium"/>
    <s v="NA"/>
    <n v="28"/>
    <n v="1036"/>
    <n v="0.33563081153442603"/>
    <n v="1"/>
  </r>
  <r>
    <s v="ORD_2025_0290"/>
    <x v="4"/>
    <s v="Miller, James"/>
    <s v="Germany"/>
    <s v="Ceramic Vase"/>
    <s v="Home Decor"/>
    <n v="11"/>
    <n v="18.75"/>
    <n v="206.25"/>
    <n v="11.67"/>
    <n v="24.08"/>
    <s v="Land"/>
    <s v="Low"/>
    <s v="EU"/>
    <n v="15.5"/>
    <n v="170.5"/>
    <n v="0.11675151515151515"/>
    <n v="6"/>
  </r>
  <r>
    <s v="ORD_2025_0291"/>
    <x v="10"/>
    <s v="Johnson, David"/>
    <s v="Brazil"/>
    <s v="Wireless Mouse"/>
    <s v="Electronics"/>
    <n v="37"/>
    <n v="31.66"/>
    <n v="1171.42"/>
    <n v="58.95"/>
    <n v="372.47"/>
    <s v="Air"/>
    <s v="Low"/>
    <s v="SA"/>
    <n v="20"/>
    <n v="740"/>
    <n v="0.31796452169162215"/>
    <n v="2"/>
  </r>
  <r>
    <s v="ORD_2025_0292"/>
    <x v="12"/>
    <s v="Garcia, John"/>
    <s v="Uk"/>
    <s v="Wireless Mouse"/>
    <s v="Electronics"/>
    <n v="17"/>
    <n v="32.74"/>
    <n v="556.58000000000004"/>
    <n v="14.68"/>
    <n v="201.9"/>
    <s v="Sea"/>
    <s v="Medium"/>
    <s v="EU"/>
    <n v="20"/>
    <n v="340"/>
    <n v="0.36275108699558012"/>
    <n v="7"/>
  </r>
  <r>
    <s v="ORD_2025_0293"/>
    <x v="2"/>
    <s v="Davis, James"/>
    <s v="Usa"/>
    <s v="Table Lamp"/>
    <s v="Home Decor"/>
    <n v="7"/>
    <n v="46.64"/>
    <n v="326.48"/>
    <n v="25.19"/>
    <n v="105.29"/>
    <s v="Sea"/>
    <s v="High"/>
    <s v="NA"/>
    <n v="28"/>
    <n v="196"/>
    <n v="0.32250061259495222"/>
    <n v="4"/>
  </r>
  <r>
    <s v="ORD_2025_0294"/>
    <x v="1"/>
    <s v="Smith, Daniel"/>
    <s v="Uae"/>
    <s v="Leather Wallet"/>
    <s v="Accessories"/>
    <n v="16"/>
    <n v="24.77"/>
    <n v="396.32"/>
    <n v="15.6"/>
    <n v="92.72"/>
    <s v="Land"/>
    <s v="High"/>
    <s v="AS"/>
    <n v="18"/>
    <n v="288"/>
    <n v="0.23395236172789666"/>
    <n v="2"/>
  </r>
  <r>
    <s v="ORD_2025_0295"/>
    <x v="8"/>
    <s v="Martinez, Laura"/>
    <s v="Mexico"/>
    <s v="Denim Jacket"/>
    <s v="Apparel"/>
    <n v="39"/>
    <n v="56.5"/>
    <n v="2203.5"/>
    <n v="141.58000000000001"/>
    <n v="501.92"/>
    <s v="Air"/>
    <s v="Low"/>
    <s v="NA"/>
    <n v="40"/>
    <n v="1560"/>
    <n v="0.2277830723848423"/>
    <n v="4"/>
  </r>
  <r>
    <s v="ORD_2025_0296"/>
    <x v="6"/>
    <s v="Brown, Sophia"/>
    <s v="India"/>
    <s v="Ceramic Vase"/>
    <s v="Home Decor"/>
    <n v="1"/>
    <n v="24.01"/>
    <n v="24.01"/>
    <n v="1.58"/>
    <n v="6.93"/>
    <s v="Land"/>
    <s v="Low"/>
    <s v="AS"/>
    <n v="15.5"/>
    <n v="15.5"/>
    <n v="0.28862973760932942"/>
    <n v="9"/>
  </r>
  <r>
    <s v="ORD_2025_0297"/>
    <x v="9"/>
    <s v="Jones, Laura"/>
    <s v="India"/>
    <s v="Cotton Bedsheet"/>
    <s v="Textiles"/>
    <n v="45"/>
    <n v="35.99"/>
    <n v="1619.55"/>
    <n v="49.95"/>
    <n v="444.6"/>
    <s v="Land"/>
    <s v="Medium"/>
    <s v="AS"/>
    <n v="25"/>
    <n v="1125"/>
    <n v="0.27452070019449848"/>
    <n v="12"/>
  </r>
  <r>
    <s v="ORD_2025_0298"/>
    <x v="1"/>
    <s v="Brown, Daniel"/>
    <s v="Singapore"/>
    <s v="Wireless Mouse"/>
    <s v="Electronics"/>
    <n v="5"/>
    <n v="25.45"/>
    <n v="127.25"/>
    <n v="7.22"/>
    <n v="20.03"/>
    <s v="Air"/>
    <s v="High"/>
    <s v="AS"/>
    <n v="20"/>
    <n v="100"/>
    <n v="0.15740667976424363"/>
    <n v="2"/>
  </r>
  <r>
    <s v="ORD_2025_0299"/>
    <x v="0"/>
    <s v="Jones, Laura"/>
    <s v="Japan"/>
    <s v="Ceramic Vase"/>
    <s v="Home Decor"/>
    <n v="24"/>
    <n v="19.53"/>
    <n v="468.72"/>
    <n v="14.12"/>
    <n v="82.6"/>
    <s v="Land"/>
    <s v="Low"/>
    <s v="AS"/>
    <n v="15.5"/>
    <n v="372"/>
    <n v="0.17622461170848266"/>
    <n v="1"/>
  </r>
  <r>
    <s v="ORD_2025_0300"/>
    <x v="0"/>
    <s v="Brown, Laura"/>
    <s v="Canada"/>
    <s v="LED Lamp"/>
    <s v="Electronics"/>
    <n v="28"/>
    <n v="22.33"/>
    <n v="625.24"/>
    <n v="44.24"/>
    <n v="224"/>
    <s v="Land"/>
    <s v="Low"/>
    <s v="NA"/>
    <n v="12.75"/>
    <n v="357"/>
    <n v="0.35826242722794449"/>
    <n v="1"/>
  </r>
  <r>
    <s v="ORD_2025_0301"/>
    <x v="15"/>
    <s v="Johnson, Sarah"/>
    <s v="Italy"/>
    <s v="Bluetooth Speaker"/>
    <s v="Electronics"/>
    <n v="49"/>
    <n v="39.31"/>
    <n v="1926.19"/>
    <n v="69.7"/>
    <n v="288.49"/>
    <s v="Sea"/>
    <s v="Low"/>
    <s v="EU"/>
    <n v="32"/>
    <n v="1568"/>
    <n v="0.14977234852221225"/>
    <n v="11"/>
  </r>
  <r>
    <s v="ORD_2025_0302"/>
    <x v="12"/>
    <s v="Davis, Michael"/>
    <s v="India"/>
    <s v="Ceramic Vase"/>
    <s v="Home Decor"/>
    <n v="6"/>
    <n v="22.95"/>
    <n v="137.69999999999999"/>
    <n v="5.63"/>
    <n v="39.07"/>
    <s v="Sea"/>
    <s v="Medium"/>
    <s v="AS"/>
    <n v="15.5"/>
    <n v="93"/>
    <n v="0.28373275236020334"/>
    <n v="7"/>
  </r>
  <r>
    <s v="ORD_2025_0303"/>
    <x v="4"/>
    <s v="Williams, Michael"/>
    <s v="Mexico"/>
    <s v="Wireless Mouse"/>
    <s v="Electronics"/>
    <n v="35"/>
    <n v="27.72"/>
    <n v="970.2"/>
    <n v="61.74"/>
    <n v="208.46"/>
    <s v="Land"/>
    <s v="High"/>
    <s v="NA"/>
    <n v="20"/>
    <n v="700"/>
    <n v="0.21486291486291487"/>
    <n v="6"/>
  </r>
  <r>
    <s v="ORD_2025_0304"/>
    <x v="3"/>
    <s v="Johnson, Daniel"/>
    <s v="China"/>
    <s v="Denim Jacket"/>
    <s v="Apparel"/>
    <n v="34"/>
    <n v="64.75"/>
    <n v="2201.5"/>
    <n v="68.05"/>
    <n v="773.45"/>
    <s v="Air"/>
    <s v="High"/>
    <s v="AS"/>
    <n v="40"/>
    <n v="1360"/>
    <n v="0.35132863956393368"/>
    <n v="10"/>
  </r>
  <r>
    <s v="ORD_2025_0305"/>
    <x v="8"/>
    <s v="Smith, Michael"/>
    <s v="Australia"/>
    <s v="Wireless Mouse"/>
    <s v="Electronics"/>
    <n v="49"/>
    <n v="26.02"/>
    <n v="1274.98"/>
    <n v="61.84"/>
    <n v="233.14"/>
    <s v="Air"/>
    <s v="Medium"/>
    <s v="OC"/>
    <n v="20"/>
    <n v="980"/>
    <n v="0.18285777031796577"/>
    <n v="4"/>
  </r>
  <r>
    <s v="ORD_2025_0306"/>
    <x v="9"/>
    <s v="Martinez, John"/>
    <s v="Brazil"/>
    <s v="Cotton Bedsheet"/>
    <s v="Textiles"/>
    <n v="1"/>
    <n v="32.979999999999997"/>
    <n v="32.979999999999997"/>
    <n v="1.89"/>
    <n v="6.09"/>
    <s v="Air"/>
    <s v="Medium"/>
    <s v="SA"/>
    <n v="25"/>
    <n v="25"/>
    <n v="0.18465736810187994"/>
    <n v="12"/>
  </r>
  <r>
    <s v="ORD_2025_0307"/>
    <x v="15"/>
    <s v="Hernandez, Sarah"/>
    <s v="Brazil"/>
    <s v="LED Lamp"/>
    <s v="Electronics"/>
    <n v="18"/>
    <n v="20.09"/>
    <n v="361.62"/>
    <n v="8.3800000000000008"/>
    <n v="123.74"/>
    <s v="Land"/>
    <s v="Low"/>
    <s v="SA"/>
    <n v="12.75"/>
    <n v="229.5"/>
    <n v="0.34218240141585088"/>
    <n v="11"/>
  </r>
  <r>
    <s v="ORD_2025_0308"/>
    <x v="4"/>
    <s v="Brown, Daniel"/>
    <s v="India"/>
    <s v="Travel Backpack"/>
    <s v="Accessories"/>
    <n v="39"/>
    <n v="49.59"/>
    <n v="1934.01"/>
    <n v="62.79"/>
    <n v="506.22"/>
    <s v="Sea"/>
    <s v="Medium"/>
    <s v="AS"/>
    <n v="35"/>
    <n v="1365"/>
    <n v="0.26174631982254487"/>
    <n v="6"/>
  </r>
  <r>
    <s v="ORD_2025_0309"/>
    <x v="8"/>
    <s v="Brown, John"/>
    <s v="Canada"/>
    <s v="Bluetooth Speaker"/>
    <s v="Electronics"/>
    <n v="6"/>
    <n v="41.99"/>
    <n v="251.94"/>
    <n v="10.76"/>
    <n v="49.18"/>
    <s v="Land"/>
    <s v="Low"/>
    <s v="NA"/>
    <n v="32"/>
    <n v="192"/>
    <n v="0.19520520758910853"/>
    <n v="4"/>
  </r>
  <r>
    <s v="ORD_2025_0310"/>
    <x v="14"/>
    <s v="Davis, James"/>
    <s v="Singapore"/>
    <s v="Travel Backpack"/>
    <s v="Accessories"/>
    <n v="12"/>
    <n v="47.4"/>
    <n v="568.79999999999995"/>
    <n v="23.31"/>
    <n v="125.49"/>
    <s v="Air"/>
    <s v="Low"/>
    <s v="AS"/>
    <n v="35"/>
    <n v="420"/>
    <n v="0.22062236286919831"/>
    <n v="5"/>
  </r>
  <r>
    <s v="ORD_2025_0311"/>
    <x v="12"/>
    <s v="Garcia, David"/>
    <s v="Uae"/>
    <s v="Wireless Mouse"/>
    <s v="Electronics"/>
    <n v="50"/>
    <n v="34.28"/>
    <n v="1714"/>
    <n v="59.84"/>
    <n v="654.16"/>
    <s v="Land"/>
    <s v="Low"/>
    <s v="AS"/>
    <n v="20"/>
    <n v="1000"/>
    <n v="0.38165694282380397"/>
    <n v="7"/>
  </r>
  <r>
    <s v="ORD_2025_0312"/>
    <x v="13"/>
    <s v="Martinez, Sophia"/>
    <s v="South Africa"/>
    <s v="Leather Wallet"/>
    <s v="Accessories"/>
    <n v="50"/>
    <n v="29.39"/>
    <n v="1469.5"/>
    <n v="101.51"/>
    <n v="467.99"/>
    <s v="Air"/>
    <s v="High"/>
    <s v="AF"/>
    <n v="18"/>
    <n v="900"/>
    <n v="0.31846886696155158"/>
    <n v="3"/>
  </r>
  <r>
    <s v="ORD_2025_0313"/>
    <x v="7"/>
    <s v="Hernandez, John"/>
    <s v="Brazil"/>
    <s v="Leather Wallet"/>
    <s v="Accessories"/>
    <n v="46"/>
    <n v="30.34"/>
    <n v="1395.64"/>
    <n v="104.2"/>
    <n v="463.44"/>
    <s v="Land"/>
    <s v="Medium"/>
    <s v="SA"/>
    <n v="18"/>
    <n v="828"/>
    <n v="0.33206270958126732"/>
    <n v="8"/>
  </r>
  <r>
    <s v="ORD_2025_0314"/>
    <x v="11"/>
    <s v="Jones, James"/>
    <s v="Singapore"/>
    <s v="LED Lamp"/>
    <s v="Electronics"/>
    <n v="50"/>
    <n v="18.809999999999999"/>
    <n v="940.5"/>
    <n v="40.25"/>
    <n v="262.75"/>
    <s v="Sea"/>
    <s v="Medium"/>
    <s v="AS"/>
    <n v="12.75"/>
    <n v="637.5"/>
    <n v="0.27937267410951622"/>
    <n v="3"/>
  </r>
  <r>
    <s v="ORD_2025_0315"/>
    <x v="12"/>
    <s v="Martinez, Sophia"/>
    <s v="Australia"/>
    <s v="Glass Bowl Set"/>
    <s v="Home Decor"/>
    <n v="2"/>
    <n v="29.64"/>
    <n v="59.28"/>
    <n v="4.59"/>
    <n v="9.69"/>
    <s v="Sea"/>
    <s v="High"/>
    <s v="OC"/>
    <n v="22.5"/>
    <n v="45"/>
    <n v="0.16346153846153846"/>
    <n v="7"/>
  </r>
  <r>
    <s v="ORD_2025_0316"/>
    <x v="16"/>
    <s v="Brown, Sophia"/>
    <s v="Singapore"/>
    <s v="Glass Bowl Set"/>
    <s v="Home Decor"/>
    <n v="48"/>
    <n v="27.9"/>
    <n v="1339.2"/>
    <n v="66.31"/>
    <n v="192.89"/>
    <s v="Sea"/>
    <s v="High"/>
    <s v="AS"/>
    <n v="22.5"/>
    <n v="1080"/>
    <n v="0.1440337514934289"/>
    <n v="1"/>
  </r>
  <r>
    <s v="ORD_2025_0317"/>
    <x v="9"/>
    <s v="Martinez, David"/>
    <s v="France"/>
    <s v="Cotton Bedsheet"/>
    <s v="Textiles"/>
    <n v="28"/>
    <n v="38.520000000000003"/>
    <n v="1078.56"/>
    <n v="64.510000000000005"/>
    <n v="314.05"/>
    <s v="Land"/>
    <s v="Medium"/>
    <s v="EU"/>
    <n v="25"/>
    <n v="700"/>
    <n v="0.29117527073134553"/>
    <n v="12"/>
  </r>
  <r>
    <s v="ORD_2025_0318"/>
    <x v="11"/>
    <s v="Garcia, Laura"/>
    <s v="Uk"/>
    <s v="Glass Bowl Set"/>
    <s v="Home Decor"/>
    <n v="11"/>
    <n v="31.08"/>
    <n v="341.88"/>
    <n v="17.18"/>
    <n v="77.2"/>
    <s v="Air"/>
    <s v="High"/>
    <s v="EU"/>
    <n v="22.5"/>
    <n v="247.5"/>
    <n v="0.22581022581022583"/>
    <n v="3"/>
  </r>
  <r>
    <s v="ORD_2025_0319"/>
    <x v="3"/>
    <s v="Martinez, John"/>
    <s v="Mexico"/>
    <s v="Wireless Mouse"/>
    <s v="Electronics"/>
    <n v="42"/>
    <n v="25.95"/>
    <n v="1089.9000000000001"/>
    <n v="27.5"/>
    <n v="222.4"/>
    <s v="Air"/>
    <s v="High"/>
    <s v="NA"/>
    <n v="20"/>
    <n v="840"/>
    <n v="0.2040554179282503"/>
    <n v="10"/>
  </r>
  <r>
    <s v="ORD_2025_0320"/>
    <x v="7"/>
    <s v="Smith, John"/>
    <s v="Singapore"/>
    <s v="Cotton Bedsheet"/>
    <s v="Textiles"/>
    <n v="30"/>
    <n v="30.16"/>
    <n v="904.8"/>
    <n v="70.13"/>
    <n v="84.67"/>
    <s v="Sea"/>
    <s v="Low"/>
    <s v="AS"/>
    <n v="25"/>
    <n v="750"/>
    <n v="9.3578691423519017E-2"/>
    <n v="8"/>
  </r>
  <r>
    <s v="ORD_2025_0321"/>
    <x v="12"/>
    <s v="Jones, John"/>
    <s v="Brazil"/>
    <s v="Wireless Mouse"/>
    <s v="Electronics"/>
    <n v="40"/>
    <n v="30.03"/>
    <n v="1201.2"/>
    <n v="71.97"/>
    <n v="329.23"/>
    <s v="Sea"/>
    <s v="Low"/>
    <s v="SA"/>
    <n v="20"/>
    <n v="800"/>
    <n v="0.27408424908424911"/>
    <n v="7"/>
  </r>
  <r>
    <s v="ORD_2025_0322"/>
    <x v="3"/>
    <s v="Jones, Laura"/>
    <s v="South Africa"/>
    <s v="Wireless Mouse"/>
    <s v="Electronics"/>
    <n v="15"/>
    <n v="27.12"/>
    <n v="406.8"/>
    <n v="24.28"/>
    <n v="82.52"/>
    <s v="Sea"/>
    <s v="Medium"/>
    <s v="AF"/>
    <n v="20"/>
    <n v="300"/>
    <n v="0.20285152409046212"/>
    <n v="10"/>
  </r>
  <r>
    <s v="ORD_2025_0323"/>
    <x v="3"/>
    <s v="Williams, Emily"/>
    <s v="France"/>
    <s v="LED Lamp"/>
    <s v="Electronics"/>
    <n v="35"/>
    <n v="18.350000000000001"/>
    <n v="642.25"/>
    <n v="29.35"/>
    <n v="166.65"/>
    <s v="Land"/>
    <s v="Medium"/>
    <s v="EU"/>
    <n v="12.75"/>
    <n v="446.25"/>
    <n v="0.2594783962631374"/>
    <n v="10"/>
  </r>
  <r>
    <s v="ORD_2025_0324"/>
    <x v="4"/>
    <s v="Garcia, James"/>
    <s v="South Africa"/>
    <s v="Travel Backpack"/>
    <s v="Accessories"/>
    <n v="21"/>
    <n v="52.59"/>
    <n v="1104.3900000000001"/>
    <n v="57.06"/>
    <n v="312.33"/>
    <s v="Sea"/>
    <s v="Medium"/>
    <s v="AF"/>
    <n v="35"/>
    <n v="735"/>
    <n v="0.28280770380028791"/>
    <n v="6"/>
  </r>
  <r>
    <s v="ORD_2025_0325"/>
    <x v="6"/>
    <s v="Brown, Sophia"/>
    <s v="China"/>
    <s v="Table Lamp"/>
    <s v="Home Decor"/>
    <n v="10"/>
    <n v="44.2"/>
    <n v="442"/>
    <n v="18.45"/>
    <n v="143.55000000000001"/>
    <s v="Land"/>
    <s v="Low"/>
    <s v="AS"/>
    <n v="28"/>
    <n v="280"/>
    <n v="0.32477375565610861"/>
    <n v="9"/>
  </r>
  <r>
    <s v="ORD_2025_0326"/>
    <x v="9"/>
    <s v="Williams, James"/>
    <s v="China"/>
    <s v="Travel Backpack"/>
    <s v="Accessories"/>
    <n v="11"/>
    <n v="60.9"/>
    <n v="669.9"/>
    <n v="26.28"/>
    <n v="258.62"/>
    <s v="Sea"/>
    <s v="Medium"/>
    <s v="AS"/>
    <n v="35"/>
    <n v="385"/>
    <n v="0.38605762054037918"/>
    <n v="12"/>
  </r>
  <r>
    <s v="ORD_2025_0327"/>
    <x v="6"/>
    <s v="Miller, John"/>
    <s v="Uae"/>
    <s v="LED Lamp"/>
    <s v="Electronics"/>
    <n v="26"/>
    <n v="22.32"/>
    <n v="580.32000000000005"/>
    <n v="45.08"/>
    <n v="203.74"/>
    <s v="Sea"/>
    <s v="Medium"/>
    <s v="AS"/>
    <n v="12.75"/>
    <n v="331.5"/>
    <n v="0.3510821615660325"/>
    <n v="9"/>
  </r>
  <r>
    <s v="ORD_2025_0328"/>
    <x v="0"/>
    <s v="Brown, Emily"/>
    <s v="China"/>
    <s v="Table Lamp"/>
    <s v="Home Decor"/>
    <n v="46"/>
    <n v="41.89"/>
    <n v="1926.94"/>
    <n v="97.39"/>
    <n v="541.54999999999995"/>
    <s v="Land"/>
    <s v="High"/>
    <s v="AS"/>
    <n v="28"/>
    <n v="1288"/>
    <n v="0.28104144394739844"/>
    <n v="1"/>
  </r>
  <r>
    <s v="ORD_2025_0329"/>
    <x v="3"/>
    <s v="Garcia, Michael"/>
    <s v="Uk"/>
    <s v="LED Lamp"/>
    <s v="Electronics"/>
    <n v="43"/>
    <n v="21.24"/>
    <n v="913.32"/>
    <n v="50.32"/>
    <n v="314.75"/>
    <s v="Sea"/>
    <s v="Low"/>
    <s v="EU"/>
    <n v="12.75"/>
    <n v="548.25"/>
    <n v="0.34462181929663205"/>
    <n v="10"/>
  </r>
  <r>
    <s v="ORD_2025_0330"/>
    <x v="11"/>
    <s v="Hernandez, Emily"/>
    <s v="Germany"/>
    <s v="Glass Bowl Set"/>
    <s v="Home Decor"/>
    <n v="28"/>
    <n v="33.700000000000003"/>
    <n v="943.6"/>
    <n v="20.170000000000002"/>
    <n v="293.43"/>
    <s v="Land"/>
    <s v="Medium"/>
    <s v="EU"/>
    <n v="22.5"/>
    <n v="630"/>
    <n v="0.31096863077575243"/>
    <n v="3"/>
  </r>
  <r>
    <s v="ORD_2025_0331"/>
    <x v="7"/>
    <s v="Garcia, Emma"/>
    <s v="India"/>
    <s v="Travel Backpack"/>
    <s v="Accessories"/>
    <n v="41"/>
    <n v="42.74"/>
    <n v="1752.34"/>
    <n v="92.09"/>
    <n v="225.25"/>
    <s v="Air"/>
    <s v="Low"/>
    <s v="AS"/>
    <n v="35"/>
    <n v="1435"/>
    <n v="0.12854240615405688"/>
    <n v="8"/>
  </r>
  <r>
    <s v="ORD_2025_0332"/>
    <x v="6"/>
    <s v="Garcia, James"/>
    <s v="Uk"/>
    <s v="Wireless Mouse"/>
    <s v="Electronics"/>
    <n v="24"/>
    <n v="30.18"/>
    <n v="724.32"/>
    <n v="44.97"/>
    <n v="199.35"/>
    <s v="Land"/>
    <s v="Low"/>
    <s v="EU"/>
    <n v="20"/>
    <n v="480"/>
    <n v="0.27522365805168986"/>
    <n v="9"/>
  </r>
  <r>
    <s v="ORD_2025_0333"/>
    <x v="1"/>
    <s v="Smith, Sophia"/>
    <s v="Japan"/>
    <s v="Ceramic Vase"/>
    <s v="Home Decor"/>
    <n v="44"/>
    <n v="20.02"/>
    <n v="880.88"/>
    <n v="60.27"/>
    <n v="138.61000000000001"/>
    <s v="Sea"/>
    <s v="Medium"/>
    <s v="AS"/>
    <n v="15.5"/>
    <n v="682"/>
    <n v="0.15735400962673693"/>
    <n v="2"/>
  </r>
  <r>
    <s v="ORD_2025_0334"/>
    <x v="7"/>
    <s v="Garcia, Sophia"/>
    <s v="Uk"/>
    <s v="Wireless Mouse"/>
    <s v="Electronics"/>
    <n v="12"/>
    <n v="27.45"/>
    <n v="329.4"/>
    <n v="13.22"/>
    <n v="76.180000000000007"/>
    <s v="Air"/>
    <s v="High"/>
    <s v="EU"/>
    <n v="20"/>
    <n v="240"/>
    <n v="0.23126897389192475"/>
    <n v="8"/>
  </r>
  <r>
    <s v="ORD_2025_0335"/>
    <x v="15"/>
    <s v="Davis, David"/>
    <s v="South Africa"/>
    <s v="Wireless Mouse"/>
    <s v="Electronics"/>
    <n v="26"/>
    <n v="30.57"/>
    <n v="794.82"/>
    <n v="19.45"/>
    <n v="255.37"/>
    <s v="Air"/>
    <s v="Medium"/>
    <s v="AF"/>
    <n v="20"/>
    <n v="520"/>
    <n v="0.32129287134193907"/>
    <n v="11"/>
  </r>
  <r>
    <s v="ORD_2025_0336"/>
    <x v="6"/>
    <s v="Williams, Laura"/>
    <s v="Japan"/>
    <s v="Cotton Bedsheet"/>
    <s v="Textiles"/>
    <n v="46"/>
    <n v="32.19"/>
    <n v="1480.74"/>
    <n v="111.13"/>
    <n v="219.61"/>
    <s v="Air"/>
    <s v="Medium"/>
    <s v="AS"/>
    <n v="25"/>
    <n v="1150"/>
    <n v="0.14831097964531248"/>
    <n v="9"/>
  </r>
  <r>
    <s v="ORD_2025_0337"/>
    <x v="13"/>
    <s v="Miller, Michael"/>
    <s v="Singapore"/>
    <s v="Leather Wallet"/>
    <s v="Accessories"/>
    <n v="20"/>
    <n v="31.79"/>
    <n v="635.79999999999995"/>
    <n v="38.43"/>
    <n v="237.37"/>
    <s v="Land"/>
    <s v="Medium"/>
    <s v="AS"/>
    <n v="18"/>
    <n v="360"/>
    <n v="0.37334067316766284"/>
    <n v="3"/>
  </r>
  <r>
    <s v="ORD_2025_0338"/>
    <x v="13"/>
    <s v="Smith, Emily"/>
    <s v="Australia"/>
    <s v="Leather Wallet"/>
    <s v="Accessories"/>
    <n v="8"/>
    <n v="28.94"/>
    <n v="231.52"/>
    <n v="7"/>
    <n v="80.52"/>
    <s v="Air"/>
    <s v="Medium"/>
    <s v="OC"/>
    <n v="18"/>
    <n v="144"/>
    <n v="0.34778852798894261"/>
    <n v="3"/>
  </r>
  <r>
    <s v="ORD_2025_0339"/>
    <x v="3"/>
    <s v="Garcia, Emma"/>
    <s v="France"/>
    <s v="Leather Wallet"/>
    <s v="Accessories"/>
    <n v="40"/>
    <n v="30.66"/>
    <n v="1226.4000000000001"/>
    <n v="85.24"/>
    <n v="421.16"/>
    <s v="Land"/>
    <s v="Low"/>
    <s v="EU"/>
    <n v="18"/>
    <n v="720"/>
    <n v="0.34341161121983038"/>
    <n v="10"/>
  </r>
  <r>
    <s v="ORD_2025_0340"/>
    <x v="13"/>
    <s v="Jones, Sarah"/>
    <s v="Australia"/>
    <s v="Bluetooth Speaker"/>
    <s v="Electronics"/>
    <n v="44"/>
    <n v="54.09"/>
    <n v="2379.96"/>
    <n v="106.39"/>
    <n v="865.57"/>
    <s v="Land"/>
    <s v="Medium"/>
    <s v="OC"/>
    <n v="32"/>
    <n v="1408"/>
    <n v="0.36369098640313285"/>
    <n v="3"/>
  </r>
  <r>
    <s v="ORD_2025_0341"/>
    <x v="1"/>
    <s v="Smith, Sophia"/>
    <s v="Singapore"/>
    <s v="Denim Jacket"/>
    <s v="Apparel"/>
    <n v="32"/>
    <n v="68.89"/>
    <n v="2204.48"/>
    <n v="152.05000000000001"/>
    <n v="772.43"/>
    <s v="Land"/>
    <s v="Medium"/>
    <s v="AS"/>
    <n v="40"/>
    <n v="1280"/>
    <n v="0.35039102191900129"/>
    <n v="2"/>
  </r>
  <r>
    <s v="ORD_2025_0342"/>
    <x v="14"/>
    <s v="Jones, James"/>
    <s v="India"/>
    <s v="Travel Backpack"/>
    <s v="Accessories"/>
    <n v="44"/>
    <n v="43.35"/>
    <n v="1907.4"/>
    <n v="99.05"/>
    <n v="268.35000000000002"/>
    <s v="Air"/>
    <s v="Medium"/>
    <s v="AS"/>
    <n v="35"/>
    <n v="1540"/>
    <n v="0.1406888958792073"/>
    <n v="5"/>
  </r>
  <r>
    <s v="ORD_2025_0343"/>
    <x v="12"/>
    <s v="Brown, Laura"/>
    <s v="Mexico"/>
    <s v="Table Lamp"/>
    <s v="Home Decor"/>
    <n v="24"/>
    <n v="34"/>
    <n v="816"/>
    <n v="42.15"/>
    <n v="101.85"/>
    <s v="Air"/>
    <s v="Low"/>
    <s v="NA"/>
    <n v="28"/>
    <n v="672"/>
    <n v="0.12481617647058822"/>
    <n v="7"/>
  </r>
  <r>
    <s v="ORD_2025_0344"/>
    <x v="10"/>
    <s v="Garcia, Sarah"/>
    <s v="China"/>
    <s v="Leather Wallet"/>
    <s v="Accessories"/>
    <n v="41"/>
    <n v="30.25"/>
    <n v="1240.25"/>
    <n v="92.86"/>
    <n v="409.39"/>
    <s v="Land"/>
    <s v="Low"/>
    <s v="AS"/>
    <n v="18"/>
    <n v="738"/>
    <n v="0.33008667607337228"/>
    <n v="2"/>
  </r>
  <r>
    <s v="ORD_2025_0345"/>
    <x v="13"/>
    <s v="Smith, Emily"/>
    <s v="South Africa"/>
    <s v="Ceramic Vase"/>
    <s v="Home Decor"/>
    <n v="15"/>
    <n v="23.71"/>
    <n v="355.65"/>
    <n v="7.22"/>
    <n v="115.93"/>
    <s v="Sea"/>
    <s v="Medium"/>
    <s v="AF"/>
    <n v="15.5"/>
    <n v="232.5"/>
    <n v="0.32596654013777593"/>
    <n v="3"/>
  </r>
  <r>
    <s v="ORD_2025_0346"/>
    <x v="7"/>
    <s v="Garcia, Emily"/>
    <s v="Singapore"/>
    <s v="Bluetooth Speaker"/>
    <s v="Electronics"/>
    <n v="33"/>
    <n v="48.64"/>
    <n v="1605.12"/>
    <n v="98.71"/>
    <n v="450.41"/>
    <s v="Land"/>
    <s v="Medium"/>
    <s v="AS"/>
    <n v="32"/>
    <n v="1056"/>
    <n v="0.28060830342902715"/>
    <n v="8"/>
  </r>
  <r>
    <s v="ORD_2025_0347"/>
    <x v="2"/>
    <s v="Miller, Daniel"/>
    <s v="Germany"/>
    <s v="Travel Backpack"/>
    <s v="Accessories"/>
    <n v="7"/>
    <n v="50.94"/>
    <n v="356.58"/>
    <n v="11.19"/>
    <n v="100.39"/>
    <s v="Sea"/>
    <s v="Low"/>
    <s v="EU"/>
    <n v="35"/>
    <n v="245"/>
    <n v="0.28153570026361546"/>
    <n v="4"/>
  </r>
  <r>
    <s v="ORD_2025_0348"/>
    <x v="0"/>
    <s v="Martinez, Sophia"/>
    <s v="Australia"/>
    <s v="Wireless Mouse"/>
    <s v="Electronics"/>
    <n v="1"/>
    <n v="31.4"/>
    <n v="31.4"/>
    <n v="1.1399999999999999"/>
    <n v="10.26"/>
    <s v="Air"/>
    <s v="Medium"/>
    <s v="OC"/>
    <n v="20"/>
    <n v="20"/>
    <n v="0.32675159235668788"/>
    <n v="1"/>
  </r>
  <r>
    <s v="ORD_2025_0349"/>
    <x v="12"/>
    <s v="Davis, Emily"/>
    <s v="Italy"/>
    <s v="LED Lamp"/>
    <s v="Electronics"/>
    <n v="28"/>
    <n v="18.59"/>
    <n v="520.52"/>
    <n v="14.08"/>
    <n v="149.44"/>
    <s v="Land"/>
    <s v="Low"/>
    <s v="EU"/>
    <n v="12.75"/>
    <n v="357"/>
    <n v="0.28709751786674864"/>
    <n v="7"/>
  </r>
  <r>
    <s v="ORD_2025_0350"/>
    <x v="13"/>
    <s v="Williams, John"/>
    <s v="France"/>
    <s v="Ceramic Vase"/>
    <s v="Home Decor"/>
    <n v="50"/>
    <n v="20.66"/>
    <n v="1033"/>
    <n v="34.130000000000003"/>
    <n v="223.87"/>
    <s v="Air"/>
    <s v="Medium"/>
    <s v="EU"/>
    <n v="15.5"/>
    <n v="775"/>
    <n v="0.21671829622458857"/>
    <n v="3"/>
  </r>
  <r>
    <s v="ORD_2025_0351"/>
    <x v="0"/>
    <s v="Hernandez, James"/>
    <s v="China"/>
    <s v="Travel Backpack"/>
    <s v="Accessories"/>
    <n v="4"/>
    <n v="46.62"/>
    <n v="186.48"/>
    <n v="13.29"/>
    <n v="33.19"/>
    <s v="Sea"/>
    <s v="Low"/>
    <s v="AS"/>
    <n v="35"/>
    <n v="140"/>
    <n v="0.17798155298155299"/>
    <n v="1"/>
  </r>
  <r>
    <s v="ORD_2025_0352"/>
    <x v="0"/>
    <s v="Jones, James"/>
    <s v="South Africa"/>
    <s v="Ceramic Vase"/>
    <s v="Home Decor"/>
    <n v="37"/>
    <n v="21.81"/>
    <n v="806.97"/>
    <n v="19.63"/>
    <n v="213.84"/>
    <s v="Air"/>
    <s v="High"/>
    <s v="AF"/>
    <n v="15.5"/>
    <n v="573.5"/>
    <n v="0.26499126361574782"/>
    <n v="1"/>
  </r>
  <r>
    <s v="ORD_2025_0353"/>
    <x v="2"/>
    <s v="Smith, Daniel"/>
    <s v="China"/>
    <s v="Ceramic Vase"/>
    <s v="Home Decor"/>
    <n v="48"/>
    <n v="26.68"/>
    <n v="1280.6400000000001"/>
    <n v="55.36"/>
    <n v="481.28"/>
    <s v="Land"/>
    <s v="Medium"/>
    <s v="AS"/>
    <n v="15.5"/>
    <n v="744"/>
    <n v="0.37581209395302345"/>
    <n v="4"/>
  </r>
  <r>
    <s v="ORD_2025_0354"/>
    <x v="5"/>
    <s v="Smith, Michael"/>
    <s v="Brazil"/>
    <s v="Cotton Bedsheet"/>
    <s v="Textiles"/>
    <n v="24"/>
    <n v="42.82"/>
    <n v="1027.68"/>
    <n v="69.95"/>
    <n v="357.73"/>
    <s v="Land"/>
    <s v="Low"/>
    <s v="SA"/>
    <n v="25"/>
    <n v="600"/>
    <n v="0.34809473766152887"/>
    <n v="5"/>
  </r>
  <r>
    <s v="ORD_2025_0355"/>
    <x v="0"/>
    <s v="Martinez, Sarah"/>
    <s v="Australia"/>
    <s v="Glass Bowl Set"/>
    <s v="Home Decor"/>
    <n v="26"/>
    <n v="34.4"/>
    <n v="894.4"/>
    <n v="40.42"/>
    <n v="268.98"/>
    <s v="Land"/>
    <s v="Low"/>
    <s v="OC"/>
    <n v="22.5"/>
    <n v="585"/>
    <n v="0.3007379248658319"/>
    <n v="1"/>
  </r>
  <r>
    <s v="ORD_2025_0356"/>
    <x v="4"/>
    <s v="Johnson, James"/>
    <s v="Italy"/>
    <s v="Travel Backpack"/>
    <s v="Accessories"/>
    <n v="47"/>
    <n v="44.89"/>
    <n v="2109.83"/>
    <n v="45.91"/>
    <n v="418.92"/>
    <s v="Land"/>
    <s v="Medium"/>
    <s v="EU"/>
    <n v="35"/>
    <n v="1645"/>
    <n v="0.19855628178573631"/>
    <n v="6"/>
  </r>
  <r>
    <s v="ORD_2025_0357"/>
    <x v="9"/>
    <s v="Miller, Sophia"/>
    <s v="China"/>
    <s v="Ceramic Vase"/>
    <s v="Home Decor"/>
    <n v="1"/>
    <n v="18.739999999999998"/>
    <n v="18.739999999999998"/>
    <n v="0.5"/>
    <n v="2.74"/>
    <s v="Air"/>
    <s v="Medium"/>
    <s v="AS"/>
    <n v="15.5"/>
    <n v="15.5"/>
    <n v="0.14621131270010676"/>
    <n v="12"/>
  </r>
  <r>
    <s v="ORD_2025_0358"/>
    <x v="9"/>
    <s v="Jones, Michael"/>
    <s v="Singapore"/>
    <s v="Glass Bowl Set"/>
    <s v="Home Decor"/>
    <n v="27"/>
    <n v="36.270000000000003"/>
    <n v="979.29"/>
    <n v="54.58"/>
    <n v="317.20999999999998"/>
    <s v="Sea"/>
    <s v="Medium"/>
    <s v="AS"/>
    <n v="22.5"/>
    <n v="607.5"/>
    <n v="0.32391834900795474"/>
    <n v="12"/>
  </r>
  <r>
    <s v="ORD_2025_0359"/>
    <x v="3"/>
    <s v="Hernandez, Sophia"/>
    <s v="Germany"/>
    <s v="LED Lamp"/>
    <s v="Electronics"/>
    <n v="13"/>
    <n v="18.82"/>
    <n v="244.66"/>
    <n v="6.49"/>
    <n v="72.42"/>
    <s v="Air"/>
    <s v="Medium"/>
    <s v="EU"/>
    <n v="12.75"/>
    <n v="165.75"/>
    <n v="0.29600261587509197"/>
    <n v="10"/>
  </r>
  <r>
    <s v="ORD_2025_0360"/>
    <x v="1"/>
    <s v="Jones, Sarah"/>
    <s v="Australia"/>
    <s v="Table Lamp"/>
    <s v="Home Decor"/>
    <n v="41"/>
    <n v="43.19"/>
    <n v="1770.79"/>
    <n v="83.28"/>
    <n v="539.51"/>
    <s v="Sea"/>
    <s v="Low"/>
    <s v="OC"/>
    <n v="28"/>
    <n v="1148"/>
    <n v="0.30467192608948551"/>
    <n v="2"/>
  </r>
  <r>
    <s v="ORD_2025_0361"/>
    <x v="11"/>
    <s v="Martinez, James"/>
    <s v="China"/>
    <s v="Table Lamp"/>
    <s v="Home Decor"/>
    <n v="40"/>
    <n v="42.31"/>
    <n v="1692.4"/>
    <n v="118.59"/>
    <n v="453.81"/>
    <s v="Sea"/>
    <s v="High"/>
    <s v="AS"/>
    <n v="28"/>
    <n v="1120"/>
    <n v="0.26814582840935947"/>
    <n v="3"/>
  </r>
  <r>
    <s v="ORD_2025_0362"/>
    <x v="5"/>
    <s v="Davis, Sophia"/>
    <s v="India"/>
    <s v="Bluetooth Speaker"/>
    <s v="Electronics"/>
    <n v="1"/>
    <n v="57.15"/>
    <n v="57.15"/>
    <n v="4.1100000000000003"/>
    <n v="21.04"/>
    <s v="Sea"/>
    <s v="Low"/>
    <s v="AS"/>
    <n v="32"/>
    <n v="32"/>
    <n v="0.36815398075240596"/>
    <n v="5"/>
  </r>
  <r>
    <s v="ORD_2025_0363"/>
    <x v="14"/>
    <s v="Martinez, Daniel"/>
    <s v="Canada"/>
    <s v="Wireless Mouse"/>
    <s v="Electronics"/>
    <n v="15"/>
    <n v="30.03"/>
    <n v="450.45"/>
    <n v="29.99"/>
    <n v="120.46"/>
    <s v="Air"/>
    <s v="Medium"/>
    <s v="NA"/>
    <n v="20"/>
    <n v="300"/>
    <n v="0.26742146742146744"/>
    <n v="5"/>
  </r>
  <r>
    <s v="ORD_2025_0364"/>
    <x v="14"/>
    <s v="Williams, Emily"/>
    <s v="Brazil"/>
    <s v="Wireless Mouse"/>
    <s v="Electronics"/>
    <n v="48"/>
    <n v="30.91"/>
    <n v="1483.68"/>
    <n v="85.5"/>
    <n v="438.18"/>
    <s v="Land"/>
    <s v="Medium"/>
    <s v="SA"/>
    <n v="20"/>
    <n v="960"/>
    <n v="0.29533322549336782"/>
    <n v="5"/>
  </r>
  <r>
    <s v="ORD_2025_0365"/>
    <x v="16"/>
    <s v="Miller, Emma"/>
    <s v="Mexico"/>
    <s v="Glass Bowl Set"/>
    <s v="Home Decor"/>
    <n v="8"/>
    <n v="32.19"/>
    <n v="257.52"/>
    <n v="11.85"/>
    <n v="65.67"/>
    <s v="Land"/>
    <s v="Low"/>
    <s v="NA"/>
    <n v="22.5"/>
    <n v="180"/>
    <n v="0.25500931966449208"/>
    <n v="1"/>
  </r>
  <r>
    <s v="ORD_2025_0366"/>
    <x v="7"/>
    <s v="Jones, Sophia"/>
    <s v="Uae"/>
    <s v="Denim Jacket"/>
    <s v="Apparel"/>
    <n v="22"/>
    <n v="60.75"/>
    <n v="1336.5"/>
    <n v="38.340000000000003"/>
    <n v="418.16"/>
    <s v="Land"/>
    <s v="Medium"/>
    <s v="AS"/>
    <n v="40"/>
    <n v="880"/>
    <n v="0.3128769173213618"/>
    <n v="8"/>
  </r>
  <r>
    <s v="ORD_2025_0367"/>
    <x v="13"/>
    <s v="Smith, Michael"/>
    <s v="Italy"/>
    <s v="Denim Jacket"/>
    <s v="Apparel"/>
    <n v="38"/>
    <n v="66.06"/>
    <n v="2510.2800000000002"/>
    <n v="50.37"/>
    <n v="939.91"/>
    <s v="Land"/>
    <s v="Low"/>
    <s v="EU"/>
    <n v="40"/>
    <n v="1520"/>
    <n v="0.37442436700288412"/>
    <n v="3"/>
  </r>
  <r>
    <s v="ORD_2025_0368"/>
    <x v="6"/>
    <s v="Martinez, Michael"/>
    <s v="Usa"/>
    <s v="Travel Backpack"/>
    <s v="Accessories"/>
    <n v="33"/>
    <n v="50.88"/>
    <n v="1679.04"/>
    <n v="61.48"/>
    <n v="462.56"/>
    <s v="Land"/>
    <s v="Medium"/>
    <s v="NA"/>
    <n v="35"/>
    <n v="1155"/>
    <n v="0.27549075662283212"/>
    <n v="9"/>
  </r>
  <r>
    <s v="ORD_2025_0369"/>
    <x v="12"/>
    <s v="Brown, Emily"/>
    <s v="China"/>
    <s v="Table Lamp"/>
    <s v="Home Decor"/>
    <n v="49"/>
    <n v="34.479999999999997"/>
    <n v="1689.52"/>
    <n v="53.06"/>
    <n v="264.45999999999998"/>
    <s v="Air"/>
    <s v="High"/>
    <s v="AS"/>
    <n v="28"/>
    <n v="1372"/>
    <n v="0.15652966523036127"/>
    <n v="7"/>
  </r>
  <r>
    <s v="ORD_2025_0370"/>
    <x v="16"/>
    <s v="Martinez, Daniel"/>
    <s v="Japan"/>
    <s v="Wireless Mouse"/>
    <s v="Electronics"/>
    <n v="31"/>
    <n v="25.43"/>
    <n v="788.33"/>
    <n v="57.81"/>
    <n v="110.52"/>
    <s v="Land"/>
    <s v="Medium"/>
    <s v="AS"/>
    <n v="20"/>
    <n v="620"/>
    <n v="0.14019509596235077"/>
    <n v="1"/>
  </r>
  <r>
    <s v="ORD_2025_0371"/>
    <x v="10"/>
    <s v="Miller, Emily"/>
    <s v="Germany"/>
    <s v="Wireless Mouse"/>
    <s v="Electronics"/>
    <n v="29"/>
    <n v="31.68"/>
    <n v="918.72"/>
    <n v="22.22"/>
    <n v="316.5"/>
    <s v="Air"/>
    <s v="Low"/>
    <s v="EU"/>
    <n v="20"/>
    <n v="580"/>
    <n v="0.34450104493207939"/>
    <n v="2"/>
  </r>
  <r>
    <s v="ORD_2025_0372"/>
    <x v="13"/>
    <s v="Brown, David"/>
    <s v="Singapore"/>
    <s v="Table Lamp"/>
    <s v="Home Decor"/>
    <n v="42"/>
    <n v="33.89"/>
    <n v="1423.38"/>
    <n v="85.4"/>
    <n v="161.97999999999999"/>
    <s v="Air"/>
    <s v="Low"/>
    <s v="AS"/>
    <n v="28"/>
    <n v="1176"/>
    <n v="0.11379954755581782"/>
    <n v="3"/>
  </r>
  <r>
    <s v="ORD_2025_0373"/>
    <x v="6"/>
    <s v="Hernandez, Emma"/>
    <s v="Singapore"/>
    <s v="Leather Wallet"/>
    <s v="Accessories"/>
    <n v="13"/>
    <n v="21.75"/>
    <n v="282.75"/>
    <n v="12.5"/>
    <n v="36.25"/>
    <s v="Air"/>
    <s v="Medium"/>
    <s v="AS"/>
    <n v="18"/>
    <n v="234"/>
    <n v="0.12820512820512819"/>
    <n v="9"/>
  </r>
  <r>
    <s v="ORD_2025_0374"/>
    <x v="11"/>
    <s v="Jones, Laura"/>
    <s v="Japan"/>
    <s v="Glass Bowl Set"/>
    <s v="Home Decor"/>
    <n v="25"/>
    <n v="37.58"/>
    <n v="939.5"/>
    <n v="48.44"/>
    <n v="328.56"/>
    <s v="Air"/>
    <s v="High"/>
    <s v="AS"/>
    <n v="22.5"/>
    <n v="562.5"/>
    <n v="0.34971793507184673"/>
    <n v="3"/>
  </r>
  <r>
    <s v="ORD_2025_0375"/>
    <x v="1"/>
    <s v="Jones, Emily"/>
    <s v="Germany"/>
    <s v="Wireless Mouse"/>
    <s v="Electronics"/>
    <n v="16"/>
    <n v="25.25"/>
    <n v="404"/>
    <n v="18.75"/>
    <n v="65.25"/>
    <s v="Sea"/>
    <s v="High"/>
    <s v="EU"/>
    <n v="20"/>
    <n v="320"/>
    <n v="0.16150990099009901"/>
    <n v="2"/>
  </r>
  <r>
    <s v="ORD_2025_0376"/>
    <x v="6"/>
    <s v="Hernandez, David"/>
    <s v="Japan"/>
    <s v="Ceramic Vase"/>
    <s v="Home Decor"/>
    <n v="37"/>
    <n v="25.85"/>
    <n v="956.45"/>
    <n v="31.7"/>
    <n v="351.25"/>
    <s v="Air"/>
    <s v="High"/>
    <s v="AS"/>
    <n v="15.5"/>
    <n v="573.5"/>
    <n v="0.3672434523498353"/>
    <n v="9"/>
  </r>
  <r>
    <s v="ORD_2025_0377"/>
    <x v="0"/>
    <s v="Miller, John"/>
    <s v="Singapore"/>
    <s v="Wireless Mouse"/>
    <s v="Electronics"/>
    <n v="1"/>
    <n v="25.72"/>
    <n v="25.72"/>
    <n v="2.04"/>
    <n v="3.68"/>
    <s v="Air"/>
    <s v="High"/>
    <s v="AS"/>
    <n v="20"/>
    <n v="20"/>
    <n v="0.14307931570762053"/>
    <n v="1"/>
  </r>
  <r>
    <s v="ORD_2025_0378"/>
    <x v="15"/>
    <s v="Jones, Sarah"/>
    <s v="Singapore"/>
    <s v="Table Lamp"/>
    <s v="Home Decor"/>
    <n v="48"/>
    <n v="47.05"/>
    <n v="2258.4"/>
    <n v="179.44"/>
    <n v="734.96"/>
    <s v="Sea"/>
    <s v="Medium"/>
    <s v="AS"/>
    <n v="28"/>
    <n v="1344"/>
    <n v="0.32543393552957844"/>
    <n v="11"/>
  </r>
  <r>
    <s v="ORD_2025_0379"/>
    <x v="11"/>
    <s v="Garcia, Emily"/>
    <s v="Brazil"/>
    <s v="Wireless Mouse"/>
    <s v="Electronics"/>
    <n v="48"/>
    <n v="29.94"/>
    <n v="1437.12"/>
    <n v="30.14"/>
    <n v="446.98"/>
    <s v="Sea"/>
    <s v="Medium"/>
    <s v="SA"/>
    <n v="20"/>
    <n v="960"/>
    <n v="0.31102482743264309"/>
    <n v="3"/>
  </r>
  <r>
    <s v="ORD_2025_0380"/>
    <x v="7"/>
    <s v="Jones, Emma"/>
    <s v="Italy"/>
    <s v="Glass Bowl Set"/>
    <s v="Home Decor"/>
    <n v="12"/>
    <n v="35.68"/>
    <n v="428.16"/>
    <n v="13.07"/>
    <n v="145.09"/>
    <s v="Sea"/>
    <s v="High"/>
    <s v="EU"/>
    <n v="22.5"/>
    <n v="270"/>
    <n v="0.33886864723467863"/>
    <n v="8"/>
  </r>
  <r>
    <s v="ORD_2025_0381"/>
    <x v="6"/>
    <s v="Hernandez, Michael"/>
    <s v="Usa"/>
    <s v="Bluetooth Speaker"/>
    <s v="Electronics"/>
    <n v="30"/>
    <n v="49.32"/>
    <n v="1479.6"/>
    <n v="105.97"/>
    <n v="413.63"/>
    <s v="Sea"/>
    <s v="Medium"/>
    <s v="NA"/>
    <n v="32"/>
    <n v="960"/>
    <n v="0.27955528521221951"/>
    <n v="9"/>
  </r>
  <r>
    <s v="ORD_2025_0382"/>
    <x v="16"/>
    <s v="Garcia, John"/>
    <s v="France"/>
    <s v="Table Lamp"/>
    <s v="Home Decor"/>
    <n v="27"/>
    <n v="37.68"/>
    <n v="1017.36"/>
    <n v="80.739999999999995"/>
    <n v="180.62"/>
    <s v="Air"/>
    <s v="Low"/>
    <s v="EU"/>
    <n v="28"/>
    <n v="756"/>
    <n v="0.17753794133836598"/>
    <n v="1"/>
  </r>
  <r>
    <s v="ORD_2025_0383"/>
    <x v="13"/>
    <s v="Garcia, Michael"/>
    <s v="Italy"/>
    <s v="Cotton Bedsheet"/>
    <s v="Textiles"/>
    <n v="39"/>
    <n v="36.340000000000003"/>
    <n v="1417.26"/>
    <n v="67"/>
    <n v="375.26"/>
    <s v="Air"/>
    <s v="Medium"/>
    <s v="EU"/>
    <n v="25"/>
    <n v="975"/>
    <n v="0.26477851629200005"/>
    <n v="3"/>
  </r>
  <r>
    <s v="ORD_2025_0384"/>
    <x v="14"/>
    <s v="Miller, John"/>
    <s v="China"/>
    <s v="Ceramic Vase"/>
    <s v="Home Decor"/>
    <n v="16"/>
    <n v="24.33"/>
    <n v="389.28"/>
    <n v="22.33"/>
    <n v="118.95"/>
    <s v="Land"/>
    <s v="High"/>
    <s v="AS"/>
    <n v="15.5"/>
    <n v="248"/>
    <n v="0.30556411837237979"/>
    <n v="5"/>
  </r>
  <r>
    <s v="ORD_2025_0385"/>
    <x v="0"/>
    <s v="Garcia, John"/>
    <s v="Uae"/>
    <s v="Ceramic Vase"/>
    <s v="Home Decor"/>
    <n v="40"/>
    <n v="22.28"/>
    <n v="891.2"/>
    <n v="32.729999999999997"/>
    <n v="238.47"/>
    <s v="Land"/>
    <s v="Medium"/>
    <s v="AS"/>
    <n v="15.5"/>
    <n v="620"/>
    <n v="0.26758303411131057"/>
    <n v="1"/>
  </r>
  <r>
    <s v="ORD_2025_0386"/>
    <x v="7"/>
    <s v="Miller, Laura"/>
    <s v="Japan"/>
    <s v="LED Lamp"/>
    <s v="Electronics"/>
    <n v="45"/>
    <n v="21.71"/>
    <n v="976.95"/>
    <n v="51.6"/>
    <n v="351.6"/>
    <s v="Land"/>
    <s v="Low"/>
    <s v="AS"/>
    <n v="12.75"/>
    <n v="573.75"/>
    <n v="0.35989559342852756"/>
    <n v="8"/>
  </r>
  <r>
    <s v="ORD_2025_0387"/>
    <x v="7"/>
    <s v="Garcia, Laura"/>
    <s v="Germany"/>
    <s v="Cotton Bedsheet"/>
    <s v="Textiles"/>
    <n v="8"/>
    <n v="31.07"/>
    <n v="248.56"/>
    <n v="10.97"/>
    <n v="37.590000000000003"/>
    <s v="Land"/>
    <s v="Medium"/>
    <s v="EU"/>
    <n v="25"/>
    <n v="200"/>
    <n v="0.15123109108464758"/>
    <n v="8"/>
  </r>
  <r>
    <s v="ORD_2025_0388"/>
    <x v="10"/>
    <s v="Martinez, Emily"/>
    <s v="France"/>
    <s v="LED Lamp"/>
    <s v="Electronics"/>
    <n v="47"/>
    <n v="21.93"/>
    <n v="1030.71"/>
    <n v="70.989999999999995"/>
    <n v="360.47"/>
    <s v="Air"/>
    <s v="Low"/>
    <s v="EU"/>
    <n v="12.75"/>
    <n v="599.25"/>
    <n v="0.3497297979062976"/>
    <n v="2"/>
  </r>
  <r>
    <s v="ORD_2025_0389"/>
    <x v="12"/>
    <s v="Brown, Michael"/>
    <s v="France"/>
    <s v="LED Lamp"/>
    <s v="Electronics"/>
    <n v="46"/>
    <n v="21.46"/>
    <n v="987.16"/>
    <n v="21.64"/>
    <n v="379.02"/>
    <s v="Sea"/>
    <s v="Low"/>
    <s v="EU"/>
    <n v="12.75"/>
    <n v="586.5"/>
    <n v="0.38394991693342517"/>
    <n v="7"/>
  </r>
  <r>
    <s v="ORD_2025_0390"/>
    <x v="1"/>
    <s v="Williams, David"/>
    <s v="Usa"/>
    <s v="Table Lamp"/>
    <s v="Home Decor"/>
    <n v="45"/>
    <n v="47.1"/>
    <n v="2119.5"/>
    <n v="120.16"/>
    <n v="739.34"/>
    <s v="Sea"/>
    <s v="Medium"/>
    <s v="NA"/>
    <n v="28"/>
    <n v="1260"/>
    <n v="0.34882755366831802"/>
    <n v="2"/>
  </r>
  <r>
    <s v="ORD_2025_0391"/>
    <x v="13"/>
    <s v="Smith, Emily"/>
    <s v="India"/>
    <s v="Travel Backpack"/>
    <s v="Accessories"/>
    <n v="2"/>
    <n v="58.32"/>
    <n v="116.64"/>
    <n v="8.99"/>
    <n v="37.65"/>
    <s v="Land"/>
    <s v="Medium"/>
    <s v="AS"/>
    <n v="35"/>
    <n v="70"/>
    <n v="0.32278806584362141"/>
    <n v="3"/>
  </r>
  <r>
    <s v="ORD_2025_0392"/>
    <x v="10"/>
    <s v="Garcia, John"/>
    <s v="France"/>
    <s v="Travel Backpack"/>
    <s v="Accessories"/>
    <n v="31"/>
    <n v="61.34"/>
    <n v="1901.54"/>
    <n v="147.43"/>
    <n v="669.11"/>
    <s v="Sea"/>
    <s v="Low"/>
    <s v="EU"/>
    <n v="35"/>
    <n v="1085"/>
    <n v="0.35187795155505541"/>
    <n v="2"/>
  </r>
  <r>
    <s v="ORD_2025_0393"/>
    <x v="11"/>
    <s v="Brown, Daniel"/>
    <s v="Canada"/>
    <s v="Cotton Bedsheet"/>
    <s v="Textiles"/>
    <n v="15"/>
    <n v="43.9"/>
    <n v="658.5"/>
    <n v="36.479999999999997"/>
    <n v="247.02"/>
    <s v="Air"/>
    <s v="Medium"/>
    <s v="NA"/>
    <n v="25"/>
    <n v="375"/>
    <n v="0.37512528473804102"/>
    <n v="3"/>
  </r>
  <r>
    <s v="ORD_2025_0394"/>
    <x v="15"/>
    <s v="Brown, Daniel"/>
    <s v="Italy"/>
    <s v="LED Lamp"/>
    <s v="Electronics"/>
    <n v="4"/>
    <n v="20.53"/>
    <n v="82.12"/>
    <n v="4.05"/>
    <n v="27.07"/>
    <s v="Land"/>
    <s v="High"/>
    <s v="EU"/>
    <n v="12.75"/>
    <n v="51"/>
    <n v="0.32963955187530442"/>
    <n v="11"/>
  </r>
  <r>
    <s v="ORD_2025_0395"/>
    <x v="12"/>
    <s v="Garcia, Sarah"/>
    <s v="Australia"/>
    <s v="Wireless Mouse"/>
    <s v="Electronics"/>
    <n v="6"/>
    <n v="24.7"/>
    <n v="148.19999999999999"/>
    <n v="3.76"/>
    <n v="24.44"/>
    <s v="Air"/>
    <s v="Low"/>
    <s v="OC"/>
    <n v="20"/>
    <n v="120"/>
    <n v="0.1649122807017544"/>
    <n v="7"/>
  </r>
  <r>
    <s v="ORD_2025_0396"/>
    <x v="9"/>
    <s v="Garcia, Daniel"/>
    <s v="Brazil"/>
    <s v="LED Lamp"/>
    <s v="Electronics"/>
    <n v="19"/>
    <n v="19.170000000000002"/>
    <n v="364.23"/>
    <n v="15.16"/>
    <n v="106.82"/>
    <s v="Sea"/>
    <s v="Medium"/>
    <s v="SA"/>
    <n v="12.75"/>
    <n v="242.25"/>
    <n v="0.29327622656014052"/>
    <n v="12"/>
  </r>
  <r>
    <s v="ORD_2025_0397"/>
    <x v="14"/>
    <s v="Smith, John"/>
    <s v="China"/>
    <s v="Denim Jacket"/>
    <s v="Apparel"/>
    <n v="2"/>
    <n v="55.28"/>
    <n v="110.56"/>
    <n v="5.37"/>
    <n v="25.19"/>
    <s v="Air"/>
    <s v="Medium"/>
    <s v="AS"/>
    <n v="40"/>
    <n v="80"/>
    <n v="0.22784008683068019"/>
    <n v="5"/>
  </r>
  <r>
    <s v="ORD_2025_0398"/>
    <x v="4"/>
    <s v="Garcia, Emma"/>
    <s v="Brazil"/>
    <s v="Cotton Bedsheet"/>
    <s v="Textiles"/>
    <n v="49"/>
    <n v="43.91"/>
    <n v="2151.59"/>
    <n v="63.55"/>
    <n v="863.04"/>
    <s v="Land"/>
    <s v="Medium"/>
    <s v="SA"/>
    <n v="25"/>
    <n v="1225"/>
    <n v="0.40111731324276462"/>
    <n v="6"/>
  </r>
  <r>
    <s v="ORD_2025_0399"/>
    <x v="2"/>
    <s v="Hernandez, Laura"/>
    <s v="Brazil"/>
    <s v="Cotton Bedsheet"/>
    <s v="Textiles"/>
    <n v="29"/>
    <n v="41.84"/>
    <n v="1213.3599999999999"/>
    <n v="56.83"/>
    <n v="431.53"/>
    <s v="Air"/>
    <s v="High"/>
    <s v="SA"/>
    <n v="25"/>
    <n v="725"/>
    <n v="0.35564877694995717"/>
    <n v="4"/>
  </r>
  <r>
    <s v="ORD_2025_0400"/>
    <x v="4"/>
    <s v="Smith, David"/>
    <s v="South Africa"/>
    <s v="Ceramic Vase"/>
    <s v="Home Decor"/>
    <n v="43"/>
    <n v="27.41"/>
    <n v="1178.6300000000001"/>
    <n v="55.82"/>
    <n v="456.31"/>
    <s v="Air"/>
    <s v="Medium"/>
    <s v="AF"/>
    <n v="15.5"/>
    <n v="666.5"/>
    <n v="0.38715288088713162"/>
    <n v="6"/>
  </r>
  <r>
    <s v="ORD_2025_0401"/>
    <x v="7"/>
    <s v="Jones, John"/>
    <s v="Mexico"/>
    <s v="Wireless Mouse"/>
    <s v="Electronics"/>
    <n v="28"/>
    <n v="31.84"/>
    <n v="891.52"/>
    <n v="54.24"/>
    <n v="277.27999999999997"/>
    <s v="Land"/>
    <s v="Medium"/>
    <s v="NA"/>
    <n v="20"/>
    <n v="560"/>
    <n v="0.31101938262742279"/>
    <n v="8"/>
  </r>
  <r>
    <s v="ORD_2025_0402"/>
    <x v="9"/>
    <s v="Brown, John"/>
    <s v="China"/>
    <s v="Cotton Bedsheet"/>
    <s v="Textiles"/>
    <n v="42"/>
    <n v="35.840000000000003"/>
    <n v="1505.28"/>
    <n v="60.65"/>
    <n v="394.63"/>
    <s v="Air"/>
    <s v="Medium"/>
    <s v="AS"/>
    <n v="25"/>
    <n v="1050"/>
    <n v="0.262163849914966"/>
    <n v="12"/>
  </r>
  <r>
    <s v="ORD_2025_0403"/>
    <x v="6"/>
    <s v="Martinez, Laura"/>
    <s v="Singapore"/>
    <s v="Glass Bowl Set"/>
    <s v="Home Decor"/>
    <n v="22"/>
    <n v="30.55"/>
    <n v="672.1"/>
    <n v="46.8"/>
    <n v="130.30000000000001"/>
    <s v="Sea"/>
    <s v="High"/>
    <s v="AS"/>
    <n v="22.5"/>
    <n v="495"/>
    <n v="0.19386995982740665"/>
    <n v="9"/>
  </r>
  <r>
    <s v="ORD_2025_0404"/>
    <x v="8"/>
    <s v="Johnson, David"/>
    <s v="Japan"/>
    <s v="Table Lamp"/>
    <s v="Home Decor"/>
    <n v="13"/>
    <n v="45.16"/>
    <n v="587.08000000000004"/>
    <n v="29.68"/>
    <n v="193.4"/>
    <s v="Sea"/>
    <s v="Medium"/>
    <s v="AS"/>
    <n v="28"/>
    <n v="364"/>
    <n v="0.32942699461742864"/>
    <n v="4"/>
  </r>
  <r>
    <s v="ORD_2025_0405"/>
    <x v="4"/>
    <s v="Martinez, Emma"/>
    <s v="Australia"/>
    <s v="Travel Backpack"/>
    <s v="Accessories"/>
    <n v="40"/>
    <n v="45.23"/>
    <n v="1809.2"/>
    <n v="136.25"/>
    <n v="272.95"/>
    <s v="Air"/>
    <s v="High"/>
    <s v="OC"/>
    <n v="35"/>
    <n v="1400"/>
    <n v="0.15086778686712357"/>
    <n v="6"/>
  </r>
  <r>
    <s v="ORD_2025_0406"/>
    <x v="16"/>
    <s v="Smith, James"/>
    <s v="Japan"/>
    <s v="Leather Wallet"/>
    <s v="Accessories"/>
    <n v="41"/>
    <n v="22.78"/>
    <n v="933.98"/>
    <n v="38.369999999999997"/>
    <n v="157.61000000000001"/>
    <s v="Sea"/>
    <s v="Low"/>
    <s v="AS"/>
    <n v="18"/>
    <n v="738"/>
    <n v="0.16875093685089618"/>
    <n v="1"/>
  </r>
  <r>
    <s v="ORD_2025_0407"/>
    <x v="12"/>
    <s v="Brown, Michael"/>
    <s v="France"/>
    <s v="Ceramic Vase"/>
    <s v="Home Decor"/>
    <n v="34"/>
    <n v="24.21"/>
    <n v="823.14"/>
    <n v="58.25"/>
    <n v="237.89"/>
    <s v="Land"/>
    <s v="Low"/>
    <s v="EU"/>
    <n v="15.5"/>
    <n v="527"/>
    <n v="0.28900308574483075"/>
    <n v="7"/>
  </r>
  <r>
    <s v="ORD_2025_0408"/>
    <x v="8"/>
    <s v="Williams, Laura"/>
    <s v="Uk"/>
    <s v="Wireless Mouse"/>
    <s v="Electronics"/>
    <n v="46"/>
    <n v="34.64"/>
    <n v="1593.44"/>
    <n v="45.93"/>
    <n v="627.51"/>
    <s v="Air"/>
    <s v="Low"/>
    <s v="EU"/>
    <n v="20"/>
    <n v="920"/>
    <n v="0.39380836429360377"/>
    <n v="4"/>
  </r>
  <r>
    <s v="ORD_2025_0409"/>
    <x v="16"/>
    <s v="Martinez, Emma"/>
    <s v="Canada"/>
    <s v="Wireless Mouse"/>
    <s v="Electronics"/>
    <n v="10"/>
    <n v="27.06"/>
    <n v="270.60000000000002"/>
    <n v="15.35"/>
    <n v="55.25"/>
    <s v="Land"/>
    <s v="High"/>
    <s v="NA"/>
    <n v="20"/>
    <n v="200"/>
    <n v="0.20417590539541758"/>
    <n v="1"/>
  </r>
  <r>
    <s v="ORD_2025_0410"/>
    <x v="3"/>
    <s v="Brown, Sarah"/>
    <s v="Uk"/>
    <s v="Leather Wallet"/>
    <s v="Accessories"/>
    <n v="11"/>
    <n v="27.74"/>
    <n v="305.14"/>
    <n v="10.81"/>
    <n v="96.33"/>
    <s v="Sea"/>
    <s v="High"/>
    <s v="EU"/>
    <n v="18"/>
    <n v="198"/>
    <n v="0.31569115815691157"/>
    <n v="10"/>
  </r>
  <r>
    <s v="ORD_2025_0411"/>
    <x v="16"/>
    <s v="Martinez, Michael"/>
    <s v="Canada"/>
    <s v="Table Lamp"/>
    <s v="Home Decor"/>
    <n v="29"/>
    <n v="38.08"/>
    <n v="1104.32"/>
    <n v="25.63"/>
    <n v="266.69"/>
    <s v="Sea"/>
    <s v="High"/>
    <s v="NA"/>
    <n v="28"/>
    <n v="812"/>
    <n v="0.24149702984642135"/>
    <n v="1"/>
  </r>
  <r>
    <s v="ORD_2025_0412"/>
    <x v="8"/>
    <s v="Smith, Michael"/>
    <s v="Canada"/>
    <s v="Table Lamp"/>
    <s v="Home Decor"/>
    <n v="18"/>
    <n v="43.65"/>
    <n v="785.7"/>
    <n v="54.52"/>
    <n v="227.18"/>
    <s v="Sea"/>
    <s v="Low"/>
    <s v="NA"/>
    <n v="28"/>
    <n v="504"/>
    <n v="0.28914343897161765"/>
    <n v="4"/>
  </r>
  <r>
    <s v="ORD_2025_0413"/>
    <x v="10"/>
    <s v="Brown, David"/>
    <s v="France"/>
    <s v="Travel Backpack"/>
    <s v="Accessories"/>
    <n v="49"/>
    <n v="51.97"/>
    <n v="2546.5300000000002"/>
    <n v="112.26"/>
    <n v="719.27"/>
    <s v="Sea"/>
    <s v="Medium"/>
    <s v="EU"/>
    <n v="35"/>
    <n v="1715"/>
    <n v="0.28245102158623692"/>
    <n v="2"/>
  </r>
  <r>
    <s v="ORD_2025_0414"/>
    <x v="0"/>
    <s v="Garcia, Emily"/>
    <s v="Singapore"/>
    <s v="Cotton Bedsheet"/>
    <s v="Textiles"/>
    <n v="13"/>
    <n v="36.85"/>
    <n v="479.05"/>
    <n v="10.15"/>
    <n v="143.9"/>
    <s v="Land"/>
    <s v="High"/>
    <s v="AS"/>
    <n v="25"/>
    <n v="325"/>
    <n v="0.30038618098319592"/>
    <n v="1"/>
  </r>
  <r>
    <s v="ORD_2025_0415"/>
    <x v="14"/>
    <s v="Davis, Sarah"/>
    <s v="Canada"/>
    <s v="Bluetooth Speaker"/>
    <s v="Electronics"/>
    <n v="33"/>
    <n v="38.520000000000003"/>
    <n v="1271.1600000000001"/>
    <n v="81.459999999999994"/>
    <n v="133.69999999999999"/>
    <s v="Land"/>
    <s v="Low"/>
    <s v="NA"/>
    <n v="32"/>
    <n v="1056"/>
    <n v="0.10517952106737152"/>
    <n v="5"/>
  </r>
  <r>
    <s v="ORD_2025_0416"/>
    <x v="8"/>
    <s v="Hernandez, David"/>
    <s v="China"/>
    <s v="Ceramic Vase"/>
    <s v="Home Decor"/>
    <n v="41"/>
    <n v="26.98"/>
    <n v="1106.18"/>
    <n v="51.77"/>
    <n v="418.91"/>
    <s v="Air"/>
    <s v="Medium"/>
    <s v="AS"/>
    <n v="15.5"/>
    <n v="635.5"/>
    <n v="0.37869966913160608"/>
    <n v="4"/>
  </r>
  <r>
    <s v="ORD_2025_0417"/>
    <x v="10"/>
    <s v="Martinez, Michael"/>
    <s v="France"/>
    <s v="Ceramic Vase"/>
    <s v="Home Decor"/>
    <n v="4"/>
    <n v="23.56"/>
    <n v="94.24"/>
    <n v="7.03"/>
    <n v="25.21"/>
    <s v="Air"/>
    <s v="High"/>
    <s v="EU"/>
    <n v="15.5"/>
    <n v="62"/>
    <n v="0.26750848896434637"/>
    <n v="2"/>
  </r>
  <r>
    <s v="ORD_2025_0418"/>
    <x v="12"/>
    <s v="Johnson, Emily"/>
    <s v="India"/>
    <s v="Bluetooth Speaker"/>
    <s v="Electronics"/>
    <n v="17"/>
    <n v="57.14"/>
    <n v="971.38"/>
    <n v="70.010000000000005"/>
    <n v="357.37"/>
    <s v="Air"/>
    <s v="Medium"/>
    <s v="AS"/>
    <n v="32"/>
    <n v="544"/>
    <n v="0.36789927731680705"/>
    <n v="7"/>
  </r>
  <r>
    <s v="ORD_2025_0419"/>
    <x v="1"/>
    <s v="Hernandez, John"/>
    <s v="Australia"/>
    <s v="Cotton Bedsheet"/>
    <s v="Textiles"/>
    <n v="44"/>
    <n v="38.14"/>
    <n v="1678.16"/>
    <n v="124.49"/>
    <n v="453.67"/>
    <s v="Air"/>
    <s v="Low"/>
    <s v="OC"/>
    <n v="25"/>
    <n v="1100"/>
    <n v="0.27033775087000045"/>
    <n v="2"/>
  </r>
  <r>
    <s v="ORD_2025_0420"/>
    <x v="12"/>
    <s v="Brown, Michael"/>
    <s v="South Africa"/>
    <s v="Leather Wallet"/>
    <s v="Accessories"/>
    <n v="14"/>
    <n v="24"/>
    <n v="336"/>
    <n v="22.88"/>
    <n v="61.12"/>
    <s v="Sea"/>
    <s v="Medium"/>
    <s v="AF"/>
    <n v="18"/>
    <n v="252"/>
    <n v="0.1819047619047619"/>
    <n v="7"/>
  </r>
  <r>
    <s v="ORD_2025_0421"/>
    <x v="10"/>
    <s v="Williams, David"/>
    <s v="China"/>
    <s v="Ceramic Vase"/>
    <s v="Home Decor"/>
    <n v="50"/>
    <n v="26.91"/>
    <n v="1345.5"/>
    <n v="91.7"/>
    <n v="478.8"/>
    <s v="Air"/>
    <s v="Low"/>
    <s v="AS"/>
    <n v="15.5"/>
    <n v="775"/>
    <n v="0.35585284280936458"/>
    <n v="2"/>
  </r>
  <r>
    <s v="ORD_2025_0422"/>
    <x v="5"/>
    <s v="Hernandez, Michael"/>
    <s v="Italy"/>
    <s v="Denim Jacket"/>
    <s v="Apparel"/>
    <n v="7"/>
    <n v="59.41"/>
    <n v="415.87"/>
    <n v="25.51"/>
    <n v="110.36"/>
    <s v="Land"/>
    <s v="High"/>
    <s v="EU"/>
    <n v="40"/>
    <n v="280"/>
    <n v="0.26537139009786714"/>
    <n v="5"/>
  </r>
  <r>
    <s v="ORD_2025_0423"/>
    <x v="16"/>
    <s v="Garcia, David"/>
    <s v="Japan"/>
    <s v="Cotton Bedsheet"/>
    <s v="Textiles"/>
    <n v="48"/>
    <n v="37.31"/>
    <n v="1790.88"/>
    <n v="67.45"/>
    <n v="523.42999999999995"/>
    <s v="Land"/>
    <s v="Medium"/>
    <s v="AS"/>
    <n v="25"/>
    <n v="1200"/>
    <n v="0.29227530599481816"/>
    <n v="1"/>
  </r>
  <r>
    <s v="ORD_2025_0424"/>
    <x v="12"/>
    <s v="Miller, Sophia"/>
    <s v="Uae"/>
    <s v="Denim Jacket"/>
    <s v="Apparel"/>
    <n v="38"/>
    <n v="52.91"/>
    <n v="2010.58"/>
    <n v="94.22"/>
    <n v="396.36"/>
    <s v="Land"/>
    <s v="Low"/>
    <s v="AS"/>
    <n v="40"/>
    <n v="1520"/>
    <n v="0.19713714450556558"/>
    <n v="7"/>
  </r>
  <r>
    <s v="ORD_2025_0425"/>
    <x v="5"/>
    <s v="Davis, James"/>
    <s v="Uk"/>
    <s v="Leather Wallet"/>
    <s v="Accessories"/>
    <n v="14"/>
    <n v="27.09"/>
    <n v="379.26"/>
    <n v="14.42"/>
    <n v="112.84"/>
    <s v="Air"/>
    <s v="High"/>
    <s v="EU"/>
    <n v="18"/>
    <n v="252"/>
    <n v="0.29752676264304173"/>
    <n v="5"/>
  </r>
  <r>
    <s v="ORD_2025_0426"/>
    <x v="10"/>
    <s v="Hernandez, John"/>
    <s v="Japan"/>
    <s v="Glass Bowl Set"/>
    <s v="Home Decor"/>
    <n v="41"/>
    <n v="30.52"/>
    <n v="1251.32"/>
    <n v="56.88"/>
    <n v="271.94"/>
    <s v="Land"/>
    <s v="High"/>
    <s v="AS"/>
    <n v="22.5"/>
    <n v="922.5"/>
    <n v="0.21732250743215165"/>
    <n v="2"/>
  </r>
  <r>
    <s v="ORD_2025_0427"/>
    <x v="14"/>
    <s v="Martinez, Emily"/>
    <s v="Canada"/>
    <s v="Table Lamp"/>
    <s v="Home Decor"/>
    <n v="23"/>
    <n v="40.94"/>
    <n v="941.62"/>
    <n v="71.66"/>
    <n v="225.96"/>
    <s v="Sea"/>
    <s v="High"/>
    <s v="NA"/>
    <n v="28"/>
    <n v="644"/>
    <n v="0.23996941441345768"/>
    <n v="5"/>
  </r>
  <r>
    <s v="ORD_2025_0428"/>
    <x v="4"/>
    <s v="Johnson, Emily"/>
    <s v="Germany"/>
    <s v="Table Lamp"/>
    <s v="Home Decor"/>
    <n v="34"/>
    <n v="41.77"/>
    <n v="1420.18"/>
    <n v="112.45"/>
    <n v="355.73"/>
    <s v="Sea"/>
    <s v="High"/>
    <s v="EU"/>
    <n v="28"/>
    <n v="952"/>
    <n v="0.25048233322536578"/>
    <n v="6"/>
  </r>
  <r>
    <s v="ORD_2025_0429"/>
    <x v="7"/>
    <s v="Brown, Michael"/>
    <s v="India"/>
    <s v="Denim Jacket"/>
    <s v="Apparel"/>
    <n v="32"/>
    <n v="69.98"/>
    <n v="2239.36"/>
    <n v="133.51"/>
    <n v="825.85"/>
    <s v="Air"/>
    <s v="Low"/>
    <s v="AS"/>
    <n v="40"/>
    <n v="1280"/>
    <n v="0.3687884038296656"/>
    <n v="8"/>
  </r>
  <r>
    <s v="ORD_2025_0430"/>
    <x v="16"/>
    <s v="Brown, Daniel"/>
    <s v="Uk"/>
    <s v="Travel Backpack"/>
    <s v="Accessories"/>
    <n v="25"/>
    <n v="42.91"/>
    <n v="1072.75"/>
    <n v="80.02"/>
    <n v="117.73"/>
    <s v="Sea"/>
    <s v="Medium"/>
    <s v="EU"/>
    <n v="35"/>
    <n v="875"/>
    <n v="0.10974597995805174"/>
    <n v="1"/>
  </r>
  <r>
    <s v="ORD_2025_0431"/>
    <x v="9"/>
    <s v="Williams, Sophia"/>
    <s v="Canada"/>
    <s v="LED Lamp"/>
    <s v="Electronics"/>
    <n v="7"/>
    <n v="22.6"/>
    <n v="158.19999999999999"/>
    <n v="7.04"/>
    <n v="61.91"/>
    <s v="Air"/>
    <s v="Low"/>
    <s v="NA"/>
    <n v="12.75"/>
    <n v="89.25"/>
    <n v="0.39134007585335018"/>
    <n v="12"/>
  </r>
  <r>
    <s v="ORD_2025_0432"/>
    <x v="4"/>
    <s v="Davis, David"/>
    <s v="Usa"/>
    <s v="LED Lamp"/>
    <s v="Electronics"/>
    <n v="48"/>
    <n v="19.5"/>
    <n v="936"/>
    <n v="70.069999999999993"/>
    <n v="253.93"/>
    <s v="Land"/>
    <s v="Medium"/>
    <s v="NA"/>
    <n v="12.75"/>
    <n v="612"/>
    <n v="0.27129273504273504"/>
    <n v="6"/>
  </r>
  <r>
    <s v="ORD_2025_0433"/>
    <x v="6"/>
    <s v="Davis, John"/>
    <s v="Australia"/>
    <s v="Denim Jacket"/>
    <s v="Apparel"/>
    <n v="32"/>
    <n v="49.97"/>
    <n v="1599.04"/>
    <n v="43.1"/>
    <n v="275.94"/>
    <s v="Sea"/>
    <s v="High"/>
    <s v="OC"/>
    <n v="40"/>
    <n v="1280"/>
    <n v="0.17256603962377426"/>
    <n v="9"/>
  </r>
  <r>
    <s v="ORD_2025_0434"/>
    <x v="0"/>
    <s v="Smith, Emily"/>
    <s v="France"/>
    <s v="Ceramic Vase"/>
    <s v="Home Decor"/>
    <n v="41"/>
    <n v="25.62"/>
    <n v="1050.42"/>
    <n v="79.2"/>
    <n v="335.72"/>
    <s v="Land"/>
    <s v="Medium"/>
    <s v="EU"/>
    <n v="15.5"/>
    <n v="635.5"/>
    <n v="0.31960549113687858"/>
    <n v="1"/>
  </r>
  <r>
    <s v="ORD_2025_0435"/>
    <x v="10"/>
    <s v="Martinez, David"/>
    <s v="Usa"/>
    <s v="LED Lamp"/>
    <s v="Electronics"/>
    <n v="46"/>
    <n v="16.78"/>
    <n v="771.88"/>
    <n v="18.04"/>
    <n v="167.34"/>
    <s v="Air"/>
    <s v="High"/>
    <s v="NA"/>
    <n v="12.75"/>
    <n v="586.5"/>
    <n v="0.21679535679121106"/>
    <n v="2"/>
  </r>
  <r>
    <s v="ORD_2025_0436"/>
    <x v="10"/>
    <s v="Davis, Daniel"/>
    <s v="Italy"/>
    <s v="Bluetooth Speaker"/>
    <s v="Electronics"/>
    <n v="16"/>
    <n v="42.18"/>
    <n v="674.88"/>
    <n v="19.100000000000001"/>
    <n v="143.78"/>
    <s v="Land"/>
    <s v="High"/>
    <s v="EU"/>
    <n v="32"/>
    <n v="512"/>
    <n v="0.21304528212422949"/>
    <n v="2"/>
  </r>
  <r>
    <s v="ORD_2025_0437"/>
    <x v="7"/>
    <s v="Davis, James"/>
    <s v="France"/>
    <s v="Cotton Bedsheet"/>
    <s v="Textiles"/>
    <n v="12"/>
    <n v="34.97"/>
    <n v="419.64"/>
    <n v="28.48"/>
    <n v="91.16"/>
    <s v="Land"/>
    <s v="Low"/>
    <s v="EU"/>
    <n v="25"/>
    <n v="300"/>
    <n v="0.21723381946430273"/>
    <n v="8"/>
  </r>
  <r>
    <s v="ORD_2025_0438"/>
    <x v="9"/>
    <s v="Jones, David"/>
    <s v="Brazil"/>
    <s v="Wireless Mouse"/>
    <s v="Electronics"/>
    <n v="31"/>
    <n v="33.619999999999997"/>
    <n v="1042.22"/>
    <n v="26.33"/>
    <n v="395.89"/>
    <s v="Air"/>
    <s v="High"/>
    <s v="SA"/>
    <n v="20"/>
    <n v="620"/>
    <n v="0.37985262228704109"/>
    <n v="12"/>
  </r>
  <r>
    <s v="ORD_2025_0439"/>
    <x v="15"/>
    <s v="Smith, Laura"/>
    <s v="Uae"/>
    <s v="Glass Bowl Set"/>
    <s v="Home Decor"/>
    <n v="40"/>
    <n v="30.56"/>
    <n v="1222.4000000000001"/>
    <n v="26.42"/>
    <n v="295.98"/>
    <s v="Land"/>
    <s v="Low"/>
    <s v="AS"/>
    <n v="22.5"/>
    <n v="900"/>
    <n v="0.24213023560209423"/>
    <n v="11"/>
  </r>
  <r>
    <s v="ORD_2025_0440"/>
    <x v="0"/>
    <s v="Martinez, Emma"/>
    <s v="Germany"/>
    <s v="Travel Backpack"/>
    <s v="Accessories"/>
    <n v="15"/>
    <n v="61.93"/>
    <n v="928.95"/>
    <n v="25.68"/>
    <n v="378.27"/>
    <s v="Sea"/>
    <s v="High"/>
    <s v="EU"/>
    <n v="35"/>
    <n v="525"/>
    <n v="0.407201679315356"/>
    <n v="1"/>
  </r>
  <r>
    <s v="ORD_2025_0441"/>
    <x v="16"/>
    <s v="Martinez, Sarah"/>
    <s v="China"/>
    <s v="Wireless Mouse"/>
    <s v="Electronics"/>
    <n v="20"/>
    <n v="35.770000000000003"/>
    <n v="715.4"/>
    <n v="39.229999999999997"/>
    <n v="276.17"/>
    <s v="Land"/>
    <s v="Low"/>
    <s v="AS"/>
    <n v="20"/>
    <n v="400"/>
    <n v="0.38603578417668438"/>
    <n v="1"/>
  </r>
  <r>
    <s v="ORD_2025_0442"/>
    <x v="4"/>
    <s v="Martinez, John"/>
    <s v="Uk"/>
    <s v="LED Lamp"/>
    <s v="Electronics"/>
    <n v="21"/>
    <n v="22.48"/>
    <n v="472.08"/>
    <n v="12.96"/>
    <n v="191.37"/>
    <s v="Sea"/>
    <s v="Low"/>
    <s v="EU"/>
    <n v="12.75"/>
    <n v="267.75"/>
    <n v="0.40537620742247077"/>
    <n v="6"/>
  </r>
  <r>
    <s v="ORD_2025_0443"/>
    <x v="0"/>
    <s v="Johnson, Sophia"/>
    <s v="China"/>
    <s v="Leather Wallet"/>
    <s v="Accessories"/>
    <n v="8"/>
    <n v="27.53"/>
    <n v="220.24"/>
    <n v="12.66"/>
    <n v="63.58"/>
    <s v="Sea"/>
    <s v="Medium"/>
    <s v="AS"/>
    <n v="18"/>
    <n v="144"/>
    <n v="0.28868507083181982"/>
    <n v="1"/>
  </r>
  <r>
    <s v="ORD_2025_0444"/>
    <x v="6"/>
    <s v="Miller, Emily"/>
    <s v="India"/>
    <s v="Glass Bowl Set"/>
    <s v="Home Decor"/>
    <n v="35"/>
    <n v="39.65"/>
    <n v="1387.75"/>
    <n v="60.95"/>
    <n v="539.29999999999995"/>
    <s v="Air"/>
    <s v="Medium"/>
    <s v="AS"/>
    <n v="22.5"/>
    <n v="787.5"/>
    <n v="0.38861466402450007"/>
    <n v="9"/>
  </r>
  <r>
    <s v="ORD_2025_0445"/>
    <x v="10"/>
    <s v="Garcia, Laura"/>
    <s v="South Africa"/>
    <s v="Ceramic Vase"/>
    <s v="Home Decor"/>
    <n v="50"/>
    <n v="23.68"/>
    <n v="1184"/>
    <n v="46.62"/>
    <n v="362.38"/>
    <s v="Sea"/>
    <s v="Medium"/>
    <s v="AF"/>
    <n v="15.5"/>
    <n v="775"/>
    <n v="0.30606418918918921"/>
    <n v="2"/>
  </r>
  <r>
    <s v="ORD_2025_0446"/>
    <x v="1"/>
    <s v="Davis, Michael"/>
    <s v="Uae"/>
    <s v="LED Lamp"/>
    <s v="Electronics"/>
    <n v="5"/>
    <n v="19.809999999999999"/>
    <n v="99.05"/>
    <n v="5.91"/>
    <n v="29.39"/>
    <s v="Sea"/>
    <s v="High"/>
    <s v="AS"/>
    <n v="12.75"/>
    <n v="63.75"/>
    <n v="0.2967188288743059"/>
    <n v="2"/>
  </r>
  <r>
    <s v="ORD_2025_0447"/>
    <x v="14"/>
    <s v="Williams, David"/>
    <s v="Brazil"/>
    <s v="LED Lamp"/>
    <s v="Electronics"/>
    <n v="27"/>
    <n v="18.03"/>
    <n v="486.81"/>
    <n v="36.630000000000003"/>
    <n v="105.93"/>
    <s v="Land"/>
    <s v="High"/>
    <s v="SA"/>
    <n v="12.75"/>
    <n v="344.25"/>
    <n v="0.21760029580329082"/>
    <n v="5"/>
  </r>
  <r>
    <s v="ORD_2025_0448"/>
    <x v="2"/>
    <s v="Brown, Emily"/>
    <s v="South Africa"/>
    <s v="Leather Wallet"/>
    <s v="Accessories"/>
    <n v="45"/>
    <n v="26.93"/>
    <n v="1211.8499999999999"/>
    <n v="62.85"/>
    <n v="339"/>
    <s v="Sea"/>
    <s v="Medium"/>
    <s v="AF"/>
    <n v="18"/>
    <n v="810"/>
    <n v="0.2797375912860503"/>
    <n v="4"/>
  </r>
  <r>
    <s v="ORD_2025_0449"/>
    <x v="4"/>
    <s v="Davis, Daniel"/>
    <s v="Italy"/>
    <s v="Wireless Mouse"/>
    <s v="Electronics"/>
    <n v="40"/>
    <n v="32.54"/>
    <n v="1301.5999999999999"/>
    <n v="47.06"/>
    <n v="454.54"/>
    <s v="Land"/>
    <s v="Medium"/>
    <s v="EU"/>
    <n v="20"/>
    <n v="800"/>
    <n v="0.34921634910878924"/>
    <n v="6"/>
  </r>
  <r>
    <s v="ORD_2025_0450"/>
    <x v="5"/>
    <s v="Miller, Michael"/>
    <s v="India"/>
    <s v="Glass Bowl Set"/>
    <s v="Home Decor"/>
    <n v="26"/>
    <n v="35.32"/>
    <n v="918.32"/>
    <n v="60.02"/>
    <n v="273.3"/>
    <s v="Air"/>
    <s v="Low"/>
    <s v="AS"/>
    <n v="22.5"/>
    <n v="585"/>
    <n v="0.29760867671399949"/>
    <n v="5"/>
  </r>
  <r>
    <s v="ORD_2025_0451"/>
    <x v="0"/>
    <s v="Hernandez, Sophia"/>
    <s v="Brazil"/>
    <s v="LED Lamp"/>
    <s v="Electronics"/>
    <n v="16"/>
    <n v="16.440000000000001"/>
    <n v="263.04000000000002"/>
    <n v="17.64"/>
    <n v="41.4"/>
    <s v="Land"/>
    <s v="Low"/>
    <s v="SA"/>
    <n v="12.75"/>
    <n v="204"/>
    <n v="0.1573905109489051"/>
    <n v="1"/>
  </r>
  <r>
    <s v="ORD_2025_0452"/>
    <x v="13"/>
    <s v="Miller, Emily"/>
    <s v="France"/>
    <s v="Table Lamp"/>
    <s v="Home Decor"/>
    <n v="39"/>
    <n v="46.27"/>
    <n v="1804.53"/>
    <n v="38.57"/>
    <n v="673.96"/>
    <s v="Air"/>
    <s v="High"/>
    <s v="EU"/>
    <n v="28"/>
    <n v="1092"/>
    <n v="0.37348229178788939"/>
    <n v="3"/>
  </r>
  <r>
    <s v="ORD_2025_0453"/>
    <x v="3"/>
    <s v="Williams, Michael"/>
    <s v="Uk"/>
    <s v="Cotton Bedsheet"/>
    <s v="Textiles"/>
    <n v="15"/>
    <n v="33.22"/>
    <n v="498.3"/>
    <n v="36.85"/>
    <n v="86.45"/>
    <s v="Air"/>
    <s v="High"/>
    <s v="EU"/>
    <n v="25"/>
    <n v="375"/>
    <n v="0.17348986554284568"/>
    <n v="10"/>
  </r>
  <r>
    <s v="ORD_2025_0454"/>
    <x v="4"/>
    <s v="Miller, Sarah"/>
    <s v="South Africa"/>
    <s v="Denim Jacket"/>
    <s v="Apparel"/>
    <n v="35"/>
    <n v="71.02"/>
    <n v="2485.6999999999998"/>
    <n v="137.22"/>
    <n v="948.48"/>
    <s v="Sea"/>
    <s v="Medium"/>
    <s v="AF"/>
    <n v="40"/>
    <n v="1400"/>
    <n v="0.38157460675061355"/>
    <n v="6"/>
  </r>
  <r>
    <s v="ORD_2025_0455"/>
    <x v="6"/>
    <s v="Brown, Michael"/>
    <s v="Uae"/>
    <s v="Table Lamp"/>
    <s v="Home Decor"/>
    <n v="2"/>
    <n v="42.31"/>
    <n v="84.62"/>
    <n v="4.28"/>
    <n v="24.34"/>
    <s v="Sea"/>
    <s v="Medium"/>
    <s v="AS"/>
    <n v="28"/>
    <n v="56"/>
    <n v="0.28763885606239659"/>
    <n v="9"/>
  </r>
  <r>
    <s v="ORD_2025_0456"/>
    <x v="8"/>
    <s v="Johnson, Sarah"/>
    <s v="Singapore"/>
    <s v="Cotton Bedsheet"/>
    <s v="Textiles"/>
    <n v="8"/>
    <n v="41.36"/>
    <n v="330.88"/>
    <n v="11.78"/>
    <n v="119.1"/>
    <s v="Land"/>
    <s v="Low"/>
    <s v="AS"/>
    <n v="25"/>
    <n v="200"/>
    <n v="0.35994922630560927"/>
    <n v="4"/>
  </r>
  <r>
    <s v="ORD_2025_0457"/>
    <x v="6"/>
    <s v="Martinez, Sarah"/>
    <s v="Canada"/>
    <s v="Leather Wallet"/>
    <s v="Accessories"/>
    <n v="3"/>
    <n v="31.39"/>
    <n v="94.17"/>
    <n v="2.52"/>
    <n v="37.65"/>
    <s v="Air"/>
    <s v="High"/>
    <s v="NA"/>
    <n v="18"/>
    <n v="54"/>
    <n v="0.39980885632366991"/>
    <n v="9"/>
  </r>
  <r>
    <s v="ORD_2025_0458"/>
    <x v="0"/>
    <s v="Johnson, Daniel"/>
    <s v="France"/>
    <s v="Glass Bowl Set"/>
    <s v="Home Decor"/>
    <n v="48"/>
    <n v="33.61"/>
    <n v="1613.28"/>
    <n v="109.92"/>
    <n v="423.36"/>
    <s v="Land"/>
    <s v="High"/>
    <s v="EU"/>
    <n v="22.5"/>
    <n v="1080"/>
    <n v="0.26242189824457007"/>
    <n v="1"/>
  </r>
  <r>
    <s v="ORD_2025_0459"/>
    <x v="10"/>
    <s v="Garcia, Michael"/>
    <s v="Germany"/>
    <s v="Bluetooth Speaker"/>
    <s v="Electronics"/>
    <n v="9"/>
    <n v="50.29"/>
    <n v="452.61"/>
    <n v="32.93"/>
    <n v="131.68"/>
    <s v="Sea"/>
    <s v="High"/>
    <s v="EU"/>
    <n v="32"/>
    <n v="288"/>
    <n v="0.29093480038001812"/>
    <n v="2"/>
  </r>
  <r>
    <s v="ORD_2025_0460"/>
    <x v="3"/>
    <s v="Johnson, Daniel"/>
    <s v="Usa"/>
    <s v="Glass Bowl Set"/>
    <s v="Home Decor"/>
    <n v="12"/>
    <n v="34.96"/>
    <n v="419.52"/>
    <n v="15.43"/>
    <n v="134.09"/>
    <s v="Sea"/>
    <s v="High"/>
    <s v="NA"/>
    <n v="22.5"/>
    <n v="270"/>
    <n v="0.31962719298245618"/>
    <n v="10"/>
  </r>
  <r>
    <s v="ORD_2025_0461"/>
    <x v="1"/>
    <s v="Jones, Emma"/>
    <s v="Australia"/>
    <s v="Travel Backpack"/>
    <s v="Accessories"/>
    <n v="29"/>
    <n v="52.72"/>
    <n v="1528.88"/>
    <n v="96.91"/>
    <n v="416.97"/>
    <s v="Sea"/>
    <s v="High"/>
    <s v="OC"/>
    <n v="35"/>
    <n v="1015"/>
    <n v="0.27272905656428237"/>
    <n v="2"/>
  </r>
  <r>
    <s v="ORD_2025_0462"/>
    <x v="1"/>
    <s v="Garcia, Daniel"/>
    <s v="Canada"/>
    <s v="Ceramic Vase"/>
    <s v="Home Decor"/>
    <n v="39"/>
    <n v="22.18"/>
    <n v="865.02"/>
    <n v="26.23"/>
    <n v="234.29"/>
    <s v="Land"/>
    <s v="High"/>
    <s v="NA"/>
    <n v="15.5"/>
    <n v="604.5"/>
    <n v="0.27084922891956253"/>
    <n v="2"/>
  </r>
  <r>
    <s v="ORD_2025_0463"/>
    <x v="1"/>
    <s v="Miller, Emma"/>
    <s v="Singapore"/>
    <s v="Ceramic Vase"/>
    <s v="Home Decor"/>
    <n v="11"/>
    <n v="21.4"/>
    <n v="235.4"/>
    <n v="11.64"/>
    <n v="53.26"/>
    <s v="Land"/>
    <s v="High"/>
    <s v="AS"/>
    <n v="15.5"/>
    <n v="170.5"/>
    <n v="0.22625318606627015"/>
    <n v="2"/>
  </r>
  <r>
    <s v="ORD_2025_0464"/>
    <x v="2"/>
    <s v="Brown, John"/>
    <s v="Singapore"/>
    <s v="Cotton Bedsheet"/>
    <s v="Textiles"/>
    <n v="21"/>
    <n v="36.26"/>
    <n v="761.46"/>
    <n v="56.99"/>
    <n v="179.47"/>
    <s v="Sea"/>
    <s v="Low"/>
    <s v="AS"/>
    <n v="25"/>
    <n v="525"/>
    <n v="0.23569196018175609"/>
    <n v="4"/>
  </r>
  <r>
    <s v="ORD_2025_0465"/>
    <x v="3"/>
    <s v="Miller, Sarah"/>
    <s v="China"/>
    <s v="Glass Bowl Set"/>
    <s v="Home Decor"/>
    <n v="39"/>
    <n v="35.409999999999997"/>
    <n v="1380.99"/>
    <n v="84.56"/>
    <n v="418.93"/>
    <s v="Sea"/>
    <s v="Low"/>
    <s v="AS"/>
    <n v="22.5"/>
    <n v="877.5"/>
    <n v="0.30335483964402349"/>
    <n v="10"/>
  </r>
  <r>
    <s v="ORD_2025_0466"/>
    <x v="2"/>
    <s v="Smith, Sophia"/>
    <s v="China"/>
    <s v="Leather Wallet"/>
    <s v="Accessories"/>
    <n v="13"/>
    <n v="27.35"/>
    <n v="355.55"/>
    <n v="26.23"/>
    <n v="95.32"/>
    <s v="Sea"/>
    <s v="High"/>
    <s v="AS"/>
    <n v="18"/>
    <n v="234"/>
    <n v="0.26809168893263957"/>
    <n v="4"/>
  </r>
  <r>
    <s v="ORD_2025_0467"/>
    <x v="16"/>
    <s v="Johnson, Sarah"/>
    <s v="Brazil"/>
    <s v="LED Lamp"/>
    <s v="Electronics"/>
    <n v="40"/>
    <n v="21.08"/>
    <n v="843.2"/>
    <n v="66.81"/>
    <n v="266.39"/>
    <s v="Air"/>
    <s v="Medium"/>
    <s v="SA"/>
    <n v="12.75"/>
    <n v="510"/>
    <n v="0.3159274193548387"/>
    <n v="1"/>
  </r>
  <r>
    <s v="ORD_2025_0468"/>
    <x v="3"/>
    <s v="Jones, Emma"/>
    <s v="Mexico"/>
    <s v="Ceramic Vase"/>
    <s v="Home Decor"/>
    <n v="47"/>
    <n v="27.54"/>
    <n v="1294.3800000000001"/>
    <n v="62.78"/>
    <n v="503.1"/>
    <s v="Land"/>
    <s v="Low"/>
    <s v="NA"/>
    <n v="15.5"/>
    <n v="728.5"/>
    <n v="0.38868029481296062"/>
    <n v="10"/>
  </r>
  <r>
    <s v="ORD_2025_0469"/>
    <x v="11"/>
    <s v="Miller, Daniel"/>
    <s v="India"/>
    <s v="Bluetooth Speaker"/>
    <s v="Electronics"/>
    <n v="16"/>
    <n v="45.08"/>
    <n v="721.28"/>
    <n v="21.61"/>
    <n v="187.67"/>
    <s v="Sea"/>
    <s v="High"/>
    <s v="AS"/>
    <n v="32"/>
    <n v="512"/>
    <n v="0.26019021739130432"/>
    <n v="3"/>
  </r>
  <r>
    <s v="ORD_2025_0470"/>
    <x v="8"/>
    <s v="Garcia, Emily"/>
    <s v="Uae"/>
    <s v="Glass Bowl Set"/>
    <s v="Home Decor"/>
    <n v="37"/>
    <n v="33.200000000000003"/>
    <n v="1228.4000000000001"/>
    <n v="41.34"/>
    <n v="354.56"/>
    <s v="Air"/>
    <s v="Medium"/>
    <s v="AS"/>
    <n v="22.5"/>
    <n v="832.5"/>
    <n v="0.28863562357538258"/>
    <n v="4"/>
  </r>
  <r>
    <s v="ORD_2025_0471"/>
    <x v="9"/>
    <s v="Smith, Emily"/>
    <s v="Uae"/>
    <s v="Leather Wallet"/>
    <s v="Accessories"/>
    <n v="8"/>
    <n v="27.31"/>
    <n v="218.48"/>
    <n v="9.51"/>
    <n v="64.97"/>
    <s v="Air"/>
    <s v="Low"/>
    <s v="AS"/>
    <n v="18"/>
    <n v="144"/>
    <n v="0.29737275723178325"/>
    <n v="12"/>
  </r>
  <r>
    <s v="ORD_2025_0472"/>
    <x v="2"/>
    <s v="Martinez, Michael"/>
    <s v="South Africa"/>
    <s v="Leather Wallet"/>
    <s v="Accessories"/>
    <n v="19"/>
    <n v="29.14"/>
    <n v="553.66"/>
    <n v="19.7"/>
    <n v="191.96"/>
    <s v="Land"/>
    <s v="Medium"/>
    <s v="AF"/>
    <n v="18"/>
    <n v="342"/>
    <n v="0.34671097785644622"/>
    <n v="4"/>
  </r>
  <r>
    <s v="ORD_2025_0473"/>
    <x v="6"/>
    <s v="Williams, James"/>
    <s v="Singapore"/>
    <s v="Travel Backpack"/>
    <s v="Accessories"/>
    <n v="6"/>
    <n v="55.41"/>
    <n v="332.46"/>
    <n v="15.57"/>
    <n v="106.89"/>
    <s v="Land"/>
    <s v="Low"/>
    <s v="AS"/>
    <n v="35"/>
    <n v="210"/>
    <n v="0.3215123623894604"/>
    <n v="9"/>
  </r>
  <r>
    <s v="ORD_2025_0474"/>
    <x v="8"/>
    <s v="Hernandez, Laura"/>
    <s v="Uae"/>
    <s v="Leather Wallet"/>
    <s v="Accessories"/>
    <n v="48"/>
    <n v="29.07"/>
    <n v="1395.36"/>
    <n v="70.38"/>
    <n v="460.98"/>
    <s v="Sea"/>
    <s v="High"/>
    <s v="AS"/>
    <n v="18"/>
    <n v="864"/>
    <n v="0.33036635706914347"/>
    <n v="4"/>
  </r>
  <r>
    <s v="ORD_2025_0475"/>
    <x v="14"/>
    <s v="Hernandez, Michael"/>
    <s v="Brazil"/>
    <s v="Glass Bowl Set"/>
    <s v="Home Decor"/>
    <n v="26"/>
    <n v="27.17"/>
    <n v="706.42"/>
    <n v="33.94"/>
    <n v="87.48"/>
    <s v="Air"/>
    <s v="Medium"/>
    <s v="SA"/>
    <n v="22.5"/>
    <n v="585"/>
    <n v="0.12383567849154895"/>
    <n v="5"/>
  </r>
  <r>
    <s v="ORD_2025_0476"/>
    <x v="14"/>
    <s v="Miller, Laura"/>
    <s v="Japan"/>
    <s v="Travel Backpack"/>
    <s v="Accessories"/>
    <n v="9"/>
    <n v="48.76"/>
    <n v="438.84"/>
    <n v="16.91"/>
    <n v="106.93"/>
    <s v="Air"/>
    <s v="Low"/>
    <s v="AS"/>
    <n v="35"/>
    <n v="315"/>
    <n v="0.24366511712697114"/>
    <n v="5"/>
  </r>
  <r>
    <s v="ORD_2025_0477"/>
    <x v="16"/>
    <s v="Miller, Emily"/>
    <s v="Uk"/>
    <s v="Glass Bowl Set"/>
    <s v="Home Decor"/>
    <n v="37"/>
    <n v="33.21"/>
    <n v="1228.77"/>
    <n v="96.12"/>
    <n v="300.14999999999998"/>
    <s v="Air"/>
    <s v="Medium"/>
    <s v="EU"/>
    <n v="22.5"/>
    <n v="832.5"/>
    <n v="0.24426865890280522"/>
    <n v="1"/>
  </r>
  <r>
    <s v="ORD_2025_0478"/>
    <x v="4"/>
    <s v="Miller, Laura"/>
    <s v="Brazil"/>
    <s v="LED Lamp"/>
    <s v="Electronics"/>
    <n v="29"/>
    <n v="16.54"/>
    <n v="479.66"/>
    <n v="30.23"/>
    <n v="79.680000000000007"/>
    <s v="Sea"/>
    <s v="High"/>
    <s v="SA"/>
    <n v="12.75"/>
    <n v="369.75"/>
    <n v="0.16611766668056541"/>
    <n v="6"/>
  </r>
  <r>
    <s v="ORD_2025_0479"/>
    <x v="8"/>
    <s v="Williams, David"/>
    <s v="Australia"/>
    <s v="Cotton Bedsheet"/>
    <s v="Textiles"/>
    <n v="11"/>
    <n v="44.56"/>
    <n v="490.16"/>
    <n v="23.97"/>
    <n v="191.19"/>
    <s v="Sea"/>
    <s v="High"/>
    <s v="OC"/>
    <n v="25"/>
    <n v="275"/>
    <n v="0.39005630814427938"/>
    <n v="4"/>
  </r>
  <r>
    <s v="ORD_2025_0480"/>
    <x v="15"/>
    <s v="Hernandez, Emma"/>
    <s v="Mexico"/>
    <s v="Bluetooth Speaker"/>
    <s v="Electronics"/>
    <n v="50"/>
    <n v="44.78"/>
    <n v="2239"/>
    <n v="169.97"/>
    <n v="469.03"/>
    <s v="Land"/>
    <s v="High"/>
    <s v="NA"/>
    <n v="32"/>
    <n v="1600"/>
    <n v="0.20948191156766413"/>
    <n v="11"/>
  </r>
  <r>
    <s v="ORD_2025_0481"/>
    <x v="9"/>
    <s v="Davis, Sarah"/>
    <s v="Usa"/>
    <s v="Leather Wallet"/>
    <s v="Accessories"/>
    <n v="30"/>
    <n v="22.51"/>
    <n v="675.3"/>
    <n v="26.26"/>
    <n v="109.04"/>
    <s v="Land"/>
    <s v="Low"/>
    <s v="NA"/>
    <n v="18"/>
    <n v="540"/>
    <n v="0.16146897675107361"/>
    <n v="12"/>
  </r>
  <r>
    <s v="ORD_2025_0482"/>
    <x v="11"/>
    <s v="Martinez, John"/>
    <s v="Australia"/>
    <s v="Ceramic Vase"/>
    <s v="Home Decor"/>
    <n v="50"/>
    <n v="27.18"/>
    <n v="1359"/>
    <n v="45.67"/>
    <n v="538.33000000000004"/>
    <s v="Land"/>
    <s v="High"/>
    <s v="OC"/>
    <n v="15.5"/>
    <n v="775"/>
    <n v="0.39612214863870499"/>
    <n v="3"/>
  </r>
  <r>
    <s v="ORD_2025_0483"/>
    <x v="6"/>
    <s v="Smith, Daniel"/>
    <s v="Italy"/>
    <s v="Table Lamp"/>
    <s v="Home Decor"/>
    <n v="28"/>
    <n v="37.51"/>
    <n v="1050.28"/>
    <n v="45.83"/>
    <n v="220.45"/>
    <s v="Air"/>
    <s v="Medium"/>
    <s v="EU"/>
    <n v="28"/>
    <n v="784"/>
    <n v="0.20989640857676048"/>
    <n v="9"/>
  </r>
  <r>
    <s v="ORD_2025_0484"/>
    <x v="11"/>
    <s v="Davis, James"/>
    <s v="Australia"/>
    <s v="Denim Jacket"/>
    <s v="Apparel"/>
    <n v="50"/>
    <n v="53.71"/>
    <n v="2685.5"/>
    <n v="197.89"/>
    <n v="487.61"/>
    <s v="Sea"/>
    <s v="High"/>
    <s v="OC"/>
    <n v="40"/>
    <n v="2000"/>
    <n v="0.18157140197356172"/>
    <n v="3"/>
  </r>
  <r>
    <s v="ORD_2025_0485"/>
    <x v="9"/>
    <s v="Smith, John"/>
    <s v="South Africa"/>
    <s v="Ceramic Vase"/>
    <s v="Home Decor"/>
    <n v="24"/>
    <n v="18.62"/>
    <n v="446.88"/>
    <n v="26.91"/>
    <n v="47.97"/>
    <s v="Sea"/>
    <s v="Medium"/>
    <s v="AF"/>
    <n v="15.5"/>
    <n v="372"/>
    <n v="0.10734425349087003"/>
    <n v="12"/>
  </r>
  <r>
    <s v="ORD_2025_0486"/>
    <x v="0"/>
    <s v="Davis, Michael"/>
    <s v="Singapore"/>
    <s v="Denim Jacket"/>
    <s v="Apparel"/>
    <n v="10"/>
    <n v="49.15"/>
    <n v="491.5"/>
    <n v="13.3"/>
    <n v="78.2"/>
    <s v="Air"/>
    <s v="High"/>
    <s v="AS"/>
    <n v="40"/>
    <n v="400"/>
    <n v="0.15910478128179045"/>
    <n v="1"/>
  </r>
  <r>
    <s v="ORD_2025_0487"/>
    <x v="9"/>
    <s v="Miller, Sarah"/>
    <s v="China"/>
    <s v="Denim Jacket"/>
    <s v="Apparel"/>
    <n v="42"/>
    <n v="50.96"/>
    <n v="2140.3200000000002"/>
    <n v="127.85"/>
    <n v="332.47"/>
    <s v="Land"/>
    <s v="Medium"/>
    <s v="AS"/>
    <n v="40"/>
    <n v="1680"/>
    <n v="0.15533658518352397"/>
    <n v="12"/>
  </r>
  <r>
    <s v="ORD_2025_0488"/>
    <x v="16"/>
    <s v="Martinez, Sophia"/>
    <s v="China"/>
    <s v="Cotton Bedsheet"/>
    <s v="Textiles"/>
    <n v="39"/>
    <n v="37.46"/>
    <n v="1460.94"/>
    <n v="82.25"/>
    <n v="403.69"/>
    <s v="Air"/>
    <s v="Low"/>
    <s v="AS"/>
    <n v="25"/>
    <n v="975"/>
    <n v="0.27632209399427765"/>
    <n v="1"/>
  </r>
  <r>
    <s v="ORD_2025_0489"/>
    <x v="5"/>
    <s v="Garcia, Sophia"/>
    <s v="France"/>
    <s v="LED Lamp"/>
    <s v="Electronics"/>
    <n v="7"/>
    <n v="20.2"/>
    <n v="141.4"/>
    <n v="4.3499999999999996"/>
    <n v="47.8"/>
    <s v="Sea"/>
    <s v="High"/>
    <s v="EU"/>
    <n v="12.75"/>
    <n v="89.25"/>
    <n v="0.33804809052333801"/>
    <n v="5"/>
  </r>
  <r>
    <s v="ORD_2025_0490"/>
    <x v="6"/>
    <s v="Garcia, Emily"/>
    <s v="Canada"/>
    <s v="LED Lamp"/>
    <s v="Electronics"/>
    <n v="18"/>
    <n v="18.63"/>
    <n v="335.34"/>
    <n v="26.18"/>
    <n v="79.66"/>
    <s v="Sea"/>
    <s v="Low"/>
    <s v="NA"/>
    <n v="12.75"/>
    <n v="229.5"/>
    <n v="0.23754994930518281"/>
    <n v="9"/>
  </r>
  <r>
    <s v="ORD_2025_0491"/>
    <x v="14"/>
    <s v="Brown, John"/>
    <s v="Australia"/>
    <s v="Glass Bowl Set"/>
    <s v="Home Decor"/>
    <n v="12"/>
    <n v="27.08"/>
    <n v="324.95999999999998"/>
    <n v="15.59"/>
    <n v="39.369999999999997"/>
    <s v="Sea"/>
    <s v="High"/>
    <s v="OC"/>
    <n v="22.5"/>
    <n v="270"/>
    <n v="0.12115337272279665"/>
    <n v="5"/>
  </r>
  <r>
    <s v="ORD_2025_0492"/>
    <x v="8"/>
    <s v="Hernandez, Sarah"/>
    <s v="France"/>
    <s v="Cotton Bedsheet"/>
    <s v="Textiles"/>
    <n v="50"/>
    <n v="32.21"/>
    <n v="1610.5"/>
    <n v="32.68"/>
    <n v="327.82"/>
    <s v="Sea"/>
    <s v="High"/>
    <s v="EU"/>
    <n v="25"/>
    <n v="1250"/>
    <n v="0.20355169202111145"/>
    <n v="4"/>
  </r>
  <r>
    <s v="ORD_2025_0493"/>
    <x v="13"/>
    <s v="Garcia, James"/>
    <s v="South Africa"/>
    <s v="LED Lamp"/>
    <s v="Electronics"/>
    <n v="49"/>
    <n v="20.59"/>
    <n v="1008.91"/>
    <n v="78.03"/>
    <n v="306.13"/>
    <s v="Sea"/>
    <s v="High"/>
    <s v="AF"/>
    <n v="12.75"/>
    <n v="624.75"/>
    <n v="0.30342647015095497"/>
    <n v="3"/>
  </r>
  <r>
    <s v="ORD_2025_0494"/>
    <x v="2"/>
    <s v="Miller, Michael"/>
    <s v="Italy"/>
    <s v="Wireless Mouse"/>
    <s v="Electronics"/>
    <n v="22"/>
    <n v="28.63"/>
    <n v="629.86"/>
    <n v="29.08"/>
    <n v="160.78"/>
    <s v="Sea"/>
    <s v="Medium"/>
    <s v="EU"/>
    <n v="20"/>
    <n v="440"/>
    <n v="0.25526307433397899"/>
    <n v="4"/>
  </r>
  <r>
    <s v="ORD_2025_0495"/>
    <x v="1"/>
    <s v="Davis, Michael"/>
    <s v="China"/>
    <s v="Denim Jacket"/>
    <s v="Apparel"/>
    <n v="11"/>
    <n v="56.12"/>
    <n v="617.32000000000005"/>
    <n v="38.26"/>
    <n v="139.06"/>
    <s v="Sea"/>
    <s v="Medium"/>
    <s v="AS"/>
    <n v="40"/>
    <n v="440"/>
    <n v="0.22526404457979651"/>
    <n v="2"/>
  </r>
  <r>
    <s v="ORD_2025_0496"/>
    <x v="2"/>
    <s v="Johnson, Emma"/>
    <s v="Usa"/>
    <s v="Cotton Bedsheet"/>
    <s v="Textiles"/>
    <n v="2"/>
    <n v="30.88"/>
    <n v="61.76"/>
    <n v="4.42"/>
    <n v="7.34"/>
    <s v="Air"/>
    <s v="Medium"/>
    <s v="NA"/>
    <n v="25"/>
    <n v="50"/>
    <n v="0.11884715025906736"/>
    <n v="4"/>
  </r>
  <r>
    <s v="ORD_2025_0497"/>
    <x v="12"/>
    <s v="Johnson, Emily"/>
    <s v="Australia"/>
    <s v="Denim Jacket"/>
    <s v="Apparel"/>
    <n v="34"/>
    <n v="63.8"/>
    <n v="2169.1999999999998"/>
    <n v="69.650000000000006"/>
    <n v="739.55"/>
    <s v="Sea"/>
    <s v="High"/>
    <s v="OC"/>
    <n v="40"/>
    <n v="1360"/>
    <n v="0.34093214088143092"/>
    <n v="7"/>
  </r>
  <r>
    <s v="ORD_2025_0498"/>
    <x v="9"/>
    <s v="Smith, David"/>
    <s v="Mexico"/>
    <s v="Table Lamp"/>
    <s v="Home Decor"/>
    <n v="50"/>
    <n v="44.61"/>
    <n v="2230.5"/>
    <n v="91.32"/>
    <n v="739.18"/>
    <s v="Air"/>
    <s v="Low"/>
    <s v="NA"/>
    <n v="28"/>
    <n v="1400"/>
    <n v="0.33139654785922434"/>
    <n v="12"/>
  </r>
  <r>
    <s v="ORD_2025_0499"/>
    <x v="6"/>
    <s v="Smith, Emma"/>
    <s v="Uae"/>
    <s v="LED Lamp"/>
    <s v="Electronics"/>
    <n v="14"/>
    <n v="18.61"/>
    <n v="260.54000000000002"/>
    <n v="5.39"/>
    <n v="76.650000000000006"/>
    <s v="Sea"/>
    <s v="High"/>
    <s v="AS"/>
    <n v="12.75"/>
    <n v="178.5"/>
    <n v="0.29419666845781839"/>
    <n v="9"/>
  </r>
  <r>
    <s v="ORD_2025_0500"/>
    <x v="12"/>
    <s v="Hernandez, Michael"/>
    <s v="Uk"/>
    <s v="Ceramic Vase"/>
    <s v="Home Decor"/>
    <n v="7"/>
    <n v="24.61"/>
    <n v="172.27"/>
    <n v="9.64"/>
    <n v="54.13"/>
    <s v="Air"/>
    <s v="High"/>
    <s v="EU"/>
    <n v="15.5"/>
    <n v="108.5"/>
    <n v="0.31421605619086318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00E15-E2C8-40C8-B552-2D50D2A0E825}" name="PivotTable1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21" firstHeaderRow="1" firstDataRow="1" firstDataCol="1"/>
  <pivotFields count="18">
    <pivotField showAll="0"/>
    <pivotField axis="axisRow" showAll="0" sortType="ascending">
      <items count="43">
        <item m="1" x="29"/>
        <item m="1" x="18"/>
        <item m="1" x="23"/>
        <item m="1" x="25"/>
        <item m="1" x="37"/>
        <item m="1" x="35"/>
        <item m="1" x="17"/>
        <item m="1" x="32"/>
        <item m="1" x="19"/>
        <item m="1" x="38"/>
        <item m="1" x="41"/>
        <item m="1" x="40"/>
        <item m="1" x="31"/>
        <item m="1" x="24"/>
        <item m="1" x="21"/>
        <item m="1" x="28"/>
        <item m="1" x="22"/>
        <item m="1" x="39"/>
        <item m="1" x="26"/>
        <item m="1" x="27"/>
        <item m="1" x="36"/>
        <item m="1" x="34"/>
        <item m="1" x="20"/>
        <item m="1" x="33"/>
        <item m="1" x="30"/>
        <item x="2"/>
        <item x="8"/>
        <item x="7"/>
        <item x="9"/>
        <item x="10"/>
        <item x="1"/>
        <item x="16"/>
        <item x="0"/>
        <item x="12"/>
        <item x="4"/>
        <item x="11"/>
        <item x="13"/>
        <item x="14"/>
        <item x="5"/>
        <item x="15"/>
        <item x="3"/>
        <item x="6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9" showAll="0"/>
    <pivotField showAll="0"/>
  </pivotFields>
  <rowFields count="1">
    <field x="1"/>
  </rowFields>
  <rowItems count="18"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Sum of Profit" fld="10" baseField="0" baseItem="0"/>
  </dataFields>
  <chartFormats count="1"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F7DE0-0D79-4252-9E6B-49DAD72C8CDA}" name="Table1" displayName="Table1" ref="A1:R501" totalsRowShown="0" headerRowDxfId="2">
  <autoFilter ref="A1:R501" xr:uid="{00000000-0001-0000-0000-000000000000}"/>
  <tableColumns count="18">
    <tableColumn id="1" xr3:uid="{062404C1-1BF6-4AA8-B019-D76EFB102EC8}" name="i"/>
    <tableColumn id="2" xr3:uid="{D620237C-63DE-44F5-BA39-967C75003743}" name="Order_Date"/>
    <tableColumn id="3" xr3:uid="{1660F971-50FA-4D64-81DC-6F6F0F770D98}" name="Customer_Name"/>
    <tableColumn id="4" xr3:uid="{598043C1-C307-46C6-BAB2-7C99185DA303}" name="Country"/>
    <tableColumn id="5" xr3:uid="{A14B5B41-B6EE-48B3-844D-AF5771017E93}" name="Product"/>
    <tableColumn id="6" xr3:uid="{2D8F0128-BAB4-411F-B939-604567131AE6}" name="Category"/>
    <tableColumn id="7" xr3:uid="{A8793C9B-24D2-4E54-ABC3-6942E61F6A09}" name="Quantity"/>
    <tableColumn id="8" xr3:uid="{7DD9F6F2-45CC-4D29-93F9-3BF708A15FD2}" name="Unit_Price" dataDxfId="4"/>
    <tableColumn id="9" xr3:uid="{C5CF2448-2DA1-4A24-88DC-BA894C42BF93}" name="Total_Sales"/>
    <tableColumn id="10" xr3:uid="{45492D4A-D760-4842-8EDD-7BEC16C2BE91}" name="Shipping_Cost"/>
    <tableColumn id="11" xr3:uid="{B29C4BE3-D56C-4AF2-BEB4-C614AFA2CB3D}" name="Profit"/>
    <tableColumn id="12" xr3:uid="{CAB1AE69-3A6A-42DD-86D1-A729AF3E466B}" name="Ship_Mode"/>
    <tableColumn id="13" xr3:uid="{7FD8665C-F943-4E4A-9D5A-F9BCB33EA1F8}" name="Order_Priority"/>
    <tableColumn id="14" xr3:uid="{13FE75BD-554E-4183-99A8-05A82DC1EBFB}" name="Region_Code"/>
    <tableColumn id="15" xr3:uid="{5E2EE4F6-95B7-4679-9A1F-371210073BEB}" name="unit cost">
      <calculatedColumnFormula>_xlfn.XLOOKUP(E2,[1]Products!$B$2:$B$11,[1]Products!$F$2:$F$11)</calculatedColumnFormula>
    </tableColumn>
    <tableColumn id="16" xr3:uid="{51651101-C4E2-44ED-8598-817FB1FDE19F}" name="COGS">
      <calculatedColumnFormula>G2*O2</calculatedColumnFormula>
    </tableColumn>
    <tableColumn id="17" xr3:uid="{2F528FAC-6B0E-4862-92C1-9DF0FA343177}" name="Profit Margin" dataDxfId="3" dataCellStyle="Percent">
      <calculatedColumnFormula>K2/I2</calculatedColumnFormula>
    </tableColumn>
    <tableColumn id="18" xr3:uid="{84BFA1AC-2A50-4A89-A068-7919EE9EB6AC}" name="Column1" dataDxfId="1">
      <calculatedColumnFormula>MONTH(Table1[[#This Row],[Order_Date]])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F3D5-B9DB-41EB-B90F-7F52A07E9E25}">
  <dimension ref="A3:B21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3" width="12.109375" bestFit="1" customWidth="1"/>
  </cols>
  <sheetData>
    <row r="3" spans="1:2" x14ac:dyDescent="0.3">
      <c r="A3" s="8" t="s">
        <v>678</v>
      </c>
      <c r="B3" t="s">
        <v>679</v>
      </c>
    </row>
    <row r="4" spans="1:2" x14ac:dyDescent="0.3">
      <c r="A4" s="9" t="s">
        <v>663</v>
      </c>
      <c r="B4" s="7">
        <v>4322.6099999999997</v>
      </c>
    </row>
    <row r="5" spans="1:2" x14ac:dyDescent="0.3">
      <c r="A5" s="9" t="s">
        <v>669</v>
      </c>
      <c r="B5" s="7">
        <v>10237.879999999999</v>
      </c>
    </row>
    <row r="6" spans="1:2" x14ac:dyDescent="0.3">
      <c r="A6" s="9" t="s">
        <v>668</v>
      </c>
      <c r="B6" s="7">
        <v>7976.39</v>
      </c>
    </row>
    <row r="7" spans="1:2" x14ac:dyDescent="0.3">
      <c r="A7" s="9" t="s">
        <v>670</v>
      </c>
      <c r="B7" s="7">
        <v>10480.899999999998</v>
      </c>
    </row>
    <row r="8" spans="1:2" x14ac:dyDescent="0.3">
      <c r="A8" s="9" t="s">
        <v>671</v>
      </c>
      <c r="B8" s="7">
        <v>9234.0300000000025</v>
      </c>
    </row>
    <row r="9" spans="1:2" x14ac:dyDescent="0.3">
      <c r="A9" s="9" t="s">
        <v>662</v>
      </c>
      <c r="B9" s="7">
        <v>7308.920000000001</v>
      </c>
    </row>
    <row r="10" spans="1:2" x14ac:dyDescent="0.3">
      <c r="A10" s="9" t="s">
        <v>677</v>
      </c>
      <c r="B10" s="7">
        <v>6054.28</v>
      </c>
    </row>
    <row r="11" spans="1:2" x14ac:dyDescent="0.3">
      <c r="A11" s="9" t="s">
        <v>661</v>
      </c>
      <c r="B11" s="7">
        <v>7409.7800000000007</v>
      </c>
    </row>
    <row r="12" spans="1:2" x14ac:dyDescent="0.3">
      <c r="A12" s="9" t="s">
        <v>673</v>
      </c>
      <c r="B12" s="7">
        <v>8441.1899999999987</v>
      </c>
    </row>
    <row r="13" spans="1:2" x14ac:dyDescent="0.3">
      <c r="A13" s="9" t="s">
        <v>665</v>
      </c>
      <c r="B13" s="7">
        <v>11775.910000000003</v>
      </c>
    </row>
    <row r="14" spans="1:2" x14ac:dyDescent="0.3">
      <c r="A14" s="9" t="s">
        <v>672</v>
      </c>
      <c r="B14" s="7">
        <v>7448.9700000000021</v>
      </c>
    </row>
    <row r="15" spans="1:2" x14ac:dyDescent="0.3">
      <c r="A15" s="9" t="s">
        <v>674</v>
      </c>
      <c r="B15" s="7">
        <v>10348.179999999998</v>
      </c>
    </row>
    <row r="16" spans="1:2" x14ac:dyDescent="0.3">
      <c r="A16" s="9" t="s">
        <v>675</v>
      </c>
      <c r="B16" s="7">
        <v>6249.32</v>
      </c>
    </row>
    <row r="17" spans="1:2" x14ac:dyDescent="0.3">
      <c r="A17" s="9" t="s">
        <v>666</v>
      </c>
      <c r="B17" s="7">
        <v>2579.2200000000007</v>
      </c>
    </row>
    <row r="18" spans="1:2" x14ac:dyDescent="0.3">
      <c r="A18" s="9" t="s">
        <v>676</v>
      </c>
      <c r="B18" s="7">
        <v>7763.1299999999983</v>
      </c>
    </row>
    <row r="19" spans="1:2" x14ac:dyDescent="0.3">
      <c r="A19" s="9" t="s">
        <v>664</v>
      </c>
      <c r="B19" s="7">
        <v>7552.51</v>
      </c>
    </row>
    <row r="20" spans="1:2" x14ac:dyDescent="0.3">
      <c r="A20" s="9" t="s">
        <v>667</v>
      </c>
      <c r="B20" s="7">
        <v>8387.18</v>
      </c>
    </row>
    <row r="21" spans="1:2" x14ac:dyDescent="0.3">
      <c r="A21" s="9" t="s">
        <v>680</v>
      </c>
      <c r="B21" s="7">
        <v>133570.4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zoomScale="73" workbookViewId="0">
      <selection activeCell="B1" sqref="B1"/>
    </sheetView>
  </sheetViews>
  <sheetFormatPr defaultRowHeight="14.4" x14ac:dyDescent="0.3"/>
  <cols>
    <col min="1" max="1" width="14.77734375" bestFit="1" customWidth="1"/>
    <col min="2" max="2" width="14.77734375" customWidth="1"/>
    <col min="3" max="3" width="15.109375" bestFit="1" customWidth="1"/>
    <col min="4" max="4" width="19.6640625" bestFit="1" customWidth="1"/>
    <col min="5" max="5" width="12.21875" bestFit="1" customWidth="1"/>
    <col min="6" max="6" width="16.109375" bestFit="1" customWidth="1"/>
    <col min="7" max="7" width="13" bestFit="1" customWidth="1"/>
    <col min="8" max="8" width="12.77734375" bestFit="1" customWidth="1"/>
    <col min="9" max="9" width="14.109375" bestFit="1" customWidth="1"/>
    <col min="10" max="10" width="14.88671875" bestFit="1" customWidth="1"/>
    <col min="11" max="11" width="17.5546875" bestFit="1" customWidth="1"/>
    <col min="12" max="12" width="10.109375" bestFit="1" customWidth="1"/>
    <col min="13" max="13" width="15.109375" bestFit="1" customWidth="1"/>
    <col min="14" max="14" width="17.33203125" bestFit="1" customWidth="1"/>
    <col min="15" max="15" width="16.5546875" bestFit="1" customWidth="1"/>
    <col min="16" max="16" width="12.6640625" bestFit="1" customWidth="1"/>
    <col min="17" max="17" width="10.109375" bestFit="1" customWidth="1"/>
    <col min="18" max="18" width="16.5546875" bestFit="1" customWidth="1"/>
  </cols>
  <sheetData>
    <row r="1" spans="1:19" x14ac:dyDescent="0.3">
      <c r="A1" s="1" t="s">
        <v>651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655</v>
      </c>
      <c r="P1" s="2" t="s">
        <v>656</v>
      </c>
      <c r="Q1" s="2" t="s">
        <v>657</v>
      </c>
      <c r="R1" s="10" t="s">
        <v>681</v>
      </c>
    </row>
    <row r="2" spans="1:19" x14ac:dyDescent="0.3">
      <c r="A2" t="s">
        <v>13</v>
      </c>
      <c r="B2" s="5" t="s">
        <v>661</v>
      </c>
      <c r="C2" t="s">
        <v>14</v>
      </c>
      <c r="D2" t="s">
        <v>652</v>
      </c>
      <c r="E2" t="s">
        <v>15</v>
      </c>
      <c r="F2" t="s">
        <v>16</v>
      </c>
      <c r="G2">
        <v>20</v>
      </c>
      <c r="H2" s="6">
        <v>55.22</v>
      </c>
      <c r="I2">
        <v>1104.4000000000001</v>
      </c>
      <c r="J2">
        <v>49.36</v>
      </c>
      <c r="K2">
        <v>355.04</v>
      </c>
      <c r="L2" t="s">
        <v>17</v>
      </c>
      <c r="M2" t="s">
        <v>18</v>
      </c>
      <c r="N2" t="s">
        <v>19</v>
      </c>
      <c r="O2">
        <f>_xlfn.XLOOKUP(E2,[1]Products!$B$2:$B$11,[1]Products!$F$2:$F$11)</f>
        <v>35</v>
      </c>
      <c r="P2">
        <f>G2*O2</f>
        <v>700</v>
      </c>
      <c r="Q2" s="3">
        <f>K2/I2</f>
        <v>0.32147772546178921</v>
      </c>
      <c r="R2">
        <f>MONTH(Table1[[#This Row],[Order_Date]])</f>
        <v>1</v>
      </c>
      <c r="S2" t="str">
        <f>_xlfn.TEXTJOIN(" ",TRUE,N2,L2)</f>
        <v>NA Land</v>
      </c>
    </row>
    <row r="3" spans="1:19" x14ac:dyDescent="0.3">
      <c r="A3" t="s">
        <v>20</v>
      </c>
      <c r="B3" t="s">
        <v>662</v>
      </c>
      <c r="C3" t="s">
        <v>21</v>
      </c>
      <c r="D3" t="s">
        <v>653</v>
      </c>
      <c r="E3" t="s">
        <v>22</v>
      </c>
      <c r="F3" t="s">
        <v>16</v>
      </c>
      <c r="G3">
        <v>33</v>
      </c>
      <c r="H3" s="6">
        <v>32.03</v>
      </c>
      <c r="I3">
        <v>1056.99</v>
      </c>
      <c r="J3">
        <v>59.59</v>
      </c>
      <c r="K3">
        <v>403.4</v>
      </c>
      <c r="L3" t="s">
        <v>23</v>
      </c>
      <c r="M3" t="s">
        <v>24</v>
      </c>
      <c r="N3" t="s">
        <v>25</v>
      </c>
      <c r="O3">
        <f>_xlfn.XLOOKUP(E3,[1]Products!$B$2:$B$11,[1]Products!$F$2:$F$11)</f>
        <v>18</v>
      </c>
      <c r="P3">
        <f t="shared" ref="P3:P66" si="0">G3*O3</f>
        <v>594</v>
      </c>
      <c r="Q3" s="3">
        <f t="shared" ref="Q3:Q66" si="1">K3/I3</f>
        <v>0.38164977908967918</v>
      </c>
      <c r="R3">
        <f>MONTH(Table1[[#This Row],[Order_Date]])</f>
        <v>2</v>
      </c>
    </row>
    <row r="4" spans="1:19" x14ac:dyDescent="0.3">
      <c r="A4" t="s">
        <v>26</v>
      </c>
      <c r="B4" t="s">
        <v>663</v>
      </c>
      <c r="C4" t="s">
        <v>27</v>
      </c>
      <c r="D4" t="s">
        <v>28</v>
      </c>
      <c r="E4" t="s">
        <v>22</v>
      </c>
      <c r="F4" t="s">
        <v>16</v>
      </c>
      <c r="G4">
        <v>34</v>
      </c>
      <c r="H4" s="6">
        <v>28.48</v>
      </c>
      <c r="I4">
        <v>968.32</v>
      </c>
      <c r="J4">
        <v>73.95</v>
      </c>
      <c r="K4">
        <v>282.37</v>
      </c>
      <c r="L4" t="s">
        <v>17</v>
      </c>
      <c r="M4" t="s">
        <v>29</v>
      </c>
      <c r="N4" t="s">
        <v>25</v>
      </c>
      <c r="O4">
        <f>_xlfn.XLOOKUP(E4,[1]Products!$B$2:$B$11,[1]Products!$F$2:$F$11)</f>
        <v>18</v>
      </c>
      <c r="P4">
        <f t="shared" si="0"/>
        <v>612</v>
      </c>
      <c r="Q4" s="3">
        <f t="shared" si="1"/>
        <v>0.2916081460674157</v>
      </c>
      <c r="R4">
        <f>MONTH(Table1[[#This Row],[Order_Date]])</f>
        <v>4</v>
      </c>
    </row>
    <row r="5" spans="1:19" x14ac:dyDescent="0.3">
      <c r="A5" t="s">
        <v>30</v>
      </c>
      <c r="B5" t="s">
        <v>664</v>
      </c>
      <c r="C5" t="s">
        <v>31</v>
      </c>
      <c r="D5" t="s">
        <v>32</v>
      </c>
      <c r="E5" t="s">
        <v>33</v>
      </c>
      <c r="F5" t="s">
        <v>34</v>
      </c>
      <c r="G5">
        <v>6</v>
      </c>
      <c r="H5" s="6">
        <v>56.36</v>
      </c>
      <c r="I5">
        <v>338.16</v>
      </c>
      <c r="J5">
        <v>11.39</v>
      </c>
      <c r="K5">
        <v>134.77000000000001</v>
      </c>
      <c r="L5" t="s">
        <v>35</v>
      </c>
      <c r="M5" t="s">
        <v>24</v>
      </c>
      <c r="N5" t="s">
        <v>36</v>
      </c>
      <c r="O5">
        <f>_xlfn.XLOOKUP(E5,[1]Products!$B$2:$B$11,[1]Products!$F$2:$F$11)</f>
        <v>32</v>
      </c>
      <c r="P5">
        <f t="shared" si="0"/>
        <v>192</v>
      </c>
      <c r="Q5" s="3">
        <f t="shared" si="1"/>
        <v>0.39853915306363852</v>
      </c>
      <c r="R5">
        <f>MONTH(Table1[[#This Row],[Order_Date]])</f>
        <v>10</v>
      </c>
    </row>
    <row r="6" spans="1:19" x14ac:dyDescent="0.3">
      <c r="A6" t="s">
        <v>37</v>
      </c>
      <c r="B6" t="s">
        <v>662</v>
      </c>
      <c r="C6" t="s">
        <v>38</v>
      </c>
      <c r="D6" t="s">
        <v>39</v>
      </c>
      <c r="E6" t="s">
        <v>40</v>
      </c>
      <c r="F6" t="s">
        <v>41</v>
      </c>
      <c r="G6">
        <v>17</v>
      </c>
      <c r="H6" s="6">
        <v>69.22</v>
      </c>
      <c r="I6">
        <v>1176.74</v>
      </c>
      <c r="J6">
        <v>65.94</v>
      </c>
      <c r="K6">
        <v>430.8</v>
      </c>
      <c r="L6" t="s">
        <v>23</v>
      </c>
      <c r="M6" t="s">
        <v>18</v>
      </c>
      <c r="N6" t="s">
        <v>19</v>
      </c>
      <c r="O6">
        <f>_xlfn.XLOOKUP(E6,[1]Products!$B$2:$B$11,[1]Products!$F$2:$F$11)</f>
        <v>40</v>
      </c>
      <c r="P6">
        <f t="shared" si="0"/>
        <v>680</v>
      </c>
      <c r="Q6" s="3">
        <f t="shared" si="1"/>
        <v>0.36609616397844896</v>
      </c>
      <c r="R6">
        <f>MONTH(Table1[[#This Row],[Order_Date]])</f>
        <v>2</v>
      </c>
    </row>
    <row r="7" spans="1:19" x14ac:dyDescent="0.3">
      <c r="A7" t="s">
        <v>42</v>
      </c>
      <c r="B7" t="s">
        <v>662</v>
      </c>
      <c r="C7" t="s">
        <v>43</v>
      </c>
      <c r="D7" t="s">
        <v>44</v>
      </c>
      <c r="E7" t="s">
        <v>45</v>
      </c>
      <c r="F7" t="s">
        <v>34</v>
      </c>
      <c r="G7">
        <v>13</v>
      </c>
      <c r="H7" s="6">
        <v>27.94</v>
      </c>
      <c r="I7">
        <v>363.22</v>
      </c>
      <c r="J7">
        <v>15.36</v>
      </c>
      <c r="K7">
        <v>87.86</v>
      </c>
      <c r="L7" t="s">
        <v>23</v>
      </c>
      <c r="M7" t="s">
        <v>18</v>
      </c>
      <c r="N7" t="s">
        <v>19</v>
      </c>
      <c r="O7">
        <f>_xlfn.XLOOKUP(E7,[1]Products!$B$2:$B$11,[1]Products!$F$2:$F$11)</f>
        <v>20</v>
      </c>
      <c r="P7">
        <f t="shared" si="0"/>
        <v>260</v>
      </c>
      <c r="Q7" s="3">
        <f t="shared" si="1"/>
        <v>0.2418919663014151</v>
      </c>
      <c r="R7">
        <f>MONTH(Table1[[#This Row],[Order_Date]])</f>
        <v>2</v>
      </c>
    </row>
    <row r="8" spans="1:19" x14ac:dyDescent="0.3">
      <c r="A8" t="s">
        <v>46</v>
      </c>
      <c r="B8" t="s">
        <v>665</v>
      </c>
      <c r="C8" t="s">
        <v>47</v>
      </c>
      <c r="D8" t="s">
        <v>653</v>
      </c>
      <c r="E8" t="s">
        <v>48</v>
      </c>
      <c r="F8" t="s">
        <v>49</v>
      </c>
      <c r="G8">
        <v>3</v>
      </c>
      <c r="H8" s="6">
        <v>31.52</v>
      </c>
      <c r="I8">
        <v>94.56</v>
      </c>
      <c r="J8">
        <v>6.98</v>
      </c>
      <c r="K8">
        <v>20.079999999999998</v>
      </c>
      <c r="L8" t="s">
        <v>17</v>
      </c>
      <c r="M8" t="s">
        <v>29</v>
      </c>
      <c r="N8" t="s">
        <v>25</v>
      </c>
      <c r="O8">
        <f>_xlfn.XLOOKUP(E8,[1]Products!$B$2:$B$11,[1]Products!$F$2:$F$11)</f>
        <v>22.5</v>
      </c>
      <c r="P8">
        <f t="shared" si="0"/>
        <v>67.5</v>
      </c>
      <c r="Q8" s="3">
        <f t="shared" si="1"/>
        <v>0.21235194585448391</v>
      </c>
      <c r="R8">
        <f>MONTH(Table1[[#This Row],[Order_Date]])</f>
        <v>6</v>
      </c>
    </row>
    <row r="9" spans="1:19" x14ac:dyDescent="0.3">
      <c r="A9" t="s">
        <v>50</v>
      </c>
      <c r="B9" t="s">
        <v>666</v>
      </c>
      <c r="C9" t="s">
        <v>51</v>
      </c>
      <c r="D9" t="s">
        <v>52</v>
      </c>
      <c r="E9" t="s">
        <v>53</v>
      </c>
      <c r="F9" t="s">
        <v>54</v>
      </c>
      <c r="G9">
        <v>14</v>
      </c>
      <c r="H9" s="6">
        <v>30.71</v>
      </c>
      <c r="I9">
        <v>429.94</v>
      </c>
      <c r="J9">
        <v>13.03</v>
      </c>
      <c r="K9">
        <v>66.91</v>
      </c>
      <c r="L9" t="s">
        <v>23</v>
      </c>
      <c r="M9" t="s">
        <v>18</v>
      </c>
      <c r="N9" t="s">
        <v>55</v>
      </c>
      <c r="O9">
        <f>_xlfn.XLOOKUP(E9,[1]Products!$B$2:$B$11,[1]Products!$F$2:$F$11)</f>
        <v>25</v>
      </c>
      <c r="P9">
        <f t="shared" si="0"/>
        <v>350</v>
      </c>
      <c r="Q9" s="3">
        <f t="shared" si="1"/>
        <v>0.15562636646973996</v>
      </c>
      <c r="R9">
        <f>MONTH(Table1[[#This Row],[Order_Date]])</f>
        <v>5</v>
      </c>
    </row>
    <row r="10" spans="1:19" x14ac:dyDescent="0.3">
      <c r="A10" t="s">
        <v>56</v>
      </c>
      <c r="B10" t="s">
        <v>667</v>
      </c>
      <c r="C10" t="s">
        <v>27</v>
      </c>
      <c r="D10" t="s">
        <v>652</v>
      </c>
      <c r="E10" t="s">
        <v>57</v>
      </c>
      <c r="F10" t="s">
        <v>49</v>
      </c>
      <c r="G10">
        <v>47</v>
      </c>
      <c r="H10" s="6">
        <v>24.47</v>
      </c>
      <c r="I10">
        <v>1150.0899999999999</v>
      </c>
      <c r="J10">
        <v>61.3</v>
      </c>
      <c r="K10">
        <v>360.29</v>
      </c>
      <c r="L10" t="s">
        <v>23</v>
      </c>
      <c r="M10" t="s">
        <v>18</v>
      </c>
      <c r="N10" t="s">
        <v>19</v>
      </c>
      <c r="O10">
        <f>_xlfn.XLOOKUP(E10,[1]Products!$B$2:$B$11,[1]Products!$F$2:$F$11)</f>
        <v>15.5</v>
      </c>
      <c r="P10">
        <f t="shared" si="0"/>
        <v>728.5</v>
      </c>
      <c r="Q10" s="3">
        <f t="shared" si="1"/>
        <v>0.31327113530245465</v>
      </c>
      <c r="R10">
        <f>MONTH(Table1[[#This Row],[Order_Date]])</f>
        <v>9</v>
      </c>
    </row>
    <row r="11" spans="1:19" x14ac:dyDescent="0.3">
      <c r="A11" t="s">
        <v>58</v>
      </c>
      <c r="B11" t="s">
        <v>668</v>
      </c>
      <c r="C11" t="s">
        <v>59</v>
      </c>
      <c r="D11" t="s">
        <v>28</v>
      </c>
      <c r="E11" t="s">
        <v>60</v>
      </c>
      <c r="F11" t="s">
        <v>34</v>
      </c>
      <c r="G11">
        <v>27</v>
      </c>
      <c r="H11" s="6">
        <v>18.98</v>
      </c>
      <c r="I11">
        <v>512.46</v>
      </c>
      <c r="J11">
        <v>28.89</v>
      </c>
      <c r="K11">
        <v>139.32</v>
      </c>
      <c r="L11" t="s">
        <v>23</v>
      </c>
      <c r="M11" t="s">
        <v>29</v>
      </c>
      <c r="N11" t="s">
        <v>25</v>
      </c>
      <c r="O11">
        <f>_xlfn.XLOOKUP(E11,[1]Products!$B$2:$B$11,[1]Products!$F$2:$F$11)</f>
        <v>12.75</v>
      </c>
      <c r="P11">
        <f t="shared" si="0"/>
        <v>344.25</v>
      </c>
      <c r="Q11" s="3">
        <f t="shared" si="1"/>
        <v>0.27186512118018963</v>
      </c>
      <c r="R11">
        <f>MONTH(Table1[[#This Row],[Order_Date]])</f>
        <v>8</v>
      </c>
    </row>
    <row r="12" spans="1:19" x14ac:dyDescent="0.3">
      <c r="A12" t="s">
        <v>61</v>
      </c>
      <c r="B12" t="s">
        <v>669</v>
      </c>
      <c r="C12" t="s">
        <v>62</v>
      </c>
      <c r="D12" t="s">
        <v>52</v>
      </c>
      <c r="E12" t="s">
        <v>15</v>
      </c>
      <c r="F12" t="s">
        <v>16</v>
      </c>
      <c r="G12">
        <v>32</v>
      </c>
      <c r="H12" s="6">
        <v>57.84</v>
      </c>
      <c r="I12">
        <v>1850.88</v>
      </c>
      <c r="J12">
        <v>55.15</v>
      </c>
      <c r="K12">
        <v>675.73</v>
      </c>
      <c r="L12" t="s">
        <v>17</v>
      </c>
      <c r="M12" t="s">
        <v>18</v>
      </c>
      <c r="N12" t="s">
        <v>55</v>
      </c>
      <c r="O12">
        <f>_xlfn.XLOOKUP(E12,[1]Products!$B$2:$B$11,[1]Products!$F$2:$F$11)</f>
        <v>35</v>
      </c>
      <c r="P12">
        <f t="shared" si="0"/>
        <v>1120</v>
      </c>
      <c r="Q12" s="3">
        <f t="shared" si="1"/>
        <v>0.36508579702627936</v>
      </c>
      <c r="R12">
        <f>MONTH(Table1[[#This Row],[Order_Date]])</f>
        <v>4</v>
      </c>
    </row>
    <row r="13" spans="1:19" x14ac:dyDescent="0.3">
      <c r="A13" t="s">
        <v>63</v>
      </c>
      <c r="B13" t="s">
        <v>670</v>
      </c>
      <c r="C13" t="s">
        <v>64</v>
      </c>
      <c r="D13" t="s">
        <v>39</v>
      </c>
      <c r="E13" t="s">
        <v>40</v>
      </c>
      <c r="F13" t="s">
        <v>41</v>
      </c>
      <c r="G13">
        <v>49</v>
      </c>
      <c r="H13" s="6">
        <v>58.77</v>
      </c>
      <c r="I13">
        <v>2879.73</v>
      </c>
      <c r="J13">
        <v>140.29</v>
      </c>
      <c r="K13">
        <v>779.44</v>
      </c>
      <c r="L13" t="s">
        <v>35</v>
      </c>
      <c r="M13" t="s">
        <v>29</v>
      </c>
      <c r="N13" t="s">
        <v>19</v>
      </c>
      <c r="O13">
        <f>_xlfn.XLOOKUP(E13,[1]Products!$B$2:$B$11,[1]Products!$F$2:$F$11)</f>
        <v>40</v>
      </c>
      <c r="P13">
        <f t="shared" si="0"/>
        <v>1960</v>
      </c>
      <c r="Q13" s="3">
        <f t="shared" si="1"/>
        <v>0.27066426366360735</v>
      </c>
      <c r="R13">
        <f>MONTH(Table1[[#This Row],[Order_Date]])</f>
        <v>12</v>
      </c>
    </row>
    <row r="14" spans="1:19" x14ac:dyDescent="0.3">
      <c r="A14" t="s">
        <v>65</v>
      </c>
      <c r="B14" t="s">
        <v>667</v>
      </c>
      <c r="C14" t="s">
        <v>62</v>
      </c>
      <c r="D14" t="s">
        <v>66</v>
      </c>
      <c r="E14" t="s">
        <v>15</v>
      </c>
      <c r="F14" t="s">
        <v>16</v>
      </c>
      <c r="G14">
        <v>43</v>
      </c>
      <c r="H14" s="6">
        <v>56.92</v>
      </c>
      <c r="I14">
        <v>2447.56</v>
      </c>
      <c r="J14">
        <v>140.4</v>
      </c>
      <c r="K14">
        <v>802.16</v>
      </c>
      <c r="L14" t="s">
        <v>17</v>
      </c>
      <c r="M14" t="s">
        <v>24</v>
      </c>
      <c r="N14" t="s">
        <v>55</v>
      </c>
      <c r="O14">
        <f>_xlfn.XLOOKUP(E14,[1]Products!$B$2:$B$11,[1]Products!$F$2:$F$11)</f>
        <v>35</v>
      </c>
      <c r="P14">
        <f t="shared" si="0"/>
        <v>1505</v>
      </c>
      <c r="Q14" s="3">
        <f t="shared" si="1"/>
        <v>0.3277386458350357</v>
      </c>
      <c r="R14">
        <f>MONTH(Table1[[#This Row],[Order_Date]])</f>
        <v>9</v>
      </c>
    </row>
    <row r="15" spans="1:19" x14ac:dyDescent="0.3">
      <c r="A15" t="s">
        <v>67</v>
      </c>
      <c r="B15" t="s">
        <v>671</v>
      </c>
      <c r="C15" t="s">
        <v>68</v>
      </c>
      <c r="D15" t="s">
        <v>28</v>
      </c>
      <c r="E15" t="s">
        <v>53</v>
      </c>
      <c r="F15" t="s">
        <v>54</v>
      </c>
      <c r="G15">
        <v>32</v>
      </c>
      <c r="H15" s="6">
        <v>43.45</v>
      </c>
      <c r="I15">
        <v>1390.4</v>
      </c>
      <c r="J15">
        <v>30.04</v>
      </c>
      <c r="K15">
        <v>560.36</v>
      </c>
      <c r="L15" t="s">
        <v>17</v>
      </c>
      <c r="M15" t="s">
        <v>29</v>
      </c>
      <c r="N15" t="s">
        <v>25</v>
      </c>
      <c r="O15">
        <f>_xlfn.XLOOKUP(E15,[1]Products!$B$2:$B$11,[1]Products!$F$2:$F$11)</f>
        <v>25</v>
      </c>
      <c r="P15">
        <f t="shared" si="0"/>
        <v>800</v>
      </c>
      <c r="Q15" s="3">
        <f t="shared" si="1"/>
        <v>0.4030207134637514</v>
      </c>
      <c r="R15">
        <f>MONTH(Table1[[#This Row],[Order_Date]])</f>
        <v>2</v>
      </c>
    </row>
    <row r="16" spans="1:19" x14ac:dyDescent="0.3">
      <c r="A16" t="s">
        <v>69</v>
      </c>
      <c r="B16" t="s">
        <v>672</v>
      </c>
      <c r="C16" t="s">
        <v>70</v>
      </c>
      <c r="D16" t="s">
        <v>654</v>
      </c>
      <c r="E16" t="s">
        <v>53</v>
      </c>
      <c r="F16" t="s">
        <v>54</v>
      </c>
      <c r="G16">
        <v>22</v>
      </c>
      <c r="H16" s="6">
        <v>42.59</v>
      </c>
      <c r="I16">
        <v>936.98</v>
      </c>
      <c r="J16">
        <v>29.87</v>
      </c>
      <c r="K16">
        <v>357.11</v>
      </c>
      <c r="L16" t="s">
        <v>23</v>
      </c>
      <c r="M16" t="s">
        <v>29</v>
      </c>
      <c r="N16" t="s">
        <v>55</v>
      </c>
      <c r="O16">
        <f>_xlfn.XLOOKUP(E16,[1]Products!$B$2:$B$11,[1]Products!$F$2:$F$11)</f>
        <v>25</v>
      </c>
      <c r="P16">
        <f t="shared" si="0"/>
        <v>550</v>
      </c>
      <c r="Q16" s="3">
        <f t="shared" si="1"/>
        <v>0.38112873273709152</v>
      </c>
      <c r="R16">
        <f>MONTH(Table1[[#This Row],[Order_Date]])</f>
        <v>3</v>
      </c>
    </row>
    <row r="17" spans="1:18" x14ac:dyDescent="0.3">
      <c r="A17" t="s">
        <v>71</v>
      </c>
      <c r="B17" t="s">
        <v>667</v>
      </c>
      <c r="C17" t="s">
        <v>72</v>
      </c>
      <c r="D17" t="s">
        <v>73</v>
      </c>
      <c r="E17" t="s">
        <v>45</v>
      </c>
      <c r="F17" t="s">
        <v>34</v>
      </c>
      <c r="G17">
        <v>48</v>
      </c>
      <c r="H17" s="6">
        <v>25.36</v>
      </c>
      <c r="I17">
        <v>1217.28</v>
      </c>
      <c r="J17">
        <v>49.68</v>
      </c>
      <c r="K17">
        <v>207.6</v>
      </c>
      <c r="L17" t="s">
        <v>23</v>
      </c>
      <c r="M17" t="s">
        <v>18</v>
      </c>
      <c r="N17" t="s">
        <v>55</v>
      </c>
      <c r="O17">
        <f>_xlfn.XLOOKUP(E17,[1]Products!$B$2:$B$11,[1]Products!$F$2:$F$11)</f>
        <v>20</v>
      </c>
      <c r="P17">
        <f t="shared" si="0"/>
        <v>960</v>
      </c>
      <c r="Q17" s="3">
        <f t="shared" si="1"/>
        <v>0.17054416403785488</v>
      </c>
      <c r="R17">
        <f>MONTH(Table1[[#This Row],[Order_Date]])</f>
        <v>9</v>
      </c>
    </row>
    <row r="18" spans="1:18" x14ac:dyDescent="0.3">
      <c r="A18" t="s">
        <v>74</v>
      </c>
      <c r="B18" t="s">
        <v>668</v>
      </c>
      <c r="C18" t="s">
        <v>62</v>
      </c>
      <c r="D18" t="s">
        <v>654</v>
      </c>
      <c r="E18" t="s">
        <v>22</v>
      </c>
      <c r="F18" t="s">
        <v>16</v>
      </c>
      <c r="G18">
        <v>48</v>
      </c>
      <c r="H18" s="6">
        <v>30.07</v>
      </c>
      <c r="I18">
        <v>1443.36</v>
      </c>
      <c r="J18">
        <v>102.31</v>
      </c>
      <c r="K18">
        <v>477.05</v>
      </c>
      <c r="L18" t="s">
        <v>35</v>
      </c>
      <c r="M18" t="s">
        <v>18</v>
      </c>
      <c r="N18" t="s">
        <v>55</v>
      </c>
      <c r="O18">
        <f>_xlfn.XLOOKUP(E18,[1]Products!$B$2:$B$11,[1]Products!$F$2:$F$11)</f>
        <v>18</v>
      </c>
      <c r="P18">
        <f t="shared" si="0"/>
        <v>864</v>
      </c>
      <c r="Q18" s="3">
        <f t="shared" si="1"/>
        <v>0.33051352399955664</v>
      </c>
      <c r="R18">
        <f>MONTH(Table1[[#This Row],[Order_Date]])</f>
        <v>8</v>
      </c>
    </row>
    <row r="19" spans="1:18" x14ac:dyDescent="0.3">
      <c r="A19" t="s">
        <v>75</v>
      </c>
      <c r="B19" t="s">
        <v>667</v>
      </c>
      <c r="C19" t="s">
        <v>43</v>
      </c>
      <c r="D19" t="s">
        <v>654</v>
      </c>
      <c r="E19" t="s">
        <v>45</v>
      </c>
      <c r="F19" t="s">
        <v>34</v>
      </c>
      <c r="G19">
        <v>6</v>
      </c>
      <c r="H19" s="6">
        <v>32.17</v>
      </c>
      <c r="I19">
        <v>193.02</v>
      </c>
      <c r="J19">
        <v>14.45</v>
      </c>
      <c r="K19">
        <v>58.57</v>
      </c>
      <c r="L19" t="s">
        <v>35</v>
      </c>
      <c r="M19" t="s">
        <v>18</v>
      </c>
      <c r="N19" t="s">
        <v>55</v>
      </c>
      <c r="O19">
        <f>_xlfn.XLOOKUP(E19,[1]Products!$B$2:$B$11,[1]Products!$F$2:$F$11)</f>
        <v>20</v>
      </c>
      <c r="P19">
        <f t="shared" si="0"/>
        <v>120</v>
      </c>
      <c r="Q19" s="3">
        <f t="shared" si="1"/>
        <v>0.30344005802507512</v>
      </c>
      <c r="R19">
        <f>MONTH(Table1[[#This Row],[Order_Date]])</f>
        <v>9</v>
      </c>
    </row>
    <row r="20" spans="1:18" x14ac:dyDescent="0.3">
      <c r="A20" t="s">
        <v>76</v>
      </c>
      <c r="B20" t="s">
        <v>673</v>
      </c>
      <c r="C20" t="s">
        <v>77</v>
      </c>
      <c r="D20" t="s">
        <v>66</v>
      </c>
      <c r="E20" t="s">
        <v>22</v>
      </c>
      <c r="F20" t="s">
        <v>16</v>
      </c>
      <c r="G20">
        <v>37</v>
      </c>
      <c r="H20" s="6">
        <v>24.14</v>
      </c>
      <c r="I20">
        <v>893.18</v>
      </c>
      <c r="J20">
        <v>31.39</v>
      </c>
      <c r="K20">
        <v>195.79</v>
      </c>
      <c r="L20" t="s">
        <v>23</v>
      </c>
      <c r="M20" t="s">
        <v>24</v>
      </c>
      <c r="N20" t="s">
        <v>55</v>
      </c>
      <c r="O20">
        <f>_xlfn.XLOOKUP(E20,[1]Products!$B$2:$B$11,[1]Products!$F$2:$F$11)</f>
        <v>18</v>
      </c>
      <c r="P20">
        <f t="shared" si="0"/>
        <v>666</v>
      </c>
      <c r="Q20" s="3">
        <f t="shared" si="1"/>
        <v>0.21920553527844333</v>
      </c>
      <c r="R20">
        <f>MONTH(Table1[[#This Row],[Order_Date]])</f>
        <v>7</v>
      </c>
    </row>
    <row r="21" spans="1:18" x14ac:dyDescent="0.3">
      <c r="A21" t="s">
        <v>78</v>
      </c>
      <c r="B21" t="s">
        <v>669</v>
      </c>
      <c r="C21" t="s">
        <v>38</v>
      </c>
      <c r="D21" t="s">
        <v>653</v>
      </c>
      <c r="E21" t="s">
        <v>79</v>
      </c>
      <c r="F21" t="s">
        <v>49</v>
      </c>
      <c r="G21">
        <v>39</v>
      </c>
      <c r="H21" s="6">
        <v>37.840000000000003</v>
      </c>
      <c r="I21">
        <v>1475.76</v>
      </c>
      <c r="J21">
        <v>73.400000000000006</v>
      </c>
      <c r="K21">
        <v>310.36</v>
      </c>
      <c r="L21" t="s">
        <v>23</v>
      </c>
      <c r="M21" t="s">
        <v>29</v>
      </c>
      <c r="N21" t="s">
        <v>25</v>
      </c>
      <c r="O21">
        <f>_xlfn.XLOOKUP(E21,[1]Products!$B$2:$B$11,[1]Products!$F$2:$F$11)</f>
        <v>28</v>
      </c>
      <c r="P21">
        <f t="shared" si="0"/>
        <v>1092</v>
      </c>
      <c r="Q21" s="3">
        <f t="shared" si="1"/>
        <v>0.21030519867729172</v>
      </c>
      <c r="R21">
        <f>MONTH(Table1[[#This Row],[Order_Date]])</f>
        <v>4</v>
      </c>
    </row>
    <row r="22" spans="1:18" x14ac:dyDescent="0.3">
      <c r="A22" t="s">
        <v>80</v>
      </c>
      <c r="B22" t="s">
        <v>662</v>
      </c>
      <c r="C22" t="s">
        <v>81</v>
      </c>
      <c r="D22" t="s">
        <v>82</v>
      </c>
      <c r="E22" t="s">
        <v>40</v>
      </c>
      <c r="F22" t="s">
        <v>41</v>
      </c>
      <c r="G22">
        <v>6</v>
      </c>
      <c r="H22" s="6">
        <v>68.77</v>
      </c>
      <c r="I22">
        <v>412.62</v>
      </c>
      <c r="J22">
        <v>17.18</v>
      </c>
      <c r="K22">
        <v>155.44</v>
      </c>
      <c r="L22" t="s">
        <v>23</v>
      </c>
      <c r="M22" t="s">
        <v>18</v>
      </c>
      <c r="N22" t="s">
        <v>83</v>
      </c>
      <c r="O22">
        <f>_xlfn.XLOOKUP(E22,[1]Products!$B$2:$B$11,[1]Products!$F$2:$F$11)</f>
        <v>40</v>
      </c>
      <c r="P22">
        <f t="shared" si="0"/>
        <v>240</v>
      </c>
      <c r="Q22" s="3">
        <f t="shared" si="1"/>
        <v>0.37671465270709126</v>
      </c>
      <c r="R22">
        <f>MONTH(Table1[[#This Row],[Order_Date]])</f>
        <v>2</v>
      </c>
    </row>
    <row r="23" spans="1:18" x14ac:dyDescent="0.3">
      <c r="A23" t="s">
        <v>84</v>
      </c>
      <c r="B23" t="s">
        <v>674</v>
      </c>
      <c r="C23" t="s">
        <v>85</v>
      </c>
      <c r="D23" t="s">
        <v>39</v>
      </c>
      <c r="E23" t="s">
        <v>60</v>
      </c>
      <c r="F23" t="s">
        <v>34</v>
      </c>
      <c r="G23">
        <v>6</v>
      </c>
      <c r="H23" s="6">
        <v>18.5</v>
      </c>
      <c r="I23">
        <v>111</v>
      </c>
      <c r="J23">
        <v>5.26</v>
      </c>
      <c r="K23">
        <v>29.24</v>
      </c>
      <c r="L23" t="s">
        <v>35</v>
      </c>
      <c r="M23" t="s">
        <v>24</v>
      </c>
      <c r="N23" t="s">
        <v>19</v>
      </c>
      <c r="O23">
        <f>_xlfn.XLOOKUP(E23,[1]Products!$B$2:$B$11,[1]Products!$F$2:$F$11)</f>
        <v>12.75</v>
      </c>
      <c r="P23">
        <f t="shared" si="0"/>
        <v>76.5</v>
      </c>
      <c r="Q23" s="3">
        <f t="shared" si="1"/>
        <v>0.2634234234234234</v>
      </c>
      <c r="R23">
        <f>MONTH(Table1[[#This Row],[Order_Date]])</f>
        <v>3</v>
      </c>
    </row>
    <row r="24" spans="1:18" x14ac:dyDescent="0.3">
      <c r="A24" t="s">
        <v>86</v>
      </c>
      <c r="B24" t="s">
        <v>675</v>
      </c>
      <c r="C24" t="s">
        <v>87</v>
      </c>
      <c r="D24" t="s">
        <v>28</v>
      </c>
      <c r="E24" t="s">
        <v>48</v>
      </c>
      <c r="F24" t="s">
        <v>49</v>
      </c>
      <c r="G24">
        <v>33</v>
      </c>
      <c r="H24" s="6">
        <v>28.96</v>
      </c>
      <c r="I24">
        <v>955.68</v>
      </c>
      <c r="J24">
        <v>49.07</v>
      </c>
      <c r="K24">
        <v>164.11</v>
      </c>
      <c r="L24" t="s">
        <v>23</v>
      </c>
      <c r="M24" t="s">
        <v>18</v>
      </c>
      <c r="N24" t="s">
        <v>25</v>
      </c>
      <c r="O24">
        <f>_xlfn.XLOOKUP(E24,[1]Products!$B$2:$B$11,[1]Products!$F$2:$F$11)</f>
        <v>22.5</v>
      </c>
      <c r="P24">
        <f t="shared" si="0"/>
        <v>742.5</v>
      </c>
      <c r="Q24" s="3">
        <f t="shared" si="1"/>
        <v>0.17172065963502431</v>
      </c>
      <c r="R24">
        <f>MONTH(Table1[[#This Row],[Order_Date]])</f>
        <v>5</v>
      </c>
    </row>
    <row r="25" spans="1:18" x14ac:dyDescent="0.3">
      <c r="A25" t="s">
        <v>88</v>
      </c>
      <c r="B25" t="s">
        <v>671</v>
      </c>
      <c r="C25" t="s">
        <v>89</v>
      </c>
      <c r="D25" t="s">
        <v>39</v>
      </c>
      <c r="E25" t="s">
        <v>48</v>
      </c>
      <c r="F25" t="s">
        <v>49</v>
      </c>
      <c r="G25">
        <v>31</v>
      </c>
      <c r="H25" s="6">
        <v>35.020000000000003</v>
      </c>
      <c r="I25">
        <v>1085.6199999999999</v>
      </c>
      <c r="J25">
        <v>74.650000000000006</v>
      </c>
      <c r="K25">
        <v>313.47000000000003</v>
      </c>
      <c r="L25" t="s">
        <v>35</v>
      </c>
      <c r="M25" t="s">
        <v>18</v>
      </c>
      <c r="N25" t="s">
        <v>19</v>
      </c>
      <c r="O25">
        <f>_xlfn.XLOOKUP(E25,[1]Products!$B$2:$B$11,[1]Products!$F$2:$F$11)</f>
        <v>22.5</v>
      </c>
      <c r="P25">
        <f t="shared" si="0"/>
        <v>697.5</v>
      </c>
      <c r="Q25" s="3">
        <f t="shared" si="1"/>
        <v>0.2887474438569666</v>
      </c>
      <c r="R25">
        <f>MONTH(Table1[[#This Row],[Order_Date]])</f>
        <v>2</v>
      </c>
    </row>
    <row r="26" spans="1:18" x14ac:dyDescent="0.3">
      <c r="A26" t="s">
        <v>90</v>
      </c>
      <c r="B26" t="s">
        <v>669</v>
      </c>
      <c r="C26" t="s">
        <v>91</v>
      </c>
      <c r="D26" t="s">
        <v>39</v>
      </c>
      <c r="E26" t="s">
        <v>45</v>
      </c>
      <c r="F26" t="s">
        <v>34</v>
      </c>
      <c r="G26">
        <v>25</v>
      </c>
      <c r="H26" s="6">
        <v>31.57</v>
      </c>
      <c r="I26">
        <v>789.25</v>
      </c>
      <c r="J26">
        <v>56.47</v>
      </c>
      <c r="K26">
        <v>232.78</v>
      </c>
      <c r="L26" t="s">
        <v>23</v>
      </c>
      <c r="M26" t="s">
        <v>24</v>
      </c>
      <c r="N26" t="s">
        <v>19</v>
      </c>
      <c r="O26">
        <f>_xlfn.XLOOKUP(E26,[1]Products!$B$2:$B$11,[1]Products!$F$2:$F$11)</f>
        <v>20</v>
      </c>
      <c r="P26">
        <f t="shared" si="0"/>
        <v>500</v>
      </c>
      <c r="Q26" s="3">
        <f t="shared" si="1"/>
        <v>0.29493823249920809</v>
      </c>
      <c r="R26">
        <f>MONTH(Table1[[#This Row],[Order_Date]])</f>
        <v>4</v>
      </c>
    </row>
    <row r="27" spans="1:18" x14ac:dyDescent="0.3">
      <c r="A27" t="s">
        <v>92</v>
      </c>
      <c r="B27" t="s">
        <v>670</v>
      </c>
      <c r="C27" t="s">
        <v>93</v>
      </c>
      <c r="D27" t="s">
        <v>28</v>
      </c>
      <c r="E27" t="s">
        <v>57</v>
      </c>
      <c r="F27" t="s">
        <v>49</v>
      </c>
      <c r="G27">
        <v>14</v>
      </c>
      <c r="H27" s="6">
        <v>27.08</v>
      </c>
      <c r="I27">
        <v>379.12</v>
      </c>
      <c r="J27">
        <v>11.12</v>
      </c>
      <c r="K27">
        <v>151</v>
      </c>
      <c r="L27" t="s">
        <v>23</v>
      </c>
      <c r="M27" t="s">
        <v>29</v>
      </c>
      <c r="N27" t="s">
        <v>25</v>
      </c>
      <c r="O27">
        <f>_xlfn.XLOOKUP(E27,[1]Products!$B$2:$B$11,[1]Products!$F$2:$F$11)</f>
        <v>15.5</v>
      </c>
      <c r="P27">
        <f t="shared" si="0"/>
        <v>217</v>
      </c>
      <c r="Q27" s="3">
        <f t="shared" si="1"/>
        <v>0.39829077864528378</v>
      </c>
      <c r="R27">
        <f>MONTH(Table1[[#This Row],[Order_Date]])</f>
        <v>12</v>
      </c>
    </row>
    <row r="28" spans="1:18" x14ac:dyDescent="0.3">
      <c r="A28" t="s">
        <v>94</v>
      </c>
      <c r="B28" t="s">
        <v>665</v>
      </c>
      <c r="C28" t="s">
        <v>31</v>
      </c>
      <c r="D28" t="s">
        <v>28</v>
      </c>
      <c r="E28" t="s">
        <v>79</v>
      </c>
      <c r="F28" t="s">
        <v>49</v>
      </c>
      <c r="G28">
        <v>39</v>
      </c>
      <c r="H28" s="6">
        <v>35.32</v>
      </c>
      <c r="I28">
        <v>1377.48</v>
      </c>
      <c r="J28">
        <v>63.72</v>
      </c>
      <c r="K28">
        <v>221.76</v>
      </c>
      <c r="L28" t="s">
        <v>23</v>
      </c>
      <c r="M28" t="s">
        <v>24</v>
      </c>
      <c r="N28" t="s">
        <v>25</v>
      </c>
      <c r="O28">
        <f>_xlfn.XLOOKUP(E28,[1]Products!$B$2:$B$11,[1]Products!$F$2:$F$11)</f>
        <v>28</v>
      </c>
      <c r="P28">
        <f t="shared" si="0"/>
        <v>1092</v>
      </c>
      <c r="Q28" s="3">
        <f t="shared" si="1"/>
        <v>0.16098963324331386</v>
      </c>
      <c r="R28">
        <f>MONTH(Table1[[#This Row],[Order_Date]])</f>
        <v>6</v>
      </c>
    </row>
    <row r="29" spans="1:18" x14ac:dyDescent="0.3">
      <c r="A29" t="s">
        <v>95</v>
      </c>
      <c r="B29" t="s">
        <v>668</v>
      </c>
      <c r="C29" t="s">
        <v>96</v>
      </c>
      <c r="D29" t="s">
        <v>52</v>
      </c>
      <c r="E29" t="s">
        <v>48</v>
      </c>
      <c r="F29" t="s">
        <v>49</v>
      </c>
      <c r="G29">
        <v>6</v>
      </c>
      <c r="H29" s="6">
        <v>39.630000000000003</v>
      </c>
      <c r="I29">
        <v>237.78</v>
      </c>
      <c r="J29">
        <v>8.08</v>
      </c>
      <c r="K29">
        <v>94.7</v>
      </c>
      <c r="L29" t="s">
        <v>17</v>
      </c>
      <c r="M29" t="s">
        <v>29</v>
      </c>
      <c r="N29" t="s">
        <v>55</v>
      </c>
      <c r="O29">
        <f>_xlfn.XLOOKUP(E29,[1]Products!$B$2:$B$11,[1]Products!$F$2:$F$11)</f>
        <v>22.5</v>
      </c>
      <c r="P29">
        <f t="shared" si="0"/>
        <v>135</v>
      </c>
      <c r="Q29" s="3">
        <f t="shared" si="1"/>
        <v>0.39826730591302884</v>
      </c>
      <c r="R29">
        <f>MONTH(Table1[[#This Row],[Order_Date]])</f>
        <v>8</v>
      </c>
    </row>
    <row r="30" spans="1:18" x14ac:dyDescent="0.3">
      <c r="A30" t="s">
        <v>97</v>
      </c>
      <c r="B30" t="s">
        <v>661</v>
      </c>
      <c r="C30" t="s">
        <v>98</v>
      </c>
      <c r="D30" t="s">
        <v>82</v>
      </c>
      <c r="E30" t="s">
        <v>40</v>
      </c>
      <c r="F30" t="s">
        <v>41</v>
      </c>
      <c r="G30">
        <v>36</v>
      </c>
      <c r="H30" s="6">
        <v>68.400000000000006</v>
      </c>
      <c r="I30">
        <v>2462.4</v>
      </c>
      <c r="J30">
        <v>150.83000000000001</v>
      </c>
      <c r="K30">
        <v>871.57</v>
      </c>
      <c r="L30" t="s">
        <v>23</v>
      </c>
      <c r="M30" t="s">
        <v>18</v>
      </c>
      <c r="N30" t="s">
        <v>83</v>
      </c>
      <c r="O30">
        <f>_xlfn.XLOOKUP(E30,[1]Products!$B$2:$B$11,[1]Products!$F$2:$F$11)</f>
        <v>40</v>
      </c>
      <c r="P30">
        <f t="shared" si="0"/>
        <v>1440</v>
      </c>
      <c r="Q30" s="3">
        <f t="shared" si="1"/>
        <v>0.35395142949967512</v>
      </c>
      <c r="R30">
        <f>MONTH(Table1[[#This Row],[Order_Date]])</f>
        <v>1</v>
      </c>
    </row>
    <row r="31" spans="1:18" x14ac:dyDescent="0.3">
      <c r="A31" t="s">
        <v>99</v>
      </c>
      <c r="B31" t="s">
        <v>673</v>
      </c>
      <c r="C31" t="s">
        <v>72</v>
      </c>
      <c r="D31" t="s">
        <v>28</v>
      </c>
      <c r="E31" t="s">
        <v>53</v>
      </c>
      <c r="F31" t="s">
        <v>54</v>
      </c>
      <c r="G31">
        <v>1</v>
      </c>
      <c r="H31" s="6">
        <v>44.98</v>
      </c>
      <c r="I31">
        <v>44.98</v>
      </c>
      <c r="J31">
        <v>2.81</v>
      </c>
      <c r="K31">
        <v>17.170000000000002</v>
      </c>
      <c r="L31" t="s">
        <v>23</v>
      </c>
      <c r="M31" t="s">
        <v>24</v>
      </c>
      <c r="N31" t="s">
        <v>25</v>
      </c>
      <c r="O31">
        <f>_xlfn.XLOOKUP(E31,[1]Products!$B$2:$B$11,[1]Products!$F$2:$F$11)</f>
        <v>25</v>
      </c>
      <c r="P31">
        <f t="shared" si="0"/>
        <v>25</v>
      </c>
      <c r="Q31" s="3">
        <f t="shared" si="1"/>
        <v>0.38172521120498004</v>
      </c>
      <c r="R31">
        <f>MONTH(Table1[[#This Row],[Order_Date]])</f>
        <v>7</v>
      </c>
    </row>
    <row r="32" spans="1:18" x14ac:dyDescent="0.3">
      <c r="A32" t="s">
        <v>100</v>
      </c>
      <c r="B32" t="s">
        <v>669</v>
      </c>
      <c r="C32" t="s">
        <v>101</v>
      </c>
      <c r="D32" t="s">
        <v>102</v>
      </c>
      <c r="E32" t="s">
        <v>79</v>
      </c>
      <c r="F32" t="s">
        <v>49</v>
      </c>
      <c r="G32">
        <v>3</v>
      </c>
      <c r="H32" s="6">
        <v>37.74</v>
      </c>
      <c r="I32">
        <v>113.22</v>
      </c>
      <c r="J32">
        <v>4.04</v>
      </c>
      <c r="K32">
        <v>25.18</v>
      </c>
      <c r="L32" t="s">
        <v>23</v>
      </c>
      <c r="M32" t="s">
        <v>24</v>
      </c>
      <c r="N32" t="s">
        <v>25</v>
      </c>
      <c r="O32">
        <f>_xlfn.XLOOKUP(E32,[1]Products!$B$2:$B$11,[1]Products!$F$2:$F$11)</f>
        <v>28</v>
      </c>
      <c r="P32">
        <f t="shared" si="0"/>
        <v>84</v>
      </c>
      <c r="Q32" s="3">
        <f t="shared" si="1"/>
        <v>0.22239886945769299</v>
      </c>
      <c r="R32">
        <f>MONTH(Table1[[#This Row],[Order_Date]])</f>
        <v>4</v>
      </c>
    </row>
    <row r="33" spans="1:18" x14ac:dyDescent="0.3">
      <c r="A33" t="s">
        <v>103</v>
      </c>
      <c r="B33" t="s">
        <v>675</v>
      </c>
      <c r="C33" t="s">
        <v>104</v>
      </c>
      <c r="D33" t="s">
        <v>102</v>
      </c>
      <c r="E33" t="s">
        <v>53</v>
      </c>
      <c r="F33" t="s">
        <v>54</v>
      </c>
      <c r="G33">
        <v>12</v>
      </c>
      <c r="H33" s="6">
        <v>39.799999999999997</v>
      </c>
      <c r="I33">
        <v>477.6</v>
      </c>
      <c r="J33">
        <v>20.54</v>
      </c>
      <c r="K33">
        <v>157.06</v>
      </c>
      <c r="L33" t="s">
        <v>35</v>
      </c>
      <c r="M33" t="s">
        <v>24</v>
      </c>
      <c r="N33" t="s">
        <v>25</v>
      </c>
      <c r="O33">
        <f>_xlfn.XLOOKUP(E33,[1]Products!$B$2:$B$11,[1]Products!$F$2:$F$11)</f>
        <v>25</v>
      </c>
      <c r="P33">
        <f t="shared" si="0"/>
        <v>300</v>
      </c>
      <c r="Q33" s="3">
        <f t="shared" si="1"/>
        <v>0.32885259631490787</v>
      </c>
      <c r="R33">
        <f>MONTH(Table1[[#This Row],[Order_Date]])</f>
        <v>5</v>
      </c>
    </row>
    <row r="34" spans="1:18" x14ac:dyDescent="0.3">
      <c r="A34" t="s">
        <v>105</v>
      </c>
      <c r="B34" t="s">
        <v>663</v>
      </c>
      <c r="C34" t="s">
        <v>106</v>
      </c>
      <c r="D34" t="s">
        <v>52</v>
      </c>
      <c r="E34" t="s">
        <v>33</v>
      </c>
      <c r="F34" t="s">
        <v>34</v>
      </c>
      <c r="G34">
        <v>26</v>
      </c>
      <c r="H34" s="6">
        <v>43.23</v>
      </c>
      <c r="I34">
        <v>1123.98</v>
      </c>
      <c r="J34">
        <v>57.2</v>
      </c>
      <c r="K34">
        <v>234.78</v>
      </c>
      <c r="L34" t="s">
        <v>23</v>
      </c>
      <c r="M34" t="s">
        <v>29</v>
      </c>
      <c r="N34" t="s">
        <v>55</v>
      </c>
      <c r="O34">
        <f>_xlfn.XLOOKUP(E34,[1]Products!$B$2:$B$11,[1]Products!$F$2:$F$11)</f>
        <v>32</v>
      </c>
      <c r="P34">
        <f t="shared" si="0"/>
        <v>832</v>
      </c>
      <c r="Q34" s="3">
        <f t="shared" si="1"/>
        <v>0.20888272033310201</v>
      </c>
      <c r="R34">
        <f>MONTH(Table1[[#This Row],[Order_Date]])</f>
        <v>4</v>
      </c>
    </row>
    <row r="35" spans="1:18" x14ac:dyDescent="0.3">
      <c r="A35" t="s">
        <v>107</v>
      </c>
      <c r="B35" t="s">
        <v>661</v>
      </c>
      <c r="C35" t="s">
        <v>31</v>
      </c>
      <c r="D35" t="s">
        <v>28</v>
      </c>
      <c r="E35" t="s">
        <v>40</v>
      </c>
      <c r="F35" t="s">
        <v>41</v>
      </c>
      <c r="G35">
        <v>17</v>
      </c>
      <c r="H35" s="6">
        <v>66.34</v>
      </c>
      <c r="I35">
        <v>1127.78</v>
      </c>
      <c r="J35">
        <v>81.150000000000006</v>
      </c>
      <c r="K35">
        <v>366.63</v>
      </c>
      <c r="L35" t="s">
        <v>23</v>
      </c>
      <c r="M35" t="s">
        <v>29</v>
      </c>
      <c r="N35" t="s">
        <v>25</v>
      </c>
      <c r="O35">
        <f>_xlfn.XLOOKUP(E35,[1]Products!$B$2:$B$11,[1]Products!$F$2:$F$11)</f>
        <v>40</v>
      </c>
      <c r="P35">
        <f t="shared" si="0"/>
        <v>680</v>
      </c>
      <c r="Q35" s="3">
        <f t="shared" si="1"/>
        <v>0.32508999982266046</v>
      </c>
      <c r="R35">
        <f>MONTH(Table1[[#This Row],[Order_Date]])</f>
        <v>1</v>
      </c>
    </row>
    <row r="36" spans="1:18" x14ac:dyDescent="0.3">
      <c r="A36" t="s">
        <v>108</v>
      </c>
      <c r="B36" t="s">
        <v>664</v>
      </c>
      <c r="C36" t="s">
        <v>109</v>
      </c>
      <c r="D36" t="s">
        <v>66</v>
      </c>
      <c r="E36" t="s">
        <v>53</v>
      </c>
      <c r="F36" t="s">
        <v>54</v>
      </c>
      <c r="G36">
        <v>4</v>
      </c>
      <c r="H36" s="6">
        <v>33.869999999999997</v>
      </c>
      <c r="I36">
        <v>135.47999999999999</v>
      </c>
      <c r="J36">
        <v>6.59</v>
      </c>
      <c r="K36">
        <v>28.89</v>
      </c>
      <c r="L36" t="s">
        <v>17</v>
      </c>
      <c r="M36" t="s">
        <v>29</v>
      </c>
      <c r="N36" t="s">
        <v>55</v>
      </c>
      <c r="O36">
        <f>_xlfn.XLOOKUP(E36,[1]Products!$B$2:$B$11,[1]Products!$F$2:$F$11)</f>
        <v>25</v>
      </c>
      <c r="P36">
        <f t="shared" si="0"/>
        <v>100</v>
      </c>
      <c r="Q36" s="3">
        <f t="shared" si="1"/>
        <v>0.21324180690876884</v>
      </c>
      <c r="R36">
        <f>MONTH(Table1[[#This Row],[Order_Date]])</f>
        <v>10</v>
      </c>
    </row>
    <row r="37" spans="1:18" x14ac:dyDescent="0.3">
      <c r="A37" t="s">
        <v>110</v>
      </c>
      <c r="B37" t="s">
        <v>676</v>
      </c>
      <c r="C37" t="s">
        <v>111</v>
      </c>
      <c r="D37" t="s">
        <v>28</v>
      </c>
      <c r="E37" t="s">
        <v>40</v>
      </c>
      <c r="F37" t="s">
        <v>41</v>
      </c>
      <c r="G37">
        <v>10</v>
      </c>
      <c r="H37" s="6">
        <v>64.650000000000006</v>
      </c>
      <c r="I37">
        <v>646.5</v>
      </c>
      <c r="J37">
        <v>17.89</v>
      </c>
      <c r="K37">
        <v>228.61</v>
      </c>
      <c r="L37" t="s">
        <v>35</v>
      </c>
      <c r="M37" t="s">
        <v>18</v>
      </c>
      <c r="N37" t="s">
        <v>25</v>
      </c>
      <c r="O37">
        <f>_xlfn.XLOOKUP(E37,[1]Products!$B$2:$B$11,[1]Products!$F$2:$F$11)</f>
        <v>40</v>
      </c>
      <c r="P37">
        <f t="shared" si="0"/>
        <v>400</v>
      </c>
      <c r="Q37" s="3">
        <f t="shared" si="1"/>
        <v>0.35361175560711527</v>
      </c>
      <c r="R37">
        <f>MONTH(Table1[[#This Row],[Order_Date]])</f>
        <v>11</v>
      </c>
    </row>
    <row r="38" spans="1:18" x14ac:dyDescent="0.3">
      <c r="A38" t="s">
        <v>112</v>
      </c>
      <c r="B38" t="s">
        <v>670</v>
      </c>
      <c r="C38" t="s">
        <v>113</v>
      </c>
      <c r="D38" t="s">
        <v>82</v>
      </c>
      <c r="E38" t="s">
        <v>48</v>
      </c>
      <c r="F38" t="s">
        <v>49</v>
      </c>
      <c r="G38">
        <v>12</v>
      </c>
      <c r="H38" s="6">
        <v>29.56</v>
      </c>
      <c r="I38">
        <v>354.72</v>
      </c>
      <c r="J38">
        <v>21.4</v>
      </c>
      <c r="K38">
        <v>63.32</v>
      </c>
      <c r="L38" t="s">
        <v>23</v>
      </c>
      <c r="M38" t="s">
        <v>18</v>
      </c>
      <c r="N38" t="s">
        <v>83</v>
      </c>
      <c r="O38">
        <f>_xlfn.XLOOKUP(E38,[1]Products!$B$2:$B$11,[1]Products!$F$2:$F$11)</f>
        <v>22.5</v>
      </c>
      <c r="P38">
        <f t="shared" si="0"/>
        <v>270</v>
      </c>
      <c r="Q38" s="3">
        <f t="shared" si="1"/>
        <v>0.17850699142986015</v>
      </c>
      <c r="R38">
        <f>MONTH(Table1[[#This Row],[Order_Date]])</f>
        <v>12</v>
      </c>
    </row>
    <row r="39" spans="1:18" x14ac:dyDescent="0.3">
      <c r="A39" t="s">
        <v>114</v>
      </c>
      <c r="B39" t="s">
        <v>675</v>
      </c>
      <c r="C39" t="s">
        <v>115</v>
      </c>
      <c r="D39" t="s">
        <v>652</v>
      </c>
      <c r="E39" t="s">
        <v>53</v>
      </c>
      <c r="F39" t="s">
        <v>54</v>
      </c>
      <c r="G39">
        <v>4</v>
      </c>
      <c r="H39" s="6">
        <v>35.36</v>
      </c>
      <c r="I39">
        <v>141.44</v>
      </c>
      <c r="J39">
        <v>8.66</v>
      </c>
      <c r="K39">
        <v>32.78</v>
      </c>
      <c r="L39" t="s">
        <v>35</v>
      </c>
      <c r="M39" t="s">
        <v>24</v>
      </c>
      <c r="N39" t="s">
        <v>19</v>
      </c>
      <c r="O39">
        <f>_xlfn.XLOOKUP(E39,[1]Products!$B$2:$B$11,[1]Products!$F$2:$F$11)</f>
        <v>25</v>
      </c>
      <c r="P39">
        <f t="shared" si="0"/>
        <v>100</v>
      </c>
      <c r="Q39" s="3">
        <f t="shared" si="1"/>
        <v>0.23175904977375567</v>
      </c>
      <c r="R39">
        <f>MONTH(Table1[[#This Row],[Order_Date]])</f>
        <v>5</v>
      </c>
    </row>
    <row r="40" spans="1:18" x14ac:dyDescent="0.3">
      <c r="A40" t="s">
        <v>116</v>
      </c>
      <c r="B40" t="s">
        <v>661</v>
      </c>
      <c r="C40" t="s">
        <v>117</v>
      </c>
      <c r="D40" t="s">
        <v>28</v>
      </c>
      <c r="E40" t="s">
        <v>45</v>
      </c>
      <c r="F40" t="s">
        <v>34</v>
      </c>
      <c r="G40">
        <v>28</v>
      </c>
      <c r="H40" s="6">
        <v>31.42</v>
      </c>
      <c r="I40">
        <v>879.76</v>
      </c>
      <c r="J40">
        <v>69.319999999999993</v>
      </c>
      <c r="K40">
        <v>250.44</v>
      </c>
      <c r="L40" t="s">
        <v>17</v>
      </c>
      <c r="M40" t="s">
        <v>29</v>
      </c>
      <c r="N40" t="s">
        <v>25</v>
      </c>
      <c r="O40">
        <f>_xlfn.XLOOKUP(E40,[1]Products!$B$2:$B$11,[1]Products!$F$2:$F$11)</f>
        <v>20</v>
      </c>
      <c r="P40">
        <f t="shared" si="0"/>
        <v>560</v>
      </c>
      <c r="Q40" s="3">
        <f t="shared" si="1"/>
        <v>0.28466854596708191</v>
      </c>
      <c r="R40">
        <f>MONTH(Table1[[#This Row],[Order_Date]])</f>
        <v>1</v>
      </c>
    </row>
    <row r="41" spans="1:18" x14ac:dyDescent="0.3">
      <c r="A41" t="s">
        <v>118</v>
      </c>
      <c r="B41" t="s">
        <v>675</v>
      </c>
      <c r="C41" t="s">
        <v>119</v>
      </c>
      <c r="D41" t="s">
        <v>652</v>
      </c>
      <c r="E41" t="s">
        <v>15</v>
      </c>
      <c r="F41" t="s">
        <v>16</v>
      </c>
      <c r="G41">
        <v>35</v>
      </c>
      <c r="H41" s="6">
        <v>55.12</v>
      </c>
      <c r="I41">
        <v>1929.2</v>
      </c>
      <c r="J41">
        <v>58.22</v>
      </c>
      <c r="K41">
        <v>645.98</v>
      </c>
      <c r="L41" t="s">
        <v>17</v>
      </c>
      <c r="M41" t="s">
        <v>18</v>
      </c>
      <c r="N41" t="s">
        <v>19</v>
      </c>
      <c r="O41">
        <f>_xlfn.XLOOKUP(E41,[1]Products!$B$2:$B$11,[1]Products!$F$2:$F$11)</f>
        <v>35</v>
      </c>
      <c r="P41">
        <f t="shared" si="0"/>
        <v>1225</v>
      </c>
      <c r="Q41" s="3">
        <f t="shared" si="1"/>
        <v>0.3348434584283641</v>
      </c>
      <c r="R41">
        <f>MONTH(Table1[[#This Row],[Order_Date]])</f>
        <v>5</v>
      </c>
    </row>
    <row r="42" spans="1:18" x14ac:dyDescent="0.3">
      <c r="A42" t="s">
        <v>120</v>
      </c>
      <c r="B42" t="s">
        <v>669</v>
      </c>
      <c r="C42" t="s">
        <v>121</v>
      </c>
      <c r="D42" t="s">
        <v>654</v>
      </c>
      <c r="E42" t="s">
        <v>48</v>
      </c>
      <c r="F42" t="s">
        <v>49</v>
      </c>
      <c r="G42">
        <v>41</v>
      </c>
      <c r="H42" s="6">
        <v>33.94</v>
      </c>
      <c r="I42">
        <v>1391.54</v>
      </c>
      <c r="J42">
        <v>33.26</v>
      </c>
      <c r="K42">
        <v>435.78</v>
      </c>
      <c r="L42" t="s">
        <v>17</v>
      </c>
      <c r="M42" t="s">
        <v>29</v>
      </c>
      <c r="N42" t="s">
        <v>55</v>
      </c>
      <c r="O42">
        <f>_xlfn.XLOOKUP(E42,[1]Products!$B$2:$B$11,[1]Products!$F$2:$F$11)</f>
        <v>22.5</v>
      </c>
      <c r="P42">
        <f t="shared" si="0"/>
        <v>922.5</v>
      </c>
      <c r="Q42" s="3">
        <f t="shared" si="1"/>
        <v>0.31316383287580662</v>
      </c>
      <c r="R42">
        <f>MONTH(Table1[[#This Row],[Order_Date]])</f>
        <v>4</v>
      </c>
    </row>
    <row r="43" spans="1:18" x14ac:dyDescent="0.3">
      <c r="A43" t="s">
        <v>122</v>
      </c>
      <c r="B43" t="s">
        <v>668</v>
      </c>
      <c r="C43" t="s">
        <v>68</v>
      </c>
      <c r="D43" t="s">
        <v>66</v>
      </c>
      <c r="E43" t="s">
        <v>48</v>
      </c>
      <c r="F43" t="s">
        <v>49</v>
      </c>
      <c r="G43">
        <v>20</v>
      </c>
      <c r="H43" s="6">
        <v>38.43</v>
      </c>
      <c r="I43">
        <v>768.6</v>
      </c>
      <c r="J43">
        <v>60.07</v>
      </c>
      <c r="K43">
        <v>258.52999999999997</v>
      </c>
      <c r="L43" t="s">
        <v>35</v>
      </c>
      <c r="M43" t="s">
        <v>29</v>
      </c>
      <c r="N43" t="s">
        <v>55</v>
      </c>
      <c r="O43">
        <f>_xlfn.XLOOKUP(E43,[1]Products!$B$2:$B$11,[1]Products!$F$2:$F$11)</f>
        <v>22.5</v>
      </c>
      <c r="P43">
        <f t="shared" si="0"/>
        <v>450</v>
      </c>
      <c r="Q43" s="3">
        <f t="shared" si="1"/>
        <v>0.33636481915170435</v>
      </c>
      <c r="R43">
        <f>MONTH(Table1[[#This Row],[Order_Date]])</f>
        <v>8</v>
      </c>
    </row>
    <row r="44" spans="1:18" x14ac:dyDescent="0.3">
      <c r="A44" t="s">
        <v>123</v>
      </c>
      <c r="B44" t="s">
        <v>675</v>
      </c>
      <c r="C44" t="s">
        <v>70</v>
      </c>
      <c r="D44" t="s">
        <v>32</v>
      </c>
      <c r="E44" t="s">
        <v>53</v>
      </c>
      <c r="F44" t="s">
        <v>54</v>
      </c>
      <c r="G44">
        <v>23</v>
      </c>
      <c r="H44" s="6">
        <v>35.07</v>
      </c>
      <c r="I44">
        <v>806.61</v>
      </c>
      <c r="J44">
        <v>21.23</v>
      </c>
      <c r="K44">
        <v>210.38</v>
      </c>
      <c r="L44" t="s">
        <v>17</v>
      </c>
      <c r="M44" t="s">
        <v>29</v>
      </c>
      <c r="N44" t="s">
        <v>36</v>
      </c>
      <c r="O44">
        <f>_xlfn.XLOOKUP(E44,[1]Products!$B$2:$B$11,[1]Products!$F$2:$F$11)</f>
        <v>25</v>
      </c>
      <c r="P44">
        <f t="shared" si="0"/>
        <v>575</v>
      </c>
      <c r="Q44" s="3">
        <f t="shared" si="1"/>
        <v>0.26081997495691844</v>
      </c>
      <c r="R44">
        <f>MONTH(Table1[[#This Row],[Order_Date]])</f>
        <v>5</v>
      </c>
    </row>
    <row r="45" spans="1:18" x14ac:dyDescent="0.3">
      <c r="A45" t="s">
        <v>124</v>
      </c>
      <c r="B45" t="s">
        <v>674</v>
      </c>
      <c r="C45" t="s">
        <v>64</v>
      </c>
      <c r="D45" t="s">
        <v>125</v>
      </c>
      <c r="E45" t="s">
        <v>40</v>
      </c>
      <c r="F45" t="s">
        <v>41</v>
      </c>
      <c r="G45">
        <v>35</v>
      </c>
      <c r="H45" s="6">
        <v>71.44</v>
      </c>
      <c r="I45">
        <v>2500.4</v>
      </c>
      <c r="J45">
        <v>166.81</v>
      </c>
      <c r="K45">
        <v>933.59</v>
      </c>
      <c r="L45" t="s">
        <v>23</v>
      </c>
      <c r="M45" t="s">
        <v>24</v>
      </c>
      <c r="N45" t="s">
        <v>126</v>
      </c>
      <c r="O45">
        <f>_xlfn.XLOOKUP(E45,[1]Products!$B$2:$B$11,[1]Products!$F$2:$F$11)</f>
        <v>40</v>
      </c>
      <c r="P45">
        <f t="shared" si="0"/>
        <v>1400</v>
      </c>
      <c r="Q45" s="3">
        <f t="shared" si="1"/>
        <v>0.37337625979843225</v>
      </c>
      <c r="R45">
        <f>MONTH(Table1[[#This Row],[Order_Date]])</f>
        <v>3</v>
      </c>
    </row>
    <row r="46" spans="1:18" x14ac:dyDescent="0.3">
      <c r="A46" t="s">
        <v>127</v>
      </c>
      <c r="B46" t="s">
        <v>670</v>
      </c>
      <c r="C46" t="s">
        <v>111</v>
      </c>
      <c r="D46" t="s">
        <v>39</v>
      </c>
      <c r="E46" t="s">
        <v>22</v>
      </c>
      <c r="F46" t="s">
        <v>16</v>
      </c>
      <c r="G46">
        <v>11</v>
      </c>
      <c r="H46" s="6">
        <v>26.05</v>
      </c>
      <c r="I46">
        <v>286.55</v>
      </c>
      <c r="J46">
        <v>13.39</v>
      </c>
      <c r="K46">
        <v>75.16</v>
      </c>
      <c r="L46" t="s">
        <v>23</v>
      </c>
      <c r="M46" t="s">
        <v>18</v>
      </c>
      <c r="N46" t="s">
        <v>19</v>
      </c>
      <c r="O46">
        <f>_xlfn.XLOOKUP(E46,[1]Products!$B$2:$B$11,[1]Products!$F$2:$F$11)</f>
        <v>18</v>
      </c>
      <c r="P46">
        <f t="shared" si="0"/>
        <v>198</v>
      </c>
      <c r="Q46" s="3">
        <f t="shared" si="1"/>
        <v>0.26229279357878205</v>
      </c>
      <c r="R46">
        <f>MONTH(Table1[[#This Row],[Order_Date]])</f>
        <v>12</v>
      </c>
    </row>
    <row r="47" spans="1:18" x14ac:dyDescent="0.3">
      <c r="A47" t="s">
        <v>128</v>
      </c>
      <c r="B47" t="s">
        <v>671</v>
      </c>
      <c r="C47" t="s">
        <v>38</v>
      </c>
      <c r="D47" t="s">
        <v>653</v>
      </c>
      <c r="E47" t="s">
        <v>57</v>
      </c>
      <c r="F47" t="s">
        <v>49</v>
      </c>
      <c r="G47">
        <v>46</v>
      </c>
      <c r="H47" s="6">
        <v>26.67</v>
      </c>
      <c r="I47">
        <v>1226.82</v>
      </c>
      <c r="J47">
        <v>83.55</v>
      </c>
      <c r="K47">
        <v>430.27</v>
      </c>
      <c r="L47" t="s">
        <v>17</v>
      </c>
      <c r="M47" t="s">
        <v>29</v>
      </c>
      <c r="N47" t="s">
        <v>25</v>
      </c>
      <c r="O47">
        <f>_xlfn.XLOOKUP(E47,[1]Products!$B$2:$B$11,[1]Products!$F$2:$F$11)</f>
        <v>15.5</v>
      </c>
      <c r="P47">
        <f t="shared" si="0"/>
        <v>713</v>
      </c>
      <c r="Q47" s="3">
        <f t="shared" si="1"/>
        <v>0.35071974698814823</v>
      </c>
      <c r="R47">
        <f>MONTH(Table1[[#This Row],[Order_Date]])</f>
        <v>2</v>
      </c>
    </row>
    <row r="48" spans="1:18" x14ac:dyDescent="0.3">
      <c r="A48" t="s">
        <v>129</v>
      </c>
      <c r="B48" t="s">
        <v>676</v>
      </c>
      <c r="C48" t="s">
        <v>87</v>
      </c>
      <c r="D48" t="s">
        <v>653</v>
      </c>
      <c r="E48" t="s">
        <v>79</v>
      </c>
      <c r="F48" t="s">
        <v>49</v>
      </c>
      <c r="G48">
        <v>12</v>
      </c>
      <c r="H48" s="6">
        <v>42.84</v>
      </c>
      <c r="I48">
        <v>514.08000000000004</v>
      </c>
      <c r="J48">
        <v>22.74</v>
      </c>
      <c r="K48">
        <v>155.34</v>
      </c>
      <c r="L48" t="s">
        <v>35</v>
      </c>
      <c r="M48" t="s">
        <v>18</v>
      </c>
      <c r="N48" t="s">
        <v>25</v>
      </c>
      <c r="O48">
        <f>_xlfn.XLOOKUP(E48,[1]Products!$B$2:$B$11,[1]Products!$F$2:$F$11)</f>
        <v>28</v>
      </c>
      <c r="P48">
        <f t="shared" si="0"/>
        <v>336</v>
      </c>
      <c r="Q48" s="3">
        <f t="shared" si="1"/>
        <v>0.30217086834733892</v>
      </c>
      <c r="R48">
        <f>MONTH(Table1[[#This Row],[Order_Date]])</f>
        <v>11</v>
      </c>
    </row>
    <row r="49" spans="1:18" x14ac:dyDescent="0.3">
      <c r="A49" t="s">
        <v>130</v>
      </c>
      <c r="B49" t="s">
        <v>673</v>
      </c>
      <c r="C49" t="s">
        <v>131</v>
      </c>
      <c r="D49" t="s">
        <v>66</v>
      </c>
      <c r="E49" t="s">
        <v>22</v>
      </c>
      <c r="F49" t="s">
        <v>16</v>
      </c>
      <c r="G49">
        <v>18</v>
      </c>
      <c r="H49" s="6">
        <v>30.89</v>
      </c>
      <c r="I49">
        <v>556.02</v>
      </c>
      <c r="J49">
        <v>12</v>
      </c>
      <c r="K49">
        <v>220.02</v>
      </c>
      <c r="L49" t="s">
        <v>23</v>
      </c>
      <c r="M49" t="s">
        <v>18</v>
      </c>
      <c r="N49" t="s">
        <v>55</v>
      </c>
      <c r="O49">
        <f>_xlfn.XLOOKUP(E49,[1]Products!$B$2:$B$11,[1]Products!$F$2:$F$11)</f>
        <v>18</v>
      </c>
      <c r="P49">
        <f t="shared" si="0"/>
        <v>324</v>
      </c>
      <c r="Q49" s="3">
        <f t="shared" si="1"/>
        <v>0.39570519046077485</v>
      </c>
      <c r="R49">
        <f>MONTH(Table1[[#This Row],[Order_Date]])</f>
        <v>7</v>
      </c>
    </row>
    <row r="50" spans="1:18" x14ac:dyDescent="0.3">
      <c r="A50" t="s">
        <v>132</v>
      </c>
      <c r="B50" t="s">
        <v>670</v>
      </c>
      <c r="C50" t="s">
        <v>133</v>
      </c>
      <c r="D50" t="s">
        <v>39</v>
      </c>
      <c r="E50" t="s">
        <v>15</v>
      </c>
      <c r="F50" t="s">
        <v>16</v>
      </c>
      <c r="G50">
        <v>21</v>
      </c>
      <c r="H50" s="6">
        <v>52.41</v>
      </c>
      <c r="I50">
        <v>1100.6099999999999</v>
      </c>
      <c r="J50">
        <v>81.099999999999994</v>
      </c>
      <c r="K50">
        <v>284.51</v>
      </c>
      <c r="L50" t="s">
        <v>35</v>
      </c>
      <c r="M50" t="s">
        <v>24</v>
      </c>
      <c r="N50" t="s">
        <v>19</v>
      </c>
      <c r="O50">
        <f>_xlfn.XLOOKUP(E50,[1]Products!$B$2:$B$11,[1]Products!$F$2:$F$11)</f>
        <v>35</v>
      </c>
      <c r="P50">
        <f t="shared" si="0"/>
        <v>735</v>
      </c>
      <c r="Q50" s="3">
        <f t="shared" si="1"/>
        <v>0.25850210337903529</v>
      </c>
      <c r="R50">
        <f>MONTH(Table1[[#This Row],[Order_Date]])</f>
        <v>12</v>
      </c>
    </row>
    <row r="51" spans="1:18" x14ac:dyDescent="0.3">
      <c r="A51" t="s">
        <v>134</v>
      </c>
      <c r="B51" t="s">
        <v>677</v>
      </c>
      <c r="C51" t="s">
        <v>135</v>
      </c>
      <c r="D51" t="s">
        <v>125</v>
      </c>
      <c r="E51" t="s">
        <v>79</v>
      </c>
      <c r="F51" t="s">
        <v>49</v>
      </c>
      <c r="G51">
        <v>17</v>
      </c>
      <c r="H51" s="6">
        <v>38.64</v>
      </c>
      <c r="I51">
        <v>656.88</v>
      </c>
      <c r="J51">
        <v>13.86</v>
      </c>
      <c r="K51">
        <v>167.02</v>
      </c>
      <c r="L51" t="s">
        <v>23</v>
      </c>
      <c r="M51" t="s">
        <v>18</v>
      </c>
      <c r="N51" t="s">
        <v>126</v>
      </c>
      <c r="O51">
        <f>_xlfn.XLOOKUP(E51,[1]Products!$B$2:$B$11,[1]Products!$F$2:$F$11)</f>
        <v>28</v>
      </c>
      <c r="P51">
        <f t="shared" si="0"/>
        <v>476</v>
      </c>
      <c r="Q51" s="3">
        <f t="shared" si="1"/>
        <v>0.25426257459505541</v>
      </c>
      <c r="R51">
        <f>MONTH(Table1[[#This Row],[Order_Date]])</f>
        <v>1</v>
      </c>
    </row>
    <row r="52" spans="1:18" x14ac:dyDescent="0.3">
      <c r="A52" t="s">
        <v>136</v>
      </c>
      <c r="B52" t="s">
        <v>669</v>
      </c>
      <c r="C52" t="s">
        <v>115</v>
      </c>
      <c r="D52" t="s">
        <v>73</v>
      </c>
      <c r="E52" t="s">
        <v>22</v>
      </c>
      <c r="F52" t="s">
        <v>16</v>
      </c>
      <c r="G52">
        <v>41</v>
      </c>
      <c r="H52" s="6">
        <v>25.79</v>
      </c>
      <c r="I52">
        <v>1057.3900000000001</v>
      </c>
      <c r="J52">
        <v>71.22</v>
      </c>
      <c r="K52">
        <v>248.17</v>
      </c>
      <c r="L52" t="s">
        <v>23</v>
      </c>
      <c r="M52" t="s">
        <v>24</v>
      </c>
      <c r="N52" t="s">
        <v>55</v>
      </c>
      <c r="O52">
        <f>_xlfn.XLOOKUP(E52,[1]Products!$B$2:$B$11,[1]Products!$F$2:$F$11)</f>
        <v>18</v>
      </c>
      <c r="P52">
        <f t="shared" si="0"/>
        <v>738</v>
      </c>
      <c r="Q52" s="3">
        <f t="shared" si="1"/>
        <v>0.23470053622599038</v>
      </c>
      <c r="R52">
        <f>MONTH(Table1[[#This Row],[Order_Date]])</f>
        <v>4</v>
      </c>
    </row>
    <row r="53" spans="1:18" x14ac:dyDescent="0.3">
      <c r="A53" t="s">
        <v>137</v>
      </c>
      <c r="B53" t="s">
        <v>673</v>
      </c>
      <c r="C53" t="s">
        <v>138</v>
      </c>
      <c r="D53" t="s">
        <v>73</v>
      </c>
      <c r="E53" t="s">
        <v>79</v>
      </c>
      <c r="F53" t="s">
        <v>49</v>
      </c>
      <c r="G53">
        <v>41</v>
      </c>
      <c r="H53" s="6">
        <v>41.13</v>
      </c>
      <c r="I53">
        <v>1686.33</v>
      </c>
      <c r="J53">
        <v>80.12</v>
      </c>
      <c r="K53">
        <v>458.21</v>
      </c>
      <c r="L53" t="s">
        <v>23</v>
      </c>
      <c r="M53" t="s">
        <v>29</v>
      </c>
      <c r="N53" t="s">
        <v>55</v>
      </c>
      <c r="O53">
        <f>_xlfn.XLOOKUP(E53,[1]Products!$B$2:$B$11,[1]Products!$F$2:$F$11)</f>
        <v>28</v>
      </c>
      <c r="P53">
        <f t="shared" si="0"/>
        <v>1148</v>
      </c>
      <c r="Q53" s="3">
        <f t="shared" si="1"/>
        <v>0.27172024455474314</v>
      </c>
      <c r="R53">
        <f>MONTH(Table1[[#This Row],[Order_Date]])</f>
        <v>7</v>
      </c>
    </row>
    <row r="54" spans="1:18" x14ac:dyDescent="0.3">
      <c r="A54" t="s">
        <v>139</v>
      </c>
      <c r="B54" t="s">
        <v>676</v>
      </c>
      <c r="C54" t="s">
        <v>64</v>
      </c>
      <c r="D54" t="s">
        <v>52</v>
      </c>
      <c r="E54" t="s">
        <v>40</v>
      </c>
      <c r="F54" t="s">
        <v>41</v>
      </c>
      <c r="G54">
        <v>33</v>
      </c>
      <c r="H54" s="6">
        <v>55.67</v>
      </c>
      <c r="I54">
        <v>1837.11</v>
      </c>
      <c r="J54">
        <v>144.32</v>
      </c>
      <c r="K54">
        <v>372.79</v>
      </c>
      <c r="L54" t="s">
        <v>17</v>
      </c>
      <c r="M54" t="s">
        <v>18</v>
      </c>
      <c r="N54" t="s">
        <v>55</v>
      </c>
      <c r="O54">
        <f>_xlfn.XLOOKUP(E54,[1]Products!$B$2:$B$11,[1]Products!$F$2:$F$11)</f>
        <v>40</v>
      </c>
      <c r="P54">
        <f t="shared" si="0"/>
        <v>1320</v>
      </c>
      <c r="Q54" s="3">
        <f t="shared" si="1"/>
        <v>0.2029219807197174</v>
      </c>
      <c r="R54">
        <f>MONTH(Table1[[#This Row],[Order_Date]])</f>
        <v>11</v>
      </c>
    </row>
    <row r="55" spans="1:18" x14ac:dyDescent="0.3">
      <c r="A55" t="s">
        <v>140</v>
      </c>
      <c r="B55" t="s">
        <v>676</v>
      </c>
      <c r="C55" t="s">
        <v>141</v>
      </c>
      <c r="D55" t="s">
        <v>73</v>
      </c>
      <c r="E55" t="s">
        <v>40</v>
      </c>
      <c r="F55" t="s">
        <v>41</v>
      </c>
      <c r="G55">
        <v>18</v>
      </c>
      <c r="H55" s="6">
        <v>50.87</v>
      </c>
      <c r="I55">
        <v>915.66</v>
      </c>
      <c r="J55">
        <v>49.93</v>
      </c>
      <c r="K55">
        <v>145.72999999999999</v>
      </c>
      <c r="L55" t="s">
        <v>17</v>
      </c>
      <c r="M55" t="s">
        <v>24</v>
      </c>
      <c r="N55" t="s">
        <v>55</v>
      </c>
      <c r="O55">
        <f>_xlfn.XLOOKUP(E55,[1]Products!$B$2:$B$11,[1]Products!$F$2:$F$11)</f>
        <v>40</v>
      </c>
      <c r="P55">
        <f t="shared" si="0"/>
        <v>720</v>
      </c>
      <c r="Q55" s="3">
        <f t="shared" si="1"/>
        <v>0.15915296070593887</v>
      </c>
      <c r="R55">
        <f>MONTH(Table1[[#This Row],[Order_Date]])</f>
        <v>11</v>
      </c>
    </row>
    <row r="56" spans="1:18" x14ac:dyDescent="0.3">
      <c r="A56" t="s">
        <v>142</v>
      </c>
      <c r="B56" t="s">
        <v>669</v>
      </c>
      <c r="C56" t="s">
        <v>143</v>
      </c>
      <c r="D56" t="s">
        <v>82</v>
      </c>
      <c r="E56" t="s">
        <v>57</v>
      </c>
      <c r="F56" t="s">
        <v>49</v>
      </c>
      <c r="G56">
        <v>14</v>
      </c>
      <c r="H56" s="6">
        <v>26.7</v>
      </c>
      <c r="I56">
        <v>373.8</v>
      </c>
      <c r="J56">
        <v>11.84</v>
      </c>
      <c r="K56">
        <v>144.96</v>
      </c>
      <c r="L56" t="s">
        <v>35</v>
      </c>
      <c r="M56" t="s">
        <v>18</v>
      </c>
      <c r="N56" t="s">
        <v>83</v>
      </c>
      <c r="O56">
        <f>_xlfn.XLOOKUP(E56,[1]Products!$B$2:$B$11,[1]Products!$F$2:$F$11)</f>
        <v>15.5</v>
      </c>
      <c r="P56">
        <f t="shared" si="0"/>
        <v>217</v>
      </c>
      <c r="Q56" s="3">
        <f t="shared" si="1"/>
        <v>0.38780096308186196</v>
      </c>
      <c r="R56">
        <f>MONTH(Table1[[#This Row],[Order_Date]])</f>
        <v>4</v>
      </c>
    </row>
    <row r="57" spans="1:18" x14ac:dyDescent="0.3">
      <c r="A57" t="s">
        <v>144</v>
      </c>
      <c r="B57" t="s">
        <v>667</v>
      </c>
      <c r="C57" t="s">
        <v>145</v>
      </c>
      <c r="D57" t="s">
        <v>652</v>
      </c>
      <c r="E57" t="s">
        <v>22</v>
      </c>
      <c r="F57" t="s">
        <v>16</v>
      </c>
      <c r="G57">
        <v>16</v>
      </c>
      <c r="H57" s="6">
        <v>28.96</v>
      </c>
      <c r="I57">
        <v>463.36</v>
      </c>
      <c r="J57">
        <v>35.65</v>
      </c>
      <c r="K57">
        <v>139.71</v>
      </c>
      <c r="L57" t="s">
        <v>17</v>
      </c>
      <c r="M57" t="s">
        <v>29</v>
      </c>
      <c r="N57" t="s">
        <v>19</v>
      </c>
      <c r="O57">
        <f>_xlfn.XLOOKUP(E57,[1]Products!$B$2:$B$11,[1]Products!$F$2:$F$11)</f>
        <v>18</v>
      </c>
      <c r="P57">
        <f t="shared" si="0"/>
        <v>288</v>
      </c>
      <c r="Q57" s="3">
        <f t="shared" si="1"/>
        <v>0.30151502071823205</v>
      </c>
      <c r="R57">
        <f>MONTH(Table1[[#This Row],[Order_Date]])</f>
        <v>9</v>
      </c>
    </row>
    <row r="58" spans="1:18" x14ac:dyDescent="0.3">
      <c r="A58" t="s">
        <v>146</v>
      </c>
      <c r="B58" t="s">
        <v>675</v>
      </c>
      <c r="C58" t="s">
        <v>64</v>
      </c>
      <c r="D58" t="s">
        <v>147</v>
      </c>
      <c r="E58" t="s">
        <v>22</v>
      </c>
      <c r="F58" t="s">
        <v>16</v>
      </c>
      <c r="G58">
        <v>47</v>
      </c>
      <c r="H58" s="6">
        <v>23.03</v>
      </c>
      <c r="I58">
        <v>1082.4100000000001</v>
      </c>
      <c r="J58">
        <v>50.12</v>
      </c>
      <c r="K58">
        <v>186.29</v>
      </c>
      <c r="L58" t="s">
        <v>35</v>
      </c>
      <c r="M58" t="s">
        <v>18</v>
      </c>
      <c r="N58" t="s">
        <v>25</v>
      </c>
      <c r="O58">
        <f>_xlfn.XLOOKUP(E58,[1]Products!$B$2:$B$11,[1]Products!$F$2:$F$11)</f>
        <v>18</v>
      </c>
      <c r="P58">
        <f t="shared" si="0"/>
        <v>846</v>
      </c>
      <c r="Q58" s="3">
        <f t="shared" si="1"/>
        <v>0.1721066878539555</v>
      </c>
      <c r="R58">
        <f>MONTH(Table1[[#This Row],[Order_Date]])</f>
        <v>5</v>
      </c>
    </row>
    <row r="59" spans="1:18" x14ac:dyDescent="0.3">
      <c r="A59" t="s">
        <v>148</v>
      </c>
      <c r="B59" t="s">
        <v>675</v>
      </c>
      <c r="C59" t="s">
        <v>145</v>
      </c>
      <c r="D59" t="s">
        <v>125</v>
      </c>
      <c r="E59" t="s">
        <v>15</v>
      </c>
      <c r="F59" t="s">
        <v>16</v>
      </c>
      <c r="G59">
        <v>18</v>
      </c>
      <c r="H59" s="6">
        <v>50.03</v>
      </c>
      <c r="I59">
        <v>900.54</v>
      </c>
      <c r="J59">
        <v>68.44</v>
      </c>
      <c r="K59">
        <v>202.1</v>
      </c>
      <c r="L59" t="s">
        <v>35</v>
      </c>
      <c r="M59" t="s">
        <v>18</v>
      </c>
      <c r="N59" t="s">
        <v>126</v>
      </c>
      <c r="O59">
        <f>_xlfn.XLOOKUP(E59,[1]Products!$B$2:$B$11,[1]Products!$F$2:$F$11)</f>
        <v>35</v>
      </c>
      <c r="P59">
        <f t="shared" si="0"/>
        <v>630</v>
      </c>
      <c r="Q59" s="3">
        <f t="shared" si="1"/>
        <v>0.22442090301374731</v>
      </c>
      <c r="R59">
        <f>MONTH(Table1[[#This Row],[Order_Date]])</f>
        <v>5</v>
      </c>
    </row>
    <row r="60" spans="1:18" x14ac:dyDescent="0.3">
      <c r="A60" t="s">
        <v>149</v>
      </c>
      <c r="B60" t="s">
        <v>673</v>
      </c>
      <c r="C60" t="s">
        <v>150</v>
      </c>
      <c r="D60" t="s">
        <v>653</v>
      </c>
      <c r="E60" t="s">
        <v>53</v>
      </c>
      <c r="F60" t="s">
        <v>54</v>
      </c>
      <c r="G60">
        <v>38</v>
      </c>
      <c r="H60" s="6">
        <v>32.07</v>
      </c>
      <c r="I60">
        <v>1218.6600000000001</v>
      </c>
      <c r="J60">
        <v>54.49</v>
      </c>
      <c r="K60">
        <v>214.17</v>
      </c>
      <c r="L60" t="s">
        <v>35</v>
      </c>
      <c r="M60" t="s">
        <v>29</v>
      </c>
      <c r="N60" t="s">
        <v>25</v>
      </c>
      <c r="O60">
        <f>_xlfn.XLOOKUP(E60,[1]Products!$B$2:$B$11,[1]Products!$F$2:$F$11)</f>
        <v>25</v>
      </c>
      <c r="P60">
        <f t="shared" si="0"/>
        <v>950</v>
      </c>
      <c r="Q60" s="3">
        <f t="shared" si="1"/>
        <v>0.17574220865540838</v>
      </c>
      <c r="R60">
        <f>MONTH(Table1[[#This Row],[Order_Date]])</f>
        <v>7</v>
      </c>
    </row>
    <row r="61" spans="1:18" x14ac:dyDescent="0.3">
      <c r="A61" t="s">
        <v>151</v>
      </c>
      <c r="B61" t="s">
        <v>669</v>
      </c>
      <c r="C61" t="s">
        <v>152</v>
      </c>
      <c r="D61" t="s">
        <v>32</v>
      </c>
      <c r="E61" t="s">
        <v>33</v>
      </c>
      <c r="F61" t="s">
        <v>34</v>
      </c>
      <c r="G61">
        <v>23</v>
      </c>
      <c r="H61" s="6">
        <v>50.96</v>
      </c>
      <c r="I61">
        <v>1172.08</v>
      </c>
      <c r="J61">
        <v>61</v>
      </c>
      <c r="K61">
        <v>375.08</v>
      </c>
      <c r="L61" t="s">
        <v>35</v>
      </c>
      <c r="M61" t="s">
        <v>24</v>
      </c>
      <c r="N61" t="s">
        <v>36</v>
      </c>
      <c r="O61">
        <f>_xlfn.XLOOKUP(E61,[1]Products!$B$2:$B$11,[1]Products!$F$2:$F$11)</f>
        <v>32</v>
      </c>
      <c r="P61">
        <f t="shared" si="0"/>
        <v>736</v>
      </c>
      <c r="Q61" s="3">
        <f t="shared" si="1"/>
        <v>0.32001228585079516</v>
      </c>
      <c r="R61">
        <f>MONTH(Table1[[#This Row],[Order_Date]])</f>
        <v>4</v>
      </c>
    </row>
    <row r="62" spans="1:18" x14ac:dyDescent="0.3">
      <c r="A62" t="s">
        <v>153</v>
      </c>
      <c r="B62" t="s">
        <v>674</v>
      </c>
      <c r="C62" t="s">
        <v>154</v>
      </c>
      <c r="D62" t="s">
        <v>73</v>
      </c>
      <c r="E62" t="s">
        <v>40</v>
      </c>
      <c r="F62" t="s">
        <v>41</v>
      </c>
      <c r="G62">
        <v>46</v>
      </c>
      <c r="H62" s="6">
        <v>70.599999999999994</v>
      </c>
      <c r="I62">
        <v>3247.6</v>
      </c>
      <c r="J62">
        <v>166.91</v>
      </c>
      <c r="K62">
        <v>1240.69</v>
      </c>
      <c r="L62" t="s">
        <v>35</v>
      </c>
      <c r="M62" t="s">
        <v>24</v>
      </c>
      <c r="N62" t="s">
        <v>55</v>
      </c>
      <c r="O62">
        <f>_xlfn.XLOOKUP(E62,[1]Products!$B$2:$B$11,[1]Products!$F$2:$F$11)</f>
        <v>40</v>
      </c>
      <c r="P62">
        <f t="shared" si="0"/>
        <v>1840</v>
      </c>
      <c r="Q62" s="3">
        <f t="shared" si="1"/>
        <v>0.3820328858233773</v>
      </c>
      <c r="R62">
        <f>MONTH(Table1[[#This Row],[Order_Date]])</f>
        <v>3</v>
      </c>
    </row>
    <row r="63" spans="1:18" x14ac:dyDescent="0.3">
      <c r="A63" t="s">
        <v>155</v>
      </c>
      <c r="B63" t="s">
        <v>668</v>
      </c>
      <c r="C63" t="s">
        <v>87</v>
      </c>
      <c r="D63" t="s">
        <v>73</v>
      </c>
      <c r="E63" t="s">
        <v>40</v>
      </c>
      <c r="F63" t="s">
        <v>41</v>
      </c>
      <c r="G63">
        <v>15</v>
      </c>
      <c r="H63" s="6">
        <v>53.36</v>
      </c>
      <c r="I63">
        <v>800.4</v>
      </c>
      <c r="J63">
        <v>56.29</v>
      </c>
      <c r="K63">
        <v>144.11000000000001</v>
      </c>
      <c r="L63" t="s">
        <v>17</v>
      </c>
      <c r="M63" t="s">
        <v>18</v>
      </c>
      <c r="N63" t="s">
        <v>55</v>
      </c>
      <c r="O63">
        <f>_xlfn.XLOOKUP(E63,[1]Products!$B$2:$B$11,[1]Products!$F$2:$F$11)</f>
        <v>40</v>
      </c>
      <c r="P63">
        <f t="shared" si="0"/>
        <v>600</v>
      </c>
      <c r="Q63" s="3">
        <f t="shared" si="1"/>
        <v>0.18004747626186909</v>
      </c>
      <c r="R63">
        <f>MONTH(Table1[[#This Row],[Order_Date]])</f>
        <v>8</v>
      </c>
    </row>
    <row r="64" spans="1:18" x14ac:dyDescent="0.3">
      <c r="A64" t="s">
        <v>156</v>
      </c>
      <c r="B64" t="s">
        <v>672</v>
      </c>
      <c r="C64" t="s">
        <v>157</v>
      </c>
      <c r="D64" t="s">
        <v>125</v>
      </c>
      <c r="E64" t="s">
        <v>33</v>
      </c>
      <c r="F64" t="s">
        <v>34</v>
      </c>
      <c r="G64">
        <v>42</v>
      </c>
      <c r="H64" s="6">
        <v>39.840000000000003</v>
      </c>
      <c r="I64">
        <v>1673.28</v>
      </c>
      <c r="J64">
        <v>132.74</v>
      </c>
      <c r="K64">
        <v>196.54</v>
      </c>
      <c r="L64" t="s">
        <v>17</v>
      </c>
      <c r="M64" t="s">
        <v>29</v>
      </c>
      <c r="N64" t="s">
        <v>126</v>
      </c>
      <c r="O64">
        <f>_xlfn.XLOOKUP(E64,[1]Products!$B$2:$B$11,[1]Products!$F$2:$F$11)</f>
        <v>32</v>
      </c>
      <c r="P64">
        <f t="shared" si="0"/>
        <v>1344</v>
      </c>
      <c r="Q64" s="3">
        <f t="shared" si="1"/>
        <v>0.11745792694587875</v>
      </c>
      <c r="R64">
        <f>MONTH(Table1[[#This Row],[Order_Date]])</f>
        <v>3</v>
      </c>
    </row>
    <row r="65" spans="1:18" x14ac:dyDescent="0.3">
      <c r="A65" t="s">
        <v>158</v>
      </c>
      <c r="B65" t="s">
        <v>669</v>
      </c>
      <c r="C65" t="s">
        <v>141</v>
      </c>
      <c r="D65" t="s">
        <v>73</v>
      </c>
      <c r="E65" t="s">
        <v>53</v>
      </c>
      <c r="F65" t="s">
        <v>54</v>
      </c>
      <c r="G65">
        <v>31</v>
      </c>
      <c r="H65" s="6">
        <v>38.26</v>
      </c>
      <c r="I65">
        <v>1186.06</v>
      </c>
      <c r="J65">
        <v>69.33</v>
      </c>
      <c r="K65">
        <v>341.73</v>
      </c>
      <c r="L65" t="s">
        <v>23</v>
      </c>
      <c r="M65" t="s">
        <v>18</v>
      </c>
      <c r="N65" t="s">
        <v>55</v>
      </c>
      <c r="O65">
        <f>_xlfn.XLOOKUP(E65,[1]Products!$B$2:$B$11,[1]Products!$F$2:$F$11)</f>
        <v>25</v>
      </c>
      <c r="P65">
        <f t="shared" si="0"/>
        <v>775</v>
      </c>
      <c r="Q65" s="3">
        <f t="shared" si="1"/>
        <v>0.28812201743588017</v>
      </c>
      <c r="R65">
        <f>MONTH(Table1[[#This Row],[Order_Date]])</f>
        <v>4</v>
      </c>
    </row>
    <row r="66" spans="1:18" x14ac:dyDescent="0.3">
      <c r="A66" t="s">
        <v>159</v>
      </c>
      <c r="B66" t="s">
        <v>664</v>
      </c>
      <c r="C66" t="s">
        <v>143</v>
      </c>
      <c r="D66" t="s">
        <v>102</v>
      </c>
      <c r="E66" t="s">
        <v>57</v>
      </c>
      <c r="F66" t="s">
        <v>49</v>
      </c>
      <c r="G66">
        <v>2</v>
      </c>
      <c r="H66" s="6">
        <v>23.09</v>
      </c>
      <c r="I66">
        <v>46.18</v>
      </c>
      <c r="J66">
        <v>2.52</v>
      </c>
      <c r="K66">
        <v>12.66</v>
      </c>
      <c r="L66" t="s">
        <v>23</v>
      </c>
      <c r="M66" t="s">
        <v>24</v>
      </c>
      <c r="N66" t="s">
        <v>25</v>
      </c>
      <c r="O66">
        <f>_xlfn.XLOOKUP(E66,[1]Products!$B$2:$B$11,[1]Products!$F$2:$F$11)</f>
        <v>15.5</v>
      </c>
      <c r="P66">
        <f t="shared" si="0"/>
        <v>31</v>
      </c>
      <c r="Q66" s="3">
        <f t="shared" si="1"/>
        <v>0.27414465136422694</v>
      </c>
      <c r="R66">
        <f>MONTH(Table1[[#This Row],[Order_Date]])</f>
        <v>10</v>
      </c>
    </row>
    <row r="67" spans="1:18" x14ac:dyDescent="0.3">
      <c r="A67" t="s">
        <v>160</v>
      </c>
      <c r="B67" t="s">
        <v>670</v>
      </c>
      <c r="C67" t="s">
        <v>47</v>
      </c>
      <c r="D67" t="s">
        <v>654</v>
      </c>
      <c r="E67" t="s">
        <v>33</v>
      </c>
      <c r="F67" t="s">
        <v>34</v>
      </c>
      <c r="G67">
        <v>40</v>
      </c>
      <c r="H67" s="6">
        <v>46.81</v>
      </c>
      <c r="I67">
        <v>1872.4</v>
      </c>
      <c r="J67">
        <v>43.01</v>
      </c>
      <c r="K67">
        <v>549.39</v>
      </c>
      <c r="L67" t="s">
        <v>17</v>
      </c>
      <c r="M67" t="s">
        <v>29</v>
      </c>
      <c r="N67" t="s">
        <v>55</v>
      </c>
      <c r="O67">
        <f>_xlfn.XLOOKUP(E67,[1]Products!$B$2:$B$11,[1]Products!$F$2:$F$11)</f>
        <v>32</v>
      </c>
      <c r="P67">
        <f t="shared" ref="P67:P130" si="2">G67*O67</f>
        <v>1280</v>
      </c>
      <c r="Q67" s="3">
        <f t="shared" ref="Q67:Q130" si="3">K67/I67</f>
        <v>0.29341486861781668</v>
      </c>
      <c r="R67">
        <f>MONTH(Table1[[#This Row],[Order_Date]])</f>
        <v>12</v>
      </c>
    </row>
    <row r="68" spans="1:18" x14ac:dyDescent="0.3">
      <c r="A68" t="s">
        <v>161</v>
      </c>
      <c r="B68" t="s">
        <v>674</v>
      </c>
      <c r="C68" t="s">
        <v>162</v>
      </c>
      <c r="D68" t="s">
        <v>52</v>
      </c>
      <c r="E68" t="s">
        <v>33</v>
      </c>
      <c r="F68" t="s">
        <v>34</v>
      </c>
      <c r="G68">
        <v>43</v>
      </c>
      <c r="H68" s="6">
        <v>57.01</v>
      </c>
      <c r="I68">
        <v>2451.4299999999998</v>
      </c>
      <c r="J68">
        <v>115.04</v>
      </c>
      <c r="K68">
        <v>960.39</v>
      </c>
      <c r="L68" t="s">
        <v>23</v>
      </c>
      <c r="M68" t="s">
        <v>18</v>
      </c>
      <c r="N68" t="s">
        <v>55</v>
      </c>
      <c r="O68">
        <f>_xlfn.XLOOKUP(E68,[1]Products!$B$2:$B$11,[1]Products!$F$2:$F$11)</f>
        <v>32</v>
      </c>
      <c r="P68">
        <f t="shared" si="2"/>
        <v>1376</v>
      </c>
      <c r="Q68" s="3">
        <f t="shared" si="3"/>
        <v>0.39176725421488684</v>
      </c>
      <c r="R68">
        <f>MONTH(Table1[[#This Row],[Order_Date]])</f>
        <v>3</v>
      </c>
    </row>
    <row r="69" spans="1:18" x14ac:dyDescent="0.3">
      <c r="A69" t="s">
        <v>163</v>
      </c>
      <c r="B69" t="s">
        <v>672</v>
      </c>
      <c r="C69" t="s">
        <v>164</v>
      </c>
      <c r="D69" t="s">
        <v>44</v>
      </c>
      <c r="E69" t="s">
        <v>60</v>
      </c>
      <c r="F69" t="s">
        <v>34</v>
      </c>
      <c r="G69">
        <v>15</v>
      </c>
      <c r="H69" s="6">
        <v>22.23</v>
      </c>
      <c r="I69">
        <v>333.45</v>
      </c>
      <c r="J69">
        <v>16.89</v>
      </c>
      <c r="K69">
        <v>125.31</v>
      </c>
      <c r="L69" t="s">
        <v>35</v>
      </c>
      <c r="M69" t="s">
        <v>24</v>
      </c>
      <c r="N69" t="s">
        <v>19</v>
      </c>
      <c r="O69">
        <f>_xlfn.XLOOKUP(E69,[1]Products!$B$2:$B$11,[1]Products!$F$2:$F$11)</f>
        <v>12.75</v>
      </c>
      <c r="P69">
        <f t="shared" si="2"/>
        <v>191.25</v>
      </c>
      <c r="Q69" s="3">
        <f t="shared" si="3"/>
        <v>0.37579847053531268</v>
      </c>
      <c r="R69">
        <f>MONTH(Table1[[#This Row],[Order_Date]])</f>
        <v>3</v>
      </c>
    </row>
    <row r="70" spans="1:18" x14ac:dyDescent="0.3">
      <c r="A70" t="s">
        <v>165</v>
      </c>
      <c r="B70" t="s">
        <v>668</v>
      </c>
      <c r="C70" t="s">
        <v>166</v>
      </c>
      <c r="D70" t="s">
        <v>102</v>
      </c>
      <c r="E70" t="s">
        <v>57</v>
      </c>
      <c r="F70" t="s">
        <v>49</v>
      </c>
      <c r="G70">
        <v>15</v>
      </c>
      <c r="H70" s="6">
        <v>19.23</v>
      </c>
      <c r="I70">
        <v>288.45</v>
      </c>
      <c r="J70">
        <v>20.22</v>
      </c>
      <c r="K70">
        <v>35.729999999999997</v>
      </c>
      <c r="L70" t="s">
        <v>17</v>
      </c>
      <c r="M70" t="s">
        <v>18</v>
      </c>
      <c r="N70" t="s">
        <v>25</v>
      </c>
      <c r="O70">
        <f>_xlfn.XLOOKUP(E70,[1]Products!$B$2:$B$11,[1]Products!$F$2:$F$11)</f>
        <v>15.5</v>
      </c>
      <c r="P70">
        <f t="shared" si="2"/>
        <v>232.5</v>
      </c>
      <c r="Q70" s="3">
        <f t="shared" si="3"/>
        <v>0.12386895475819032</v>
      </c>
      <c r="R70">
        <f>MONTH(Table1[[#This Row],[Order_Date]])</f>
        <v>8</v>
      </c>
    </row>
    <row r="71" spans="1:18" x14ac:dyDescent="0.3">
      <c r="A71" t="s">
        <v>167</v>
      </c>
      <c r="B71" t="s">
        <v>665</v>
      </c>
      <c r="C71" t="s">
        <v>89</v>
      </c>
      <c r="D71" t="s">
        <v>28</v>
      </c>
      <c r="E71" t="s">
        <v>79</v>
      </c>
      <c r="F71" t="s">
        <v>49</v>
      </c>
      <c r="G71">
        <v>34</v>
      </c>
      <c r="H71" s="6">
        <v>45.54</v>
      </c>
      <c r="I71">
        <v>1548.36</v>
      </c>
      <c r="J71">
        <v>36.76</v>
      </c>
      <c r="K71">
        <v>559.6</v>
      </c>
      <c r="L71" t="s">
        <v>17</v>
      </c>
      <c r="M71" t="s">
        <v>18</v>
      </c>
      <c r="N71" t="s">
        <v>25</v>
      </c>
      <c r="O71">
        <f>_xlfn.XLOOKUP(E71,[1]Products!$B$2:$B$11,[1]Products!$F$2:$F$11)</f>
        <v>28</v>
      </c>
      <c r="P71">
        <f t="shared" si="2"/>
        <v>952</v>
      </c>
      <c r="Q71" s="3">
        <f t="shared" si="3"/>
        <v>0.36141465808984996</v>
      </c>
      <c r="R71">
        <f>MONTH(Table1[[#This Row],[Order_Date]])</f>
        <v>6</v>
      </c>
    </row>
    <row r="72" spans="1:18" x14ac:dyDescent="0.3">
      <c r="A72" t="s">
        <v>168</v>
      </c>
      <c r="B72" t="s">
        <v>668</v>
      </c>
      <c r="C72" t="s">
        <v>169</v>
      </c>
      <c r="D72" t="s">
        <v>102</v>
      </c>
      <c r="E72" t="s">
        <v>40</v>
      </c>
      <c r="F72" t="s">
        <v>41</v>
      </c>
      <c r="G72">
        <v>33</v>
      </c>
      <c r="H72" s="6">
        <v>63.88</v>
      </c>
      <c r="I72">
        <v>2108.04</v>
      </c>
      <c r="J72">
        <v>111.7</v>
      </c>
      <c r="K72">
        <v>676.34</v>
      </c>
      <c r="L72" t="s">
        <v>17</v>
      </c>
      <c r="M72" t="s">
        <v>29</v>
      </c>
      <c r="N72" t="s">
        <v>25</v>
      </c>
      <c r="O72">
        <f>_xlfn.XLOOKUP(E72,[1]Products!$B$2:$B$11,[1]Products!$F$2:$F$11)</f>
        <v>40</v>
      </c>
      <c r="P72">
        <f t="shared" si="2"/>
        <v>1320</v>
      </c>
      <c r="Q72" s="3">
        <f t="shared" si="3"/>
        <v>0.32083831426348647</v>
      </c>
      <c r="R72">
        <f>MONTH(Table1[[#This Row],[Order_Date]])</f>
        <v>8</v>
      </c>
    </row>
    <row r="73" spans="1:18" x14ac:dyDescent="0.3">
      <c r="A73" t="s">
        <v>170</v>
      </c>
      <c r="B73" t="s">
        <v>665</v>
      </c>
      <c r="C73" t="s">
        <v>87</v>
      </c>
      <c r="D73" t="s">
        <v>147</v>
      </c>
      <c r="E73" t="s">
        <v>22</v>
      </c>
      <c r="F73" t="s">
        <v>16</v>
      </c>
      <c r="G73">
        <v>39</v>
      </c>
      <c r="H73" s="6">
        <v>25.38</v>
      </c>
      <c r="I73">
        <v>989.82</v>
      </c>
      <c r="J73">
        <v>50.82</v>
      </c>
      <c r="K73">
        <v>237</v>
      </c>
      <c r="L73" t="s">
        <v>23</v>
      </c>
      <c r="M73" t="s">
        <v>24</v>
      </c>
      <c r="N73" t="s">
        <v>25</v>
      </c>
      <c r="O73">
        <f>_xlfn.XLOOKUP(E73,[1]Products!$B$2:$B$11,[1]Products!$F$2:$F$11)</f>
        <v>18</v>
      </c>
      <c r="P73">
        <f t="shared" si="2"/>
        <v>702</v>
      </c>
      <c r="Q73" s="3">
        <f t="shared" si="3"/>
        <v>0.23943747348002667</v>
      </c>
      <c r="R73">
        <f>MONTH(Table1[[#This Row],[Order_Date]])</f>
        <v>6</v>
      </c>
    </row>
    <row r="74" spans="1:18" x14ac:dyDescent="0.3">
      <c r="A74" t="s">
        <v>171</v>
      </c>
      <c r="B74" t="s">
        <v>665</v>
      </c>
      <c r="C74" t="s">
        <v>172</v>
      </c>
      <c r="D74" t="s">
        <v>173</v>
      </c>
      <c r="E74" t="s">
        <v>53</v>
      </c>
      <c r="F74" t="s">
        <v>54</v>
      </c>
      <c r="G74">
        <v>9</v>
      </c>
      <c r="H74" s="6">
        <v>38.979999999999997</v>
      </c>
      <c r="I74">
        <v>350.82</v>
      </c>
      <c r="J74">
        <v>25.56</v>
      </c>
      <c r="K74">
        <v>100.26</v>
      </c>
      <c r="L74" t="s">
        <v>17</v>
      </c>
      <c r="M74" t="s">
        <v>18</v>
      </c>
      <c r="N74" t="s">
        <v>55</v>
      </c>
      <c r="O74">
        <f>_xlfn.XLOOKUP(E74,[1]Products!$B$2:$B$11,[1]Products!$F$2:$F$11)</f>
        <v>25</v>
      </c>
      <c r="P74">
        <f t="shared" si="2"/>
        <v>225</v>
      </c>
      <c r="Q74" s="3">
        <f t="shared" si="3"/>
        <v>0.28578758337609034</v>
      </c>
      <c r="R74">
        <f>MONTH(Table1[[#This Row],[Order_Date]])</f>
        <v>6</v>
      </c>
    </row>
    <row r="75" spans="1:18" x14ac:dyDescent="0.3">
      <c r="A75" t="s">
        <v>174</v>
      </c>
      <c r="B75" t="s">
        <v>664</v>
      </c>
      <c r="C75" t="s">
        <v>175</v>
      </c>
      <c r="D75" t="s">
        <v>82</v>
      </c>
      <c r="E75" t="s">
        <v>45</v>
      </c>
      <c r="F75" t="s">
        <v>34</v>
      </c>
      <c r="G75">
        <v>14</v>
      </c>
      <c r="H75" s="6">
        <v>35.86</v>
      </c>
      <c r="I75">
        <v>502.04</v>
      </c>
      <c r="J75">
        <v>40.130000000000003</v>
      </c>
      <c r="K75">
        <v>181.91</v>
      </c>
      <c r="L75" t="s">
        <v>35</v>
      </c>
      <c r="M75" t="s">
        <v>29</v>
      </c>
      <c r="N75" t="s">
        <v>83</v>
      </c>
      <c r="O75">
        <f>_xlfn.XLOOKUP(E75,[1]Products!$B$2:$B$11,[1]Products!$F$2:$F$11)</f>
        <v>20</v>
      </c>
      <c r="P75">
        <f t="shared" si="2"/>
        <v>280</v>
      </c>
      <c r="Q75" s="3">
        <f t="shared" si="3"/>
        <v>0.36234164608397734</v>
      </c>
      <c r="R75">
        <f>MONTH(Table1[[#This Row],[Order_Date]])</f>
        <v>10</v>
      </c>
    </row>
    <row r="76" spans="1:18" x14ac:dyDescent="0.3">
      <c r="A76" t="s">
        <v>176</v>
      </c>
      <c r="B76" t="s">
        <v>677</v>
      </c>
      <c r="C76" t="s">
        <v>177</v>
      </c>
      <c r="D76" t="s">
        <v>73</v>
      </c>
      <c r="E76" t="s">
        <v>57</v>
      </c>
      <c r="F76" t="s">
        <v>49</v>
      </c>
      <c r="G76">
        <v>49</v>
      </c>
      <c r="H76" s="6">
        <v>21.37</v>
      </c>
      <c r="I76">
        <v>1047.1300000000001</v>
      </c>
      <c r="J76">
        <v>65.98</v>
      </c>
      <c r="K76">
        <v>221.65</v>
      </c>
      <c r="L76" t="s">
        <v>35</v>
      </c>
      <c r="M76" t="s">
        <v>29</v>
      </c>
      <c r="N76" t="s">
        <v>55</v>
      </c>
      <c r="O76">
        <f>_xlfn.XLOOKUP(E76,[1]Products!$B$2:$B$11,[1]Products!$F$2:$F$11)</f>
        <v>15.5</v>
      </c>
      <c r="P76">
        <f t="shared" si="2"/>
        <v>759.5</v>
      </c>
      <c r="Q76" s="3">
        <f t="shared" si="3"/>
        <v>0.21167381318460934</v>
      </c>
      <c r="R76">
        <f>MONTH(Table1[[#This Row],[Order_Date]])</f>
        <v>1</v>
      </c>
    </row>
    <row r="77" spans="1:18" x14ac:dyDescent="0.3">
      <c r="A77" t="s">
        <v>178</v>
      </c>
      <c r="B77" t="s">
        <v>674</v>
      </c>
      <c r="C77" t="s">
        <v>179</v>
      </c>
      <c r="D77" t="s">
        <v>44</v>
      </c>
      <c r="E77" t="s">
        <v>22</v>
      </c>
      <c r="F77" t="s">
        <v>16</v>
      </c>
      <c r="G77">
        <v>42</v>
      </c>
      <c r="H77" s="6">
        <v>24.57</v>
      </c>
      <c r="I77">
        <v>1031.94</v>
      </c>
      <c r="J77">
        <v>56.45</v>
      </c>
      <c r="K77">
        <v>219.49</v>
      </c>
      <c r="L77" t="s">
        <v>23</v>
      </c>
      <c r="M77" t="s">
        <v>18</v>
      </c>
      <c r="N77" t="s">
        <v>19</v>
      </c>
      <c r="O77">
        <f>_xlfn.XLOOKUP(E77,[1]Products!$B$2:$B$11,[1]Products!$F$2:$F$11)</f>
        <v>18</v>
      </c>
      <c r="P77">
        <f t="shared" si="2"/>
        <v>756</v>
      </c>
      <c r="Q77" s="3">
        <f t="shared" si="3"/>
        <v>0.2126964746012365</v>
      </c>
      <c r="R77">
        <f>MONTH(Table1[[#This Row],[Order_Date]])</f>
        <v>3</v>
      </c>
    </row>
    <row r="78" spans="1:18" x14ac:dyDescent="0.3">
      <c r="A78" t="s">
        <v>180</v>
      </c>
      <c r="B78" t="s">
        <v>676</v>
      </c>
      <c r="C78" t="s">
        <v>179</v>
      </c>
      <c r="D78" t="s">
        <v>66</v>
      </c>
      <c r="E78" t="s">
        <v>22</v>
      </c>
      <c r="F78" t="s">
        <v>16</v>
      </c>
      <c r="G78">
        <v>42</v>
      </c>
      <c r="H78" s="6">
        <v>26.39</v>
      </c>
      <c r="I78">
        <v>1108.3800000000001</v>
      </c>
      <c r="J78">
        <v>44.56</v>
      </c>
      <c r="K78">
        <v>307.82</v>
      </c>
      <c r="L78" t="s">
        <v>23</v>
      </c>
      <c r="M78" t="s">
        <v>18</v>
      </c>
      <c r="N78" t="s">
        <v>55</v>
      </c>
      <c r="O78">
        <f>_xlfn.XLOOKUP(E78,[1]Products!$B$2:$B$11,[1]Products!$F$2:$F$11)</f>
        <v>18</v>
      </c>
      <c r="P78">
        <f t="shared" si="2"/>
        <v>756</v>
      </c>
      <c r="Q78" s="3">
        <f t="shared" si="3"/>
        <v>0.27772063732654861</v>
      </c>
      <c r="R78">
        <f>MONTH(Table1[[#This Row],[Order_Date]])</f>
        <v>11</v>
      </c>
    </row>
    <row r="79" spans="1:18" x14ac:dyDescent="0.3">
      <c r="A79" t="s">
        <v>181</v>
      </c>
      <c r="B79" t="s">
        <v>676</v>
      </c>
      <c r="C79" t="s">
        <v>177</v>
      </c>
      <c r="D79" t="s">
        <v>39</v>
      </c>
      <c r="E79" t="s">
        <v>45</v>
      </c>
      <c r="F79" t="s">
        <v>34</v>
      </c>
      <c r="G79">
        <v>50</v>
      </c>
      <c r="H79" s="6">
        <v>29.73</v>
      </c>
      <c r="I79">
        <v>1486.5</v>
      </c>
      <c r="J79">
        <v>96.77</v>
      </c>
      <c r="K79">
        <v>389.73</v>
      </c>
      <c r="L79" t="s">
        <v>35</v>
      </c>
      <c r="M79" t="s">
        <v>18</v>
      </c>
      <c r="N79" t="s">
        <v>19</v>
      </c>
      <c r="O79">
        <f>_xlfn.XLOOKUP(E79,[1]Products!$B$2:$B$11,[1]Products!$F$2:$F$11)</f>
        <v>20</v>
      </c>
      <c r="P79">
        <f t="shared" si="2"/>
        <v>1000</v>
      </c>
      <c r="Q79" s="3">
        <f t="shared" si="3"/>
        <v>0.26217961654894045</v>
      </c>
      <c r="R79">
        <f>MONTH(Table1[[#This Row],[Order_Date]])</f>
        <v>11</v>
      </c>
    </row>
    <row r="80" spans="1:18" x14ac:dyDescent="0.3">
      <c r="A80" t="s">
        <v>182</v>
      </c>
      <c r="B80" t="s">
        <v>674</v>
      </c>
      <c r="C80" t="s">
        <v>175</v>
      </c>
      <c r="D80" t="s">
        <v>52</v>
      </c>
      <c r="E80" t="s">
        <v>57</v>
      </c>
      <c r="F80" t="s">
        <v>49</v>
      </c>
      <c r="G80">
        <v>39</v>
      </c>
      <c r="H80" s="6">
        <v>20.56</v>
      </c>
      <c r="I80">
        <v>801.84</v>
      </c>
      <c r="J80">
        <v>43.55</v>
      </c>
      <c r="K80">
        <v>153.79</v>
      </c>
      <c r="L80" t="s">
        <v>17</v>
      </c>
      <c r="M80" t="s">
        <v>18</v>
      </c>
      <c r="N80" t="s">
        <v>55</v>
      </c>
      <c r="O80">
        <f>_xlfn.XLOOKUP(E80,[1]Products!$B$2:$B$11,[1]Products!$F$2:$F$11)</f>
        <v>15.5</v>
      </c>
      <c r="P80">
        <f t="shared" si="2"/>
        <v>604.5</v>
      </c>
      <c r="Q80" s="3">
        <f t="shared" si="3"/>
        <v>0.19179636835278857</v>
      </c>
      <c r="R80">
        <f>MONTH(Table1[[#This Row],[Order_Date]])</f>
        <v>3</v>
      </c>
    </row>
    <row r="81" spans="1:18" x14ac:dyDescent="0.3">
      <c r="A81" t="s">
        <v>183</v>
      </c>
      <c r="B81" t="s">
        <v>677</v>
      </c>
      <c r="C81" t="s">
        <v>21</v>
      </c>
      <c r="D81" t="s">
        <v>52</v>
      </c>
      <c r="E81" t="s">
        <v>57</v>
      </c>
      <c r="F81" t="s">
        <v>49</v>
      </c>
      <c r="G81">
        <v>48</v>
      </c>
      <c r="H81" s="6">
        <v>24.36</v>
      </c>
      <c r="I81">
        <v>1169.28</v>
      </c>
      <c r="J81">
        <v>81.599999999999994</v>
      </c>
      <c r="K81">
        <v>343.68</v>
      </c>
      <c r="L81" t="s">
        <v>35</v>
      </c>
      <c r="M81" t="s">
        <v>29</v>
      </c>
      <c r="N81" t="s">
        <v>55</v>
      </c>
      <c r="O81">
        <f>_xlfn.XLOOKUP(E81,[1]Products!$B$2:$B$11,[1]Products!$F$2:$F$11)</f>
        <v>15.5</v>
      </c>
      <c r="P81">
        <f t="shared" si="2"/>
        <v>744</v>
      </c>
      <c r="Q81" s="3">
        <f t="shared" si="3"/>
        <v>0.29392446633825947</v>
      </c>
      <c r="R81">
        <f>MONTH(Table1[[#This Row],[Order_Date]])</f>
        <v>1</v>
      </c>
    </row>
    <row r="82" spans="1:18" x14ac:dyDescent="0.3">
      <c r="A82" t="s">
        <v>184</v>
      </c>
      <c r="B82" t="s">
        <v>667</v>
      </c>
      <c r="C82" t="s">
        <v>185</v>
      </c>
      <c r="D82" t="s">
        <v>147</v>
      </c>
      <c r="E82" t="s">
        <v>48</v>
      </c>
      <c r="F82" t="s">
        <v>49</v>
      </c>
      <c r="G82">
        <v>40</v>
      </c>
      <c r="H82" s="6">
        <v>27.95</v>
      </c>
      <c r="I82">
        <v>1118</v>
      </c>
      <c r="J82">
        <v>37.590000000000003</v>
      </c>
      <c r="K82">
        <v>180.41</v>
      </c>
      <c r="L82" t="s">
        <v>35</v>
      </c>
      <c r="M82" t="s">
        <v>29</v>
      </c>
      <c r="N82" t="s">
        <v>25</v>
      </c>
      <c r="O82">
        <f>_xlfn.XLOOKUP(E82,[1]Products!$B$2:$B$11,[1]Products!$F$2:$F$11)</f>
        <v>22.5</v>
      </c>
      <c r="P82">
        <f t="shared" si="2"/>
        <v>900</v>
      </c>
      <c r="Q82" s="3">
        <f t="shared" si="3"/>
        <v>0.16136851520572451</v>
      </c>
      <c r="R82">
        <f>MONTH(Table1[[#This Row],[Order_Date]])</f>
        <v>9</v>
      </c>
    </row>
    <row r="83" spans="1:18" x14ac:dyDescent="0.3">
      <c r="A83" t="s">
        <v>186</v>
      </c>
      <c r="B83" t="s">
        <v>662</v>
      </c>
      <c r="C83" t="s">
        <v>115</v>
      </c>
      <c r="D83" t="s">
        <v>173</v>
      </c>
      <c r="E83" t="s">
        <v>79</v>
      </c>
      <c r="F83" t="s">
        <v>49</v>
      </c>
      <c r="G83">
        <v>21</v>
      </c>
      <c r="H83" s="6">
        <v>40.19</v>
      </c>
      <c r="I83">
        <v>843.99</v>
      </c>
      <c r="J83">
        <v>32.4</v>
      </c>
      <c r="K83">
        <v>223.59</v>
      </c>
      <c r="L83" t="s">
        <v>23</v>
      </c>
      <c r="M83" t="s">
        <v>24</v>
      </c>
      <c r="N83" t="s">
        <v>55</v>
      </c>
      <c r="O83">
        <f>_xlfn.XLOOKUP(E83,[1]Products!$B$2:$B$11,[1]Products!$F$2:$F$11)</f>
        <v>28</v>
      </c>
      <c r="P83">
        <f t="shared" si="2"/>
        <v>588</v>
      </c>
      <c r="Q83" s="3">
        <f t="shared" si="3"/>
        <v>0.26492020047630899</v>
      </c>
      <c r="R83">
        <f>MONTH(Table1[[#This Row],[Order_Date]])</f>
        <v>2</v>
      </c>
    </row>
    <row r="84" spans="1:18" x14ac:dyDescent="0.3">
      <c r="A84" t="s">
        <v>187</v>
      </c>
      <c r="B84" t="s">
        <v>665</v>
      </c>
      <c r="C84" t="s">
        <v>85</v>
      </c>
      <c r="D84" t="s">
        <v>66</v>
      </c>
      <c r="E84" t="s">
        <v>60</v>
      </c>
      <c r="F84" t="s">
        <v>34</v>
      </c>
      <c r="G84">
        <v>26</v>
      </c>
      <c r="H84" s="6">
        <v>16.670000000000002</v>
      </c>
      <c r="I84">
        <v>433.42</v>
      </c>
      <c r="J84">
        <v>32.79</v>
      </c>
      <c r="K84">
        <v>69.13</v>
      </c>
      <c r="L84" t="s">
        <v>35</v>
      </c>
      <c r="M84" t="s">
        <v>24</v>
      </c>
      <c r="N84" t="s">
        <v>55</v>
      </c>
      <c r="O84">
        <f>_xlfn.XLOOKUP(E84,[1]Products!$B$2:$B$11,[1]Products!$F$2:$F$11)</f>
        <v>12.75</v>
      </c>
      <c r="P84">
        <f t="shared" si="2"/>
        <v>331.5</v>
      </c>
      <c r="Q84" s="3">
        <f t="shared" si="3"/>
        <v>0.15949886945687783</v>
      </c>
      <c r="R84">
        <f>MONTH(Table1[[#This Row],[Order_Date]])</f>
        <v>6</v>
      </c>
    </row>
    <row r="85" spans="1:18" x14ac:dyDescent="0.3">
      <c r="A85" t="s">
        <v>188</v>
      </c>
      <c r="B85" t="s">
        <v>676</v>
      </c>
      <c r="C85" t="s">
        <v>189</v>
      </c>
      <c r="D85" t="s">
        <v>32</v>
      </c>
      <c r="E85" t="s">
        <v>33</v>
      </c>
      <c r="F85" t="s">
        <v>34</v>
      </c>
      <c r="G85">
        <v>28</v>
      </c>
      <c r="H85" s="6">
        <v>39.85</v>
      </c>
      <c r="I85">
        <v>1115.8</v>
      </c>
      <c r="J85">
        <v>43.87</v>
      </c>
      <c r="K85">
        <v>175.93</v>
      </c>
      <c r="L85" t="s">
        <v>35</v>
      </c>
      <c r="M85" t="s">
        <v>18</v>
      </c>
      <c r="N85" t="s">
        <v>36</v>
      </c>
      <c r="O85">
        <f>_xlfn.XLOOKUP(E85,[1]Products!$B$2:$B$11,[1]Products!$F$2:$F$11)</f>
        <v>32</v>
      </c>
      <c r="P85">
        <f t="shared" si="2"/>
        <v>896</v>
      </c>
      <c r="Q85" s="3">
        <f t="shared" si="3"/>
        <v>0.15767162573937982</v>
      </c>
      <c r="R85">
        <f>MONTH(Table1[[#This Row],[Order_Date]])</f>
        <v>11</v>
      </c>
    </row>
    <row r="86" spans="1:18" x14ac:dyDescent="0.3">
      <c r="A86" t="s">
        <v>190</v>
      </c>
      <c r="B86" t="s">
        <v>676</v>
      </c>
      <c r="C86" t="s">
        <v>189</v>
      </c>
      <c r="D86" t="s">
        <v>44</v>
      </c>
      <c r="E86" t="s">
        <v>60</v>
      </c>
      <c r="F86" t="s">
        <v>34</v>
      </c>
      <c r="G86">
        <v>47</v>
      </c>
      <c r="H86" s="6">
        <v>15.97</v>
      </c>
      <c r="I86">
        <v>750.59</v>
      </c>
      <c r="J86">
        <v>48.55</v>
      </c>
      <c r="K86">
        <v>102.79</v>
      </c>
      <c r="L86" t="s">
        <v>35</v>
      </c>
      <c r="M86" t="s">
        <v>29</v>
      </c>
      <c r="N86" t="s">
        <v>19</v>
      </c>
      <c r="O86">
        <f>_xlfn.XLOOKUP(E86,[1]Products!$B$2:$B$11,[1]Products!$F$2:$F$11)</f>
        <v>12.75</v>
      </c>
      <c r="P86">
        <f t="shared" si="2"/>
        <v>599.25</v>
      </c>
      <c r="Q86" s="3">
        <f t="shared" si="3"/>
        <v>0.13694560279246992</v>
      </c>
      <c r="R86">
        <f>MONTH(Table1[[#This Row],[Order_Date]])</f>
        <v>11</v>
      </c>
    </row>
    <row r="87" spans="1:18" x14ac:dyDescent="0.3">
      <c r="A87" t="s">
        <v>191</v>
      </c>
      <c r="B87" t="s">
        <v>676</v>
      </c>
      <c r="C87" t="s">
        <v>131</v>
      </c>
      <c r="D87" t="s">
        <v>52</v>
      </c>
      <c r="E87" t="s">
        <v>40</v>
      </c>
      <c r="F87" t="s">
        <v>41</v>
      </c>
      <c r="G87">
        <v>28</v>
      </c>
      <c r="H87" s="6">
        <v>53.6</v>
      </c>
      <c r="I87">
        <v>1500.8</v>
      </c>
      <c r="J87">
        <v>68.55</v>
      </c>
      <c r="K87">
        <v>312.25</v>
      </c>
      <c r="L87" t="s">
        <v>23</v>
      </c>
      <c r="M87" t="s">
        <v>24</v>
      </c>
      <c r="N87" t="s">
        <v>55</v>
      </c>
      <c r="O87">
        <f>_xlfn.XLOOKUP(E87,[1]Products!$B$2:$B$11,[1]Products!$F$2:$F$11)</f>
        <v>40</v>
      </c>
      <c r="P87">
        <f t="shared" si="2"/>
        <v>1120</v>
      </c>
      <c r="Q87" s="3">
        <f t="shared" si="3"/>
        <v>0.20805570362473347</v>
      </c>
      <c r="R87">
        <f>MONTH(Table1[[#This Row],[Order_Date]])</f>
        <v>11</v>
      </c>
    </row>
    <row r="88" spans="1:18" x14ac:dyDescent="0.3">
      <c r="A88" t="s">
        <v>192</v>
      </c>
      <c r="B88" t="s">
        <v>670</v>
      </c>
      <c r="C88" t="s">
        <v>104</v>
      </c>
      <c r="D88" t="s">
        <v>173</v>
      </c>
      <c r="E88" t="s">
        <v>79</v>
      </c>
      <c r="F88" t="s">
        <v>49</v>
      </c>
      <c r="G88">
        <v>37</v>
      </c>
      <c r="H88" s="6">
        <v>40.049999999999997</v>
      </c>
      <c r="I88">
        <v>1481.85</v>
      </c>
      <c r="J88">
        <v>45.6</v>
      </c>
      <c r="K88">
        <v>400.25</v>
      </c>
      <c r="L88" t="s">
        <v>17</v>
      </c>
      <c r="M88" t="s">
        <v>29</v>
      </c>
      <c r="N88" t="s">
        <v>55</v>
      </c>
      <c r="O88">
        <f>_xlfn.XLOOKUP(E88,[1]Products!$B$2:$B$11,[1]Products!$F$2:$F$11)</f>
        <v>28</v>
      </c>
      <c r="P88">
        <f t="shared" si="2"/>
        <v>1036</v>
      </c>
      <c r="Q88" s="3">
        <f t="shared" si="3"/>
        <v>0.2701015622363937</v>
      </c>
      <c r="R88">
        <f>MONTH(Table1[[#This Row],[Order_Date]])</f>
        <v>12</v>
      </c>
    </row>
    <row r="89" spans="1:18" x14ac:dyDescent="0.3">
      <c r="A89" t="s">
        <v>193</v>
      </c>
      <c r="B89" t="s">
        <v>662</v>
      </c>
      <c r="C89" t="s">
        <v>135</v>
      </c>
      <c r="D89" t="s">
        <v>28</v>
      </c>
      <c r="E89" t="s">
        <v>15</v>
      </c>
      <c r="F89" t="s">
        <v>16</v>
      </c>
      <c r="G89">
        <v>45</v>
      </c>
      <c r="H89" s="6">
        <v>43.74</v>
      </c>
      <c r="I89">
        <v>1968.3</v>
      </c>
      <c r="J89">
        <v>80.55</v>
      </c>
      <c r="K89">
        <v>312.75</v>
      </c>
      <c r="L89" t="s">
        <v>23</v>
      </c>
      <c r="M89" t="s">
        <v>29</v>
      </c>
      <c r="N89" t="s">
        <v>25</v>
      </c>
      <c r="O89">
        <f>_xlfn.XLOOKUP(E89,[1]Products!$B$2:$B$11,[1]Products!$F$2:$F$11)</f>
        <v>35</v>
      </c>
      <c r="P89">
        <f t="shared" si="2"/>
        <v>1575</v>
      </c>
      <c r="Q89" s="3">
        <f t="shared" si="3"/>
        <v>0.15889346136259716</v>
      </c>
      <c r="R89">
        <f>MONTH(Table1[[#This Row],[Order_Date]])</f>
        <v>2</v>
      </c>
    </row>
    <row r="90" spans="1:18" x14ac:dyDescent="0.3">
      <c r="A90" t="s">
        <v>194</v>
      </c>
      <c r="B90" t="s">
        <v>674</v>
      </c>
      <c r="C90" t="s">
        <v>195</v>
      </c>
      <c r="D90" t="s">
        <v>653</v>
      </c>
      <c r="E90" t="s">
        <v>57</v>
      </c>
      <c r="F90" t="s">
        <v>49</v>
      </c>
      <c r="G90">
        <v>9</v>
      </c>
      <c r="H90" s="6">
        <v>24.63</v>
      </c>
      <c r="I90">
        <v>221.67</v>
      </c>
      <c r="J90">
        <v>13.53</v>
      </c>
      <c r="K90">
        <v>68.64</v>
      </c>
      <c r="L90" t="s">
        <v>23</v>
      </c>
      <c r="M90" t="s">
        <v>29</v>
      </c>
      <c r="N90" t="s">
        <v>25</v>
      </c>
      <c r="O90">
        <f>_xlfn.XLOOKUP(E90,[1]Products!$B$2:$B$11,[1]Products!$F$2:$F$11)</f>
        <v>15.5</v>
      </c>
      <c r="P90">
        <f t="shared" si="2"/>
        <v>139.5</v>
      </c>
      <c r="Q90" s="3">
        <f t="shared" si="3"/>
        <v>0.30964947895520373</v>
      </c>
      <c r="R90">
        <f>MONTH(Table1[[#This Row],[Order_Date]])</f>
        <v>3</v>
      </c>
    </row>
    <row r="91" spans="1:18" x14ac:dyDescent="0.3">
      <c r="A91" t="s">
        <v>196</v>
      </c>
      <c r="B91" t="s">
        <v>674</v>
      </c>
      <c r="C91" t="s">
        <v>38</v>
      </c>
      <c r="D91" t="s">
        <v>82</v>
      </c>
      <c r="E91" t="s">
        <v>57</v>
      </c>
      <c r="F91" t="s">
        <v>49</v>
      </c>
      <c r="G91">
        <v>6</v>
      </c>
      <c r="H91" s="6">
        <v>21.79</v>
      </c>
      <c r="I91">
        <v>130.74</v>
      </c>
      <c r="J91">
        <v>7.75</v>
      </c>
      <c r="K91">
        <v>29.99</v>
      </c>
      <c r="L91" t="s">
        <v>23</v>
      </c>
      <c r="M91" t="s">
        <v>29</v>
      </c>
      <c r="N91" t="s">
        <v>83</v>
      </c>
      <c r="O91">
        <f>_xlfn.XLOOKUP(E91,[1]Products!$B$2:$B$11,[1]Products!$F$2:$F$11)</f>
        <v>15.5</v>
      </c>
      <c r="P91">
        <f t="shared" si="2"/>
        <v>93</v>
      </c>
      <c r="Q91" s="3">
        <f t="shared" si="3"/>
        <v>0.22938656876242922</v>
      </c>
      <c r="R91">
        <f>MONTH(Table1[[#This Row],[Order_Date]])</f>
        <v>3</v>
      </c>
    </row>
    <row r="92" spans="1:18" x14ac:dyDescent="0.3">
      <c r="A92" t="s">
        <v>197</v>
      </c>
      <c r="B92" t="s">
        <v>673</v>
      </c>
      <c r="C92" t="s">
        <v>198</v>
      </c>
      <c r="D92" t="s">
        <v>102</v>
      </c>
      <c r="E92" t="s">
        <v>15</v>
      </c>
      <c r="F92" t="s">
        <v>16</v>
      </c>
      <c r="G92">
        <v>23</v>
      </c>
      <c r="H92" s="6">
        <v>58.43</v>
      </c>
      <c r="I92">
        <v>1343.89</v>
      </c>
      <c r="J92">
        <v>38.729999999999997</v>
      </c>
      <c r="K92">
        <v>500.16</v>
      </c>
      <c r="L92" t="s">
        <v>23</v>
      </c>
      <c r="M92" t="s">
        <v>18</v>
      </c>
      <c r="N92" t="s">
        <v>25</v>
      </c>
      <c r="O92">
        <f>_xlfn.XLOOKUP(E92,[1]Products!$B$2:$B$11,[1]Products!$F$2:$F$11)</f>
        <v>35</v>
      </c>
      <c r="P92">
        <f t="shared" si="2"/>
        <v>805</v>
      </c>
      <c r="Q92" s="3">
        <f t="shared" si="3"/>
        <v>0.37217331775666163</v>
      </c>
      <c r="R92">
        <f>MONTH(Table1[[#This Row],[Order_Date]])</f>
        <v>7</v>
      </c>
    </row>
    <row r="93" spans="1:18" x14ac:dyDescent="0.3">
      <c r="A93" t="s">
        <v>199</v>
      </c>
      <c r="B93" t="s">
        <v>667</v>
      </c>
      <c r="C93" t="s">
        <v>200</v>
      </c>
      <c r="D93" t="s">
        <v>66</v>
      </c>
      <c r="E93" t="s">
        <v>40</v>
      </c>
      <c r="F93" t="s">
        <v>41</v>
      </c>
      <c r="G93">
        <v>19</v>
      </c>
      <c r="H93" s="6">
        <v>67.06</v>
      </c>
      <c r="I93">
        <v>1274.1400000000001</v>
      </c>
      <c r="J93">
        <v>85.73</v>
      </c>
      <c r="K93">
        <v>428.41</v>
      </c>
      <c r="L93" t="s">
        <v>17</v>
      </c>
      <c r="M93" t="s">
        <v>24</v>
      </c>
      <c r="N93" t="s">
        <v>55</v>
      </c>
      <c r="O93">
        <f>_xlfn.XLOOKUP(E93,[1]Products!$B$2:$B$11,[1]Products!$F$2:$F$11)</f>
        <v>40</v>
      </c>
      <c r="P93">
        <f t="shared" si="2"/>
        <v>760</v>
      </c>
      <c r="Q93" s="3">
        <f t="shared" si="3"/>
        <v>0.33623463669612441</v>
      </c>
      <c r="R93">
        <f>MONTH(Table1[[#This Row],[Order_Date]])</f>
        <v>9</v>
      </c>
    </row>
    <row r="94" spans="1:18" x14ac:dyDescent="0.3">
      <c r="A94" t="s">
        <v>201</v>
      </c>
      <c r="B94" t="s">
        <v>673</v>
      </c>
      <c r="C94" t="s">
        <v>195</v>
      </c>
      <c r="D94" t="s">
        <v>28</v>
      </c>
      <c r="E94" t="s">
        <v>22</v>
      </c>
      <c r="F94" t="s">
        <v>16</v>
      </c>
      <c r="G94">
        <v>4</v>
      </c>
      <c r="H94" s="6">
        <v>25.13</v>
      </c>
      <c r="I94">
        <v>100.52</v>
      </c>
      <c r="J94">
        <v>5.6</v>
      </c>
      <c r="K94">
        <v>22.92</v>
      </c>
      <c r="L94" t="s">
        <v>23</v>
      </c>
      <c r="M94" t="s">
        <v>29</v>
      </c>
      <c r="N94" t="s">
        <v>25</v>
      </c>
      <c r="O94">
        <f>_xlfn.XLOOKUP(E94,[1]Products!$B$2:$B$11,[1]Products!$F$2:$F$11)</f>
        <v>18</v>
      </c>
      <c r="P94">
        <f t="shared" si="2"/>
        <v>72</v>
      </c>
      <c r="Q94" s="3">
        <f t="shared" si="3"/>
        <v>0.22801432550736175</v>
      </c>
      <c r="R94">
        <f>MONTH(Table1[[#This Row],[Order_Date]])</f>
        <v>7</v>
      </c>
    </row>
    <row r="95" spans="1:18" x14ac:dyDescent="0.3">
      <c r="A95" t="s">
        <v>202</v>
      </c>
      <c r="B95" t="s">
        <v>669</v>
      </c>
      <c r="C95" t="s">
        <v>203</v>
      </c>
      <c r="D95" t="s">
        <v>28</v>
      </c>
      <c r="E95" t="s">
        <v>57</v>
      </c>
      <c r="F95" t="s">
        <v>49</v>
      </c>
      <c r="G95">
        <v>26</v>
      </c>
      <c r="H95" s="6">
        <v>19.34</v>
      </c>
      <c r="I95">
        <v>502.84</v>
      </c>
      <c r="J95">
        <v>26.51</v>
      </c>
      <c r="K95">
        <v>73.33</v>
      </c>
      <c r="L95" t="s">
        <v>23</v>
      </c>
      <c r="M95" t="s">
        <v>18</v>
      </c>
      <c r="N95" t="s">
        <v>25</v>
      </c>
      <c r="O95">
        <f>_xlfn.XLOOKUP(E95,[1]Products!$B$2:$B$11,[1]Products!$F$2:$F$11)</f>
        <v>15.5</v>
      </c>
      <c r="P95">
        <f t="shared" si="2"/>
        <v>403</v>
      </c>
      <c r="Q95" s="3">
        <f t="shared" si="3"/>
        <v>0.14583167607986636</v>
      </c>
      <c r="R95">
        <f>MONTH(Table1[[#This Row],[Order_Date]])</f>
        <v>4</v>
      </c>
    </row>
    <row r="96" spans="1:18" x14ac:dyDescent="0.3">
      <c r="A96" t="s">
        <v>204</v>
      </c>
      <c r="B96" t="s">
        <v>667</v>
      </c>
      <c r="C96" t="s">
        <v>205</v>
      </c>
      <c r="D96" t="s">
        <v>82</v>
      </c>
      <c r="E96" t="s">
        <v>45</v>
      </c>
      <c r="F96" t="s">
        <v>34</v>
      </c>
      <c r="G96">
        <v>26</v>
      </c>
      <c r="H96" s="6">
        <v>35.81</v>
      </c>
      <c r="I96">
        <v>931.06</v>
      </c>
      <c r="J96">
        <v>61.06</v>
      </c>
      <c r="K96">
        <v>350</v>
      </c>
      <c r="L96" t="s">
        <v>17</v>
      </c>
      <c r="M96" t="s">
        <v>18</v>
      </c>
      <c r="N96" t="s">
        <v>83</v>
      </c>
      <c r="O96">
        <f>_xlfn.XLOOKUP(E96,[1]Products!$B$2:$B$11,[1]Products!$F$2:$F$11)</f>
        <v>20</v>
      </c>
      <c r="P96">
        <f t="shared" si="2"/>
        <v>520</v>
      </c>
      <c r="Q96" s="3">
        <f t="shared" si="3"/>
        <v>0.37591562305329412</v>
      </c>
      <c r="R96">
        <f>MONTH(Table1[[#This Row],[Order_Date]])</f>
        <v>9</v>
      </c>
    </row>
    <row r="97" spans="1:18" x14ac:dyDescent="0.3">
      <c r="A97" t="s">
        <v>206</v>
      </c>
      <c r="B97" t="s">
        <v>674</v>
      </c>
      <c r="C97" t="s">
        <v>207</v>
      </c>
      <c r="D97" t="s">
        <v>66</v>
      </c>
      <c r="E97" t="s">
        <v>48</v>
      </c>
      <c r="F97" t="s">
        <v>49</v>
      </c>
      <c r="G97">
        <v>42</v>
      </c>
      <c r="H97" s="6">
        <v>39.950000000000003</v>
      </c>
      <c r="I97">
        <v>1677.9</v>
      </c>
      <c r="J97">
        <v>93.95</v>
      </c>
      <c r="K97">
        <v>638.95000000000005</v>
      </c>
      <c r="L97" t="s">
        <v>23</v>
      </c>
      <c r="M97" t="s">
        <v>24</v>
      </c>
      <c r="N97" t="s">
        <v>55</v>
      </c>
      <c r="O97">
        <f>_xlfn.XLOOKUP(E97,[1]Products!$B$2:$B$11,[1]Products!$F$2:$F$11)</f>
        <v>22.5</v>
      </c>
      <c r="P97">
        <f t="shared" si="2"/>
        <v>945</v>
      </c>
      <c r="Q97" s="3">
        <f t="shared" si="3"/>
        <v>0.38080338518386081</v>
      </c>
      <c r="R97">
        <f>MONTH(Table1[[#This Row],[Order_Date]])</f>
        <v>3</v>
      </c>
    </row>
    <row r="98" spans="1:18" x14ac:dyDescent="0.3">
      <c r="A98" t="s">
        <v>208</v>
      </c>
      <c r="B98" t="s">
        <v>673</v>
      </c>
      <c r="C98" t="s">
        <v>85</v>
      </c>
      <c r="D98" t="s">
        <v>654</v>
      </c>
      <c r="E98" t="s">
        <v>15</v>
      </c>
      <c r="F98" t="s">
        <v>16</v>
      </c>
      <c r="G98">
        <v>38</v>
      </c>
      <c r="H98" s="6">
        <v>49.98</v>
      </c>
      <c r="I98">
        <v>1899.24</v>
      </c>
      <c r="J98">
        <v>112.91</v>
      </c>
      <c r="K98">
        <v>456.33</v>
      </c>
      <c r="L98" t="s">
        <v>35</v>
      </c>
      <c r="M98" t="s">
        <v>29</v>
      </c>
      <c r="N98" t="s">
        <v>55</v>
      </c>
      <c r="O98">
        <f>_xlfn.XLOOKUP(E98,[1]Products!$B$2:$B$11,[1]Products!$F$2:$F$11)</f>
        <v>35</v>
      </c>
      <c r="P98">
        <f t="shared" si="2"/>
        <v>1330</v>
      </c>
      <c r="Q98" s="3">
        <f t="shared" si="3"/>
        <v>0.24026979212737726</v>
      </c>
      <c r="R98">
        <f>MONTH(Table1[[#This Row],[Order_Date]])</f>
        <v>7</v>
      </c>
    </row>
    <row r="99" spans="1:18" x14ac:dyDescent="0.3">
      <c r="A99" t="s">
        <v>209</v>
      </c>
      <c r="B99" t="s">
        <v>668</v>
      </c>
      <c r="C99" t="s">
        <v>115</v>
      </c>
      <c r="D99" t="s">
        <v>73</v>
      </c>
      <c r="E99" t="s">
        <v>79</v>
      </c>
      <c r="F99" t="s">
        <v>49</v>
      </c>
      <c r="G99">
        <v>1</v>
      </c>
      <c r="H99" s="6">
        <v>45.84</v>
      </c>
      <c r="I99">
        <v>45.84</v>
      </c>
      <c r="J99">
        <v>1.26</v>
      </c>
      <c r="K99">
        <v>16.579999999999998</v>
      </c>
      <c r="L99" t="s">
        <v>35</v>
      </c>
      <c r="M99" t="s">
        <v>18</v>
      </c>
      <c r="N99" t="s">
        <v>55</v>
      </c>
      <c r="O99">
        <f>_xlfn.XLOOKUP(E99,[1]Products!$B$2:$B$11,[1]Products!$F$2:$F$11)</f>
        <v>28</v>
      </c>
      <c r="P99">
        <f t="shared" si="2"/>
        <v>28</v>
      </c>
      <c r="Q99" s="3">
        <f t="shared" si="3"/>
        <v>0.3616928446771378</v>
      </c>
      <c r="R99">
        <f>MONTH(Table1[[#This Row],[Order_Date]])</f>
        <v>8</v>
      </c>
    </row>
    <row r="100" spans="1:18" x14ac:dyDescent="0.3">
      <c r="A100" t="s">
        <v>210</v>
      </c>
      <c r="B100" t="s">
        <v>669</v>
      </c>
      <c r="C100" t="s">
        <v>185</v>
      </c>
      <c r="D100" t="s">
        <v>125</v>
      </c>
      <c r="E100" t="s">
        <v>22</v>
      </c>
      <c r="F100" t="s">
        <v>16</v>
      </c>
      <c r="G100">
        <v>38</v>
      </c>
      <c r="H100" s="6">
        <v>26.34</v>
      </c>
      <c r="I100">
        <v>1000.92</v>
      </c>
      <c r="J100">
        <v>47.88</v>
      </c>
      <c r="K100">
        <v>269.04000000000002</v>
      </c>
      <c r="L100" t="s">
        <v>17</v>
      </c>
      <c r="M100" t="s">
        <v>24</v>
      </c>
      <c r="N100" t="s">
        <v>126</v>
      </c>
      <c r="O100">
        <f>_xlfn.XLOOKUP(E100,[1]Products!$B$2:$B$11,[1]Products!$F$2:$F$11)</f>
        <v>18</v>
      </c>
      <c r="P100">
        <f t="shared" si="2"/>
        <v>684</v>
      </c>
      <c r="Q100" s="3">
        <f t="shared" si="3"/>
        <v>0.26879271070615035</v>
      </c>
      <c r="R100">
        <f>MONTH(Table1[[#This Row],[Order_Date]])</f>
        <v>4</v>
      </c>
    </row>
    <row r="101" spans="1:18" x14ac:dyDescent="0.3">
      <c r="A101" t="s">
        <v>211</v>
      </c>
      <c r="B101" t="s">
        <v>664</v>
      </c>
      <c r="C101" t="s">
        <v>164</v>
      </c>
      <c r="D101" t="s">
        <v>102</v>
      </c>
      <c r="E101" t="s">
        <v>53</v>
      </c>
      <c r="F101" t="s">
        <v>54</v>
      </c>
      <c r="G101">
        <v>30</v>
      </c>
      <c r="H101" s="6">
        <v>36.43</v>
      </c>
      <c r="I101">
        <v>1092.9000000000001</v>
      </c>
      <c r="J101">
        <v>61.97</v>
      </c>
      <c r="K101">
        <v>280.93</v>
      </c>
      <c r="L101" t="s">
        <v>35</v>
      </c>
      <c r="M101" t="s">
        <v>24</v>
      </c>
      <c r="N101" t="s">
        <v>25</v>
      </c>
      <c r="O101">
        <f>_xlfn.XLOOKUP(E101,[1]Products!$B$2:$B$11,[1]Products!$F$2:$F$11)</f>
        <v>25</v>
      </c>
      <c r="P101">
        <f t="shared" si="2"/>
        <v>750</v>
      </c>
      <c r="Q101" s="3">
        <f t="shared" si="3"/>
        <v>0.25705005032482386</v>
      </c>
      <c r="R101">
        <f>MONTH(Table1[[#This Row],[Order_Date]])</f>
        <v>10</v>
      </c>
    </row>
    <row r="102" spans="1:18" x14ac:dyDescent="0.3">
      <c r="A102" t="s">
        <v>212</v>
      </c>
      <c r="B102" t="s">
        <v>665</v>
      </c>
      <c r="C102" t="s">
        <v>189</v>
      </c>
      <c r="D102" t="s">
        <v>28</v>
      </c>
      <c r="E102" t="s">
        <v>60</v>
      </c>
      <c r="F102" t="s">
        <v>34</v>
      </c>
      <c r="G102">
        <v>9</v>
      </c>
      <c r="H102" s="6">
        <v>22.27</v>
      </c>
      <c r="I102">
        <v>200.43</v>
      </c>
      <c r="J102">
        <v>13.21</v>
      </c>
      <c r="K102">
        <v>72.47</v>
      </c>
      <c r="L102" t="s">
        <v>23</v>
      </c>
      <c r="M102" t="s">
        <v>24</v>
      </c>
      <c r="N102" t="s">
        <v>25</v>
      </c>
      <c r="O102">
        <f>_xlfn.XLOOKUP(E102,[1]Products!$B$2:$B$11,[1]Products!$F$2:$F$11)</f>
        <v>12.75</v>
      </c>
      <c r="P102">
        <f t="shared" si="2"/>
        <v>114.75</v>
      </c>
      <c r="Q102" s="3">
        <f t="shared" si="3"/>
        <v>0.36157261886943071</v>
      </c>
      <c r="R102">
        <f>MONTH(Table1[[#This Row],[Order_Date]])</f>
        <v>6</v>
      </c>
    </row>
    <row r="103" spans="1:18" x14ac:dyDescent="0.3">
      <c r="A103" t="s">
        <v>213</v>
      </c>
      <c r="B103" t="s">
        <v>667</v>
      </c>
      <c r="C103" t="s">
        <v>96</v>
      </c>
      <c r="D103" t="s">
        <v>125</v>
      </c>
      <c r="E103" t="s">
        <v>57</v>
      </c>
      <c r="F103" t="s">
        <v>49</v>
      </c>
      <c r="G103">
        <v>26</v>
      </c>
      <c r="H103" s="6">
        <v>27.65</v>
      </c>
      <c r="I103">
        <v>718.9</v>
      </c>
      <c r="J103">
        <v>46.25</v>
      </c>
      <c r="K103">
        <v>269.64999999999998</v>
      </c>
      <c r="L103" t="s">
        <v>23</v>
      </c>
      <c r="M103" t="s">
        <v>29</v>
      </c>
      <c r="N103" t="s">
        <v>126</v>
      </c>
      <c r="O103">
        <f>_xlfn.XLOOKUP(E103,[1]Products!$B$2:$B$11,[1]Products!$F$2:$F$11)</f>
        <v>15.5</v>
      </c>
      <c r="P103">
        <f t="shared" si="2"/>
        <v>403</v>
      </c>
      <c r="Q103" s="3">
        <f t="shared" si="3"/>
        <v>0.37508693837807761</v>
      </c>
      <c r="R103">
        <f>MONTH(Table1[[#This Row],[Order_Date]])</f>
        <v>9</v>
      </c>
    </row>
    <row r="104" spans="1:18" x14ac:dyDescent="0.3">
      <c r="A104" t="s">
        <v>214</v>
      </c>
      <c r="B104" t="s">
        <v>673</v>
      </c>
      <c r="C104" t="s">
        <v>185</v>
      </c>
      <c r="D104" t="s">
        <v>653</v>
      </c>
      <c r="E104" t="s">
        <v>57</v>
      </c>
      <c r="F104" t="s">
        <v>49</v>
      </c>
      <c r="G104">
        <v>23</v>
      </c>
      <c r="H104" s="6">
        <v>22.45</v>
      </c>
      <c r="I104">
        <v>516.35</v>
      </c>
      <c r="J104">
        <v>15.68</v>
      </c>
      <c r="K104">
        <v>144.16999999999999</v>
      </c>
      <c r="L104" t="s">
        <v>35</v>
      </c>
      <c r="M104" t="s">
        <v>29</v>
      </c>
      <c r="N104" t="s">
        <v>25</v>
      </c>
      <c r="O104">
        <f>_xlfn.XLOOKUP(E104,[1]Products!$B$2:$B$11,[1]Products!$F$2:$F$11)</f>
        <v>15.5</v>
      </c>
      <c r="P104">
        <f t="shared" si="2"/>
        <v>356.5</v>
      </c>
      <c r="Q104" s="3">
        <f t="shared" si="3"/>
        <v>0.2792098382879829</v>
      </c>
      <c r="R104">
        <f>MONTH(Table1[[#This Row],[Order_Date]])</f>
        <v>7</v>
      </c>
    </row>
    <row r="105" spans="1:18" x14ac:dyDescent="0.3">
      <c r="A105" t="s">
        <v>215</v>
      </c>
      <c r="B105" t="s">
        <v>668</v>
      </c>
      <c r="C105" t="s">
        <v>119</v>
      </c>
      <c r="D105" t="s">
        <v>653</v>
      </c>
      <c r="E105" t="s">
        <v>57</v>
      </c>
      <c r="F105" t="s">
        <v>49</v>
      </c>
      <c r="G105">
        <v>30</v>
      </c>
      <c r="H105" s="6">
        <v>21.93</v>
      </c>
      <c r="I105">
        <v>657.9</v>
      </c>
      <c r="J105">
        <v>24.66</v>
      </c>
      <c r="K105">
        <v>168.24</v>
      </c>
      <c r="L105" t="s">
        <v>23</v>
      </c>
      <c r="M105" t="s">
        <v>18</v>
      </c>
      <c r="N105" t="s">
        <v>25</v>
      </c>
      <c r="O105">
        <f>_xlfn.XLOOKUP(E105,[1]Products!$B$2:$B$11,[1]Products!$F$2:$F$11)</f>
        <v>15.5</v>
      </c>
      <c r="P105">
        <f t="shared" si="2"/>
        <v>465</v>
      </c>
      <c r="Q105" s="3">
        <f t="shared" si="3"/>
        <v>0.25572275421796625</v>
      </c>
      <c r="R105">
        <f>MONTH(Table1[[#This Row],[Order_Date]])</f>
        <v>8</v>
      </c>
    </row>
    <row r="106" spans="1:18" x14ac:dyDescent="0.3">
      <c r="A106" t="s">
        <v>216</v>
      </c>
      <c r="B106" t="s">
        <v>667</v>
      </c>
      <c r="C106" t="s">
        <v>217</v>
      </c>
      <c r="D106" t="s">
        <v>66</v>
      </c>
      <c r="E106" t="s">
        <v>60</v>
      </c>
      <c r="F106" t="s">
        <v>34</v>
      </c>
      <c r="G106">
        <v>43</v>
      </c>
      <c r="H106" s="6">
        <v>21.92</v>
      </c>
      <c r="I106">
        <v>942.56</v>
      </c>
      <c r="J106">
        <v>51.15</v>
      </c>
      <c r="K106">
        <v>343.16</v>
      </c>
      <c r="L106" t="s">
        <v>17</v>
      </c>
      <c r="M106" t="s">
        <v>29</v>
      </c>
      <c r="N106" t="s">
        <v>55</v>
      </c>
      <c r="O106">
        <f>_xlfn.XLOOKUP(E106,[1]Products!$B$2:$B$11,[1]Products!$F$2:$F$11)</f>
        <v>12.75</v>
      </c>
      <c r="P106">
        <f t="shared" si="2"/>
        <v>548.25</v>
      </c>
      <c r="Q106" s="3">
        <f t="shared" si="3"/>
        <v>0.36407231369886273</v>
      </c>
      <c r="R106">
        <f>MONTH(Table1[[#This Row],[Order_Date]])</f>
        <v>9</v>
      </c>
    </row>
    <row r="107" spans="1:18" x14ac:dyDescent="0.3">
      <c r="A107" t="s">
        <v>218</v>
      </c>
      <c r="B107" t="s">
        <v>662</v>
      </c>
      <c r="C107" t="s">
        <v>59</v>
      </c>
      <c r="D107" t="s">
        <v>32</v>
      </c>
      <c r="E107" t="s">
        <v>40</v>
      </c>
      <c r="F107" t="s">
        <v>41</v>
      </c>
      <c r="G107">
        <v>3</v>
      </c>
      <c r="H107" s="6">
        <v>56.21</v>
      </c>
      <c r="I107">
        <v>168.63</v>
      </c>
      <c r="J107">
        <v>7.56</v>
      </c>
      <c r="K107">
        <v>41.07</v>
      </c>
      <c r="L107" t="s">
        <v>35</v>
      </c>
      <c r="M107" t="s">
        <v>18</v>
      </c>
      <c r="N107" t="s">
        <v>36</v>
      </c>
      <c r="O107">
        <f>_xlfn.XLOOKUP(E107,[1]Products!$B$2:$B$11,[1]Products!$F$2:$F$11)</f>
        <v>40</v>
      </c>
      <c r="P107">
        <f t="shared" si="2"/>
        <v>120</v>
      </c>
      <c r="Q107" s="3">
        <f t="shared" si="3"/>
        <v>0.24355096957836686</v>
      </c>
      <c r="R107">
        <f>MONTH(Table1[[#This Row],[Order_Date]])</f>
        <v>2</v>
      </c>
    </row>
    <row r="108" spans="1:18" x14ac:dyDescent="0.3">
      <c r="A108" t="s">
        <v>219</v>
      </c>
      <c r="B108" t="s">
        <v>663</v>
      </c>
      <c r="C108" t="s">
        <v>14</v>
      </c>
      <c r="D108" t="s">
        <v>28</v>
      </c>
      <c r="E108" t="s">
        <v>60</v>
      </c>
      <c r="F108" t="s">
        <v>34</v>
      </c>
      <c r="G108">
        <v>33</v>
      </c>
      <c r="H108" s="6">
        <v>15.44</v>
      </c>
      <c r="I108">
        <v>509.52</v>
      </c>
      <c r="J108">
        <v>19.7</v>
      </c>
      <c r="K108">
        <v>69.069999999999993</v>
      </c>
      <c r="L108" t="s">
        <v>17</v>
      </c>
      <c r="M108" t="s">
        <v>29</v>
      </c>
      <c r="N108" t="s">
        <v>25</v>
      </c>
      <c r="O108">
        <f>_xlfn.XLOOKUP(E108,[1]Products!$B$2:$B$11,[1]Products!$F$2:$F$11)</f>
        <v>12.75</v>
      </c>
      <c r="P108">
        <f t="shared" si="2"/>
        <v>420.75</v>
      </c>
      <c r="Q108" s="3">
        <f t="shared" si="3"/>
        <v>0.13555895745014915</v>
      </c>
      <c r="R108">
        <f>MONTH(Table1[[#This Row],[Order_Date]])</f>
        <v>4</v>
      </c>
    </row>
    <row r="109" spans="1:18" x14ac:dyDescent="0.3">
      <c r="A109" t="s">
        <v>220</v>
      </c>
      <c r="B109" t="s">
        <v>667</v>
      </c>
      <c r="C109" t="s">
        <v>89</v>
      </c>
      <c r="D109" t="s">
        <v>82</v>
      </c>
      <c r="E109" t="s">
        <v>57</v>
      </c>
      <c r="F109" t="s">
        <v>49</v>
      </c>
      <c r="G109">
        <v>50</v>
      </c>
      <c r="H109" s="6">
        <v>23.02</v>
      </c>
      <c r="I109">
        <v>1151</v>
      </c>
      <c r="J109">
        <v>69.3</v>
      </c>
      <c r="K109">
        <v>306.7</v>
      </c>
      <c r="L109" t="s">
        <v>23</v>
      </c>
      <c r="M109" t="s">
        <v>24</v>
      </c>
      <c r="N109" t="s">
        <v>83</v>
      </c>
      <c r="O109">
        <f>_xlfn.XLOOKUP(E109,[1]Products!$B$2:$B$11,[1]Products!$F$2:$F$11)</f>
        <v>15.5</v>
      </c>
      <c r="P109">
        <f t="shared" si="2"/>
        <v>775</v>
      </c>
      <c r="Q109" s="3">
        <f t="shared" si="3"/>
        <v>0.26646394439617721</v>
      </c>
      <c r="R109">
        <f>MONTH(Table1[[#This Row],[Order_Date]])</f>
        <v>9</v>
      </c>
    </row>
    <row r="110" spans="1:18" x14ac:dyDescent="0.3">
      <c r="A110" t="s">
        <v>221</v>
      </c>
      <c r="B110" t="s">
        <v>672</v>
      </c>
      <c r="C110" t="s">
        <v>222</v>
      </c>
      <c r="D110" t="s">
        <v>32</v>
      </c>
      <c r="E110" t="s">
        <v>60</v>
      </c>
      <c r="F110" t="s">
        <v>34</v>
      </c>
      <c r="G110">
        <v>8</v>
      </c>
      <c r="H110" s="6">
        <v>17.010000000000002</v>
      </c>
      <c r="I110">
        <v>136.08000000000001</v>
      </c>
      <c r="J110">
        <v>8.84</v>
      </c>
      <c r="K110">
        <v>25.24</v>
      </c>
      <c r="L110" t="s">
        <v>17</v>
      </c>
      <c r="M110" t="s">
        <v>29</v>
      </c>
      <c r="N110" t="s">
        <v>36</v>
      </c>
      <c r="O110">
        <f>_xlfn.XLOOKUP(E110,[1]Products!$B$2:$B$11,[1]Products!$F$2:$F$11)</f>
        <v>12.75</v>
      </c>
      <c r="P110">
        <f t="shared" si="2"/>
        <v>102</v>
      </c>
      <c r="Q110" s="3">
        <f t="shared" si="3"/>
        <v>0.18547912992357435</v>
      </c>
      <c r="R110">
        <f>MONTH(Table1[[#This Row],[Order_Date]])</f>
        <v>3</v>
      </c>
    </row>
    <row r="111" spans="1:18" x14ac:dyDescent="0.3">
      <c r="A111" t="s">
        <v>223</v>
      </c>
      <c r="B111" t="s">
        <v>664</v>
      </c>
      <c r="C111" t="s">
        <v>185</v>
      </c>
      <c r="D111" t="s">
        <v>102</v>
      </c>
      <c r="E111" t="s">
        <v>22</v>
      </c>
      <c r="F111" t="s">
        <v>16</v>
      </c>
      <c r="G111">
        <v>16</v>
      </c>
      <c r="H111" s="6">
        <v>26.47</v>
      </c>
      <c r="I111">
        <v>423.52</v>
      </c>
      <c r="J111">
        <v>15.87</v>
      </c>
      <c r="K111">
        <v>119.65</v>
      </c>
      <c r="L111" t="s">
        <v>23</v>
      </c>
      <c r="M111" t="s">
        <v>18</v>
      </c>
      <c r="N111" t="s">
        <v>25</v>
      </c>
      <c r="O111">
        <f>_xlfn.XLOOKUP(E111,[1]Products!$B$2:$B$11,[1]Products!$F$2:$F$11)</f>
        <v>18</v>
      </c>
      <c r="P111">
        <f t="shared" si="2"/>
        <v>288</v>
      </c>
      <c r="Q111" s="3">
        <f t="shared" si="3"/>
        <v>0.28251322251605593</v>
      </c>
      <c r="R111">
        <f>MONTH(Table1[[#This Row],[Order_Date]])</f>
        <v>10</v>
      </c>
    </row>
    <row r="112" spans="1:18" x14ac:dyDescent="0.3">
      <c r="A112" t="s">
        <v>224</v>
      </c>
      <c r="B112" t="s">
        <v>667</v>
      </c>
      <c r="C112" t="s">
        <v>166</v>
      </c>
      <c r="D112" t="s">
        <v>32</v>
      </c>
      <c r="E112" t="s">
        <v>33</v>
      </c>
      <c r="F112" t="s">
        <v>34</v>
      </c>
      <c r="G112">
        <v>32</v>
      </c>
      <c r="H112" s="6">
        <v>43.18</v>
      </c>
      <c r="I112">
        <v>1381.76</v>
      </c>
      <c r="J112">
        <v>88.54</v>
      </c>
      <c r="K112">
        <v>269.22000000000003</v>
      </c>
      <c r="L112" t="s">
        <v>23</v>
      </c>
      <c r="M112" t="s">
        <v>29</v>
      </c>
      <c r="N112" t="s">
        <v>36</v>
      </c>
      <c r="O112">
        <f>_xlfn.XLOOKUP(E112,[1]Products!$B$2:$B$11,[1]Products!$F$2:$F$11)</f>
        <v>32</v>
      </c>
      <c r="P112">
        <f t="shared" si="2"/>
        <v>1024</v>
      </c>
      <c r="Q112" s="3">
        <f t="shared" si="3"/>
        <v>0.19483846688281614</v>
      </c>
      <c r="R112">
        <f>MONTH(Table1[[#This Row],[Order_Date]])</f>
        <v>9</v>
      </c>
    </row>
    <row r="113" spans="1:18" x14ac:dyDescent="0.3">
      <c r="A113" t="s">
        <v>225</v>
      </c>
      <c r="B113" t="s">
        <v>665</v>
      </c>
      <c r="C113" t="s">
        <v>106</v>
      </c>
      <c r="D113" t="s">
        <v>125</v>
      </c>
      <c r="E113" t="s">
        <v>57</v>
      </c>
      <c r="F113" t="s">
        <v>49</v>
      </c>
      <c r="G113">
        <v>29</v>
      </c>
      <c r="H113" s="6">
        <v>18.850000000000001</v>
      </c>
      <c r="I113">
        <v>546.65</v>
      </c>
      <c r="J113">
        <v>13.22</v>
      </c>
      <c r="K113">
        <v>83.93</v>
      </c>
      <c r="L113" t="s">
        <v>17</v>
      </c>
      <c r="M113" t="s">
        <v>29</v>
      </c>
      <c r="N113" t="s">
        <v>126</v>
      </c>
      <c r="O113">
        <f>_xlfn.XLOOKUP(E113,[1]Products!$B$2:$B$11,[1]Products!$F$2:$F$11)</f>
        <v>15.5</v>
      </c>
      <c r="P113">
        <f t="shared" si="2"/>
        <v>449.5</v>
      </c>
      <c r="Q113" s="3">
        <f t="shared" si="3"/>
        <v>0.153535168755145</v>
      </c>
      <c r="R113">
        <f>MONTH(Table1[[#This Row],[Order_Date]])</f>
        <v>6</v>
      </c>
    </row>
    <row r="114" spans="1:18" x14ac:dyDescent="0.3">
      <c r="A114" t="s">
        <v>226</v>
      </c>
      <c r="B114" t="s">
        <v>661</v>
      </c>
      <c r="C114" t="s">
        <v>227</v>
      </c>
      <c r="D114" t="s">
        <v>102</v>
      </c>
      <c r="E114" t="s">
        <v>40</v>
      </c>
      <c r="F114" t="s">
        <v>41</v>
      </c>
      <c r="G114">
        <v>16</v>
      </c>
      <c r="H114" s="6">
        <v>64.400000000000006</v>
      </c>
      <c r="I114">
        <v>1030.4000000000001</v>
      </c>
      <c r="J114">
        <v>61.72</v>
      </c>
      <c r="K114">
        <v>328.68</v>
      </c>
      <c r="L114" t="s">
        <v>23</v>
      </c>
      <c r="M114" t="s">
        <v>24</v>
      </c>
      <c r="N114" t="s">
        <v>25</v>
      </c>
      <c r="O114">
        <f>_xlfn.XLOOKUP(E114,[1]Products!$B$2:$B$11,[1]Products!$F$2:$F$11)</f>
        <v>40</v>
      </c>
      <c r="P114">
        <f t="shared" si="2"/>
        <v>640</v>
      </c>
      <c r="Q114" s="3">
        <f t="shared" si="3"/>
        <v>0.31898291925465838</v>
      </c>
      <c r="R114">
        <f>MONTH(Table1[[#This Row],[Order_Date]])</f>
        <v>1</v>
      </c>
    </row>
    <row r="115" spans="1:18" x14ac:dyDescent="0.3">
      <c r="A115" t="s">
        <v>228</v>
      </c>
      <c r="B115" t="s">
        <v>676</v>
      </c>
      <c r="C115" t="s">
        <v>229</v>
      </c>
      <c r="D115" t="s">
        <v>66</v>
      </c>
      <c r="E115" t="s">
        <v>57</v>
      </c>
      <c r="F115" t="s">
        <v>49</v>
      </c>
      <c r="G115">
        <v>15</v>
      </c>
      <c r="H115" s="6">
        <v>19.53</v>
      </c>
      <c r="I115">
        <v>292.95</v>
      </c>
      <c r="J115">
        <v>7.15</v>
      </c>
      <c r="K115">
        <v>53.3</v>
      </c>
      <c r="L115" t="s">
        <v>35</v>
      </c>
      <c r="M115" t="s">
        <v>24</v>
      </c>
      <c r="N115" t="s">
        <v>55</v>
      </c>
      <c r="O115">
        <f>_xlfn.XLOOKUP(E115,[1]Products!$B$2:$B$11,[1]Products!$F$2:$F$11)</f>
        <v>15.5</v>
      </c>
      <c r="P115">
        <f t="shared" si="2"/>
        <v>232.5</v>
      </c>
      <c r="Q115" s="3">
        <f t="shared" si="3"/>
        <v>0.18194231097456903</v>
      </c>
      <c r="R115">
        <f>MONTH(Table1[[#This Row],[Order_Date]])</f>
        <v>11</v>
      </c>
    </row>
    <row r="116" spans="1:18" x14ac:dyDescent="0.3">
      <c r="A116" t="s">
        <v>230</v>
      </c>
      <c r="B116" t="s">
        <v>673</v>
      </c>
      <c r="C116" t="s">
        <v>109</v>
      </c>
      <c r="D116" t="s">
        <v>147</v>
      </c>
      <c r="E116" t="s">
        <v>45</v>
      </c>
      <c r="F116" t="s">
        <v>34</v>
      </c>
      <c r="G116">
        <v>36</v>
      </c>
      <c r="H116" s="6">
        <v>26.05</v>
      </c>
      <c r="I116">
        <v>937.8</v>
      </c>
      <c r="J116">
        <v>32.799999999999997</v>
      </c>
      <c r="K116">
        <v>185</v>
      </c>
      <c r="L116" t="s">
        <v>17</v>
      </c>
      <c r="M116" t="s">
        <v>29</v>
      </c>
      <c r="N116" t="s">
        <v>25</v>
      </c>
      <c r="O116">
        <f>_xlfn.XLOOKUP(E116,[1]Products!$B$2:$B$11,[1]Products!$F$2:$F$11)</f>
        <v>20</v>
      </c>
      <c r="P116">
        <f t="shared" si="2"/>
        <v>720</v>
      </c>
      <c r="Q116" s="3">
        <f t="shared" si="3"/>
        <v>0.19727020686713587</v>
      </c>
      <c r="R116">
        <f>MONTH(Table1[[#This Row],[Order_Date]])</f>
        <v>7</v>
      </c>
    </row>
    <row r="117" spans="1:18" x14ac:dyDescent="0.3">
      <c r="A117" t="s">
        <v>231</v>
      </c>
      <c r="B117" t="s">
        <v>671</v>
      </c>
      <c r="C117" t="s">
        <v>51</v>
      </c>
      <c r="D117" t="s">
        <v>82</v>
      </c>
      <c r="E117" t="s">
        <v>33</v>
      </c>
      <c r="F117" t="s">
        <v>34</v>
      </c>
      <c r="G117">
        <v>26</v>
      </c>
      <c r="H117" s="6">
        <v>47.52</v>
      </c>
      <c r="I117">
        <v>1235.52</v>
      </c>
      <c r="J117">
        <v>31.41</v>
      </c>
      <c r="K117">
        <v>372.11</v>
      </c>
      <c r="L117" t="s">
        <v>23</v>
      </c>
      <c r="M117" t="s">
        <v>18</v>
      </c>
      <c r="N117" t="s">
        <v>83</v>
      </c>
      <c r="O117">
        <f>_xlfn.XLOOKUP(E117,[1]Products!$B$2:$B$11,[1]Products!$F$2:$F$11)</f>
        <v>32</v>
      </c>
      <c r="P117">
        <f t="shared" si="2"/>
        <v>832</v>
      </c>
      <c r="Q117" s="3">
        <f t="shared" si="3"/>
        <v>0.30117683242683246</v>
      </c>
      <c r="R117">
        <f>MONTH(Table1[[#This Row],[Order_Date]])</f>
        <v>2</v>
      </c>
    </row>
    <row r="118" spans="1:18" x14ac:dyDescent="0.3">
      <c r="A118" t="s">
        <v>232</v>
      </c>
      <c r="B118" t="s">
        <v>667</v>
      </c>
      <c r="C118" t="s">
        <v>207</v>
      </c>
      <c r="D118" t="s">
        <v>102</v>
      </c>
      <c r="E118" t="s">
        <v>22</v>
      </c>
      <c r="F118" t="s">
        <v>16</v>
      </c>
      <c r="G118">
        <v>38</v>
      </c>
      <c r="H118" s="6">
        <v>26.38</v>
      </c>
      <c r="I118">
        <v>1002.44</v>
      </c>
      <c r="J118">
        <v>33.049999999999997</v>
      </c>
      <c r="K118">
        <v>285.39</v>
      </c>
      <c r="L118" t="s">
        <v>23</v>
      </c>
      <c r="M118" t="s">
        <v>18</v>
      </c>
      <c r="N118" t="s">
        <v>25</v>
      </c>
      <c r="O118">
        <f>_xlfn.XLOOKUP(E118,[1]Products!$B$2:$B$11,[1]Products!$F$2:$F$11)</f>
        <v>18</v>
      </c>
      <c r="P118">
        <f t="shared" si="2"/>
        <v>684</v>
      </c>
      <c r="Q118" s="3">
        <f t="shared" si="3"/>
        <v>0.28469534336219621</v>
      </c>
      <c r="R118">
        <f>MONTH(Table1[[#This Row],[Order_Date]])</f>
        <v>9</v>
      </c>
    </row>
    <row r="119" spans="1:18" x14ac:dyDescent="0.3">
      <c r="A119" t="s">
        <v>233</v>
      </c>
      <c r="B119" t="s">
        <v>669</v>
      </c>
      <c r="C119" t="s">
        <v>135</v>
      </c>
      <c r="D119" t="s">
        <v>73</v>
      </c>
      <c r="E119" t="s">
        <v>60</v>
      </c>
      <c r="F119" t="s">
        <v>34</v>
      </c>
      <c r="G119">
        <v>7</v>
      </c>
      <c r="H119" s="6">
        <v>17.66</v>
      </c>
      <c r="I119">
        <v>123.62</v>
      </c>
      <c r="J119">
        <v>6.95</v>
      </c>
      <c r="K119">
        <v>27.42</v>
      </c>
      <c r="L119" t="s">
        <v>17</v>
      </c>
      <c r="M119" t="s">
        <v>18</v>
      </c>
      <c r="N119" t="s">
        <v>55</v>
      </c>
      <c r="O119">
        <f>_xlfn.XLOOKUP(E119,[1]Products!$B$2:$B$11,[1]Products!$F$2:$F$11)</f>
        <v>12.75</v>
      </c>
      <c r="P119">
        <f t="shared" si="2"/>
        <v>89.25</v>
      </c>
      <c r="Q119" s="3">
        <f t="shared" si="3"/>
        <v>0.22180876880763631</v>
      </c>
      <c r="R119">
        <f>MONTH(Table1[[#This Row],[Order_Date]])</f>
        <v>4</v>
      </c>
    </row>
    <row r="120" spans="1:18" x14ac:dyDescent="0.3">
      <c r="A120" t="s">
        <v>234</v>
      </c>
      <c r="B120" t="s">
        <v>676</v>
      </c>
      <c r="C120" t="s">
        <v>138</v>
      </c>
      <c r="D120" t="s">
        <v>125</v>
      </c>
      <c r="E120" t="s">
        <v>15</v>
      </c>
      <c r="F120" t="s">
        <v>16</v>
      </c>
      <c r="G120">
        <v>26</v>
      </c>
      <c r="H120" s="6">
        <v>51.5</v>
      </c>
      <c r="I120">
        <v>1339</v>
      </c>
      <c r="J120">
        <v>92.09</v>
      </c>
      <c r="K120">
        <v>336.91</v>
      </c>
      <c r="L120" t="s">
        <v>23</v>
      </c>
      <c r="M120" t="s">
        <v>24</v>
      </c>
      <c r="N120" t="s">
        <v>126</v>
      </c>
      <c r="O120">
        <f>_xlfn.XLOOKUP(E120,[1]Products!$B$2:$B$11,[1]Products!$F$2:$F$11)</f>
        <v>35</v>
      </c>
      <c r="P120">
        <f t="shared" si="2"/>
        <v>910</v>
      </c>
      <c r="Q120" s="3">
        <f t="shared" si="3"/>
        <v>0.25161314413741598</v>
      </c>
      <c r="R120">
        <f>MONTH(Table1[[#This Row],[Order_Date]])</f>
        <v>11</v>
      </c>
    </row>
    <row r="121" spans="1:18" x14ac:dyDescent="0.3">
      <c r="A121" t="s">
        <v>235</v>
      </c>
      <c r="B121" t="s">
        <v>669</v>
      </c>
      <c r="C121" t="s">
        <v>236</v>
      </c>
      <c r="D121" t="s">
        <v>652</v>
      </c>
      <c r="E121" t="s">
        <v>57</v>
      </c>
      <c r="F121" t="s">
        <v>49</v>
      </c>
      <c r="G121">
        <v>27</v>
      </c>
      <c r="H121" s="6">
        <v>25</v>
      </c>
      <c r="I121">
        <v>675</v>
      </c>
      <c r="J121">
        <v>15.49</v>
      </c>
      <c r="K121">
        <v>241.01</v>
      </c>
      <c r="L121" t="s">
        <v>23</v>
      </c>
      <c r="M121" t="s">
        <v>24</v>
      </c>
      <c r="N121" t="s">
        <v>19</v>
      </c>
      <c r="O121">
        <f>_xlfn.XLOOKUP(E121,[1]Products!$B$2:$B$11,[1]Products!$F$2:$F$11)</f>
        <v>15.5</v>
      </c>
      <c r="P121">
        <f t="shared" si="2"/>
        <v>418.5</v>
      </c>
      <c r="Q121" s="3">
        <f t="shared" si="3"/>
        <v>0.35705185185185184</v>
      </c>
      <c r="R121">
        <f>MONTH(Table1[[#This Row],[Order_Date]])</f>
        <v>4</v>
      </c>
    </row>
    <row r="122" spans="1:18" x14ac:dyDescent="0.3">
      <c r="A122" t="s">
        <v>237</v>
      </c>
      <c r="B122" t="s">
        <v>673</v>
      </c>
      <c r="C122" t="s">
        <v>43</v>
      </c>
      <c r="D122" t="s">
        <v>82</v>
      </c>
      <c r="E122" t="s">
        <v>60</v>
      </c>
      <c r="F122" t="s">
        <v>34</v>
      </c>
      <c r="G122">
        <v>4</v>
      </c>
      <c r="H122" s="6">
        <v>19</v>
      </c>
      <c r="I122">
        <v>76</v>
      </c>
      <c r="J122">
        <v>3.78</v>
      </c>
      <c r="K122">
        <v>21.22</v>
      </c>
      <c r="L122" t="s">
        <v>23</v>
      </c>
      <c r="M122" t="s">
        <v>29</v>
      </c>
      <c r="N122" t="s">
        <v>83</v>
      </c>
      <c r="O122">
        <f>_xlfn.XLOOKUP(E122,[1]Products!$B$2:$B$11,[1]Products!$F$2:$F$11)</f>
        <v>12.75</v>
      </c>
      <c r="P122">
        <f t="shared" si="2"/>
        <v>51</v>
      </c>
      <c r="Q122" s="3">
        <f t="shared" si="3"/>
        <v>0.27921052631578946</v>
      </c>
      <c r="R122">
        <f>MONTH(Table1[[#This Row],[Order_Date]])</f>
        <v>7</v>
      </c>
    </row>
    <row r="123" spans="1:18" x14ac:dyDescent="0.3">
      <c r="A123" t="s">
        <v>238</v>
      </c>
      <c r="B123" t="s">
        <v>675</v>
      </c>
      <c r="C123" t="s">
        <v>189</v>
      </c>
      <c r="D123" t="s">
        <v>39</v>
      </c>
      <c r="E123" t="s">
        <v>57</v>
      </c>
      <c r="F123" t="s">
        <v>49</v>
      </c>
      <c r="G123">
        <v>24</v>
      </c>
      <c r="H123" s="6">
        <v>26.63</v>
      </c>
      <c r="I123">
        <v>639.12</v>
      </c>
      <c r="J123">
        <v>31.92</v>
      </c>
      <c r="K123">
        <v>235.2</v>
      </c>
      <c r="L123" t="s">
        <v>35</v>
      </c>
      <c r="M123" t="s">
        <v>29</v>
      </c>
      <c r="N123" t="s">
        <v>19</v>
      </c>
      <c r="O123">
        <f>_xlfn.XLOOKUP(E123,[1]Products!$B$2:$B$11,[1]Products!$F$2:$F$11)</f>
        <v>15.5</v>
      </c>
      <c r="P123">
        <f t="shared" si="2"/>
        <v>372</v>
      </c>
      <c r="Q123" s="3">
        <f t="shared" si="3"/>
        <v>0.36800600826135937</v>
      </c>
      <c r="R123">
        <f>MONTH(Table1[[#This Row],[Order_Date]])</f>
        <v>5</v>
      </c>
    </row>
    <row r="124" spans="1:18" x14ac:dyDescent="0.3">
      <c r="A124" t="s">
        <v>239</v>
      </c>
      <c r="B124" t="s">
        <v>661</v>
      </c>
      <c r="C124" t="s">
        <v>77</v>
      </c>
      <c r="D124" t="s">
        <v>66</v>
      </c>
      <c r="E124" t="s">
        <v>53</v>
      </c>
      <c r="F124" t="s">
        <v>54</v>
      </c>
      <c r="G124">
        <v>26</v>
      </c>
      <c r="H124" s="6">
        <v>43.14</v>
      </c>
      <c r="I124">
        <v>1121.6400000000001</v>
      </c>
      <c r="J124">
        <v>48.08</v>
      </c>
      <c r="K124">
        <v>423.56</v>
      </c>
      <c r="L124" t="s">
        <v>17</v>
      </c>
      <c r="M124" t="s">
        <v>24</v>
      </c>
      <c r="N124" t="s">
        <v>55</v>
      </c>
      <c r="O124">
        <f>_xlfn.XLOOKUP(E124,[1]Products!$B$2:$B$11,[1]Products!$F$2:$F$11)</f>
        <v>25</v>
      </c>
      <c r="P124">
        <f t="shared" si="2"/>
        <v>650</v>
      </c>
      <c r="Q124" s="3">
        <f t="shared" si="3"/>
        <v>0.37762561962840124</v>
      </c>
      <c r="R124">
        <f>MONTH(Table1[[#This Row],[Order_Date]])</f>
        <v>1</v>
      </c>
    </row>
    <row r="125" spans="1:18" x14ac:dyDescent="0.3">
      <c r="A125" t="s">
        <v>240</v>
      </c>
      <c r="B125" t="s">
        <v>670</v>
      </c>
      <c r="C125" t="s">
        <v>195</v>
      </c>
      <c r="D125" t="s">
        <v>39</v>
      </c>
      <c r="E125" t="s">
        <v>53</v>
      </c>
      <c r="F125" t="s">
        <v>54</v>
      </c>
      <c r="G125">
        <v>39</v>
      </c>
      <c r="H125" s="6">
        <v>30.01</v>
      </c>
      <c r="I125">
        <v>1170.3900000000001</v>
      </c>
      <c r="J125">
        <v>60.43</v>
      </c>
      <c r="K125">
        <v>134.96</v>
      </c>
      <c r="L125" t="s">
        <v>23</v>
      </c>
      <c r="M125" t="s">
        <v>18</v>
      </c>
      <c r="N125" t="s">
        <v>19</v>
      </c>
      <c r="O125">
        <f>_xlfn.XLOOKUP(E125,[1]Products!$B$2:$B$11,[1]Products!$F$2:$F$11)</f>
        <v>25</v>
      </c>
      <c r="P125">
        <f t="shared" si="2"/>
        <v>975</v>
      </c>
      <c r="Q125" s="3">
        <f t="shared" si="3"/>
        <v>0.11531199002042054</v>
      </c>
      <c r="R125">
        <f>MONTH(Table1[[#This Row],[Order_Date]])</f>
        <v>12</v>
      </c>
    </row>
    <row r="126" spans="1:18" x14ac:dyDescent="0.3">
      <c r="A126" t="s">
        <v>241</v>
      </c>
      <c r="B126" t="s">
        <v>670</v>
      </c>
      <c r="C126" t="s">
        <v>242</v>
      </c>
      <c r="D126" t="s">
        <v>147</v>
      </c>
      <c r="E126" t="s">
        <v>48</v>
      </c>
      <c r="F126" t="s">
        <v>49</v>
      </c>
      <c r="G126">
        <v>5</v>
      </c>
      <c r="H126" s="6">
        <v>31.31</v>
      </c>
      <c r="I126">
        <v>156.55000000000001</v>
      </c>
      <c r="J126">
        <v>4.04</v>
      </c>
      <c r="K126">
        <v>40.01</v>
      </c>
      <c r="L126" t="s">
        <v>35</v>
      </c>
      <c r="M126" t="s">
        <v>29</v>
      </c>
      <c r="N126" t="s">
        <v>25</v>
      </c>
      <c r="O126">
        <f>_xlfn.XLOOKUP(E126,[1]Products!$B$2:$B$11,[1]Products!$F$2:$F$11)</f>
        <v>22.5</v>
      </c>
      <c r="P126">
        <f t="shared" si="2"/>
        <v>112.5</v>
      </c>
      <c r="Q126" s="3">
        <f t="shared" si="3"/>
        <v>0.25557329926541039</v>
      </c>
      <c r="R126">
        <f>MONTH(Table1[[#This Row],[Order_Date]])</f>
        <v>12</v>
      </c>
    </row>
    <row r="127" spans="1:18" x14ac:dyDescent="0.3">
      <c r="A127" t="s">
        <v>243</v>
      </c>
      <c r="B127" t="s">
        <v>668</v>
      </c>
      <c r="C127" t="s">
        <v>179</v>
      </c>
      <c r="D127" t="s">
        <v>652</v>
      </c>
      <c r="E127" t="s">
        <v>79</v>
      </c>
      <c r="F127" t="s">
        <v>49</v>
      </c>
      <c r="G127">
        <v>42</v>
      </c>
      <c r="H127" s="6">
        <v>36.950000000000003</v>
      </c>
      <c r="I127">
        <v>1551.9</v>
      </c>
      <c r="J127">
        <v>74.260000000000005</v>
      </c>
      <c r="K127">
        <v>301.64</v>
      </c>
      <c r="L127" t="s">
        <v>23</v>
      </c>
      <c r="M127" t="s">
        <v>24</v>
      </c>
      <c r="N127" t="s">
        <v>19</v>
      </c>
      <c r="O127">
        <f>_xlfn.XLOOKUP(E127,[1]Products!$B$2:$B$11,[1]Products!$F$2:$F$11)</f>
        <v>28</v>
      </c>
      <c r="P127">
        <f t="shared" si="2"/>
        <v>1176</v>
      </c>
      <c r="Q127" s="3">
        <f t="shared" si="3"/>
        <v>0.19436819382692183</v>
      </c>
      <c r="R127">
        <f>MONTH(Table1[[#This Row],[Order_Date]])</f>
        <v>8</v>
      </c>
    </row>
    <row r="128" spans="1:18" x14ac:dyDescent="0.3">
      <c r="A128" t="s">
        <v>244</v>
      </c>
      <c r="B128" t="s">
        <v>661</v>
      </c>
      <c r="C128" t="s">
        <v>245</v>
      </c>
      <c r="D128" t="s">
        <v>66</v>
      </c>
      <c r="E128" t="s">
        <v>40</v>
      </c>
      <c r="F128" t="s">
        <v>41</v>
      </c>
      <c r="G128">
        <v>36</v>
      </c>
      <c r="H128" s="6">
        <v>57.37</v>
      </c>
      <c r="I128">
        <v>2065.3200000000002</v>
      </c>
      <c r="J128">
        <v>94.34</v>
      </c>
      <c r="K128">
        <v>530.98</v>
      </c>
      <c r="L128" t="s">
        <v>35</v>
      </c>
      <c r="M128" t="s">
        <v>18</v>
      </c>
      <c r="N128" t="s">
        <v>55</v>
      </c>
      <c r="O128">
        <f>_xlfn.XLOOKUP(E128,[1]Products!$B$2:$B$11,[1]Products!$F$2:$F$11)</f>
        <v>40</v>
      </c>
      <c r="P128">
        <f t="shared" si="2"/>
        <v>1440</v>
      </c>
      <c r="Q128" s="3">
        <f t="shared" si="3"/>
        <v>0.25709333178393662</v>
      </c>
      <c r="R128">
        <f>MONTH(Table1[[#This Row],[Order_Date]])</f>
        <v>1</v>
      </c>
    </row>
    <row r="129" spans="1:18" x14ac:dyDescent="0.3">
      <c r="A129" t="s">
        <v>246</v>
      </c>
      <c r="B129" t="s">
        <v>676</v>
      </c>
      <c r="C129" t="s">
        <v>31</v>
      </c>
      <c r="D129" t="s">
        <v>654</v>
      </c>
      <c r="E129" t="s">
        <v>79</v>
      </c>
      <c r="F129" t="s">
        <v>49</v>
      </c>
      <c r="G129">
        <v>13</v>
      </c>
      <c r="H129" s="6">
        <v>40.18</v>
      </c>
      <c r="I129">
        <v>522.34</v>
      </c>
      <c r="J129">
        <v>37.369999999999997</v>
      </c>
      <c r="K129">
        <v>120.97</v>
      </c>
      <c r="L129" t="s">
        <v>23</v>
      </c>
      <c r="M129" t="s">
        <v>29</v>
      </c>
      <c r="N129" t="s">
        <v>55</v>
      </c>
      <c r="O129">
        <f>_xlfn.XLOOKUP(E129,[1]Products!$B$2:$B$11,[1]Products!$F$2:$F$11)</f>
        <v>28</v>
      </c>
      <c r="P129">
        <f t="shared" si="2"/>
        <v>364</v>
      </c>
      <c r="Q129" s="3">
        <f t="shared" si="3"/>
        <v>0.23159244936248419</v>
      </c>
      <c r="R129">
        <f>MONTH(Table1[[#This Row],[Order_Date]])</f>
        <v>11</v>
      </c>
    </row>
    <row r="130" spans="1:18" x14ac:dyDescent="0.3">
      <c r="A130" t="s">
        <v>247</v>
      </c>
      <c r="B130" t="s">
        <v>669</v>
      </c>
      <c r="C130" t="s">
        <v>203</v>
      </c>
      <c r="D130" t="s">
        <v>73</v>
      </c>
      <c r="E130" t="s">
        <v>33</v>
      </c>
      <c r="F130" t="s">
        <v>34</v>
      </c>
      <c r="G130">
        <v>37</v>
      </c>
      <c r="H130" s="6">
        <v>39.299999999999997</v>
      </c>
      <c r="I130">
        <v>1454.1</v>
      </c>
      <c r="J130">
        <v>67.08</v>
      </c>
      <c r="K130">
        <v>203.02</v>
      </c>
      <c r="L130" t="s">
        <v>35</v>
      </c>
      <c r="M130" t="s">
        <v>18</v>
      </c>
      <c r="N130" t="s">
        <v>55</v>
      </c>
      <c r="O130">
        <f>_xlfn.XLOOKUP(E130,[1]Products!$B$2:$B$11,[1]Products!$F$2:$F$11)</f>
        <v>32</v>
      </c>
      <c r="P130">
        <f t="shared" si="2"/>
        <v>1184</v>
      </c>
      <c r="Q130" s="3">
        <f t="shared" si="3"/>
        <v>0.13961900832129842</v>
      </c>
      <c r="R130">
        <f>MONTH(Table1[[#This Row],[Order_Date]])</f>
        <v>4</v>
      </c>
    </row>
    <row r="131" spans="1:18" x14ac:dyDescent="0.3">
      <c r="A131" t="s">
        <v>248</v>
      </c>
      <c r="B131" t="s">
        <v>669</v>
      </c>
      <c r="C131" t="s">
        <v>189</v>
      </c>
      <c r="D131" t="s">
        <v>39</v>
      </c>
      <c r="E131" t="s">
        <v>33</v>
      </c>
      <c r="F131" t="s">
        <v>34</v>
      </c>
      <c r="G131">
        <v>17</v>
      </c>
      <c r="H131" s="6">
        <v>43.28</v>
      </c>
      <c r="I131">
        <v>735.76</v>
      </c>
      <c r="J131">
        <v>50.96</v>
      </c>
      <c r="K131">
        <v>140.80000000000001</v>
      </c>
      <c r="L131" t="s">
        <v>23</v>
      </c>
      <c r="M131" t="s">
        <v>24</v>
      </c>
      <c r="N131" t="s">
        <v>19</v>
      </c>
      <c r="O131">
        <f>_xlfn.XLOOKUP(E131,[1]Products!$B$2:$B$11,[1]Products!$F$2:$F$11)</f>
        <v>32</v>
      </c>
      <c r="P131">
        <f t="shared" ref="P131:P194" si="4">G131*O131</f>
        <v>544</v>
      </c>
      <c r="Q131" s="3">
        <f t="shared" ref="Q131:Q194" si="5">K131/I131</f>
        <v>0.19136675002718279</v>
      </c>
      <c r="R131">
        <f>MONTH(Table1[[#This Row],[Order_Date]])</f>
        <v>4</v>
      </c>
    </row>
    <row r="132" spans="1:18" x14ac:dyDescent="0.3">
      <c r="A132" t="s">
        <v>249</v>
      </c>
      <c r="B132" t="s">
        <v>664</v>
      </c>
      <c r="C132" t="s">
        <v>14</v>
      </c>
      <c r="D132" t="s">
        <v>654</v>
      </c>
      <c r="E132" t="s">
        <v>15</v>
      </c>
      <c r="F132" t="s">
        <v>16</v>
      </c>
      <c r="G132">
        <v>22</v>
      </c>
      <c r="H132" s="6">
        <v>62.79</v>
      </c>
      <c r="I132">
        <v>1381.38</v>
      </c>
      <c r="J132">
        <v>75.84</v>
      </c>
      <c r="K132">
        <v>535.54</v>
      </c>
      <c r="L132" t="s">
        <v>35</v>
      </c>
      <c r="M132" t="s">
        <v>29</v>
      </c>
      <c r="N132" t="s">
        <v>55</v>
      </c>
      <c r="O132">
        <f>_xlfn.XLOOKUP(E132,[1]Products!$B$2:$B$11,[1]Products!$F$2:$F$11)</f>
        <v>35</v>
      </c>
      <c r="P132">
        <f t="shared" si="4"/>
        <v>770</v>
      </c>
      <c r="Q132" s="3">
        <f t="shared" si="5"/>
        <v>0.38768477898912673</v>
      </c>
      <c r="R132">
        <f>MONTH(Table1[[#This Row],[Order_Date]])</f>
        <v>10</v>
      </c>
    </row>
    <row r="133" spans="1:18" x14ac:dyDescent="0.3">
      <c r="A133" t="s">
        <v>250</v>
      </c>
      <c r="B133" t="s">
        <v>669</v>
      </c>
      <c r="C133" t="s">
        <v>152</v>
      </c>
      <c r="D133" t="s">
        <v>147</v>
      </c>
      <c r="E133" t="s">
        <v>40</v>
      </c>
      <c r="F133" t="s">
        <v>41</v>
      </c>
      <c r="G133">
        <v>23</v>
      </c>
      <c r="H133" s="6">
        <v>56.76</v>
      </c>
      <c r="I133">
        <v>1305.48</v>
      </c>
      <c r="J133">
        <v>62.93</v>
      </c>
      <c r="K133">
        <v>322.55</v>
      </c>
      <c r="L133" t="s">
        <v>35</v>
      </c>
      <c r="M133" t="s">
        <v>29</v>
      </c>
      <c r="N133" t="s">
        <v>25</v>
      </c>
      <c r="O133">
        <f>_xlfn.XLOOKUP(E133,[1]Products!$B$2:$B$11,[1]Products!$F$2:$F$11)</f>
        <v>40</v>
      </c>
      <c r="P133">
        <f t="shared" si="4"/>
        <v>920</v>
      </c>
      <c r="Q133" s="3">
        <f t="shared" si="5"/>
        <v>0.24707387321138585</v>
      </c>
      <c r="R133">
        <f>MONTH(Table1[[#This Row],[Order_Date]])</f>
        <v>4</v>
      </c>
    </row>
    <row r="134" spans="1:18" x14ac:dyDescent="0.3">
      <c r="A134" t="s">
        <v>251</v>
      </c>
      <c r="B134" t="s">
        <v>673</v>
      </c>
      <c r="C134" t="s">
        <v>27</v>
      </c>
      <c r="D134" t="s">
        <v>653</v>
      </c>
      <c r="E134" t="s">
        <v>40</v>
      </c>
      <c r="F134" t="s">
        <v>41</v>
      </c>
      <c r="G134">
        <v>22</v>
      </c>
      <c r="H134" s="6">
        <v>60.13</v>
      </c>
      <c r="I134">
        <v>1322.86</v>
      </c>
      <c r="J134">
        <v>54.06</v>
      </c>
      <c r="K134">
        <v>388.8</v>
      </c>
      <c r="L134" t="s">
        <v>35</v>
      </c>
      <c r="M134" t="s">
        <v>24</v>
      </c>
      <c r="N134" t="s">
        <v>25</v>
      </c>
      <c r="O134">
        <f>_xlfn.XLOOKUP(E134,[1]Products!$B$2:$B$11,[1]Products!$F$2:$F$11)</f>
        <v>40</v>
      </c>
      <c r="P134">
        <f t="shared" si="4"/>
        <v>880</v>
      </c>
      <c r="Q134" s="3">
        <f t="shared" si="5"/>
        <v>0.2939086524651135</v>
      </c>
      <c r="R134">
        <f>MONTH(Table1[[#This Row],[Order_Date]])</f>
        <v>7</v>
      </c>
    </row>
    <row r="135" spans="1:18" x14ac:dyDescent="0.3">
      <c r="A135" t="s">
        <v>252</v>
      </c>
      <c r="B135" t="s">
        <v>661</v>
      </c>
      <c r="C135" t="s">
        <v>253</v>
      </c>
      <c r="D135" t="s">
        <v>66</v>
      </c>
      <c r="E135" t="s">
        <v>53</v>
      </c>
      <c r="F135" t="s">
        <v>54</v>
      </c>
      <c r="G135">
        <v>21</v>
      </c>
      <c r="H135" s="6">
        <v>40.98</v>
      </c>
      <c r="I135">
        <v>860.58</v>
      </c>
      <c r="J135">
        <v>37.01</v>
      </c>
      <c r="K135">
        <v>298.57</v>
      </c>
      <c r="L135" t="s">
        <v>17</v>
      </c>
      <c r="M135" t="s">
        <v>29</v>
      </c>
      <c r="N135" t="s">
        <v>55</v>
      </c>
      <c r="O135">
        <f>_xlfn.XLOOKUP(E135,[1]Products!$B$2:$B$11,[1]Products!$F$2:$F$11)</f>
        <v>25</v>
      </c>
      <c r="P135">
        <f t="shared" si="4"/>
        <v>525</v>
      </c>
      <c r="Q135" s="3">
        <f t="shared" si="5"/>
        <v>0.34694043552023052</v>
      </c>
      <c r="R135">
        <f>MONTH(Table1[[#This Row],[Order_Date]])</f>
        <v>1</v>
      </c>
    </row>
    <row r="136" spans="1:18" x14ac:dyDescent="0.3">
      <c r="A136" t="s">
        <v>254</v>
      </c>
      <c r="B136" t="s">
        <v>670</v>
      </c>
      <c r="C136" t="s">
        <v>113</v>
      </c>
      <c r="D136" t="s">
        <v>32</v>
      </c>
      <c r="E136" t="s">
        <v>40</v>
      </c>
      <c r="F136" t="s">
        <v>41</v>
      </c>
      <c r="G136">
        <v>36</v>
      </c>
      <c r="H136" s="6">
        <v>54.6</v>
      </c>
      <c r="I136">
        <v>1965.6</v>
      </c>
      <c r="J136">
        <v>150.34</v>
      </c>
      <c r="K136">
        <v>375.26</v>
      </c>
      <c r="L136" t="s">
        <v>23</v>
      </c>
      <c r="M136" t="s">
        <v>18</v>
      </c>
      <c r="N136" t="s">
        <v>36</v>
      </c>
      <c r="O136">
        <f>_xlfn.XLOOKUP(E136,[1]Products!$B$2:$B$11,[1]Products!$F$2:$F$11)</f>
        <v>40</v>
      </c>
      <c r="P136">
        <f t="shared" si="4"/>
        <v>1440</v>
      </c>
      <c r="Q136" s="3">
        <f t="shared" si="5"/>
        <v>0.19091371591371592</v>
      </c>
      <c r="R136">
        <f>MONTH(Table1[[#This Row],[Order_Date]])</f>
        <v>12</v>
      </c>
    </row>
    <row r="137" spans="1:18" x14ac:dyDescent="0.3">
      <c r="A137" t="s">
        <v>255</v>
      </c>
      <c r="B137" t="s">
        <v>673</v>
      </c>
      <c r="C137" t="s">
        <v>222</v>
      </c>
      <c r="D137" t="s">
        <v>28</v>
      </c>
      <c r="E137" t="s">
        <v>57</v>
      </c>
      <c r="F137" t="s">
        <v>49</v>
      </c>
      <c r="G137">
        <v>1</v>
      </c>
      <c r="H137" s="6">
        <v>27.49</v>
      </c>
      <c r="I137">
        <v>27.49</v>
      </c>
      <c r="J137">
        <v>0.63</v>
      </c>
      <c r="K137">
        <v>11.36</v>
      </c>
      <c r="L137" t="s">
        <v>23</v>
      </c>
      <c r="M137" t="s">
        <v>29</v>
      </c>
      <c r="N137" t="s">
        <v>25</v>
      </c>
      <c r="O137">
        <f>_xlfn.XLOOKUP(E137,[1]Products!$B$2:$B$11,[1]Products!$F$2:$F$11)</f>
        <v>15.5</v>
      </c>
      <c r="P137">
        <f t="shared" si="4"/>
        <v>15.5</v>
      </c>
      <c r="Q137" s="3">
        <f t="shared" si="5"/>
        <v>0.41324117861040377</v>
      </c>
      <c r="R137">
        <f>MONTH(Table1[[#This Row],[Order_Date]])</f>
        <v>7</v>
      </c>
    </row>
    <row r="138" spans="1:18" x14ac:dyDescent="0.3">
      <c r="A138" t="s">
        <v>256</v>
      </c>
      <c r="B138" t="s">
        <v>677</v>
      </c>
      <c r="C138" t="s">
        <v>257</v>
      </c>
      <c r="D138" t="s">
        <v>66</v>
      </c>
      <c r="E138" t="s">
        <v>33</v>
      </c>
      <c r="F138" t="s">
        <v>34</v>
      </c>
      <c r="G138">
        <v>50</v>
      </c>
      <c r="H138" s="6">
        <v>41.11</v>
      </c>
      <c r="I138">
        <v>2055.5</v>
      </c>
      <c r="J138">
        <v>95.61</v>
      </c>
      <c r="K138">
        <v>359.89</v>
      </c>
      <c r="L138" t="s">
        <v>35</v>
      </c>
      <c r="M138" t="s">
        <v>24</v>
      </c>
      <c r="N138" t="s">
        <v>55</v>
      </c>
      <c r="O138">
        <f>_xlfn.XLOOKUP(E138,[1]Products!$B$2:$B$11,[1]Products!$F$2:$F$11)</f>
        <v>32</v>
      </c>
      <c r="P138">
        <f t="shared" si="4"/>
        <v>1600</v>
      </c>
      <c r="Q138" s="3">
        <f t="shared" si="5"/>
        <v>0.17508635368523473</v>
      </c>
      <c r="R138">
        <f>MONTH(Table1[[#This Row],[Order_Date]])</f>
        <v>1</v>
      </c>
    </row>
    <row r="139" spans="1:18" x14ac:dyDescent="0.3">
      <c r="A139" t="s">
        <v>258</v>
      </c>
      <c r="B139" t="s">
        <v>670</v>
      </c>
      <c r="C139" t="s">
        <v>115</v>
      </c>
      <c r="D139" t="s">
        <v>52</v>
      </c>
      <c r="E139" t="s">
        <v>57</v>
      </c>
      <c r="F139" t="s">
        <v>49</v>
      </c>
      <c r="G139">
        <v>18</v>
      </c>
      <c r="H139" s="6">
        <v>25.54</v>
      </c>
      <c r="I139">
        <v>459.72</v>
      </c>
      <c r="J139">
        <v>27.02</v>
      </c>
      <c r="K139">
        <v>153.69999999999999</v>
      </c>
      <c r="L139" t="s">
        <v>23</v>
      </c>
      <c r="M139" t="s">
        <v>18</v>
      </c>
      <c r="N139" t="s">
        <v>55</v>
      </c>
      <c r="O139">
        <f>_xlfn.XLOOKUP(E139,[1]Products!$B$2:$B$11,[1]Products!$F$2:$F$11)</f>
        <v>15.5</v>
      </c>
      <c r="P139">
        <f t="shared" si="4"/>
        <v>279</v>
      </c>
      <c r="Q139" s="3">
        <f t="shared" si="5"/>
        <v>0.33433394239972153</v>
      </c>
      <c r="R139">
        <f>MONTH(Table1[[#This Row],[Order_Date]])</f>
        <v>12</v>
      </c>
    </row>
    <row r="140" spans="1:18" x14ac:dyDescent="0.3">
      <c r="A140" t="s">
        <v>259</v>
      </c>
      <c r="B140" t="s">
        <v>661</v>
      </c>
      <c r="C140" t="s">
        <v>227</v>
      </c>
      <c r="D140" t="s">
        <v>73</v>
      </c>
      <c r="E140" t="s">
        <v>79</v>
      </c>
      <c r="F140" t="s">
        <v>49</v>
      </c>
      <c r="G140">
        <v>4</v>
      </c>
      <c r="H140" s="6">
        <v>47.52</v>
      </c>
      <c r="I140">
        <v>190.08</v>
      </c>
      <c r="J140">
        <v>10.23</v>
      </c>
      <c r="K140">
        <v>67.849999999999994</v>
      </c>
      <c r="L140" t="s">
        <v>17</v>
      </c>
      <c r="M140" t="s">
        <v>18</v>
      </c>
      <c r="N140" t="s">
        <v>55</v>
      </c>
      <c r="O140">
        <f>_xlfn.XLOOKUP(E140,[1]Products!$B$2:$B$11,[1]Products!$F$2:$F$11)</f>
        <v>28</v>
      </c>
      <c r="P140">
        <f t="shared" si="4"/>
        <v>112</v>
      </c>
      <c r="Q140" s="3">
        <f t="shared" si="5"/>
        <v>0.35695496632996626</v>
      </c>
      <c r="R140">
        <f>MONTH(Table1[[#This Row],[Order_Date]])</f>
        <v>1</v>
      </c>
    </row>
    <row r="141" spans="1:18" x14ac:dyDescent="0.3">
      <c r="A141" t="s">
        <v>260</v>
      </c>
      <c r="B141" t="s">
        <v>668</v>
      </c>
      <c r="C141" t="s">
        <v>166</v>
      </c>
      <c r="D141" t="s">
        <v>28</v>
      </c>
      <c r="E141" t="s">
        <v>53</v>
      </c>
      <c r="F141" t="s">
        <v>54</v>
      </c>
      <c r="G141">
        <v>29</v>
      </c>
      <c r="H141" s="6">
        <v>30.48</v>
      </c>
      <c r="I141">
        <v>883.92</v>
      </c>
      <c r="J141">
        <v>33.15</v>
      </c>
      <c r="K141">
        <v>125.77</v>
      </c>
      <c r="L141" t="s">
        <v>35</v>
      </c>
      <c r="M141" t="s">
        <v>18</v>
      </c>
      <c r="N141" t="s">
        <v>25</v>
      </c>
      <c r="O141">
        <f>_xlfn.XLOOKUP(E141,[1]Products!$B$2:$B$11,[1]Products!$F$2:$F$11)</f>
        <v>25</v>
      </c>
      <c r="P141">
        <f t="shared" si="4"/>
        <v>725</v>
      </c>
      <c r="Q141" s="3">
        <f t="shared" si="5"/>
        <v>0.14228663227441399</v>
      </c>
      <c r="R141">
        <f>MONTH(Table1[[#This Row],[Order_Date]])</f>
        <v>8</v>
      </c>
    </row>
    <row r="142" spans="1:18" x14ac:dyDescent="0.3">
      <c r="A142" t="s">
        <v>261</v>
      </c>
      <c r="B142" t="s">
        <v>672</v>
      </c>
      <c r="C142" t="s">
        <v>164</v>
      </c>
      <c r="D142" t="s">
        <v>82</v>
      </c>
      <c r="E142" t="s">
        <v>40</v>
      </c>
      <c r="F142" t="s">
        <v>41</v>
      </c>
      <c r="G142">
        <v>27</v>
      </c>
      <c r="H142" s="6">
        <v>50.39</v>
      </c>
      <c r="I142">
        <v>1360.53</v>
      </c>
      <c r="J142">
        <v>106.4</v>
      </c>
      <c r="K142">
        <v>174.13</v>
      </c>
      <c r="L142" t="s">
        <v>23</v>
      </c>
      <c r="M142" t="s">
        <v>24</v>
      </c>
      <c r="N142" t="s">
        <v>83</v>
      </c>
      <c r="O142">
        <f>_xlfn.XLOOKUP(E142,[1]Products!$B$2:$B$11,[1]Products!$F$2:$F$11)</f>
        <v>40</v>
      </c>
      <c r="P142">
        <f t="shared" si="4"/>
        <v>1080</v>
      </c>
      <c r="Q142" s="3">
        <f t="shared" si="5"/>
        <v>0.12798688746297399</v>
      </c>
      <c r="R142">
        <f>MONTH(Table1[[#This Row],[Order_Date]])</f>
        <v>3</v>
      </c>
    </row>
    <row r="143" spans="1:18" x14ac:dyDescent="0.3">
      <c r="A143" t="s">
        <v>262</v>
      </c>
      <c r="B143" t="s">
        <v>661</v>
      </c>
      <c r="C143" t="s">
        <v>141</v>
      </c>
      <c r="D143" t="s">
        <v>147</v>
      </c>
      <c r="E143" t="s">
        <v>53</v>
      </c>
      <c r="F143" t="s">
        <v>54</v>
      </c>
      <c r="G143">
        <v>34</v>
      </c>
      <c r="H143" s="6">
        <v>37.68</v>
      </c>
      <c r="I143">
        <v>1281.1199999999999</v>
      </c>
      <c r="J143">
        <v>54.86</v>
      </c>
      <c r="K143">
        <v>376.26</v>
      </c>
      <c r="L143" t="s">
        <v>35</v>
      </c>
      <c r="M143" t="s">
        <v>18</v>
      </c>
      <c r="N143" t="s">
        <v>25</v>
      </c>
      <c r="O143">
        <f>_xlfn.XLOOKUP(E143,[1]Products!$B$2:$B$11,[1]Products!$F$2:$F$11)</f>
        <v>25</v>
      </c>
      <c r="P143">
        <f t="shared" si="4"/>
        <v>850</v>
      </c>
      <c r="Q143" s="3">
        <f t="shared" si="5"/>
        <v>0.2936961408767329</v>
      </c>
      <c r="R143">
        <f>MONTH(Table1[[#This Row],[Order_Date]])</f>
        <v>1</v>
      </c>
    </row>
    <row r="144" spans="1:18" x14ac:dyDescent="0.3">
      <c r="A144" t="s">
        <v>263</v>
      </c>
      <c r="B144" t="s">
        <v>669</v>
      </c>
      <c r="C144" t="s">
        <v>264</v>
      </c>
      <c r="D144" t="s">
        <v>73</v>
      </c>
      <c r="E144" t="s">
        <v>53</v>
      </c>
      <c r="F144" t="s">
        <v>54</v>
      </c>
      <c r="G144">
        <v>3</v>
      </c>
      <c r="H144" s="6">
        <v>39.32</v>
      </c>
      <c r="I144">
        <v>117.96</v>
      </c>
      <c r="J144">
        <v>6.97</v>
      </c>
      <c r="K144">
        <v>35.99</v>
      </c>
      <c r="L144" t="s">
        <v>23</v>
      </c>
      <c r="M144" t="s">
        <v>24</v>
      </c>
      <c r="N144" t="s">
        <v>55</v>
      </c>
      <c r="O144">
        <f>_xlfn.XLOOKUP(E144,[1]Products!$B$2:$B$11,[1]Products!$F$2:$F$11)</f>
        <v>25</v>
      </c>
      <c r="P144">
        <f t="shared" si="4"/>
        <v>75</v>
      </c>
      <c r="Q144" s="3">
        <f t="shared" si="5"/>
        <v>0.3051034248897932</v>
      </c>
      <c r="R144">
        <f>MONTH(Table1[[#This Row],[Order_Date]])</f>
        <v>4</v>
      </c>
    </row>
    <row r="145" spans="1:18" x14ac:dyDescent="0.3">
      <c r="A145" t="s">
        <v>265</v>
      </c>
      <c r="B145" t="s">
        <v>670</v>
      </c>
      <c r="C145" t="s">
        <v>229</v>
      </c>
      <c r="D145" t="s">
        <v>39</v>
      </c>
      <c r="E145" t="s">
        <v>60</v>
      </c>
      <c r="F145" t="s">
        <v>34</v>
      </c>
      <c r="G145">
        <v>24</v>
      </c>
      <c r="H145" s="6">
        <v>18</v>
      </c>
      <c r="I145">
        <v>432</v>
      </c>
      <c r="J145">
        <v>22.68</v>
      </c>
      <c r="K145">
        <v>103.32</v>
      </c>
      <c r="L145" t="s">
        <v>17</v>
      </c>
      <c r="M145" t="s">
        <v>29</v>
      </c>
      <c r="N145" t="s">
        <v>19</v>
      </c>
      <c r="O145">
        <f>_xlfn.XLOOKUP(E145,[1]Products!$B$2:$B$11,[1]Products!$F$2:$F$11)</f>
        <v>12.75</v>
      </c>
      <c r="P145">
        <f t="shared" si="4"/>
        <v>306</v>
      </c>
      <c r="Q145" s="3">
        <f t="shared" si="5"/>
        <v>0.23916666666666664</v>
      </c>
      <c r="R145">
        <f>MONTH(Table1[[#This Row],[Order_Date]])</f>
        <v>12</v>
      </c>
    </row>
    <row r="146" spans="1:18" x14ac:dyDescent="0.3">
      <c r="A146" t="s">
        <v>266</v>
      </c>
      <c r="B146" t="s">
        <v>670</v>
      </c>
      <c r="C146" t="s">
        <v>96</v>
      </c>
      <c r="D146" t="s">
        <v>653</v>
      </c>
      <c r="E146" t="s">
        <v>48</v>
      </c>
      <c r="F146" t="s">
        <v>49</v>
      </c>
      <c r="G146">
        <v>5</v>
      </c>
      <c r="H146" s="6">
        <v>36.43</v>
      </c>
      <c r="I146">
        <v>182.15</v>
      </c>
      <c r="J146">
        <v>7.82</v>
      </c>
      <c r="K146">
        <v>61.83</v>
      </c>
      <c r="L146" t="s">
        <v>17</v>
      </c>
      <c r="M146" t="s">
        <v>29</v>
      </c>
      <c r="N146" t="s">
        <v>25</v>
      </c>
      <c r="O146">
        <f>_xlfn.XLOOKUP(E146,[1]Products!$B$2:$B$11,[1]Products!$F$2:$F$11)</f>
        <v>22.5</v>
      </c>
      <c r="P146">
        <f t="shared" si="4"/>
        <v>112.5</v>
      </c>
      <c r="Q146" s="3">
        <f t="shared" si="5"/>
        <v>0.33944551194070821</v>
      </c>
      <c r="R146">
        <f>MONTH(Table1[[#This Row],[Order_Date]])</f>
        <v>12</v>
      </c>
    </row>
    <row r="147" spans="1:18" x14ac:dyDescent="0.3">
      <c r="A147" t="s">
        <v>267</v>
      </c>
      <c r="B147" t="s">
        <v>673</v>
      </c>
      <c r="C147" t="s">
        <v>101</v>
      </c>
      <c r="D147" t="s">
        <v>52</v>
      </c>
      <c r="E147" t="s">
        <v>48</v>
      </c>
      <c r="F147" t="s">
        <v>49</v>
      </c>
      <c r="G147">
        <v>27</v>
      </c>
      <c r="H147" s="6">
        <v>38.39</v>
      </c>
      <c r="I147">
        <v>1036.53</v>
      </c>
      <c r="J147">
        <v>28.6</v>
      </c>
      <c r="K147">
        <v>400.43</v>
      </c>
      <c r="L147" t="s">
        <v>23</v>
      </c>
      <c r="M147" t="s">
        <v>18</v>
      </c>
      <c r="N147" t="s">
        <v>55</v>
      </c>
      <c r="O147">
        <f>_xlfn.XLOOKUP(E147,[1]Products!$B$2:$B$11,[1]Products!$F$2:$F$11)</f>
        <v>22.5</v>
      </c>
      <c r="P147">
        <f t="shared" si="4"/>
        <v>607.5</v>
      </c>
      <c r="Q147" s="3">
        <f t="shared" si="5"/>
        <v>0.38631781038657831</v>
      </c>
      <c r="R147">
        <f>MONTH(Table1[[#This Row],[Order_Date]])</f>
        <v>7</v>
      </c>
    </row>
    <row r="148" spans="1:18" x14ac:dyDescent="0.3">
      <c r="A148" t="s">
        <v>268</v>
      </c>
      <c r="B148" t="s">
        <v>675</v>
      </c>
      <c r="C148" t="s">
        <v>133</v>
      </c>
      <c r="D148" t="s">
        <v>32</v>
      </c>
      <c r="E148" t="s">
        <v>79</v>
      </c>
      <c r="F148" t="s">
        <v>49</v>
      </c>
      <c r="G148">
        <v>10</v>
      </c>
      <c r="H148" s="6">
        <v>47.5</v>
      </c>
      <c r="I148">
        <v>475</v>
      </c>
      <c r="J148">
        <v>15.95</v>
      </c>
      <c r="K148">
        <v>179.05</v>
      </c>
      <c r="L148" t="s">
        <v>17</v>
      </c>
      <c r="M148" t="s">
        <v>18</v>
      </c>
      <c r="N148" t="s">
        <v>36</v>
      </c>
      <c r="O148">
        <f>_xlfn.XLOOKUP(E148,[1]Products!$B$2:$B$11,[1]Products!$F$2:$F$11)</f>
        <v>28</v>
      </c>
      <c r="P148">
        <f t="shared" si="4"/>
        <v>280</v>
      </c>
      <c r="Q148" s="3">
        <f t="shared" si="5"/>
        <v>0.37694736842105264</v>
      </c>
      <c r="R148">
        <f>MONTH(Table1[[#This Row],[Order_Date]])</f>
        <v>5</v>
      </c>
    </row>
    <row r="149" spans="1:18" x14ac:dyDescent="0.3">
      <c r="A149" t="s">
        <v>269</v>
      </c>
      <c r="B149" t="s">
        <v>665</v>
      </c>
      <c r="C149" t="s">
        <v>270</v>
      </c>
      <c r="D149" t="s">
        <v>654</v>
      </c>
      <c r="E149" t="s">
        <v>33</v>
      </c>
      <c r="F149" t="s">
        <v>34</v>
      </c>
      <c r="G149">
        <v>47</v>
      </c>
      <c r="H149" s="6">
        <v>50.13</v>
      </c>
      <c r="I149">
        <v>2356.11</v>
      </c>
      <c r="J149">
        <v>166.22</v>
      </c>
      <c r="K149">
        <v>685.89</v>
      </c>
      <c r="L149" t="s">
        <v>17</v>
      </c>
      <c r="M149" t="s">
        <v>18</v>
      </c>
      <c r="N149" t="s">
        <v>55</v>
      </c>
      <c r="O149">
        <f>_xlfn.XLOOKUP(E149,[1]Products!$B$2:$B$11,[1]Products!$F$2:$F$11)</f>
        <v>32</v>
      </c>
      <c r="P149">
        <f t="shared" si="4"/>
        <v>1504</v>
      </c>
      <c r="Q149" s="3">
        <f t="shared" si="5"/>
        <v>0.29111119599679131</v>
      </c>
      <c r="R149">
        <f>MONTH(Table1[[#This Row],[Order_Date]])</f>
        <v>6</v>
      </c>
    </row>
    <row r="150" spans="1:18" x14ac:dyDescent="0.3">
      <c r="A150" t="s">
        <v>271</v>
      </c>
      <c r="B150" t="s">
        <v>664</v>
      </c>
      <c r="C150" t="s">
        <v>272</v>
      </c>
      <c r="D150" t="s">
        <v>44</v>
      </c>
      <c r="E150" t="s">
        <v>79</v>
      </c>
      <c r="F150" t="s">
        <v>49</v>
      </c>
      <c r="G150">
        <v>47</v>
      </c>
      <c r="H150" s="6">
        <v>42.25</v>
      </c>
      <c r="I150">
        <v>1985.75</v>
      </c>
      <c r="J150">
        <v>116.75</v>
      </c>
      <c r="K150">
        <v>553</v>
      </c>
      <c r="L150" t="s">
        <v>23</v>
      </c>
      <c r="M150" t="s">
        <v>18</v>
      </c>
      <c r="N150" t="s">
        <v>19</v>
      </c>
      <c r="O150">
        <f>_xlfn.XLOOKUP(E150,[1]Products!$B$2:$B$11,[1]Products!$F$2:$F$11)</f>
        <v>28</v>
      </c>
      <c r="P150">
        <f t="shared" si="4"/>
        <v>1316</v>
      </c>
      <c r="Q150" s="3">
        <f t="shared" si="5"/>
        <v>0.27848419992446177</v>
      </c>
      <c r="R150">
        <f>MONTH(Table1[[#This Row],[Order_Date]])</f>
        <v>10</v>
      </c>
    </row>
    <row r="151" spans="1:18" x14ac:dyDescent="0.3">
      <c r="A151" t="s">
        <v>273</v>
      </c>
      <c r="B151" t="s">
        <v>672</v>
      </c>
      <c r="C151" t="s">
        <v>274</v>
      </c>
      <c r="D151" t="s">
        <v>52</v>
      </c>
      <c r="E151" t="s">
        <v>53</v>
      </c>
      <c r="F151" t="s">
        <v>54</v>
      </c>
      <c r="G151">
        <v>18</v>
      </c>
      <c r="H151" s="6">
        <v>38.26</v>
      </c>
      <c r="I151">
        <v>688.68</v>
      </c>
      <c r="J151">
        <v>18.78</v>
      </c>
      <c r="K151">
        <v>219.9</v>
      </c>
      <c r="L151" t="s">
        <v>23</v>
      </c>
      <c r="M151" t="s">
        <v>18</v>
      </c>
      <c r="N151" t="s">
        <v>55</v>
      </c>
      <c r="O151">
        <f>_xlfn.XLOOKUP(E151,[1]Products!$B$2:$B$11,[1]Products!$F$2:$F$11)</f>
        <v>25</v>
      </c>
      <c r="P151">
        <f t="shared" si="4"/>
        <v>450</v>
      </c>
      <c r="Q151" s="3">
        <f t="shared" si="5"/>
        <v>0.31930649939013767</v>
      </c>
      <c r="R151">
        <f>MONTH(Table1[[#This Row],[Order_Date]])</f>
        <v>3</v>
      </c>
    </row>
    <row r="152" spans="1:18" x14ac:dyDescent="0.3">
      <c r="A152" t="s">
        <v>275</v>
      </c>
      <c r="B152" t="s">
        <v>671</v>
      </c>
      <c r="C152" t="s">
        <v>81</v>
      </c>
      <c r="D152" t="s">
        <v>66</v>
      </c>
      <c r="E152" t="s">
        <v>79</v>
      </c>
      <c r="F152" t="s">
        <v>49</v>
      </c>
      <c r="G152">
        <v>31</v>
      </c>
      <c r="H152" s="6">
        <v>46.66</v>
      </c>
      <c r="I152">
        <v>1446.46</v>
      </c>
      <c r="J152">
        <v>109.24</v>
      </c>
      <c r="K152">
        <v>469.22</v>
      </c>
      <c r="L152" t="s">
        <v>17</v>
      </c>
      <c r="M152" t="s">
        <v>29</v>
      </c>
      <c r="N152" t="s">
        <v>55</v>
      </c>
      <c r="O152">
        <f>_xlfn.XLOOKUP(E152,[1]Products!$B$2:$B$11,[1]Products!$F$2:$F$11)</f>
        <v>28</v>
      </c>
      <c r="P152">
        <f t="shared" si="4"/>
        <v>868</v>
      </c>
      <c r="Q152" s="3">
        <f t="shared" si="5"/>
        <v>0.32439196382893409</v>
      </c>
      <c r="R152">
        <f>MONTH(Table1[[#This Row],[Order_Date]])</f>
        <v>2</v>
      </c>
    </row>
    <row r="153" spans="1:18" x14ac:dyDescent="0.3">
      <c r="A153" t="s">
        <v>276</v>
      </c>
      <c r="B153" t="s">
        <v>672</v>
      </c>
      <c r="C153" t="s">
        <v>277</v>
      </c>
      <c r="D153" t="s">
        <v>82</v>
      </c>
      <c r="E153" t="s">
        <v>33</v>
      </c>
      <c r="F153" t="s">
        <v>34</v>
      </c>
      <c r="G153">
        <v>41</v>
      </c>
      <c r="H153" s="6">
        <v>52.65</v>
      </c>
      <c r="I153">
        <v>2158.65</v>
      </c>
      <c r="J153">
        <v>110.1</v>
      </c>
      <c r="K153">
        <v>736.55</v>
      </c>
      <c r="L153" t="s">
        <v>23</v>
      </c>
      <c r="M153" t="s">
        <v>29</v>
      </c>
      <c r="N153" t="s">
        <v>83</v>
      </c>
      <c r="O153">
        <f>_xlfn.XLOOKUP(E153,[1]Products!$B$2:$B$11,[1]Products!$F$2:$F$11)</f>
        <v>32</v>
      </c>
      <c r="P153">
        <f t="shared" si="4"/>
        <v>1312</v>
      </c>
      <c r="Q153" s="3">
        <f t="shared" si="5"/>
        <v>0.34120862576147126</v>
      </c>
      <c r="R153">
        <f>MONTH(Table1[[#This Row],[Order_Date]])</f>
        <v>3</v>
      </c>
    </row>
    <row r="154" spans="1:18" x14ac:dyDescent="0.3">
      <c r="A154" t="s">
        <v>278</v>
      </c>
      <c r="B154" t="s">
        <v>672</v>
      </c>
      <c r="C154" t="s">
        <v>111</v>
      </c>
      <c r="D154" t="s">
        <v>73</v>
      </c>
      <c r="E154" t="s">
        <v>22</v>
      </c>
      <c r="F154" t="s">
        <v>16</v>
      </c>
      <c r="G154">
        <v>28</v>
      </c>
      <c r="H154" s="6">
        <v>22.66</v>
      </c>
      <c r="I154">
        <v>634.48</v>
      </c>
      <c r="J154">
        <v>15.55</v>
      </c>
      <c r="K154">
        <v>114.93</v>
      </c>
      <c r="L154" t="s">
        <v>35</v>
      </c>
      <c r="M154" t="s">
        <v>18</v>
      </c>
      <c r="N154" t="s">
        <v>55</v>
      </c>
      <c r="O154">
        <f>_xlfn.XLOOKUP(E154,[1]Products!$B$2:$B$11,[1]Products!$F$2:$F$11)</f>
        <v>18</v>
      </c>
      <c r="P154">
        <f t="shared" si="4"/>
        <v>504</v>
      </c>
      <c r="Q154" s="3">
        <f t="shared" si="5"/>
        <v>0.1811404614802673</v>
      </c>
      <c r="R154">
        <f>MONTH(Table1[[#This Row],[Order_Date]])</f>
        <v>3</v>
      </c>
    </row>
    <row r="155" spans="1:18" x14ac:dyDescent="0.3">
      <c r="A155" t="s">
        <v>279</v>
      </c>
      <c r="B155" t="s">
        <v>662</v>
      </c>
      <c r="C155" t="s">
        <v>264</v>
      </c>
      <c r="D155" t="s">
        <v>44</v>
      </c>
      <c r="E155" t="s">
        <v>57</v>
      </c>
      <c r="F155" t="s">
        <v>49</v>
      </c>
      <c r="G155">
        <v>48</v>
      </c>
      <c r="H155" s="6">
        <v>25.07</v>
      </c>
      <c r="I155">
        <v>1203.3599999999999</v>
      </c>
      <c r="J155">
        <v>29.93</v>
      </c>
      <c r="K155">
        <v>429.43</v>
      </c>
      <c r="L155" t="s">
        <v>23</v>
      </c>
      <c r="M155" t="s">
        <v>24</v>
      </c>
      <c r="N155" t="s">
        <v>19</v>
      </c>
      <c r="O155">
        <f>_xlfn.XLOOKUP(E155,[1]Products!$B$2:$B$11,[1]Products!$F$2:$F$11)</f>
        <v>15.5</v>
      </c>
      <c r="P155">
        <f t="shared" si="4"/>
        <v>744</v>
      </c>
      <c r="Q155" s="3">
        <f t="shared" si="5"/>
        <v>0.35685912777556178</v>
      </c>
      <c r="R155">
        <f>MONTH(Table1[[#This Row],[Order_Date]])</f>
        <v>2</v>
      </c>
    </row>
    <row r="156" spans="1:18" x14ac:dyDescent="0.3">
      <c r="A156" t="s">
        <v>280</v>
      </c>
      <c r="B156" t="s">
        <v>675</v>
      </c>
      <c r="C156" t="s">
        <v>31</v>
      </c>
      <c r="D156" t="s">
        <v>32</v>
      </c>
      <c r="E156" t="s">
        <v>22</v>
      </c>
      <c r="F156" t="s">
        <v>16</v>
      </c>
      <c r="G156">
        <v>31</v>
      </c>
      <c r="H156" s="6">
        <v>30.53</v>
      </c>
      <c r="I156">
        <v>946.43</v>
      </c>
      <c r="J156">
        <v>72.150000000000006</v>
      </c>
      <c r="K156">
        <v>316.27999999999997</v>
      </c>
      <c r="L156" t="s">
        <v>35</v>
      </c>
      <c r="M156" t="s">
        <v>24</v>
      </c>
      <c r="N156" t="s">
        <v>36</v>
      </c>
      <c r="O156">
        <f>_xlfn.XLOOKUP(E156,[1]Products!$B$2:$B$11,[1]Products!$F$2:$F$11)</f>
        <v>18</v>
      </c>
      <c r="P156">
        <f t="shared" si="4"/>
        <v>558</v>
      </c>
      <c r="Q156" s="3">
        <f t="shared" si="5"/>
        <v>0.33418213708356664</v>
      </c>
      <c r="R156">
        <f>MONTH(Table1[[#This Row],[Order_Date]])</f>
        <v>5</v>
      </c>
    </row>
    <row r="157" spans="1:18" x14ac:dyDescent="0.3">
      <c r="A157" t="s">
        <v>281</v>
      </c>
      <c r="B157" t="s">
        <v>670</v>
      </c>
      <c r="C157" t="s">
        <v>282</v>
      </c>
      <c r="D157" t="s">
        <v>82</v>
      </c>
      <c r="E157" t="s">
        <v>48</v>
      </c>
      <c r="F157" t="s">
        <v>49</v>
      </c>
      <c r="G157">
        <v>33</v>
      </c>
      <c r="H157" s="6">
        <v>31</v>
      </c>
      <c r="I157">
        <v>1023</v>
      </c>
      <c r="J157">
        <v>63.94</v>
      </c>
      <c r="K157">
        <v>216.56</v>
      </c>
      <c r="L157" t="s">
        <v>23</v>
      </c>
      <c r="M157" t="s">
        <v>18</v>
      </c>
      <c r="N157" t="s">
        <v>83</v>
      </c>
      <c r="O157">
        <f>_xlfn.XLOOKUP(E157,[1]Products!$B$2:$B$11,[1]Products!$F$2:$F$11)</f>
        <v>22.5</v>
      </c>
      <c r="P157">
        <f t="shared" si="4"/>
        <v>742.5</v>
      </c>
      <c r="Q157" s="3">
        <f t="shared" si="5"/>
        <v>0.21169110459433041</v>
      </c>
      <c r="R157">
        <f>MONTH(Table1[[#This Row],[Order_Date]])</f>
        <v>12</v>
      </c>
    </row>
    <row r="158" spans="1:18" x14ac:dyDescent="0.3">
      <c r="A158" t="s">
        <v>283</v>
      </c>
      <c r="B158" t="s">
        <v>664</v>
      </c>
      <c r="C158" t="s">
        <v>115</v>
      </c>
      <c r="D158" t="s">
        <v>653</v>
      </c>
      <c r="E158" t="s">
        <v>57</v>
      </c>
      <c r="F158" t="s">
        <v>49</v>
      </c>
      <c r="G158">
        <v>32</v>
      </c>
      <c r="H158" s="6">
        <v>20.86</v>
      </c>
      <c r="I158">
        <v>667.52</v>
      </c>
      <c r="J158">
        <v>21.62</v>
      </c>
      <c r="K158">
        <v>149.9</v>
      </c>
      <c r="L158" t="s">
        <v>35</v>
      </c>
      <c r="M158" t="s">
        <v>29</v>
      </c>
      <c r="N158" t="s">
        <v>25</v>
      </c>
      <c r="O158">
        <f>_xlfn.XLOOKUP(E158,[1]Products!$B$2:$B$11,[1]Products!$F$2:$F$11)</f>
        <v>15.5</v>
      </c>
      <c r="P158">
        <f t="shared" si="4"/>
        <v>496</v>
      </c>
      <c r="Q158" s="3">
        <f t="shared" si="5"/>
        <v>0.22456255992329818</v>
      </c>
      <c r="R158">
        <f>MONTH(Table1[[#This Row],[Order_Date]])</f>
        <v>10</v>
      </c>
    </row>
    <row r="159" spans="1:18" x14ac:dyDescent="0.3">
      <c r="A159" t="s">
        <v>284</v>
      </c>
      <c r="B159" t="s">
        <v>667</v>
      </c>
      <c r="C159" t="s">
        <v>135</v>
      </c>
      <c r="D159" t="s">
        <v>147</v>
      </c>
      <c r="E159" t="s">
        <v>45</v>
      </c>
      <c r="F159" t="s">
        <v>34</v>
      </c>
      <c r="G159">
        <v>18</v>
      </c>
      <c r="H159" s="6">
        <v>24.61</v>
      </c>
      <c r="I159">
        <v>442.98</v>
      </c>
      <c r="J159">
        <v>26.99</v>
      </c>
      <c r="K159">
        <v>55.99</v>
      </c>
      <c r="L159" t="s">
        <v>35</v>
      </c>
      <c r="M159" t="s">
        <v>18</v>
      </c>
      <c r="N159" t="s">
        <v>25</v>
      </c>
      <c r="O159">
        <f>_xlfn.XLOOKUP(E159,[1]Products!$B$2:$B$11,[1]Products!$F$2:$F$11)</f>
        <v>20</v>
      </c>
      <c r="P159">
        <f t="shared" si="4"/>
        <v>360</v>
      </c>
      <c r="Q159" s="3">
        <f t="shared" si="5"/>
        <v>0.12639396812497178</v>
      </c>
      <c r="R159">
        <f>MONTH(Table1[[#This Row],[Order_Date]])</f>
        <v>9</v>
      </c>
    </row>
    <row r="160" spans="1:18" x14ac:dyDescent="0.3">
      <c r="A160" t="s">
        <v>285</v>
      </c>
      <c r="B160" t="s">
        <v>664</v>
      </c>
      <c r="C160" t="s">
        <v>91</v>
      </c>
      <c r="D160" t="s">
        <v>66</v>
      </c>
      <c r="E160" t="s">
        <v>40</v>
      </c>
      <c r="F160" t="s">
        <v>41</v>
      </c>
      <c r="G160">
        <v>18</v>
      </c>
      <c r="H160" s="6">
        <v>64.83</v>
      </c>
      <c r="I160">
        <v>1166.94</v>
      </c>
      <c r="J160">
        <v>34.28</v>
      </c>
      <c r="K160">
        <v>412.66</v>
      </c>
      <c r="L160" t="s">
        <v>35</v>
      </c>
      <c r="M160" t="s">
        <v>18</v>
      </c>
      <c r="N160" t="s">
        <v>55</v>
      </c>
      <c r="O160">
        <f>_xlfn.XLOOKUP(E160,[1]Products!$B$2:$B$11,[1]Products!$F$2:$F$11)</f>
        <v>40</v>
      </c>
      <c r="P160">
        <f t="shared" si="4"/>
        <v>720</v>
      </c>
      <c r="Q160" s="3">
        <f t="shared" si="5"/>
        <v>0.35362572197370901</v>
      </c>
      <c r="R160">
        <f>MONTH(Table1[[#This Row],[Order_Date]])</f>
        <v>10</v>
      </c>
    </row>
    <row r="161" spans="1:18" x14ac:dyDescent="0.3">
      <c r="A161" t="s">
        <v>286</v>
      </c>
      <c r="B161" t="s">
        <v>673</v>
      </c>
      <c r="C161" t="s">
        <v>287</v>
      </c>
      <c r="D161" t="s">
        <v>44</v>
      </c>
      <c r="E161" t="s">
        <v>45</v>
      </c>
      <c r="F161" t="s">
        <v>34</v>
      </c>
      <c r="G161">
        <v>49</v>
      </c>
      <c r="H161" s="6">
        <v>29.52</v>
      </c>
      <c r="I161">
        <v>1446.48</v>
      </c>
      <c r="J161">
        <v>104.7</v>
      </c>
      <c r="K161">
        <v>361.78</v>
      </c>
      <c r="L161" t="s">
        <v>35</v>
      </c>
      <c r="M161" t="s">
        <v>29</v>
      </c>
      <c r="N161" t="s">
        <v>19</v>
      </c>
      <c r="O161">
        <f>_xlfn.XLOOKUP(E161,[1]Products!$B$2:$B$11,[1]Products!$F$2:$F$11)</f>
        <v>20</v>
      </c>
      <c r="P161">
        <f t="shared" si="4"/>
        <v>980</v>
      </c>
      <c r="Q161" s="3">
        <f t="shared" si="5"/>
        <v>0.25011061335103146</v>
      </c>
      <c r="R161">
        <f>MONTH(Table1[[#This Row],[Order_Date]])</f>
        <v>7</v>
      </c>
    </row>
    <row r="162" spans="1:18" x14ac:dyDescent="0.3">
      <c r="A162" t="s">
        <v>288</v>
      </c>
      <c r="B162" t="s">
        <v>673</v>
      </c>
      <c r="C162" t="s">
        <v>289</v>
      </c>
      <c r="D162" t="s">
        <v>82</v>
      </c>
      <c r="E162" t="s">
        <v>45</v>
      </c>
      <c r="F162" t="s">
        <v>34</v>
      </c>
      <c r="G162">
        <v>10</v>
      </c>
      <c r="H162" s="6">
        <v>26.73</v>
      </c>
      <c r="I162">
        <v>267.3</v>
      </c>
      <c r="J162">
        <v>10.210000000000001</v>
      </c>
      <c r="K162">
        <v>57.09</v>
      </c>
      <c r="L162" t="s">
        <v>35</v>
      </c>
      <c r="M162" t="s">
        <v>29</v>
      </c>
      <c r="N162" t="s">
        <v>83</v>
      </c>
      <c r="O162">
        <f>_xlfn.XLOOKUP(E162,[1]Products!$B$2:$B$11,[1]Products!$F$2:$F$11)</f>
        <v>20</v>
      </c>
      <c r="P162">
        <f t="shared" si="4"/>
        <v>200</v>
      </c>
      <c r="Q162" s="3">
        <f t="shared" si="5"/>
        <v>0.21358024691358024</v>
      </c>
      <c r="R162">
        <f>MONTH(Table1[[#This Row],[Order_Date]])</f>
        <v>7</v>
      </c>
    </row>
    <row r="163" spans="1:18" x14ac:dyDescent="0.3">
      <c r="A163" t="s">
        <v>290</v>
      </c>
      <c r="B163" t="s">
        <v>671</v>
      </c>
      <c r="C163" t="s">
        <v>59</v>
      </c>
      <c r="D163" t="s">
        <v>653</v>
      </c>
      <c r="E163" t="s">
        <v>33</v>
      </c>
      <c r="F163" t="s">
        <v>34</v>
      </c>
      <c r="G163">
        <v>10</v>
      </c>
      <c r="H163" s="6">
        <v>54.45</v>
      </c>
      <c r="I163">
        <v>544.5</v>
      </c>
      <c r="J163">
        <v>16.59</v>
      </c>
      <c r="K163">
        <v>207.91</v>
      </c>
      <c r="L163" t="s">
        <v>17</v>
      </c>
      <c r="M163" t="s">
        <v>18</v>
      </c>
      <c r="N163" t="s">
        <v>25</v>
      </c>
      <c r="O163">
        <f>_xlfn.XLOOKUP(E163,[1]Products!$B$2:$B$11,[1]Products!$F$2:$F$11)</f>
        <v>32</v>
      </c>
      <c r="P163">
        <f t="shared" si="4"/>
        <v>320</v>
      </c>
      <c r="Q163" s="3">
        <f t="shared" si="5"/>
        <v>0.38183654729109273</v>
      </c>
      <c r="R163">
        <f>MONTH(Table1[[#This Row],[Order_Date]])</f>
        <v>2</v>
      </c>
    </row>
    <row r="164" spans="1:18" x14ac:dyDescent="0.3">
      <c r="A164" t="s">
        <v>291</v>
      </c>
      <c r="B164" t="s">
        <v>665</v>
      </c>
      <c r="C164" t="s">
        <v>59</v>
      </c>
      <c r="D164" t="s">
        <v>173</v>
      </c>
      <c r="E164" t="s">
        <v>22</v>
      </c>
      <c r="F164" t="s">
        <v>16</v>
      </c>
      <c r="G164">
        <v>46</v>
      </c>
      <c r="H164" s="6">
        <v>30.06</v>
      </c>
      <c r="I164">
        <v>1382.76</v>
      </c>
      <c r="J164">
        <v>77.17</v>
      </c>
      <c r="K164">
        <v>477.59</v>
      </c>
      <c r="L164" t="s">
        <v>23</v>
      </c>
      <c r="M164" t="s">
        <v>24</v>
      </c>
      <c r="N164" t="s">
        <v>55</v>
      </c>
      <c r="O164">
        <f>_xlfn.XLOOKUP(E164,[1]Products!$B$2:$B$11,[1]Products!$F$2:$F$11)</f>
        <v>18</v>
      </c>
      <c r="P164">
        <f t="shared" si="4"/>
        <v>828</v>
      </c>
      <c r="Q164" s="3">
        <f t="shared" si="5"/>
        <v>0.34538893228036677</v>
      </c>
      <c r="R164">
        <f>MONTH(Table1[[#This Row],[Order_Date]])</f>
        <v>6</v>
      </c>
    </row>
    <row r="165" spans="1:18" x14ac:dyDescent="0.3">
      <c r="A165" t="s">
        <v>292</v>
      </c>
      <c r="B165" t="s">
        <v>671</v>
      </c>
      <c r="C165" t="s">
        <v>293</v>
      </c>
      <c r="D165" t="s">
        <v>44</v>
      </c>
      <c r="E165" t="s">
        <v>57</v>
      </c>
      <c r="F165" t="s">
        <v>49</v>
      </c>
      <c r="G165">
        <v>25</v>
      </c>
      <c r="H165" s="6">
        <v>21.52</v>
      </c>
      <c r="I165">
        <v>538</v>
      </c>
      <c r="J165">
        <v>26.73</v>
      </c>
      <c r="K165">
        <v>123.77</v>
      </c>
      <c r="L165" t="s">
        <v>23</v>
      </c>
      <c r="M165" t="s">
        <v>18</v>
      </c>
      <c r="N165" t="s">
        <v>19</v>
      </c>
      <c r="O165">
        <f>_xlfn.XLOOKUP(E165,[1]Products!$B$2:$B$11,[1]Products!$F$2:$F$11)</f>
        <v>15.5</v>
      </c>
      <c r="P165">
        <f t="shared" si="4"/>
        <v>387.5</v>
      </c>
      <c r="Q165" s="3">
        <f t="shared" si="5"/>
        <v>0.23005576208178438</v>
      </c>
      <c r="R165">
        <f>MONTH(Table1[[#This Row],[Order_Date]])</f>
        <v>2</v>
      </c>
    </row>
    <row r="166" spans="1:18" x14ac:dyDescent="0.3">
      <c r="A166" t="s">
        <v>294</v>
      </c>
      <c r="B166" t="s">
        <v>671</v>
      </c>
      <c r="C166" t="s">
        <v>207</v>
      </c>
      <c r="D166" t="s">
        <v>173</v>
      </c>
      <c r="E166" t="s">
        <v>22</v>
      </c>
      <c r="F166" t="s">
        <v>16</v>
      </c>
      <c r="G166">
        <v>5</v>
      </c>
      <c r="H166" s="6">
        <v>26.25</v>
      </c>
      <c r="I166">
        <v>131.25</v>
      </c>
      <c r="J166">
        <v>3.35</v>
      </c>
      <c r="K166">
        <v>37.9</v>
      </c>
      <c r="L166" t="s">
        <v>23</v>
      </c>
      <c r="M166" t="s">
        <v>24</v>
      </c>
      <c r="N166" t="s">
        <v>55</v>
      </c>
      <c r="O166">
        <f>_xlfn.XLOOKUP(E166,[1]Products!$B$2:$B$11,[1]Products!$F$2:$F$11)</f>
        <v>18</v>
      </c>
      <c r="P166">
        <f t="shared" si="4"/>
        <v>90</v>
      </c>
      <c r="Q166" s="3">
        <f t="shared" si="5"/>
        <v>0.28876190476190478</v>
      </c>
      <c r="R166">
        <f>MONTH(Table1[[#This Row],[Order_Date]])</f>
        <v>2</v>
      </c>
    </row>
    <row r="167" spans="1:18" x14ac:dyDescent="0.3">
      <c r="A167" t="s">
        <v>295</v>
      </c>
      <c r="B167" t="s">
        <v>665</v>
      </c>
      <c r="C167" t="s">
        <v>296</v>
      </c>
      <c r="D167" t="s">
        <v>653</v>
      </c>
      <c r="E167" t="s">
        <v>53</v>
      </c>
      <c r="F167" t="s">
        <v>54</v>
      </c>
      <c r="G167">
        <v>10</v>
      </c>
      <c r="H167" s="6">
        <v>31.48</v>
      </c>
      <c r="I167">
        <v>314.8</v>
      </c>
      <c r="J167">
        <v>10.23</v>
      </c>
      <c r="K167">
        <v>54.57</v>
      </c>
      <c r="L167" t="s">
        <v>35</v>
      </c>
      <c r="M167" t="s">
        <v>29</v>
      </c>
      <c r="N167" t="s">
        <v>25</v>
      </c>
      <c r="O167">
        <f>_xlfn.XLOOKUP(E167,[1]Products!$B$2:$B$11,[1]Products!$F$2:$F$11)</f>
        <v>25</v>
      </c>
      <c r="P167">
        <f t="shared" si="4"/>
        <v>250</v>
      </c>
      <c r="Q167" s="3">
        <f t="shared" si="5"/>
        <v>0.17334815756035576</v>
      </c>
      <c r="R167">
        <f>MONTH(Table1[[#This Row],[Order_Date]])</f>
        <v>6</v>
      </c>
    </row>
    <row r="168" spans="1:18" x14ac:dyDescent="0.3">
      <c r="A168" t="s">
        <v>297</v>
      </c>
      <c r="B168" t="s">
        <v>668</v>
      </c>
      <c r="C168" t="s">
        <v>106</v>
      </c>
      <c r="D168" t="s">
        <v>32</v>
      </c>
      <c r="E168" t="s">
        <v>45</v>
      </c>
      <c r="F168" t="s">
        <v>34</v>
      </c>
      <c r="G168">
        <v>21</v>
      </c>
      <c r="H168" s="6">
        <v>30.91</v>
      </c>
      <c r="I168">
        <v>649.11</v>
      </c>
      <c r="J168">
        <v>38.42</v>
      </c>
      <c r="K168">
        <v>190.69</v>
      </c>
      <c r="L168" t="s">
        <v>23</v>
      </c>
      <c r="M168" t="s">
        <v>29</v>
      </c>
      <c r="N168" t="s">
        <v>36</v>
      </c>
      <c r="O168">
        <f>_xlfn.XLOOKUP(E168,[1]Products!$B$2:$B$11,[1]Products!$F$2:$F$11)</f>
        <v>20</v>
      </c>
      <c r="P168">
        <f t="shared" si="4"/>
        <v>420</v>
      </c>
      <c r="Q168" s="3">
        <f t="shared" si="5"/>
        <v>0.29377147170741474</v>
      </c>
      <c r="R168">
        <f>MONTH(Table1[[#This Row],[Order_Date]])</f>
        <v>8</v>
      </c>
    </row>
    <row r="169" spans="1:18" x14ac:dyDescent="0.3">
      <c r="A169" t="s">
        <v>298</v>
      </c>
      <c r="B169" t="s">
        <v>666</v>
      </c>
      <c r="C169" t="s">
        <v>299</v>
      </c>
      <c r="D169" t="s">
        <v>66</v>
      </c>
      <c r="E169" t="s">
        <v>60</v>
      </c>
      <c r="F169" t="s">
        <v>34</v>
      </c>
      <c r="G169">
        <v>29</v>
      </c>
      <c r="H169" s="6">
        <v>18.47</v>
      </c>
      <c r="I169">
        <v>535.63</v>
      </c>
      <c r="J169">
        <v>13.21</v>
      </c>
      <c r="K169">
        <v>152.66999999999999</v>
      </c>
      <c r="L169" t="s">
        <v>17</v>
      </c>
      <c r="M169" t="s">
        <v>18</v>
      </c>
      <c r="N169" t="s">
        <v>55</v>
      </c>
      <c r="O169">
        <f>_xlfn.XLOOKUP(E169,[1]Products!$B$2:$B$11,[1]Products!$F$2:$F$11)</f>
        <v>12.75</v>
      </c>
      <c r="P169">
        <f t="shared" si="4"/>
        <v>369.75</v>
      </c>
      <c r="Q169" s="3">
        <f t="shared" si="5"/>
        <v>0.28502884453820732</v>
      </c>
      <c r="R169">
        <f>MONTH(Table1[[#This Row],[Order_Date]])</f>
        <v>5</v>
      </c>
    </row>
    <row r="170" spans="1:18" x14ac:dyDescent="0.3">
      <c r="A170" t="s">
        <v>300</v>
      </c>
      <c r="B170" t="s">
        <v>676</v>
      </c>
      <c r="C170" t="s">
        <v>111</v>
      </c>
      <c r="D170" t="s">
        <v>44</v>
      </c>
      <c r="E170" t="s">
        <v>15</v>
      </c>
      <c r="F170" t="s">
        <v>16</v>
      </c>
      <c r="G170">
        <v>36</v>
      </c>
      <c r="H170" s="6">
        <v>44.79</v>
      </c>
      <c r="I170">
        <v>1612.44</v>
      </c>
      <c r="J170">
        <v>68.599999999999994</v>
      </c>
      <c r="K170">
        <v>283.83999999999997</v>
      </c>
      <c r="L170" t="s">
        <v>35</v>
      </c>
      <c r="M170" t="s">
        <v>24</v>
      </c>
      <c r="N170" t="s">
        <v>19</v>
      </c>
      <c r="O170">
        <f>_xlfn.XLOOKUP(E170,[1]Products!$B$2:$B$11,[1]Products!$F$2:$F$11)</f>
        <v>35</v>
      </c>
      <c r="P170">
        <f t="shared" si="4"/>
        <v>1260</v>
      </c>
      <c r="Q170" s="3">
        <f t="shared" si="5"/>
        <v>0.1760313562055022</v>
      </c>
      <c r="R170">
        <f>MONTH(Table1[[#This Row],[Order_Date]])</f>
        <v>11</v>
      </c>
    </row>
    <row r="171" spans="1:18" x14ac:dyDescent="0.3">
      <c r="A171" t="s">
        <v>301</v>
      </c>
      <c r="B171" t="s">
        <v>663</v>
      </c>
      <c r="C171" t="s">
        <v>302</v>
      </c>
      <c r="D171" t="s">
        <v>32</v>
      </c>
      <c r="E171" t="s">
        <v>57</v>
      </c>
      <c r="F171" t="s">
        <v>49</v>
      </c>
      <c r="G171">
        <v>3</v>
      </c>
      <c r="H171" s="6">
        <v>18.86</v>
      </c>
      <c r="I171">
        <v>56.58</v>
      </c>
      <c r="J171">
        <v>2.61</v>
      </c>
      <c r="K171">
        <v>7.47</v>
      </c>
      <c r="L171" t="s">
        <v>23</v>
      </c>
      <c r="M171" t="s">
        <v>29</v>
      </c>
      <c r="N171" t="s">
        <v>36</v>
      </c>
      <c r="O171">
        <f>_xlfn.XLOOKUP(E171,[1]Products!$B$2:$B$11,[1]Products!$F$2:$F$11)</f>
        <v>15.5</v>
      </c>
      <c r="P171">
        <f t="shared" si="4"/>
        <v>46.5</v>
      </c>
      <c r="Q171" s="3">
        <f t="shared" si="5"/>
        <v>0.1320254506892895</v>
      </c>
      <c r="R171">
        <f>MONTH(Table1[[#This Row],[Order_Date]])</f>
        <v>4</v>
      </c>
    </row>
    <row r="172" spans="1:18" x14ac:dyDescent="0.3">
      <c r="A172" t="s">
        <v>303</v>
      </c>
      <c r="B172" t="s">
        <v>676</v>
      </c>
      <c r="C172" t="s">
        <v>47</v>
      </c>
      <c r="D172" t="s">
        <v>52</v>
      </c>
      <c r="E172" t="s">
        <v>79</v>
      </c>
      <c r="F172" t="s">
        <v>49</v>
      </c>
      <c r="G172">
        <v>10</v>
      </c>
      <c r="H172" s="6">
        <v>45.86</v>
      </c>
      <c r="I172">
        <v>458.6</v>
      </c>
      <c r="J172">
        <v>14.4</v>
      </c>
      <c r="K172">
        <v>164.2</v>
      </c>
      <c r="L172" t="s">
        <v>35</v>
      </c>
      <c r="M172" t="s">
        <v>18</v>
      </c>
      <c r="N172" t="s">
        <v>55</v>
      </c>
      <c r="O172">
        <f>_xlfn.XLOOKUP(E172,[1]Products!$B$2:$B$11,[1]Products!$F$2:$F$11)</f>
        <v>28</v>
      </c>
      <c r="P172">
        <f t="shared" si="4"/>
        <v>280</v>
      </c>
      <c r="Q172" s="3">
        <f t="shared" si="5"/>
        <v>0.35804622764936761</v>
      </c>
      <c r="R172">
        <f>MONTH(Table1[[#This Row],[Order_Date]])</f>
        <v>11</v>
      </c>
    </row>
    <row r="173" spans="1:18" x14ac:dyDescent="0.3">
      <c r="A173" t="s">
        <v>304</v>
      </c>
      <c r="B173" t="s">
        <v>671</v>
      </c>
      <c r="C173" t="s">
        <v>302</v>
      </c>
      <c r="D173" t="s">
        <v>28</v>
      </c>
      <c r="E173" t="s">
        <v>22</v>
      </c>
      <c r="F173" t="s">
        <v>16</v>
      </c>
      <c r="G173">
        <v>1</v>
      </c>
      <c r="H173" s="6">
        <v>24.64</v>
      </c>
      <c r="I173">
        <v>24.64</v>
      </c>
      <c r="J173">
        <v>0.65</v>
      </c>
      <c r="K173">
        <v>5.99</v>
      </c>
      <c r="L173" t="s">
        <v>35</v>
      </c>
      <c r="M173" t="s">
        <v>24</v>
      </c>
      <c r="N173" t="s">
        <v>25</v>
      </c>
      <c r="O173">
        <f>_xlfn.XLOOKUP(E173,[1]Products!$B$2:$B$11,[1]Products!$F$2:$F$11)</f>
        <v>18</v>
      </c>
      <c r="P173">
        <f t="shared" si="4"/>
        <v>18</v>
      </c>
      <c r="Q173" s="3">
        <f t="shared" si="5"/>
        <v>0.24310064935064934</v>
      </c>
      <c r="R173">
        <f>MONTH(Table1[[#This Row],[Order_Date]])</f>
        <v>2</v>
      </c>
    </row>
    <row r="174" spans="1:18" x14ac:dyDescent="0.3">
      <c r="A174" t="s">
        <v>305</v>
      </c>
      <c r="B174" t="s">
        <v>673</v>
      </c>
      <c r="C174" t="s">
        <v>150</v>
      </c>
      <c r="D174" t="s">
        <v>28</v>
      </c>
      <c r="E174" t="s">
        <v>57</v>
      </c>
      <c r="F174" t="s">
        <v>49</v>
      </c>
      <c r="G174">
        <v>49</v>
      </c>
      <c r="H174" s="6">
        <v>22.8</v>
      </c>
      <c r="I174">
        <v>1117.2</v>
      </c>
      <c r="J174">
        <v>51.06</v>
      </c>
      <c r="K174">
        <v>306.64</v>
      </c>
      <c r="L174" t="s">
        <v>17</v>
      </c>
      <c r="M174" t="s">
        <v>24</v>
      </c>
      <c r="N174" t="s">
        <v>25</v>
      </c>
      <c r="O174">
        <f>_xlfn.XLOOKUP(E174,[1]Products!$B$2:$B$11,[1]Products!$F$2:$F$11)</f>
        <v>15.5</v>
      </c>
      <c r="P174">
        <f t="shared" si="4"/>
        <v>759.5</v>
      </c>
      <c r="Q174" s="3">
        <f t="shared" si="5"/>
        <v>0.27447189402076616</v>
      </c>
      <c r="R174">
        <f>MONTH(Table1[[#This Row],[Order_Date]])</f>
        <v>7</v>
      </c>
    </row>
    <row r="175" spans="1:18" x14ac:dyDescent="0.3">
      <c r="A175" t="s">
        <v>306</v>
      </c>
      <c r="B175" t="s">
        <v>664</v>
      </c>
      <c r="C175" t="s">
        <v>189</v>
      </c>
      <c r="D175" t="s">
        <v>44</v>
      </c>
      <c r="E175" t="s">
        <v>15</v>
      </c>
      <c r="F175" t="s">
        <v>16</v>
      </c>
      <c r="G175">
        <v>32</v>
      </c>
      <c r="H175" s="6">
        <v>44.5</v>
      </c>
      <c r="I175">
        <v>1424</v>
      </c>
      <c r="J175">
        <v>43.92</v>
      </c>
      <c r="K175">
        <v>260.08</v>
      </c>
      <c r="L175" t="s">
        <v>35</v>
      </c>
      <c r="M175" t="s">
        <v>24</v>
      </c>
      <c r="N175" t="s">
        <v>19</v>
      </c>
      <c r="O175">
        <f>_xlfn.XLOOKUP(E175,[1]Products!$B$2:$B$11,[1]Products!$F$2:$F$11)</f>
        <v>35</v>
      </c>
      <c r="P175">
        <f t="shared" si="4"/>
        <v>1120</v>
      </c>
      <c r="Q175" s="3">
        <f t="shared" si="5"/>
        <v>0.18264044943820223</v>
      </c>
      <c r="R175">
        <f>MONTH(Table1[[#This Row],[Order_Date]])</f>
        <v>10</v>
      </c>
    </row>
    <row r="176" spans="1:18" x14ac:dyDescent="0.3">
      <c r="A176" t="s">
        <v>307</v>
      </c>
      <c r="B176" t="s">
        <v>668</v>
      </c>
      <c r="C176" t="s">
        <v>205</v>
      </c>
      <c r="D176" t="s">
        <v>32</v>
      </c>
      <c r="E176" t="s">
        <v>15</v>
      </c>
      <c r="F176" t="s">
        <v>16</v>
      </c>
      <c r="G176">
        <v>43</v>
      </c>
      <c r="H176" s="6">
        <v>55.74</v>
      </c>
      <c r="I176">
        <v>2396.8200000000002</v>
      </c>
      <c r="J176">
        <v>63.85</v>
      </c>
      <c r="K176">
        <v>827.97</v>
      </c>
      <c r="L176" t="s">
        <v>23</v>
      </c>
      <c r="M176" t="s">
        <v>29</v>
      </c>
      <c r="N176" t="s">
        <v>36</v>
      </c>
      <c r="O176">
        <f>_xlfn.XLOOKUP(E176,[1]Products!$B$2:$B$11,[1]Products!$F$2:$F$11)</f>
        <v>35</v>
      </c>
      <c r="P176">
        <f t="shared" si="4"/>
        <v>1505</v>
      </c>
      <c r="Q176" s="3">
        <f t="shared" si="5"/>
        <v>0.34544521490975544</v>
      </c>
      <c r="R176">
        <f>MONTH(Table1[[#This Row],[Order_Date]])</f>
        <v>8</v>
      </c>
    </row>
    <row r="177" spans="1:18" x14ac:dyDescent="0.3">
      <c r="A177" t="s">
        <v>308</v>
      </c>
      <c r="B177" t="s">
        <v>664</v>
      </c>
      <c r="C177" t="s">
        <v>101</v>
      </c>
      <c r="D177" t="s">
        <v>66</v>
      </c>
      <c r="E177" t="s">
        <v>57</v>
      </c>
      <c r="F177" t="s">
        <v>49</v>
      </c>
      <c r="G177">
        <v>19</v>
      </c>
      <c r="H177" s="6">
        <v>25.78</v>
      </c>
      <c r="I177">
        <v>489.82</v>
      </c>
      <c r="J177">
        <v>28.4</v>
      </c>
      <c r="K177">
        <v>166.92</v>
      </c>
      <c r="L177" t="s">
        <v>35</v>
      </c>
      <c r="M177" t="s">
        <v>24</v>
      </c>
      <c r="N177" t="s">
        <v>55</v>
      </c>
      <c r="O177">
        <f>_xlfn.XLOOKUP(E177,[1]Products!$B$2:$B$11,[1]Products!$F$2:$F$11)</f>
        <v>15.5</v>
      </c>
      <c r="P177">
        <f t="shared" si="4"/>
        <v>294.5</v>
      </c>
      <c r="Q177" s="3">
        <f t="shared" si="5"/>
        <v>0.3407782450696174</v>
      </c>
      <c r="R177">
        <f>MONTH(Table1[[#This Row],[Order_Date]])</f>
        <v>10</v>
      </c>
    </row>
    <row r="178" spans="1:18" x14ac:dyDescent="0.3">
      <c r="A178" t="s">
        <v>309</v>
      </c>
      <c r="B178" t="s">
        <v>671</v>
      </c>
      <c r="C178" t="s">
        <v>242</v>
      </c>
      <c r="D178" t="s">
        <v>44</v>
      </c>
      <c r="E178" t="s">
        <v>22</v>
      </c>
      <c r="F178" t="s">
        <v>16</v>
      </c>
      <c r="G178">
        <v>43</v>
      </c>
      <c r="H178" s="6">
        <v>30.43</v>
      </c>
      <c r="I178">
        <v>1308.49</v>
      </c>
      <c r="J178">
        <v>35.340000000000003</v>
      </c>
      <c r="K178">
        <v>499.15</v>
      </c>
      <c r="L178" t="s">
        <v>23</v>
      </c>
      <c r="M178" t="s">
        <v>24</v>
      </c>
      <c r="N178" t="s">
        <v>19</v>
      </c>
      <c r="O178">
        <f>_xlfn.XLOOKUP(E178,[1]Products!$B$2:$B$11,[1]Products!$F$2:$F$11)</f>
        <v>18</v>
      </c>
      <c r="P178">
        <f t="shared" si="4"/>
        <v>774</v>
      </c>
      <c r="Q178" s="3">
        <f t="shared" si="5"/>
        <v>0.38147024432743082</v>
      </c>
      <c r="R178">
        <f>MONTH(Table1[[#This Row],[Order_Date]])</f>
        <v>2</v>
      </c>
    </row>
    <row r="179" spans="1:18" x14ac:dyDescent="0.3">
      <c r="A179" t="s">
        <v>310</v>
      </c>
      <c r="B179" t="s">
        <v>670</v>
      </c>
      <c r="C179" t="s">
        <v>311</v>
      </c>
      <c r="D179" t="s">
        <v>102</v>
      </c>
      <c r="E179" t="s">
        <v>57</v>
      </c>
      <c r="F179" t="s">
        <v>49</v>
      </c>
      <c r="G179">
        <v>17</v>
      </c>
      <c r="H179" s="6">
        <v>18.71</v>
      </c>
      <c r="I179">
        <v>318.07</v>
      </c>
      <c r="J179">
        <v>22.03</v>
      </c>
      <c r="K179">
        <v>32.54</v>
      </c>
      <c r="L179" t="s">
        <v>35</v>
      </c>
      <c r="M179" t="s">
        <v>18</v>
      </c>
      <c r="N179" t="s">
        <v>25</v>
      </c>
      <c r="O179">
        <f>_xlfn.XLOOKUP(E179,[1]Products!$B$2:$B$11,[1]Products!$F$2:$F$11)</f>
        <v>15.5</v>
      </c>
      <c r="P179">
        <f t="shared" si="4"/>
        <v>263.5</v>
      </c>
      <c r="Q179" s="3">
        <f t="shared" si="5"/>
        <v>0.10230452416134814</v>
      </c>
      <c r="R179">
        <f>MONTH(Table1[[#This Row],[Order_Date]])</f>
        <v>12</v>
      </c>
    </row>
    <row r="180" spans="1:18" x14ac:dyDescent="0.3">
      <c r="A180" t="s">
        <v>312</v>
      </c>
      <c r="B180" t="s">
        <v>672</v>
      </c>
      <c r="C180" t="s">
        <v>38</v>
      </c>
      <c r="D180" t="s">
        <v>52</v>
      </c>
      <c r="E180" t="s">
        <v>57</v>
      </c>
      <c r="F180" t="s">
        <v>49</v>
      </c>
      <c r="G180">
        <v>44</v>
      </c>
      <c r="H180" s="6">
        <v>23.87</v>
      </c>
      <c r="I180">
        <v>1050.28</v>
      </c>
      <c r="J180">
        <v>33.51</v>
      </c>
      <c r="K180">
        <v>334.77</v>
      </c>
      <c r="L180" t="s">
        <v>17</v>
      </c>
      <c r="M180" t="s">
        <v>24</v>
      </c>
      <c r="N180" t="s">
        <v>55</v>
      </c>
      <c r="O180">
        <f>_xlfn.XLOOKUP(E180,[1]Products!$B$2:$B$11,[1]Products!$F$2:$F$11)</f>
        <v>15.5</v>
      </c>
      <c r="P180">
        <f t="shared" si="4"/>
        <v>682</v>
      </c>
      <c r="Q180" s="3">
        <f t="shared" si="5"/>
        <v>0.31874357314240009</v>
      </c>
      <c r="R180">
        <f>MONTH(Table1[[#This Row],[Order_Date]])</f>
        <v>3</v>
      </c>
    </row>
    <row r="181" spans="1:18" x14ac:dyDescent="0.3">
      <c r="A181" t="s">
        <v>313</v>
      </c>
      <c r="B181" t="s">
        <v>667</v>
      </c>
      <c r="C181" t="s">
        <v>117</v>
      </c>
      <c r="D181" t="s">
        <v>125</v>
      </c>
      <c r="E181" t="s">
        <v>33</v>
      </c>
      <c r="F181" t="s">
        <v>34</v>
      </c>
      <c r="G181">
        <v>12</v>
      </c>
      <c r="H181" s="6">
        <v>42.91</v>
      </c>
      <c r="I181">
        <v>514.91999999999996</v>
      </c>
      <c r="J181">
        <v>15.18</v>
      </c>
      <c r="K181">
        <v>115.74</v>
      </c>
      <c r="L181" t="s">
        <v>35</v>
      </c>
      <c r="M181" t="s">
        <v>29</v>
      </c>
      <c r="N181" t="s">
        <v>126</v>
      </c>
      <c r="O181">
        <f>_xlfn.XLOOKUP(E181,[1]Products!$B$2:$B$11,[1]Products!$F$2:$F$11)</f>
        <v>32</v>
      </c>
      <c r="P181">
        <f t="shared" si="4"/>
        <v>384</v>
      </c>
      <c r="Q181" s="3">
        <f t="shared" si="5"/>
        <v>0.22477278023770683</v>
      </c>
      <c r="R181">
        <f>MONTH(Table1[[#This Row],[Order_Date]])</f>
        <v>9</v>
      </c>
    </row>
    <row r="182" spans="1:18" x14ac:dyDescent="0.3">
      <c r="A182" t="s">
        <v>314</v>
      </c>
      <c r="B182" t="s">
        <v>676</v>
      </c>
      <c r="C182" t="s">
        <v>315</v>
      </c>
      <c r="D182" t="s">
        <v>173</v>
      </c>
      <c r="E182" t="s">
        <v>40</v>
      </c>
      <c r="F182" t="s">
        <v>41</v>
      </c>
      <c r="G182">
        <v>21</v>
      </c>
      <c r="H182" s="6">
        <v>50.49</v>
      </c>
      <c r="I182">
        <v>1060.29</v>
      </c>
      <c r="J182">
        <v>32.340000000000003</v>
      </c>
      <c r="K182">
        <v>187.95</v>
      </c>
      <c r="L182" t="s">
        <v>35</v>
      </c>
      <c r="M182" t="s">
        <v>18</v>
      </c>
      <c r="N182" t="s">
        <v>55</v>
      </c>
      <c r="O182">
        <f>_xlfn.XLOOKUP(E182,[1]Products!$B$2:$B$11,[1]Products!$F$2:$F$11)</f>
        <v>40</v>
      </c>
      <c r="P182">
        <f t="shared" si="4"/>
        <v>840</v>
      </c>
      <c r="Q182" s="3">
        <f t="shared" si="5"/>
        <v>0.17726282432164783</v>
      </c>
      <c r="R182">
        <f>MONTH(Table1[[#This Row],[Order_Date]])</f>
        <v>11</v>
      </c>
    </row>
    <row r="183" spans="1:18" x14ac:dyDescent="0.3">
      <c r="A183" t="s">
        <v>316</v>
      </c>
      <c r="B183" t="s">
        <v>670</v>
      </c>
      <c r="C183" t="s">
        <v>189</v>
      </c>
      <c r="D183" t="s">
        <v>28</v>
      </c>
      <c r="E183" t="s">
        <v>15</v>
      </c>
      <c r="F183" t="s">
        <v>16</v>
      </c>
      <c r="G183">
        <v>41</v>
      </c>
      <c r="H183" s="6">
        <v>43.18</v>
      </c>
      <c r="I183">
        <v>1770.38</v>
      </c>
      <c r="J183">
        <v>128.4</v>
      </c>
      <c r="K183">
        <v>206.98</v>
      </c>
      <c r="L183" t="s">
        <v>23</v>
      </c>
      <c r="M183" t="s">
        <v>29</v>
      </c>
      <c r="N183" t="s">
        <v>25</v>
      </c>
      <c r="O183">
        <f>_xlfn.XLOOKUP(E183,[1]Products!$B$2:$B$11,[1]Products!$F$2:$F$11)</f>
        <v>35</v>
      </c>
      <c r="P183">
        <f t="shared" si="4"/>
        <v>1435</v>
      </c>
      <c r="Q183" s="3">
        <f t="shared" si="5"/>
        <v>0.11691275319422947</v>
      </c>
      <c r="R183">
        <f>MONTH(Table1[[#This Row],[Order_Date]])</f>
        <v>12</v>
      </c>
    </row>
    <row r="184" spans="1:18" x14ac:dyDescent="0.3">
      <c r="A184" t="s">
        <v>317</v>
      </c>
      <c r="B184" t="s">
        <v>672</v>
      </c>
      <c r="C184" t="s">
        <v>96</v>
      </c>
      <c r="D184" t="s">
        <v>125</v>
      </c>
      <c r="E184" t="s">
        <v>60</v>
      </c>
      <c r="F184" t="s">
        <v>34</v>
      </c>
      <c r="G184">
        <v>37</v>
      </c>
      <c r="H184" s="6">
        <v>19.8</v>
      </c>
      <c r="I184">
        <v>732.6</v>
      </c>
      <c r="J184">
        <v>54.68</v>
      </c>
      <c r="K184">
        <v>206.17</v>
      </c>
      <c r="L184" t="s">
        <v>17</v>
      </c>
      <c r="M184" t="s">
        <v>24</v>
      </c>
      <c r="N184" t="s">
        <v>126</v>
      </c>
      <c r="O184">
        <f>_xlfn.XLOOKUP(E184,[1]Products!$B$2:$B$11,[1]Products!$F$2:$F$11)</f>
        <v>12.75</v>
      </c>
      <c r="P184">
        <f t="shared" si="4"/>
        <v>471.75</v>
      </c>
      <c r="Q184" s="3">
        <f t="shared" si="5"/>
        <v>0.28142233142233142</v>
      </c>
      <c r="R184">
        <f>MONTH(Table1[[#This Row],[Order_Date]])</f>
        <v>3</v>
      </c>
    </row>
    <row r="185" spans="1:18" x14ac:dyDescent="0.3">
      <c r="A185" t="s">
        <v>318</v>
      </c>
      <c r="B185" t="s">
        <v>672</v>
      </c>
      <c r="C185" t="s">
        <v>319</v>
      </c>
      <c r="D185" t="s">
        <v>44</v>
      </c>
      <c r="E185" t="s">
        <v>60</v>
      </c>
      <c r="F185" t="s">
        <v>34</v>
      </c>
      <c r="G185">
        <v>4</v>
      </c>
      <c r="H185" s="6">
        <v>18.059999999999999</v>
      </c>
      <c r="I185">
        <v>72.239999999999995</v>
      </c>
      <c r="J185">
        <v>4.66</v>
      </c>
      <c r="K185">
        <v>16.579999999999998</v>
      </c>
      <c r="L185" t="s">
        <v>17</v>
      </c>
      <c r="M185" t="s">
        <v>18</v>
      </c>
      <c r="N185" t="s">
        <v>19</v>
      </c>
      <c r="O185">
        <f>_xlfn.XLOOKUP(E185,[1]Products!$B$2:$B$11,[1]Products!$F$2:$F$11)</f>
        <v>12.75</v>
      </c>
      <c r="P185">
        <f t="shared" si="4"/>
        <v>51</v>
      </c>
      <c r="Q185" s="3">
        <f t="shared" si="5"/>
        <v>0.22951273532668881</v>
      </c>
      <c r="R185">
        <f>MONTH(Table1[[#This Row],[Order_Date]])</f>
        <v>3</v>
      </c>
    </row>
    <row r="186" spans="1:18" x14ac:dyDescent="0.3">
      <c r="A186" t="s">
        <v>320</v>
      </c>
      <c r="B186" t="s">
        <v>670</v>
      </c>
      <c r="C186" t="s">
        <v>242</v>
      </c>
      <c r="D186" t="s">
        <v>652</v>
      </c>
      <c r="E186" t="s">
        <v>15</v>
      </c>
      <c r="F186" t="s">
        <v>16</v>
      </c>
      <c r="G186">
        <v>40</v>
      </c>
      <c r="H186" s="6">
        <v>55.59</v>
      </c>
      <c r="I186">
        <v>2223.6</v>
      </c>
      <c r="J186">
        <v>74.569999999999993</v>
      </c>
      <c r="K186">
        <v>749.03</v>
      </c>
      <c r="L186" t="s">
        <v>17</v>
      </c>
      <c r="M186" t="s">
        <v>18</v>
      </c>
      <c r="N186" t="s">
        <v>19</v>
      </c>
      <c r="O186">
        <f>_xlfn.XLOOKUP(E186,[1]Products!$B$2:$B$11,[1]Products!$F$2:$F$11)</f>
        <v>35</v>
      </c>
      <c r="P186">
        <f t="shared" si="4"/>
        <v>1400</v>
      </c>
      <c r="Q186" s="3">
        <f t="shared" si="5"/>
        <v>0.3368546501169275</v>
      </c>
      <c r="R186">
        <f>MONTH(Table1[[#This Row],[Order_Date]])</f>
        <v>12</v>
      </c>
    </row>
    <row r="187" spans="1:18" x14ac:dyDescent="0.3">
      <c r="A187" t="s">
        <v>321</v>
      </c>
      <c r="B187" t="s">
        <v>669</v>
      </c>
      <c r="C187" t="s">
        <v>14</v>
      </c>
      <c r="D187" t="s">
        <v>73</v>
      </c>
      <c r="E187" t="s">
        <v>53</v>
      </c>
      <c r="F187" t="s">
        <v>54</v>
      </c>
      <c r="G187">
        <v>5</v>
      </c>
      <c r="H187" s="6">
        <v>31.58</v>
      </c>
      <c r="I187">
        <v>157.9</v>
      </c>
      <c r="J187">
        <v>3.73</v>
      </c>
      <c r="K187">
        <v>29.17</v>
      </c>
      <c r="L187" t="s">
        <v>17</v>
      </c>
      <c r="M187" t="s">
        <v>24</v>
      </c>
      <c r="N187" t="s">
        <v>55</v>
      </c>
      <c r="O187">
        <f>_xlfn.XLOOKUP(E187,[1]Products!$B$2:$B$11,[1]Products!$F$2:$F$11)</f>
        <v>25</v>
      </c>
      <c r="P187">
        <f t="shared" si="4"/>
        <v>125</v>
      </c>
      <c r="Q187" s="3">
        <f t="shared" si="5"/>
        <v>0.18473717542748574</v>
      </c>
      <c r="R187">
        <f>MONTH(Table1[[#This Row],[Order_Date]])</f>
        <v>4</v>
      </c>
    </row>
    <row r="188" spans="1:18" x14ac:dyDescent="0.3">
      <c r="A188" t="s">
        <v>322</v>
      </c>
      <c r="B188" t="s">
        <v>663</v>
      </c>
      <c r="C188" t="s">
        <v>113</v>
      </c>
      <c r="D188" t="s">
        <v>39</v>
      </c>
      <c r="E188" t="s">
        <v>22</v>
      </c>
      <c r="F188" t="s">
        <v>16</v>
      </c>
      <c r="G188">
        <v>50</v>
      </c>
      <c r="H188" s="6">
        <v>26.67</v>
      </c>
      <c r="I188">
        <v>1333.5</v>
      </c>
      <c r="J188">
        <v>80.150000000000006</v>
      </c>
      <c r="K188">
        <v>353.35</v>
      </c>
      <c r="L188" t="s">
        <v>35</v>
      </c>
      <c r="M188" t="s">
        <v>18</v>
      </c>
      <c r="N188" t="s">
        <v>19</v>
      </c>
      <c r="O188">
        <f>_xlfn.XLOOKUP(E188,[1]Products!$B$2:$B$11,[1]Products!$F$2:$F$11)</f>
        <v>18</v>
      </c>
      <c r="P188">
        <f t="shared" si="4"/>
        <v>900</v>
      </c>
      <c r="Q188" s="3">
        <f t="shared" si="5"/>
        <v>0.26497937757780277</v>
      </c>
      <c r="R188">
        <f>MONTH(Table1[[#This Row],[Order_Date]])</f>
        <v>4</v>
      </c>
    </row>
    <row r="189" spans="1:18" x14ac:dyDescent="0.3">
      <c r="A189" t="s">
        <v>323</v>
      </c>
      <c r="B189" t="s">
        <v>672</v>
      </c>
      <c r="C189" t="s">
        <v>217</v>
      </c>
      <c r="D189" t="s">
        <v>66</v>
      </c>
      <c r="E189" t="s">
        <v>57</v>
      </c>
      <c r="F189" t="s">
        <v>49</v>
      </c>
      <c r="G189">
        <v>17</v>
      </c>
      <c r="H189" s="6">
        <v>20.68</v>
      </c>
      <c r="I189">
        <v>351.56</v>
      </c>
      <c r="J189">
        <v>18.47</v>
      </c>
      <c r="K189">
        <v>69.59</v>
      </c>
      <c r="L189" t="s">
        <v>35</v>
      </c>
      <c r="M189" t="s">
        <v>24</v>
      </c>
      <c r="N189" t="s">
        <v>55</v>
      </c>
      <c r="O189">
        <f>_xlfn.XLOOKUP(E189,[1]Products!$B$2:$B$11,[1]Products!$F$2:$F$11)</f>
        <v>15.5</v>
      </c>
      <c r="P189">
        <f t="shared" si="4"/>
        <v>263.5</v>
      </c>
      <c r="Q189" s="3">
        <f t="shared" si="5"/>
        <v>0.19794629650699738</v>
      </c>
      <c r="R189">
        <f>MONTH(Table1[[#This Row],[Order_Date]])</f>
        <v>3</v>
      </c>
    </row>
    <row r="190" spans="1:18" x14ac:dyDescent="0.3">
      <c r="A190" t="s">
        <v>324</v>
      </c>
      <c r="B190" t="s">
        <v>669</v>
      </c>
      <c r="C190" t="s">
        <v>272</v>
      </c>
      <c r="D190" t="s">
        <v>82</v>
      </c>
      <c r="E190" t="s">
        <v>15</v>
      </c>
      <c r="F190" t="s">
        <v>16</v>
      </c>
      <c r="G190">
        <v>29</v>
      </c>
      <c r="H190" s="6">
        <v>55.19</v>
      </c>
      <c r="I190">
        <v>1600.51</v>
      </c>
      <c r="J190">
        <v>103.06</v>
      </c>
      <c r="K190">
        <v>482.45</v>
      </c>
      <c r="L190" t="s">
        <v>17</v>
      </c>
      <c r="M190" t="s">
        <v>29</v>
      </c>
      <c r="N190" t="s">
        <v>83</v>
      </c>
      <c r="O190">
        <f>_xlfn.XLOOKUP(E190,[1]Products!$B$2:$B$11,[1]Products!$F$2:$F$11)</f>
        <v>35</v>
      </c>
      <c r="P190">
        <f t="shared" si="4"/>
        <v>1015</v>
      </c>
      <c r="Q190" s="3">
        <f t="shared" si="5"/>
        <v>0.30143516754034649</v>
      </c>
      <c r="R190">
        <f>MONTH(Table1[[#This Row],[Order_Date]])</f>
        <v>4</v>
      </c>
    </row>
    <row r="191" spans="1:18" x14ac:dyDescent="0.3">
      <c r="A191" t="s">
        <v>325</v>
      </c>
      <c r="B191" t="s">
        <v>663</v>
      </c>
      <c r="C191" t="s">
        <v>326</v>
      </c>
      <c r="D191" t="s">
        <v>66</v>
      </c>
      <c r="E191" t="s">
        <v>15</v>
      </c>
      <c r="F191" t="s">
        <v>16</v>
      </c>
      <c r="G191">
        <v>34</v>
      </c>
      <c r="H191" s="6">
        <v>61.62</v>
      </c>
      <c r="I191">
        <v>2095.08</v>
      </c>
      <c r="J191">
        <v>80.13</v>
      </c>
      <c r="K191">
        <v>824.95</v>
      </c>
      <c r="L191" t="s">
        <v>23</v>
      </c>
      <c r="M191" t="s">
        <v>18</v>
      </c>
      <c r="N191" t="s">
        <v>55</v>
      </c>
      <c r="O191">
        <f>_xlfn.XLOOKUP(E191,[1]Products!$B$2:$B$11,[1]Products!$F$2:$F$11)</f>
        <v>35</v>
      </c>
      <c r="P191">
        <f t="shared" si="4"/>
        <v>1190</v>
      </c>
      <c r="Q191" s="3">
        <f t="shared" si="5"/>
        <v>0.39375584703209426</v>
      </c>
      <c r="R191">
        <f>MONTH(Table1[[#This Row],[Order_Date]])</f>
        <v>4</v>
      </c>
    </row>
    <row r="192" spans="1:18" x14ac:dyDescent="0.3">
      <c r="A192" t="s">
        <v>327</v>
      </c>
      <c r="B192" t="s">
        <v>676</v>
      </c>
      <c r="C192" t="s">
        <v>169</v>
      </c>
      <c r="D192" t="s">
        <v>44</v>
      </c>
      <c r="E192" t="s">
        <v>48</v>
      </c>
      <c r="F192" t="s">
        <v>49</v>
      </c>
      <c r="G192">
        <v>10</v>
      </c>
      <c r="H192" s="6">
        <v>40.03</v>
      </c>
      <c r="I192">
        <v>400.3</v>
      </c>
      <c r="J192">
        <v>25.8</v>
      </c>
      <c r="K192">
        <v>149.5</v>
      </c>
      <c r="L192" t="s">
        <v>35</v>
      </c>
      <c r="M192" t="s">
        <v>18</v>
      </c>
      <c r="N192" t="s">
        <v>19</v>
      </c>
      <c r="O192">
        <f>_xlfn.XLOOKUP(E192,[1]Products!$B$2:$B$11,[1]Products!$F$2:$F$11)</f>
        <v>22.5</v>
      </c>
      <c r="P192">
        <f t="shared" si="4"/>
        <v>225</v>
      </c>
      <c r="Q192" s="3">
        <f t="shared" si="5"/>
        <v>0.37346989757681737</v>
      </c>
      <c r="R192">
        <f>MONTH(Table1[[#This Row],[Order_Date]])</f>
        <v>11</v>
      </c>
    </row>
    <row r="193" spans="1:18" x14ac:dyDescent="0.3">
      <c r="A193" t="s">
        <v>328</v>
      </c>
      <c r="B193" t="s">
        <v>674</v>
      </c>
      <c r="C193" t="s">
        <v>77</v>
      </c>
      <c r="D193" t="s">
        <v>654</v>
      </c>
      <c r="E193" t="s">
        <v>45</v>
      </c>
      <c r="F193" t="s">
        <v>34</v>
      </c>
      <c r="G193">
        <v>23</v>
      </c>
      <c r="H193" s="6">
        <v>31.3</v>
      </c>
      <c r="I193">
        <v>719.9</v>
      </c>
      <c r="J193">
        <v>47.88</v>
      </c>
      <c r="K193">
        <v>212.02</v>
      </c>
      <c r="L193" t="s">
        <v>23</v>
      </c>
      <c r="M193" t="s">
        <v>24</v>
      </c>
      <c r="N193" t="s">
        <v>55</v>
      </c>
      <c r="O193">
        <f>_xlfn.XLOOKUP(E193,[1]Products!$B$2:$B$11,[1]Products!$F$2:$F$11)</f>
        <v>20</v>
      </c>
      <c r="P193">
        <f t="shared" si="4"/>
        <v>460</v>
      </c>
      <c r="Q193" s="3">
        <f t="shared" si="5"/>
        <v>0.29451312682316994</v>
      </c>
      <c r="R193">
        <f>MONTH(Table1[[#This Row],[Order_Date]])</f>
        <v>3</v>
      </c>
    </row>
    <row r="194" spans="1:18" x14ac:dyDescent="0.3">
      <c r="A194" t="s">
        <v>329</v>
      </c>
      <c r="B194" t="s">
        <v>666</v>
      </c>
      <c r="C194" t="s">
        <v>87</v>
      </c>
      <c r="D194" t="s">
        <v>44</v>
      </c>
      <c r="E194" t="s">
        <v>15</v>
      </c>
      <c r="F194" t="s">
        <v>16</v>
      </c>
      <c r="G194">
        <v>37</v>
      </c>
      <c r="H194" s="6">
        <v>50.39</v>
      </c>
      <c r="I194">
        <v>1864.43</v>
      </c>
      <c r="J194">
        <v>60.06</v>
      </c>
      <c r="K194">
        <v>509.37</v>
      </c>
      <c r="L194" t="s">
        <v>23</v>
      </c>
      <c r="M194" t="s">
        <v>24</v>
      </c>
      <c r="N194" t="s">
        <v>19</v>
      </c>
      <c r="O194">
        <f>_xlfn.XLOOKUP(E194,[1]Products!$B$2:$B$11,[1]Products!$F$2:$F$11)</f>
        <v>35</v>
      </c>
      <c r="P194">
        <f t="shared" si="4"/>
        <v>1295</v>
      </c>
      <c r="Q194" s="3">
        <f t="shared" si="5"/>
        <v>0.27320414282113031</v>
      </c>
      <c r="R194">
        <f>MONTH(Table1[[#This Row],[Order_Date]])</f>
        <v>5</v>
      </c>
    </row>
    <row r="195" spans="1:18" x14ac:dyDescent="0.3">
      <c r="A195" t="s">
        <v>330</v>
      </c>
      <c r="B195" t="s">
        <v>670</v>
      </c>
      <c r="C195" t="s">
        <v>274</v>
      </c>
      <c r="D195" t="s">
        <v>652</v>
      </c>
      <c r="E195" t="s">
        <v>60</v>
      </c>
      <c r="F195" t="s">
        <v>34</v>
      </c>
      <c r="G195">
        <v>38</v>
      </c>
      <c r="H195" s="6">
        <v>16.97</v>
      </c>
      <c r="I195">
        <v>644.86</v>
      </c>
      <c r="J195">
        <v>40</v>
      </c>
      <c r="K195">
        <v>120.36</v>
      </c>
      <c r="L195" t="s">
        <v>35</v>
      </c>
      <c r="M195" t="s">
        <v>18</v>
      </c>
      <c r="N195" t="s">
        <v>19</v>
      </c>
      <c r="O195">
        <f>_xlfn.XLOOKUP(E195,[1]Products!$B$2:$B$11,[1]Products!$F$2:$F$11)</f>
        <v>12.75</v>
      </c>
      <c r="P195">
        <f t="shared" ref="P195:P258" si="6">G195*O195</f>
        <v>484.5</v>
      </c>
      <c r="Q195" s="3">
        <f t="shared" ref="Q195:Q258" si="7">K195/I195</f>
        <v>0.18664516329125702</v>
      </c>
      <c r="R195">
        <f>MONTH(Table1[[#This Row],[Order_Date]])</f>
        <v>12</v>
      </c>
    </row>
    <row r="196" spans="1:18" x14ac:dyDescent="0.3">
      <c r="A196" t="s">
        <v>331</v>
      </c>
      <c r="B196" t="s">
        <v>673</v>
      </c>
      <c r="C196" t="s">
        <v>203</v>
      </c>
      <c r="D196" t="s">
        <v>82</v>
      </c>
      <c r="E196" t="s">
        <v>45</v>
      </c>
      <c r="F196" t="s">
        <v>34</v>
      </c>
      <c r="G196">
        <v>2</v>
      </c>
      <c r="H196" s="6">
        <v>35.92</v>
      </c>
      <c r="I196">
        <v>71.84</v>
      </c>
      <c r="J196">
        <v>2.34</v>
      </c>
      <c r="K196">
        <v>29.5</v>
      </c>
      <c r="L196" t="s">
        <v>35</v>
      </c>
      <c r="M196" t="s">
        <v>24</v>
      </c>
      <c r="N196" t="s">
        <v>83</v>
      </c>
      <c r="O196">
        <f>_xlfn.XLOOKUP(E196,[1]Products!$B$2:$B$11,[1]Products!$F$2:$F$11)</f>
        <v>20</v>
      </c>
      <c r="P196">
        <f t="shared" si="6"/>
        <v>40</v>
      </c>
      <c r="Q196" s="3">
        <f t="shared" si="7"/>
        <v>0.41063474387527837</v>
      </c>
      <c r="R196">
        <f>MONTH(Table1[[#This Row],[Order_Date]])</f>
        <v>7</v>
      </c>
    </row>
    <row r="197" spans="1:18" x14ac:dyDescent="0.3">
      <c r="A197" t="s">
        <v>332</v>
      </c>
      <c r="B197" t="s">
        <v>675</v>
      </c>
      <c r="C197" t="s">
        <v>59</v>
      </c>
      <c r="D197" t="s">
        <v>32</v>
      </c>
      <c r="E197" t="s">
        <v>45</v>
      </c>
      <c r="F197" t="s">
        <v>34</v>
      </c>
      <c r="G197">
        <v>48</v>
      </c>
      <c r="H197" s="6">
        <v>31.87</v>
      </c>
      <c r="I197">
        <v>1529.76</v>
      </c>
      <c r="J197">
        <v>89.85</v>
      </c>
      <c r="K197">
        <v>479.91</v>
      </c>
      <c r="L197" t="s">
        <v>35</v>
      </c>
      <c r="M197" t="s">
        <v>18</v>
      </c>
      <c r="N197" t="s">
        <v>36</v>
      </c>
      <c r="O197">
        <f>_xlfn.XLOOKUP(E197,[1]Products!$B$2:$B$11,[1]Products!$F$2:$F$11)</f>
        <v>20</v>
      </c>
      <c r="P197">
        <f t="shared" si="6"/>
        <v>960</v>
      </c>
      <c r="Q197" s="3">
        <f t="shared" si="7"/>
        <v>0.31371587700031378</v>
      </c>
      <c r="R197">
        <f>MONTH(Table1[[#This Row],[Order_Date]])</f>
        <v>5</v>
      </c>
    </row>
    <row r="198" spans="1:18" x14ac:dyDescent="0.3">
      <c r="A198" t="s">
        <v>333</v>
      </c>
      <c r="B198" t="s">
        <v>670</v>
      </c>
      <c r="C198" t="s">
        <v>217</v>
      </c>
      <c r="D198" t="s">
        <v>125</v>
      </c>
      <c r="E198" t="s">
        <v>40</v>
      </c>
      <c r="F198" t="s">
        <v>41</v>
      </c>
      <c r="G198">
        <v>46</v>
      </c>
      <c r="H198" s="6">
        <v>70</v>
      </c>
      <c r="I198">
        <v>3220</v>
      </c>
      <c r="J198">
        <v>160.11000000000001</v>
      </c>
      <c r="K198">
        <v>1219.8900000000001</v>
      </c>
      <c r="L198" t="s">
        <v>23</v>
      </c>
      <c r="M198" t="s">
        <v>24</v>
      </c>
      <c r="N198" t="s">
        <v>126</v>
      </c>
      <c r="O198">
        <f>_xlfn.XLOOKUP(E198,[1]Products!$B$2:$B$11,[1]Products!$F$2:$F$11)</f>
        <v>40</v>
      </c>
      <c r="P198">
        <f t="shared" si="6"/>
        <v>1840</v>
      </c>
      <c r="Q198" s="3">
        <f t="shared" si="7"/>
        <v>0.37884782608695655</v>
      </c>
      <c r="R198">
        <f>MONTH(Table1[[#This Row],[Order_Date]])</f>
        <v>12</v>
      </c>
    </row>
    <row r="199" spans="1:18" x14ac:dyDescent="0.3">
      <c r="A199" t="s">
        <v>334</v>
      </c>
      <c r="B199" t="s">
        <v>669</v>
      </c>
      <c r="C199" t="s">
        <v>299</v>
      </c>
      <c r="D199" t="s">
        <v>66</v>
      </c>
      <c r="E199" t="s">
        <v>15</v>
      </c>
      <c r="F199" t="s">
        <v>16</v>
      </c>
      <c r="G199">
        <v>45</v>
      </c>
      <c r="H199" s="6">
        <v>57.7</v>
      </c>
      <c r="I199">
        <v>2596.5</v>
      </c>
      <c r="J199">
        <v>102.52</v>
      </c>
      <c r="K199">
        <v>918.98</v>
      </c>
      <c r="L199" t="s">
        <v>23</v>
      </c>
      <c r="M199" t="s">
        <v>18</v>
      </c>
      <c r="N199" t="s">
        <v>55</v>
      </c>
      <c r="O199">
        <f>_xlfn.XLOOKUP(E199,[1]Products!$B$2:$B$11,[1]Products!$F$2:$F$11)</f>
        <v>35</v>
      </c>
      <c r="P199">
        <f t="shared" si="6"/>
        <v>1575</v>
      </c>
      <c r="Q199" s="3">
        <f t="shared" si="7"/>
        <v>0.35393029077604471</v>
      </c>
      <c r="R199">
        <f>MONTH(Table1[[#This Row],[Order_Date]])</f>
        <v>4</v>
      </c>
    </row>
    <row r="200" spans="1:18" x14ac:dyDescent="0.3">
      <c r="A200" t="s">
        <v>335</v>
      </c>
      <c r="B200" t="s">
        <v>666</v>
      </c>
      <c r="C200" t="s">
        <v>115</v>
      </c>
      <c r="D200" t="s">
        <v>73</v>
      </c>
      <c r="E200" t="s">
        <v>60</v>
      </c>
      <c r="F200" t="s">
        <v>34</v>
      </c>
      <c r="G200">
        <v>23</v>
      </c>
      <c r="H200" s="6">
        <v>20.23</v>
      </c>
      <c r="I200">
        <v>465.29</v>
      </c>
      <c r="J200">
        <v>17.29</v>
      </c>
      <c r="K200">
        <v>154.75</v>
      </c>
      <c r="L200" t="s">
        <v>35</v>
      </c>
      <c r="M200" t="s">
        <v>18</v>
      </c>
      <c r="N200" t="s">
        <v>55</v>
      </c>
      <c r="O200">
        <f>_xlfn.XLOOKUP(E200,[1]Products!$B$2:$B$11,[1]Products!$F$2:$F$11)</f>
        <v>12.75</v>
      </c>
      <c r="P200">
        <f t="shared" si="6"/>
        <v>293.25</v>
      </c>
      <c r="Q200" s="3">
        <f t="shared" si="7"/>
        <v>0.33258827827806314</v>
      </c>
      <c r="R200">
        <f>MONTH(Table1[[#This Row],[Order_Date]])</f>
        <v>5</v>
      </c>
    </row>
    <row r="201" spans="1:18" x14ac:dyDescent="0.3">
      <c r="A201" t="s">
        <v>336</v>
      </c>
      <c r="B201" t="s">
        <v>669</v>
      </c>
      <c r="C201" t="s">
        <v>117</v>
      </c>
      <c r="D201" t="s">
        <v>28</v>
      </c>
      <c r="E201" t="s">
        <v>22</v>
      </c>
      <c r="F201" t="s">
        <v>16</v>
      </c>
      <c r="G201">
        <v>10</v>
      </c>
      <c r="H201" s="6">
        <v>22.96</v>
      </c>
      <c r="I201">
        <v>229.6</v>
      </c>
      <c r="J201">
        <v>18.260000000000002</v>
      </c>
      <c r="K201">
        <v>31.34</v>
      </c>
      <c r="L201" t="s">
        <v>17</v>
      </c>
      <c r="M201" t="s">
        <v>29</v>
      </c>
      <c r="N201" t="s">
        <v>25</v>
      </c>
      <c r="O201">
        <f>_xlfn.XLOOKUP(E201,[1]Products!$B$2:$B$11,[1]Products!$F$2:$F$11)</f>
        <v>18</v>
      </c>
      <c r="P201">
        <f t="shared" si="6"/>
        <v>180</v>
      </c>
      <c r="Q201" s="3">
        <f t="shared" si="7"/>
        <v>0.13649825783972125</v>
      </c>
      <c r="R201">
        <f>MONTH(Table1[[#This Row],[Order_Date]])</f>
        <v>4</v>
      </c>
    </row>
    <row r="202" spans="1:18" x14ac:dyDescent="0.3">
      <c r="A202" t="s">
        <v>337</v>
      </c>
      <c r="B202" t="s">
        <v>668</v>
      </c>
      <c r="C202" t="s">
        <v>338</v>
      </c>
      <c r="D202" t="s">
        <v>32</v>
      </c>
      <c r="E202" t="s">
        <v>15</v>
      </c>
      <c r="F202" t="s">
        <v>16</v>
      </c>
      <c r="G202">
        <v>40</v>
      </c>
      <c r="H202" s="6">
        <v>54.84</v>
      </c>
      <c r="I202">
        <v>2193.6</v>
      </c>
      <c r="J202">
        <v>89.26</v>
      </c>
      <c r="K202">
        <v>704.34</v>
      </c>
      <c r="L202" t="s">
        <v>23</v>
      </c>
      <c r="M202" t="s">
        <v>18</v>
      </c>
      <c r="N202" t="s">
        <v>36</v>
      </c>
      <c r="O202">
        <f>_xlfn.XLOOKUP(E202,[1]Products!$B$2:$B$11,[1]Products!$F$2:$F$11)</f>
        <v>35</v>
      </c>
      <c r="P202">
        <f t="shared" si="6"/>
        <v>1400</v>
      </c>
      <c r="Q202" s="3">
        <f t="shared" si="7"/>
        <v>0.32108862144420136</v>
      </c>
      <c r="R202">
        <f>MONTH(Table1[[#This Row],[Order_Date]])</f>
        <v>8</v>
      </c>
    </row>
    <row r="203" spans="1:18" x14ac:dyDescent="0.3">
      <c r="A203" t="s">
        <v>339</v>
      </c>
      <c r="B203" t="s">
        <v>663</v>
      </c>
      <c r="C203" t="s">
        <v>162</v>
      </c>
      <c r="D203" t="s">
        <v>66</v>
      </c>
      <c r="E203" t="s">
        <v>53</v>
      </c>
      <c r="F203" t="s">
        <v>54</v>
      </c>
      <c r="G203">
        <v>7</v>
      </c>
      <c r="H203" s="6">
        <v>36.43</v>
      </c>
      <c r="I203">
        <v>255.01</v>
      </c>
      <c r="J203">
        <v>6.3</v>
      </c>
      <c r="K203">
        <v>73.709999999999994</v>
      </c>
      <c r="L203" t="s">
        <v>17</v>
      </c>
      <c r="M203" t="s">
        <v>24</v>
      </c>
      <c r="N203" t="s">
        <v>55</v>
      </c>
      <c r="O203">
        <f>_xlfn.XLOOKUP(E203,[1]Products!$B$2:$B$11,[1]Products!$F$2:$F$11)</f>
        <v>25</v>
      </c>
      <c r="P203">
        <f t="shared" si="6"/>
        <v>175</v>
      </c>
      <c r="Q203" s="3">
        <f t="shared" si="7"/>
        <v>0.28904748833379079</v>
      </c>
      <c r="R203">
        <f>MONTH(Table1[[#This Row],[Order_Date]])</f>
        <v>4</v>
      </c>
    </row>
    <row r="204" spans="1:18" x14ac:dyDescent="0.3">
      <c r="A204" t="s">
        <v>340</v>
      </c>
      <c r="B204" t="s">
        <v>674</v>
      </c>
      <c r="C204" t="s">
        <v>203</v>
      </c>
      <c r="D204" t="s">
        <v>44</v>
      </c>
      <c r="E204" t="s">
        <v>60</v>
      </c>
      <c r="F204" t="s">
        <v>34</v>
      </c>
      <c r="G204">
        <v>39</v>
      </c>
      <c r="H204" s="6">
        <v>19.48</v>
      </c>
      <c r="I204">
        <v>759.72</v>
      </c>
      <c r="J204">
        <v>40.090000000000003</v>
      </c>
      <c r="K204">
        <v>222.38</v>
      </c>
      <c r="L204" t="s">
        <v>35</v>
      </c>
      <c r="M204" t="s">
        <v>24</v>
      </c>
      <c r="N204" t="s">
        <v>19</v>
      </c>
      <c r="O204">
        <f>_xlfn.XLOOKUP(E204,[1]Products!$B$2:$B$11,[1]Products!$F$2:$F$11)</f>
        <v>12.75</v>
      </c>
      <c r="P204">
        <f t="shared" si="6"/>
        <v>497.25</v>
      </c>
      <c r="Q204" s="3">
        <f t="shared" si="7"/>
        <v>0.29271310482809454</v>
      </c>
      <c r="R204">
        <f>MONTH(Table1[[#This Row],[Order_Date]])</f>
        <v>3</v>
      </c>
    </row>
    <row r="205" spans="1:18" x14ac:dyDescent="0.3">
      <c r="A205" t="s">
        <v>341</v>
      </c>
      <c r="B205" t="s">
        <v>671</v>
      </c>
      <c r="C205" t="s">
        <v>264</v>
      </c>
      <c r="D205" t="s">
        <v>82</v>
      </c>
      <c r="E205" t="s">
        <v>48</v>
      </c>
      <c r="F205" t="s">
        <v>49</v>
      </c>
      <c r="G205">
        <v>35</v>
      </c>
      <c r="H205" s="6">
        <v>38.83</v>
      </c>
      <c r="I205">
        <v>1359.05</v>
      </c>
      <c r="J205">
        <v>93.92</v>
      </c>
      <c r="K205">
        <v>477.63</v>
      </c>
      <c r="L205" t="s">
        <v>35</v>
      </c>
      <c r="M205" t="s">
        <v>24</v>
      </c>
      <c r="N205" t="s">
        <v>83</v>
      </c>
      <c r="O205">
        <f>_xlfn.XLOOKUP(E205,[1]Products!$B$2:$B$11,[1]Products!$F$2:$F$11)</f>
        <v>22.5</v>
      </c>
      <c r="P205">
        <f t="shared" si="6"/>
        <v>787.5</v>
      </c>
      <c r="Q205" s="3">
        <f t="shared" si="7"/>
        <v>0.35144402339869762</v>
      </c>
      <c r="R205">
        <f>MONTH(Table1[[#This Row],[Order_Date]])</f>
        <v>2</v>
      </c>
    </row>
    <row r="206" spans="1:18" x14ac:dyDescent="0.3">
      <c r="A206" t="s">
        <v>342</v>
      </c>
      <c r="B206" t="s">
        <v>664</v>
      </c>
      <c r="C206" t="s">
        <v>141</v>
      </c>
      <c r="D206" t="s">
        <v>52</v>
      </c>
      <c r="E206" t="s">
        <v>45</v>
      </c>
      <c r="F206" t="s">
        <v>34</v>
      </c>
      <c r="G206">
        <v>39</v>
      </c>
      <c r="H206" s="6">
        <v>32.76</v>
      </c>
      <c r="I206">
        <v>1277.6400000000001</v>
      </c>
      <c r="J206">
        <v>35.81</v>
      </c>
      <c r="K206">
        <v>461.83</v>
      </c>
      <c r="L206" t="s">
        <v>23</v>
      </c>
      <c r="M206" t="s">
        <v>29</v>
      </c>
      <c r="N206" t="s">
        <v>55</v>
      </c>
      <c r="O206">
        <f>_xlfn.XLOOKUP(E206,[1]Products!$B$2:$B$11,[1]Products!$F$2:$F$11)</f>
        <v>20</v>
      </c>
      <c r="P206">
        <f t="shared" si="6"/>
        <v>780</v>
      </c>
      <c r="Q206" s="3">
        <f t="shared" si="7"/>
        <v>0.36147114993268836</v>
      </c>
      <c r="R206">
        <f>MONTH(Table1[[#This Row],[Order_Date]])</f>
        <v>10</v>
      </c>
    </row>
    <row r="207" spans="1:18" x14ac:dyDescent="0.3">
      <c r="A207" t="s">
        <v>343</v>
      </c>
      <c r="B207" t="s">
        <v>661</v>
      </c>
      <c r="C207" t="s">
        <v>185</v>
      </c>
      <c r="D207" t="s">
        <v>652</v>
      </c>
      <c r="E207" t="s">
        <v>33</v>
      </c>
      <c r="F207" t="s">
        <v>34</v>
      </c>
      <c r="G207">
        <v>8</v>
      </c>
      <c r="H207" s="6">
        <v>39.869999999999997</v>
      </c>
      <c r="I207">
        <v>318.95999999999998</v>
      </c>
      <c r="J207">
        <v>15.95</v>
      </c>
      <c r="K207">
        <v>47.01</v>
      </c>
      <c r="L207" t="s">
        <v>35</v>
      </c>
      <c r="M207" t="s">
        <v>29</v>
      </c>
      <c r="N207" t="s">
        <v>19</v>
      </c>
      <c r="O207">
        <f>_xlfn.XLOOKUP(E207,[1]Products!$B$2:$B$11,[1]Products!$F$2:$F$11)</f>
        <v>32</v>
      </c>
      <c r="P207">
        <f t="shared" si="6"/>
        <v>256</v>
      </c>
      <c r="Q207" s="3">
        <f t="shared" si="7"/>
        <v>0.14738525206922498</v>
      </c>
      <c r="R207">
        <f>MONTH(Table1[[#This Row],[Order_Date]])</f>
        <v>1</v>
      </c>
    </row>
    <row r="208" spans="1:18" x14ac:dyDescent="0.3">
      <c r="A208" t="s">
        <v>344</v>
      </c>
      <c r="B208" t="s">
        <v>669</v>
      </c>
      <c r="C208" t="s">
        <v>257</v>
      </c>
      <c r="D208" t="s">
        <v>654</v>
      </c>
      <c r="E208" t="s">
        <v>40</v>
      </c>
      <c r="F208" t="s">
        <v>41</v>
      </c>
      <c r="G208">
        <v>10</v>
      </c>
      <c r="H208" s="6">
        <v>63.1</v>
      </c>
      <c r="I208">
        <v>631</v>
      </c>
      <c r="J208">
        <v>26.93</v>
      </c>
      <c r="K208">
        <v>204.07</v>
      </c>
      <c r="L208" t="s">
        <v>23</v>
      </c>
      <c r="M208" t="s">
        <v>24</v>
      </c>
      <c r="N208" t="s">
        <v>55</v>
      </c>
      <c r="O208">
        <f>_xlfn.XLOOKUP(E208,[1]Products!$B$2:$B$11,[1]Products!$F$2:$F$11)</f>
        <v>40</v>
      </c>
      <c r="P208">
        <f t="shared" si="6"/>
        <v>400</v>
      </c>
      <c r="Q208" s="3">
        <f t="shared" si="7"/>
        <v>0.32340729001584784</v>
      </c>
      <c r="R208">
        <f>MONTH(Table1[[#This Row],[Order_Date]])</f>
        <v>4</v>
      </c>
    </row>
    <row r="209" spans="1:18" x14ac:dyDescent="0.3">
      <c r="A209" t="s">
        <v>345</v>
      </c>
      <c r="B209" t="s">
        <v>675</v>
      </c>
      <c r="C209" t="s">
        <v>96</v>
      </c>
      <c r="D209" t="s">
        <v>147</v>
      </c>
      <c r="E209" t="s">
        <v>33</v>
      </c>
      <c r="F209" t="s">
        <v>34</v>
      </c>
      <c r="G209">
        <v>3</v>
      </c>
      <c r="H209" s="6">
        <v>55.1</v>
      </c>
      <c r="I209">
        <v>165.3</v>
      </c>
      <c r="J209">
        <v>9.17</v>
      </c>
      <c r="K209">
        <v>60.13</v>
      </c>
      <c r="L209" t="s">
        <v>17</v>
      </c>
      <c r="M209" t="s">
        <v>18</v>
      </c>
      <c r="N209" t="s">
        <v>25</v>
      </c>
      <c r="O209">
        <f>_xlfn.XLOOKUP(E209,[1]Products!$B$2:$B$11,[1]Products!$F$2:$F$11)</f>
        <v>32</v>
      </c>
      <c r="P209">
        <f t="shared" si="6"/>
        <v>96</v>
      </c>
      <c r="Q209" s="3">
        <f t="shared" si="7"/>
        <v>0.36376285541439807</v>
      </c>
      <c r="R209">
        <f>MONTH(Table1[[#This Row],[Order_Date]])</f>
        <v>5</v>
      </c>
    </row>
    <row r="210" spans="1:18" x14ac:dyDescent="0.3">
      <c r="A210" t="s">
        <v>346</v>
      </c>
      <c r="B210" t="s">
        <v>671</v>
      </c>
      <c r="C210" t="s">
        <v>68</v>
      </c>
      <c r="D210" t="s">
        <v>173</v>
      </c>
      <c r="E210" t="s">
        <v>57</v>
      </c>
      <c r="F210" t="s">
        <v>49</v>
      </c>
      <c r="G210">
        <v>26</v>
      </c>
      <c r="H210" s="6">
        <v>19.809999999999999</v>
      </c>
      <c r="I210">
        <v>515.05999999999995</v>
      </c>
      <c r="J210">
        <v>10.3</v>
      </c>
      <c r="K210">
        <v>101.76</v>
      </c>
      <c r="L210" t="s">
        <v>35</v>
      </c>
      <c r="M210" t="s">
        <v>24</v>
      </c>
      <c r="N210" t="s">
        <v>55</v>
      </c>
      <c r="O210">
        <f>_xlfn.XLOOKUP(E210,[1]Products!$B$2:$B$11,[1]Products!$F$2:$F$11)</f>
        <v>15.5</v>
      </c>
      <c r="P210">
        <f t="shared" si="6"/>
        <v>403</v>
      </c>
      <c r="Q210" s="3">
        <f t="shared" si="7"/>
        <v>0.19756921523705978</v>
      </c>
      <c r="R210">
        <f>MONTH(Table1[[#This Row],[Order_Date]])</f>
        <v>2</v>
      </c>
    </row>
    <row r="211" spans="1:18" x14ac:dyDescent="0.3">
      <c r="A211" t="s">
        <v>347</v>
      </c>
      <c r="B211" t="s">
        <v>669</v>
      </c>
      <c r="C211" t="s">
        <v>104</v>
      </c>
      <c r="D211" t="s">
        <v>654</v>
      </c>
      <c r="E211" t="s">
        <v>40</v>
      </c>
      <c r="F211" t="s">
        <v>41</v>
      </c>
      <c r="G211">
        <v>17</v>
      </c>
      <c r="H211" s="6">
        <v>53.34</v>
      </c>
      <c r="I211">
        <v>906.78</v>
      </c>
      <c r="J211">
        <v>30.6</v>
      </c>
      <c r="K211">
        <v>196.18</v>
      </c>
      <c r="L211" t="s">
        <v>17</v>
      </c>
      <c r="M211" t="s">
        <v>24</v>
      </c>
      <c r="N211" t="s">
        <v>55</v>
      </c>
      <c r="O211">
        <f>_xlfn.XLOOKUP(E211,[1]Products!$B$2:$B$11,[1]Products!$F$2:$F$11)</f>
        <v>40</v>
      </c>
      <c r="P211">
        <f t="shared" si="6"/>
        <v>680</v>
      </c>
      <c r="Q211" s="3">
        <f t="shared" si="7"/>
        <v>0.21634795650543684</v>
      </c>
      <c r="R211">
        <f>MONTH(Table1[[#This Row],[Order_Date]])</f>
        <v>4</v>
      </c>
    </row>
    <row r="212" spans="1:18" x14ac:dyDescent="0.3">
      <c r="A212" t="s">
        <v>348</v>
      </c>
      <c r="B212" t="s">
        <v>673</v>
      </c>
      <c r="C212" t="s">
        <v>89</v>
      </c>
      <c r="D212" t="s">
        <v>52</v>
      </c>
      <c r="E212" t="s">
        <v>45</v>
      </c>
      <c r="F212" t="s">
        <v>34</v>
      </c>
      <c r="G212">
        <v>17</v>
      </c>
      <c r="H212" s="6">
        <v>28.23</v>
      </c>
      <c r="I212">
        <v>479.91</v>
      </c>
      <c r="J212">
        <v>31.88</v>
      </c>
      <c r="K212">
        <v>108.03</v>
      </c>
      <c r="L212" t="s">
        <v>23</v>
      </c>
      <c r="M212" t="s">
        <v>18</v>
      </c>
      <c r="N212" t="s">
        <v>55</v>
      </c>
      <c r="O212">
        <f>_xlfn.XLOOKUP(E212,[1]Products!$B$2:$B$11,[1]Products!$F$2:$F$11)</f>
        <v>20</v>
      </c>
      <c r="P212">
        <f t="shared" si="6"/>
        <v>340</v>
      </c>
      <c r="Q212" s="3">
        <f t="shared" si="7"/>
        <v>0.22510470713258734</v>
      </c>
      <c r="R212">
        <f>MONTH(Table1[[#This Row],[Order_Date]])</f>
        <v>7</v>
      </c>
    </row>
    <row r="213" spans="1:18" x14ac:dyDescent="0.3">
      <c r="A213" t="s">
        <v>349</v>
      </c>
      <c r="B213" t="s">
        <v>672</v>
      </c>
      <c r="C213" t="s">
        <v>350</v>
      </c>
      <c r="D213" t="s">
        <v>147</v>
      </c>
      <c r="E213" t="s">
        <v>22</v>
      </c>
      <c r="F213" t="s">
        <v>16</v>
      </c>
      <c r="G213">
        <v>42</v>
      </c>
      <c r="H213" s="6">
        <v>25.26</v>
      </c>
      <c r="I213">
        <v>1060.92</v>
      </c>
      <c r="J213">
        <v>77.05</v>
      </c>
      <c r="K213">
        <v>227.87</v>
      </c>
      <c r="L213" t="s">
        <v>17</v>
      </c>
      <c r="M213" t="s">
        <v>29</v>
      </c>
      <c r="N213" t="s">
        <v>25</v>
      </c>
      <c r="O213">
        <f>_xlfn.XLOOKUP(E213,[1]Products!$B$2:$B$11,[1]Products!$F$2:$F$11)</f>
        <v>18</v>
      </c>
      <c r="P213">
        <f t="shared" si="6"/>
        <v>756</v>
      </c>
      <c r="Q213" s="3">
        <f t="shared" si="7"/>
        <v>0.21478528069976999</v>
      </c>
      <c r="R213">
        <f>MONTH(Table1[[#This Row],[Order_Date]])</f>
        <v>3</v>
      </c>
    </row>
    <row r="214" spans="1:18" x14ac:dyDescent="0.3">
      <c r="A214" t="s">
        <v>351</v>
      </c>
      <c r="B214" t="s">
        <v>667</v>
      </c>
      <c r="C214" t="s">
        <v>145</v>
      </c>
      <c r="D214" t="s">
        <v>173</v>
      </c>
      <c r="E214" t="s">
        <v>22</v>
      </c>
      <c r="F214" t="s">
        <v>16</v>
      </c>
      <c r="G214">
        <v>2</v>
      </c>
      <c r="H214" s="6">
        <v>27.27</v>
      </c>
      <c r="I214">
        <v>54.54</v>
      </c>
      <c r="J214">
        <v>1.45</v>
      </c>
      <c r="K214">
        <v>17.09</v>
      </c>
      <c r="L214" t="s">
        <v>17</v>
      </c>
      <c r="M214" t="s">
        <v>29</v>
      </c>
      <c r="N214" t="s">
        <v>55</v>
      </c>
      <c r="O214">
        <f>_xlfn.XLOOKUP(E214,[1]Products!$B$2:$B$11,[1]Products!$F$2:$F$11)</f>
        <v>18</v>
      </c>
      <c r="P214">
        <f t="shared" si="6"/>
        <v>36</v>
      </c>
      <c r="Q214" s="3">
        <f t="shared" si="7"/>
        <v>0.31334800146681335</v>
      </c>
      <c r="R214">
        <f>MONTH(Table1[[#This Row],[Order_Date]])</f>
        <v>9</v>
      </c>
    </row>
    <row r="215" spans="1:18" x14ac:dyDescent="0.3">
      <c r="A215" t="s">
        <v>352</v>
      </c>
      <c r="B215" t="s">
        <v>676</v>
      </c>
      <c r="C215" t="s">
        <v>227</v>
      </c>
      <c r="D215" t="s">
        <v>654</v>
      </c>
      <c r="E215" t="s">
        <v>79</v>
      </c>
      <c r="F215" t="s">
        <v>49</v>
      </c>
      <c r="G215">
        <v>48</v>
      </c>
      <c r="H215" s="6">
        <v>44.95</v>
      </c>
      <c r="I215">
        <v>2157.6</v>
      </c>
      <c r="J215">
        <v>148.41</v>
      </c>
      <c r="K215">
        <v>665.19</v>
      </c>
      <c r="L215" t="s">
        <v>17</v>
      </c>
      <c r="M215" t="s">
        <v>18</v>
      </c>
      <c r="N215" t="s">
        <v>55</v>
      </c>
      <c r="O215">
        <f>_xlfn.XLOOKUP(E215,[1]Products!$B$2:$B$11,[1]Products!$F$2:$F$11)</f>
        <v>28</v>
      </c>
      <c r="P215">
        <f t="shared" si="6"/>
        <v>1344</v>
      </c>
      <c r="Q215" s="3">
        <f t="shared" si="7"/>
        <v>0.30830088987764187</v>
      </c>
      <c r="R215">
        <f>MONTH(Table1[[#This Row],[Order_Date]])</f>
        <v>11</v>
      </c>
    </row>
    <row r="216" spans="1:18" x14ac:dyDescent="0.3">
      <c r="A216" t="s">
        <v>353</v>
      </c>
      <c r="B216" t="s">
        <v>669</v>
      </c>
      <c r="C216" t="s">
        <v>350</v>
      </c>
      <c r="D216" t="s">
        <v>66</v>
      </c>
      <c r="E216" t="s">
        <v>45</v>
      </c>
      <c r="F216" t="s">
        <v>34</v>
      </c>
      <c r="G216">
        <v>23</v>
      </c>
      <c r="H216" s="6">
        <v>28.6</v>
      </c>
      <c r="I216">
        <v>657.8</v>
      </c>
      <c r="J216">
        <v>13.36</v>
      </c>
      <c r="K216">
        <v>184.44</v>
      </c>
      <c r="L216" t="s">
        <v>17</v>
      </c>
      <c r="M216" t="s">
        <v>29</v>
      </c>
      <c r="N216" t="s">
        <v>55</v>
      </c>
      <c r="O216">
        <f>_xlfn.XLOOKUP(E216,[1]Products!$B$2:$B$11,[1]Products!$F$2:$F$11)</f>
        <v>20</v>
      </c>
      <c r="P216">
        <f t="shared" si="6"/>
        <v>460</v>
      </c>
      <c r="Q216" s="3">
        <f t="shared" si="7"/>
        <v>0.28038917604135</v>
      </c>
      <c r="R216">
        <f>MONTH(Table1[[#This Row],[Order_Date]])</f>
        <v>4</v>
      </c>
    </row>
    <row r="217" spans="1:18" x14ac:dyDescent="0.3">
      <c r="A217" t="s">
        <v>354</v>
      </c>
      <c r="B217" t="s">
        <v>676</v>
      </c>
      <c r="C217" t="s">
        <v>104</v>
      </c>
      <c r="D217" t="s">
        <v>102</v>
      </c>
      <c r="E217" t="s">
        <v>57</v>
      </c>
      <c r="F217" t="s">
        <v>49</v>
      </c>
      <c r="G217">
        <v>18</v>
      </c>
      <c r="H217" s="6">
        <v>26.1</v>
      </c>
      <c r="I217">
        <v>469.8</v>
      </c>
      <c r="J217">
        <v>19.52</v>
      </c>
      <c r="K217">
        <v>171.28</v>
      </c>
      <c r="L217" t="s">
        <v>35</v>
      </c>
      <c r="M217" t="s">
        <v>18</v>
      </c>
      <c r="N217" t="s">
        <v>25</v>
      </c>
      <c r="O217">
        <f>_xlfn.XLOOKUP(E217,[1]Products!$B$2:$B$11,[1]Products!$F$2:$F$11)</f>
        <v>15.5</v>
      </c>
      <c r="P217">
        <f t="shared" si="6"/>
        <v>279</v>
      </c>
      <c r="Q217" s="3">
        <f t="shared" si="7"/>
        <v>0.36458067262664962</v>
      </c>
      <c r="R217">
        <f>MONTH(Table1[[#This Row],[Order_Date]])</f>
        <v>11</v>
      </c>
    </row>
    <row r="218" spans="1:18" x14ac:dyDescent="0.3">
      <c r="A218" t="s">
        <v>355</v>
      </c>
      <c r="B218" t="s">
        <v>664</v>
      </c>
      <c r="C218" t="s">
        <v>356</v>
      </c>
      <c r="D218" t="s">
        <v>44</v>
      </c>
      <c r="E218" t="s">
        <v>79</v>
      </c>
      <c r="F218" t="s">
        <v>49</v>
      </c>
      <c r="G218">
        <v>21</v>
      </c>
      <c r="H218" s="6">
        <v>37.450000000000003</v>
      </c>
      <c r="I218">
        <v>786.45</v>
      </c>
      <c r="J218">
        <v>62.4</v>
      </c>
      <c r="K218">
        <v>136.05000000000001</v>
      </c>
      <c r="L218" t="s">
        <v>17</v>
      </c>
      <c r="M218" t="s">
        <v>29</v>
      </c>
      <c r="N218" t="s">
        <v>19</v>
      </c>
      <c r="O218">
        <f>_xlfn.XLOOKUP(E218,[1]Products!$B$2:$B$11,[1]Products!$F$2:$F$11)</f>
        <v>28</v>
      </c>
      <c r="P218">
        <f t="shared" si="6"/>
        <v>588</v>
      </c>
      <c r="Q218" s="3">
        <f t="shared" si="7"/>
        <v>0.17299256151058554</v>
      </c>
      <c r="R218">
        <f>MONTH(Table1[[#This Row],[Order_Date]])</f>
        <v>10</v>
      </c>
    </row>
    <row r="219" spans="1:18" x14ac:dyDescent="0.3">
      <c r="A219" t="s">
        <v>357</v>
      </c>
      <c r="B219" t="s">
        <v>670</v>
      </c>
      <c r="C219" t="s">
        <v>319</v>
      </c>
      <c r="D219" t="s">
        <v>66</v>
      </c>
      <c r="E219" t="s">
        <v>45</v>
      </c>
      <c r="F219" t="s">
        <v>34</v>
      </c>
      <c r="G219">
        <v>25</v>
      </c>
      <c r="H219" s="6">
        <v>28.54</v>
      </c>
      <c r="I219">
        <v>713.5</v>
      </c>
      <c r="J219">
        <v>50.38</v>
      </c>
      <c r="K219">
        <v>163.12</v>
      </c>
      <c r="L219" t="s">
        <v>17</v>
      </c>
      <c r="M219" t="s">
        <v>18</v>
      </c>
      <c r="N219" t="s">
        <v>55</v>
      </c>
      <c r="O219">
        <f>_xlfn.XLOOKUP(E219,[1]Products!$B$2:$B$11,[1]Products!$F$2:$F$11)</f>
        <v>20</v>
      </c>
      <c r="P219">
        <f t="shared" si="6"/>
        <v>500</v>
      </c>
      <c r="Q219" s="3">
        <f t="shared" si="7"/>
        <v>0.22861948142957253</v>
      </c>
      <c r="R219">
        <f>MONTH(Table1[[#This Row],[Order_Date]])</f>
        <v>12</v>
      </c>
    </row>
    <row r="220" spans="1:18" x14ac:dyDescent="0.3">
      <c r="A220" t="s">
        <v>358</v>
      </c>
      <c r="B220" t="s">
        <v>662</v>
      </c>
      <c r="C220" t="s">
        <v>109</v>
      </c>
      <c r="D220" t="s">
        <v>652</v>
      </c>
      <c r="E220" t="s">
        <v>53</v>
      </c>
      <c r="F220" t="s">
        <v>54</v>
      </c>
      <c r="G220">
        <v>11</v>
      </c>
      <c r="H220" s="6">
        <v>38.07</v>
      </c>
      <c r="I220">
        <v>418.77</v>
      </c>
      <c r="J220">
        <v>29.02</v>
      </c>
      <c r="K220">
        <v>114.75</v>
      </c>
      <c r="L220" t="s">
        <v>23</v>
      </c>
      <c r="M220" t="s">
        <v>18</v>
      </c>
      <c r="N220" t="s">
        <v>19</v>
      </c>
      <c r="O220">
        <f>_xlfn.XLOOKUP(E220,[1]Products!$B$2:$B$11,[1]Products!$F$2:$F$11)</f>
        <v>25</v>
      </c>
      <c r="P220">
        <f t="shared" si="6"/>
        <v>275</v>
      </c>
      <c r="Q220" s="3">
        <f t="shared" si="7"/>
        <v>0.27401676337846553</v>
      </c>
      <c r="R220">
        <f>MONTH(Table1[[#This Row],[Order_Date]])</f>
        <v>2</v>
      </c>
    </row>
    <row r="221" spans="1:18" x14ac:dyDescent="0.3">
      <c r="A221" t="s">
        <v>359</v>
      </c>
      <c r="B221" t="s">
        <v>664</v>
      </c>
      <c r="C221" t="s">
        <v>360</v>
      </c>
      <c r="D221" t="s">
        <v>39</v>
      </c>
      <c r="E221" t="s">
        <v>57</v>
      </c>
      <c r="F221" t="s">
        <v>49</v>
      </c>
      <c r="G221">
        <v>18</v>
      </c>
      <c r="H221" s="6">
        <v>19.32</v>
      </c>
      <c r="I221">
        <v>347.76</v>
      </c>
      <c r="J221">
        <v>21.34</v>
      </c>
      <c r="K221">
        <v>47.42</v>
      </c>
      <c r="L221" t="s">
        <v>23</v>
      </c>
      <c r="M221" t="s">
        <v>18</v>
      </c>
      <c r="N221" t="s">
        <v>19</v>
      </c>
      <c r="O221">
        <f>_xlfn.XLOOKUP(E221,[1]Products!$B$2:$B$11,[1]Products!$F$2:$F$11)</f>
        <v>15.5</v>
      </c>
      <c r="P221">
        <f t="shared" si="6"/>
        <v>279</v>
      </c>
      <c r="Q221" s="3">
        <f t="shared" si="7"/>
        <v>0.13635840809753855</v>
      </c>
      <c r="R221">
        <f>MONTH(Table1[[#This Row],[Order_Date]])</f>
        <v>10</v>
      </c>
    </row>
    <row r="222" spans="1:18" x14ac:dyDescent="0.3">
      <c r="A222" t="s">
        <v>361</v>
      </c>
      <c r="B222" t="s">
        <v>665</v>
      </c>
      <c r="C222" t="s">
        <v>62</v>
      </c>
      <c r="D222" t="s">
        <v>653</v>
      </c>
      <c r="E222" t="s">
        <v>79</v>
      </c>
      <c r="F222" t="s">
        <v>49</v>
      </c>
      <c r="G222">
        <v>42</v>
      </c>
      <c r="H222" s="6">
        <v>50.02</v>
      </c>
      <c r="I222">
        <v>2100.84</v>
      </c>
      <c r="J222">
        <v>89.65</v>
      </c>
      <c r="K222">
        <v>835.19</v>
      </c>
      <c r="L222" t="s">
        <v>23</v>
      </c>
      <c r="M222" t="s">
        <v>24</v>
      </c>
      <c r="N222" t="s">
        <v>25</v>
      </c>
      <c r="O222">
        <f>_xlfn.XLOOKUP(E222,[1]Products!$B$2:$B$11,[1]Products!$F$2:$F$11)</f>
        <v>28</v>
      </c>
      <c r="P222">
        <f t="shared" si="6"/>
        <v>1176</v>
      </c>
      <c r="Q222" s="3">
        <f t="shared" si="7"/>
        <v>0.39755050360808059</v>
      </c>
      <c r="R222">
        <f>MONTH(Table1[[#This Row],[Order_Date]])</f>
        <v>6</v>
      </c>
    </row>
    <row r="223" spans="1:18" x14ac:dyDescent="0.3">
      <c r="A223" t="s">
        <v>362</v>
      </c>
      <c r="B223" t="s">
        <v>661</v>
      </c>
      <c r="C223" t="s">
        <v>253</v>
      </c>
      <c r="D223" t="s">
        <v>125</v>
      </c>
      <c r="E223" t="s">
        <v>79</v>
      </c>
      <c r="F223" t="s">
        <v>49</v>
      </c>
      <c r="G223">
        <v>13</v>
      </c>
      <c r="H223" s="6">
        <v>49.39</v>
      </c>
      <c r="I223">
        <v>642.07000000000005</v>
      </c>
      <c r="J223">
        <v>38.32</v>
      </c>
      <c r="K223">
        <v>239.75</v>
      </c>
      <c r="L223" t="s">
        <v>23</v>
      </c>
      <c r="M223" t="s">
        <v>18</v>
      </c>
      <c r="N223" t="s">
        <v>126</v>
      </c>
      <c r="O223">
        <f>_xlfn.XLOOKUP(E223,[1]Products!$B$2:$B$11,[1]Products!$F$2:$F$11)</f>
        <v>28</v>
      </c>
      <c r="P223">
        <f t="shared" si="6"/>
        <v>364</v>
      </c>
      <c r="Q223" s="3">
        <f t="shared" si="7"/>
        <v>0.37340165402526199</v>
      </c>
      <c r="R223">
        <f>MONTH(Table1[[#This Row],[Order_Date]])</f>
        <v>1</v>
      </c>
    </row>
    <row r="224" spans="1:18" x14ac:dyDescent="0.3">
      <c r="A224" t="s">
        <v>363</v>
      </c>
      <c r="B224" t="s">
        <v>666</v>
      </c>
      <c r="C224" t="s">
        <v>113</v>
      </c>
      <c r="D224" t="s">
        <v>653</v>
      </c>
      <c r="E224" t="s">
        <v>22</v>
      </c>
      <c r="F224" t="s">
        <v>16</v>
      </c>
      <c r="G224">
        <v>15</v>
      </c>
      <c r="H224" s="6">
        <v>22.86</v>
      </c>
      <c r="I224">
        <v>342.9</v>
      </c>
      <c r="J224">
        <v>27.16</v>
      </c>
      <c r="K224">
        <v>45.74</v>
      </c>
      <c r="L224" t="s">
        <v>35</v>
      </c>
      <c r="M224" t="s">
        <v>29</v>
      </c>
      <c r="N224" t="s">
        <v>25</v>
      </c>
      <c r="O224">
        <f>_xlfn.XLOOKUP(E224,[1]Products!$B$2:$B$11,[1]Products!$F$2:$F$11)</f>
        <v>18</v>
      </c>
      <c r="P224">
        <f t="shared" si="6"/>
        <v>270</v>
      </c>
      <c r="Q224" s="3">
        <f t="shared" si="7"/>
        <v>0.13339165937591135</v>
      </c>
      <c r="R224">
        <f>MONTH(Table1[[#This Row],[Order_Date]])</f>
        <v>5</v>
      </c>
    </row>
    <row r="225" spans="1:18" x14ac:dyDescent="0.3">
      <c r="A225" t="s">
        <v>364</v>
      </c>
      <c r="B225" t="s">
        <v>667</v>
      </c>
      <c r="C225" t="s">
        <v>356</v>
      </c>
      <c r="D225" t="s">
        <v>173</v>
      </c>
      <c r="E225" t="s">
        <v>53</v>
      </c>
      <c r="F225" t="s">
        <v>54</v>
      </c>
      <c r="G225">
        <v>37</v>
      </c>
      <c r="H225" s="6">
        <v>37.270000000000003</v>
      </c>
      <c r="I225">
        <v>1378.99</v>
      </c>
      <c r="J225">
        <v>92.92</v>
      </c>
      <c r="K225">
        <v>361.07</v>
      </c>
      <c r="L225" t="s">
        <v>17</v>
      </c>
      <c r="M225" t="s">
        <v>18</v>
      </c>
      <c r="N225" t="s">
        <v>55</v>
      </c>
      <c r="O225">
        <f>_xlfn.XLOOKUP(E225,[1]Products!$B$2:$B$11,[1]Products!$F$2:$F$11)</f>
        <v>25</v>
      </c>
      <c r="P225">
        <f t="shared" si="6"/>
        <v>925</v>
      </c>
      <c r="Q225" s="3">
        <f t="shared" si="7"/>
        <v>0.26183656154141799</v>
      </c>
      <c r="R225">
        <f>MONTH(Table1[[#This Row],[Order_Date]])</f>
        <v>9</v>
      </c>
    </row>
    <row r="226" spans="1:18" x14ac:dyDescent="0.3">
      <c r="A226" t="s">
        <v>365</v>
      </c>
      <c r="B226" t="s">
        <v>672</v>
      </c>
      <c r="C226" t="s">
        <v>43</v>
      </c>
      <c r="D226" t="s">
        <v>102</v>
      </c>
      <c r="E226" t="s">
        <v>15</v>
      </c>
      <c r="F226" t="s">
        <v>16</v>
      </c>
      <c r="G226">
        <v>49</v>
      </c>
      <c r="H226" s="6">
        <v>54.05</v>
      </c>
      <c r="I226">
        <v>2648.45</v>
      </c>
      <c r="J226">
        <v>66.8</v>
      </c>
      <c r="K226">
        <v>866.65</v>
      </c>
      <c r="L226" t="s">
        <v>35</v>
      </c>
      <c r="M226" t="s">
        <v>18</v>
      </c>
      <c r="N226" t="s">
        <v>25</v>
      </c>
      <c r="O226">
        <f>_xlfn.XLOOKUP(E226,[1]Products!$B$2:$B$11,[1]Products!$F$2:$F$11)</f>
        <v>35</v>
      </c>
      <c r="P226">
        <f t="shared" si="6"/>
        <v>1715</v>
      </c>
      <c r="Q226" s="3">
        <f t="shared" si="7"/>
        <v>0.32722913402178633</v>
      </c>
      <c r="R226">
        <f>MONTH(Table1[[#This Row],[Order_Date]])</f>
        <v>3</v>
      </c>
    </row>
    <row r="227" spans="1:18" x14ac:dyDescent="0.3">
      <c r="A227" t="s">
        <v>366</v>
      </c>
      <c r="B227" t="s">
        <v>668</v>
      </c>
      <c r="C227" t="s">
        <v>367</v>
      </c>
      <c r="D227" t="s">
        <v>653</v>
      </c>
      <c r="E227" t="s">
        <v>60</v>
      </c>
      <c r="F227" t="s">
        <v>34</v>
      </c>
      <c r="G227">
        <v>33</v>
      </c>
      <c r="H227" s="6">
        <v>20.059999999999999</v>
      </c>
      <c r="I227">
        <v>661.98</v>
      </c>
      <c r="J227">
        <v>50.02</v>
      </c>
      <c r="K227">
        <v>191.21</v>
      </c>
      <c r="L227" t="s">
        <v>35</v>
      </c>
      <c r="M227" t="s">
        <v>24</v>
      </c>
      <c r="N227" t="s">
        <v>25</v>
      </c>
      <c r="O227">
        <f>_xlfn.XLOOKUP(E227,[1]Products!$B$2:$B$11,[1]Products!$F$2:$F$11)</f>
        <v>12.75</v>
      </c>
      <c r="P227">
        <f t="shared" si="6"/>
        <v>420.75</v>
      </c>
      <c r="Q227" s="3">
        <f t="shared" si="7"/>
        <v>0.28884558445874498</v>
      </c>
      <c r="R227">
        <f>MONTH(Table1[[#This Row],[Order_Date]])</f>
        <v>8</v>
      </c>
    </row>
    <row r="228" spans="1:18" x14ac:dyDescent="0.3">
      <c r="A228" t="s">
        <v>368</v>
      </c>
      <c r="B228" t="s">
        <v>676</v>
      </c>
      <c r="C228" t="s">
        <v>203</v>
      </c>
      <c r="D228" t="s">
        <v>147</v>
      </c>
      <c r="E228" t="s">
        <v>79</v>
      </c>
      <c r="F228" t="s">
        <v>49</v>
      </c>
      <c r="G228">
        <v>49</v>
      </c>
      <c r="H228" s="6">
        <v>35.68</v>
      </c>
      <c r="I228">
        <v>1748.32</v>
      </c>
      <c r="J228">
        <v>124.47</v>
      </c>
      <c r="K228">
        <v>251.85</v>
      </c>
      <c r="L228" t="s">
        <v>35</v>
      </c>
      <c r="M228" t="s">
        <v>29</v>
      </c>
      <c r="N228" t="s">
        <v>25</v>
      </c>
      <c r="O228">
        <f>_xlfn.XLOOKUP(E228,[1]Products!$B$2:$B$11,[1]Products!$F$2:$F$11)</f>
        <v>28</v>
      </c>
      <c r="P228">
        <f t="shared" si="6"/>
        <v>1372</v>
      </c>
      <c r="Q228" s="3">
        <f t="shared" si="7"/>
        <v>0.14405257618742565</v>
      </c>
      <c r="R228">
        <f>MONTH(Table1[[#This Row],[Order_Date]])</f>
        <v>11</v>
      </c>
    </row>
    <row r="229" spans="1:18" x14ac:dyDescent="0.3">
      <c r="A229" t="s">
        <v>369</v>
      </c>
      <c r="B229" t="s">
        <v>674</v>
      </c>
      <c r="C229" t="s">
        <v>27</v>
      </c>
      <c r="D229" t="s">
        <v>173</v>
      </c>
      <c r="E229" t="s">
        <v>53</v>
      </c>
      <c r="F229" t="s">
        <v>54</v>
      </c>
      <c r="G229">
        <v>23</v>
      </c>
      <c r="H229" s="6">
        <v>30.89</v>
      </c>
      <c r="I229">
        <v>710.47</v>
      </c>
      <c r="J229">
        <v>18.739999999999998</v>
      </c>
      <c r="K229">
        <v>116.73</v>
      </c>
      <c r="L229" t="s">
        <v>23</v>
      </c>
      <c r="M229" t="s">
        <v>18</v>
      </c>
      <c r="N229" t="s">
        <v>55</v>
      </c>
      <c r="O229">
        <f>_xlfn.XLOOKUP(E229,[1]Products!$B$2:$B$11,[1]Products!$F$2:$F$11)</f>
        <v>25</v>
      </c>
      <c r="P229">
        <f t="shared" si="6"/>
        <v>575</v>
      </c>
      <c r="Q229" s="3">
        <f t="shared" si="7"/>
        <v>0.16429968893830843</v>
      </c>
      <c r="R229">
        <f>MONTH(Table1[[#This Row],[Order_Date]])</f>
        <v>3</v>
      </c>
    </row>
    <row r="230" spans="1:18" x14ac:dyDescent="0.3">
      <c r="A230" t="s">
        <v>370</v>
      </c>
      <c r="B230" t="s">
        <v>664</v>
      </c>
      <c r="C230" t="s">
        <v>31</v>
      </c>
      <c r="D230" t="s">
        <v>102</v>
      </c>
      <c r="E230" t="s">
        <v>15</v>
      </c>
      <c r="F230" t="s">
        <v>16</v>
      </c>
      <c r="G230">
        <v>14</v>
      </c>
      <c r="H230" s="6">
        <v>59.6</v>
      </c>
      <c r="I230">
        <v>834.4</v>
      </c>
      <c r="J230">
        <v>19.11</v>
      </c>
      <c r="K230">
        <v>325.29000000000002</v>
      </c>
      <c r="L230" t="s">
        <v>23</v>
      </c>
      <c r="M230" t="s">
        <v>24</v>
      </c>
      <c r="N230" t="s">
        <v>25</v>
      </c>
      <c r="O230">
        <f>_xlfn.XLOOKUP(E230,[1]Products!$B$2:$B$11,[1]Products!$F$2:$F$11)</f>
        <v>35</v>
      </c>
      <c r="P230">
        <f t="shared" si="6"/>
        <v>490</v>
      </c>
      <c r="Q230" s="3">
        <f t="shared" si="7"/>
        <v>0.38984899328859063</v>
      </c>
      <c r="R230">
        <f>MONTH(Table1[[#This Row],[Order_Date]])</f>
        <v>10</v>
      </c>
    </row>
    <row r="231" spans="1:18" x14ac:dyDescent="0.3">
      <c r="A231" t="s">
        <v>371</v>
      </c>
      <c r="B231" t="s">
        <v>662</v>
      </c>
      <c r="C231" t="s">
        <v>299</v>
      </c>
      <c r="D231" t="s">
        <v>147</v>
      </c>
      <c r="E231" t="s">
        <v>48</v>
      </c>
      <c r="F231" t="s">
        <v>49</v>
      </c>
      <c r="G231">
        <v>3</v>
      </c>
      <c r="H231" s="6">
        <v>28.36</v>
      </c>
      <c r="I231">
        <v>85.08</v>
      </c>
      <c r="J231">
        <v>4.46</v>
      </c>
      <c r="K231">
        <v>13.12</v>
      </c>
      <c r="L231" t="s">
        <v>17</v>
      </c>
      <c r="M231" t="s">
        <v>24</v>
      </c>
      <c r="N231" t="s">
        <v>25</v>
      </c>
      <c r="O231">
        <f>_xlfn.XLOOKUP(E231,[1]Products!$B$2:$B$11,[1]Products!$F$2:$F$11)</f>
        <v>22.5</v>
      </c>
      <c r="P231">
        <f t="shared" si="6"/>
        <v>67.5</v>
      </c>
      <c r="Q231" s="3">
        <f t="shared" si="7"/>
        <v>0.15420780441936999</v>
      </c>
      <c r="R231">
        <f>MONTH(Table1[[#This Row],[Order_Date]])</f>
        <v>2</v>
      </c>
    </row>
    <row r="232" spans="1:18" x14ac:dyDescent="0.3">
      <c r="A232" t="s">
        <v>372</v>
      </c>
      <c r="B232" t="s">
        <v>676</v>
      </c>
      <c r="C232" t="s">
        <v>131</v>
      </c>
      <c r="D232" t="s">
        <v>147</v>
      </c>
      <c r="E232" t="s">
        <v>60</v>
      </c>
      <c r="F232" t="s">
        <v>34</v>
      </c>
      <c r="G232">
        <v>28</v>
      </c>
      <c r="H232" s="6">
        <v>22.13</v>
      </c>
      <c r="I232">
        <v>619.64</v>
      </c>
      <c r="J232">
        <v>17.2</v>
      </c>
      <c r="K232">
        <v>245.44</v>
      </c>
      <c r="L232" t="s">
        <v>23</v>
      </c>
      <c r="M232" t="s">
        <v>29</v>
      </c>
      <c r="N232" t="s">
        <v>25</v>
      </c>
      <c r="O232">
        <f>_xlfn.XLOOKUP(E232,[1]Products!$B$2:$B$11,[1]Products!$F$2:$F$11)</f>
        <v>12.75</v>
      </c>
      <c r="P232">
        <f t="shared" si="6"/>
        <v>357</v>
      </c>
      <c r="Q232" s="3">
        <f t="shared" si="7"/>
        <v>0.39610096184881544</v>
      </c>
      <c r="R232">
        <f>MONTH(Table1[[#This Row],[Order_Date]])</f>
        <v>11</v>
      </c>
    </row>
    <row r="233" spans="1:18" x14ac:dyDescent="0.3">
      <c r="A233" t="s">
        <v>373</v>
      </c>
      <c r="B233" t="s">
        <v>670</v>
      </c>
      <c r="C233" t="s">
        <v>229</v>
      </c>
      <c r="D233" t="s">
        <v>652</v>
      </c>
      <c r="E233" t="s">
        <v>22</v>
      </c>
      <c r="F233" t="s">
        <v>16</v>
      </c>
      <c r="G233">
        <v>28</v>
      </c>
      <c r="H233" s="6">
        <v>27.62</v>
      </c>
      <c r="I233">
        <v>773.36</v>
      </c>
      <c r="J233">
        <v>29.88</v>
      </c>
      <c r="K233">
        <v>239.48</v>
      </c>
      <c r="L233" t="s">
        <v>17</v>
      </c>
      <c r="M233" t="s">
        <v>18</v>
      </c>
      <c r="N233" t="s">
        <v>19</v>
      </c>
      <c r="O233">
        <f>_xlfn.XLOOKUP(E233,[1]Products!$B$2:$B$11,[1]Products!$F$2:$F$11)</f>
        <v>18</v>
      </c>
      <c r="P233">
        <f t="shared" si="6"/>
        <v>504</v>
      </c>
      <c r="Q233" s="3">
        <f t="shared" si="7"/>
        <v>0.30966173580221368</v>
      </c>
      <c r="R233">
        <f>MONTH(Table1[[#This Row],[Order_Date]])</f>
        <v>12</v>
      </c>
    </row>
    <row r="234" spans="1:18" x14ac:dyDescent="0.3">
      <c r="A234" t="s">
        <v>374</v>
      </c>
      <c r="B234" t="s">
        <v>674</v>
      </c>
      <c r="C234" t="s">
        <v>117</v>
      </c>
      <c r="D234" t="s">
        <v>39</v>
      </c>
      <c r="E234" t="s">
        <v>53</v>
      </c>
      <c r="F234" t="s">
        <v>54</v>
      </c>
      <c r="G234">
        <v>40</v>
      </c>
      <c r="H234" s="6">
        <v>34.229999999999997</v>
      </c>
      <c r="I234">
        <v>1369.2</v>
      </c>
      <c r="J234">
        <v>78.03</v>
      </c>
      <c r="K234">
        <v>291.17</v>
      </c>
      <c r="L234" t="s">
        <v>17</v>
      </c>
      <c r="M234" t="s">
        <v>18</v>
      </c>
      <c r="N234" t="s">
        <v>19</v>
      </c>
      <c r="O234">
        <f>_xlfn.XLOOKUP(E234,[1]Products!$B$2:$B$11,[1]Products!$F$2:$F$11)</f>
        <v>25</v>
      </c>
      <c r="P234">
        <f t="shared" si="6"/>
        <v>1000</v>
      </c>
      <c r="Q234" s="3">
        <f t="shared" si="7"/>
        <v>0.21265702600058428</v>
      </c>
      <c r="R234">
        <f>MONTH(Table1[[#This Row],[Order_Date]])</f>
        <v>3</v>
      </c>
    </row>
    <row r="235" spans="1:18" x14ac:dyDescent="0.3">
      <c r="A235" t="s">
        <v>375</v>
      </c>
      <c r="B235" t="s">
        <v>661</v>
      </c>
      <c r="C235" t="s">
        <v>175</v>
      </c>
      <c r="D235" t="s">
        <v>73</v>
      </c>
      <c r="E235" t="s">
        <v>40</v>
      </c>
      <c r="F235" t="s">
        <v>41</v>
      </c>
      <c r="G235">
        <v>9</v>
      </c>
      <c r="H235" s="6">
        <v>52.2</v>
      </c>
      <c r="I235">
        <v>469.8</v>
      </c>
      <c r="J235">
        <v>31.5</v>
      </c>
      <c r="K235">
        <v>78.3</v>
      </c>
      <c r="L235" t="s">
        <v>35</v>
      </c>
      <c r="M235" t="s">
        <v>29</v>
      </c>
      <c r="N235" t="s">
        <v>55</v>
      </c>
      <c r="O235">
        <f>_xlfn.XLOOKUP(E235,[1]Products!$B$2:$B$11,[1]Products!$F$2:$F$11)</f>
        <v>40</v>
      </c>
      <c r="P235">
        <f t="shared" si="6"/>
        <v>360</v>
      </c>
      <c r="Q235" s="3">
        <f t="shared" si="7"/>
        <v>0.16666666666666666</v>
      </c>
      <c r="R235">
        <f>MONTH(Table1[[#This Row],[Order_Date]])</f>
        <v>1</v>
      </c>
    </row>
    <row r="236" spans="1:18" x14ac:dyDescent="0.3">
      <c r="A236" t="s">
        <v>376</v>
      </c>
      <c r="B236" t="s">
        <v>674</v>
      </c>
      <c r="C236" t="s">
        <v>229</v>
      </c>
      <c r="D236" t="s">
        <v>102</v>
      </c>
      <c r="E236" t="s">
        <v>53</v>
      </c>
      <c r="F236" t="s">
        <v>54</v>
      </c>
      <c r="G236">
        <v>31</v>
      </c>
      <c r="H236" s="6">
        <v>43.54</v>
      </c>
      <c r="I236">
        <v>1349.74</v>
      </c>
      <c r="J236">
        <v>99.86</v>
      </c>
      <c r="K236">
        <v>474.88</v>
      </c>
      <c r="L236" t="s">
        <v>17</v>
      </c>
      <c r="M236" t="s">
        <v>24</v>
      </c>
      <c r="N236" t="s">
        <v>25</v>
      </c>
      <c r="O236">
        <f>_xlfn.XLOOKUP(E236,[1]Products!$B$2:$B$11,[1]Products!$F$2:$F$11)</f>
        <v>25</v>
      </c>
      <c r="P236">
        <f t="shared" si="6"/>
        <v>775</v>
      </c>
      <c r="Q236" s="3">
        <f t="shared" si="7"/>
        <v>0.35183072295405038</v>
      </c>
      <c r="R236">
        <f>MONTH(Table1[[#This Row],[Order_Date]])</f>
        <v>3</v>
      </c>
    </row>
    <row r="237" spans="1:18" x14ac:dyDescent="0.3">
      <c r="A237" t="s">
        <v>377</v>
      </c>
      <c r="B237" t="s">
        <v>666</v>
      </c>
      <c r="C237" t="s">
        <v>111</v>
      </c>
      <c r="D237" t="s">
        <v>654</v>
      </c>
      <c r="E237" t="s">
        <v>57</v>
      </c>
      <c r="F237" t="s">
        <v>49</v>
      </c>
      <c r="G237">
        <v>31</v>
      </c>
      <c r="H237" s="6">
        <v>18.63</v>
      </c>
      <c r="I237">
        <v>577.53</v>
      </c>
      <c r="J237">
        <v>36.65</v>
      </c>
      <c r="K237">
        <v>60.38</v>
      </c>
      <c r="L237" t="s">
        <v>35</v>
      </c>
      <c r="M237" t="s">
        <v>18</v>
      </c>
      <c r="N237" t="s">
        <v>55</v>
      </c>
      <c r="O237">
        <f>_xlfn.XLOOKUP(E237,[1]Products!$B$2:$B$11,[1]Products!$F$2:$F$11)</f>
        <v>15.5</v>
      </c>
      <c r="P237">
        <f t="shared" si="6"/>
        <v>480.5</v>
      </c>
      <c r="Q237" s="3">
        <f t="shared" si="7"/>
        <v>0.1045486814537773</v>
      </c>
      <c r="R237">
        <f>MONTH(Table1[[#This Row],[Order_Date]])</f>
        <v>5</v>
      </c>
    </row>
    <row r="238" spans="1:18" x14ac:dyDescent="0.3">
      <c r="A238" t="s">
        <v>378</v>
      </c>
      <c r="B238" t="s">
        <v>671</v>
      </c>
      <c r="C238" t="s">
        <v>274</v>
      </c>
      <c r="D238" t="s">
        <v>73</v>
      </c>
      <c r="E238" t="s">
        <v>45</v>
      </c>
      <c r="F238" t="s">
        <v>34</v>
      </c>
      <c r="G238">
        <v>38</v>
      </c>
      <c r="H238" s="6">
        <v>27.28</v>
      </c>
      <c r="I238">
        <v>1036.6400000000001</v>
      </c>
      <c r="J238">
        <v>38.770000000000003</v>
      </c>
      <c r="K238">
        <v>237.87</v>
      </c>
      <c r="L238" t="s">
        <v>17</v>
      </c>
      <c r="M238" t="s">
        <v>29</v>
      </c>
      <c r="N238" t="s">
        <v>55</v>
      </c>
      <c r="O238">
        <f>_xlfn.XLOOKUP(E238,[1]Products!$B$2:$B$11,[1]Products!$F$2:$F$11)</f>
        <v>20</v>
      </c>
      <c r="P238">
        <f t="shared" si="6"/>
        <v>760</v>
      </c>
      <c r="Q238" s="3">
        <f t="shared" si="7"/>
        <v>0.22946249421206974</v>
      </c>
      <c r="R238">
        <f>MONTH(Table1[[#This Row],[Order_Date]])</f>
        <v>2</v>
      </c>
    </row>
    <row r="239" spans="1:18" x14ac:dyDescent="0.3">
      <c r="A239" t="s">
        <v>379</v>
      </c>
      <c r="B239" t="s">
        <v>676</v>
      </c>
      <c r="C239" t="s">
        <v>203</v>
      </c>
      <c r="D239" t="s">
        <v>32</v>
      </c>
      <c r="E239" t="s">
        <v>22</v>
      </c>
      <c r="F239" t="s">
        <v>16</v>
      </c>
      <c r="G239">
        <v>50</v>
      </c>
      <c r="H239" s="6">
        <v>30.97</v>
      </c>
      <c r="I239">
        <v>1548.5</v>
      </c>
      <c r="J239">
        <v>82.09</v>
      </c>
      <c r="K239">
        <v>566.41</v>
      </c>
      <c r="L239" t="s">
        <v>23</v>
      </c>
      <c r="M239" t="s">
        <v>24</v>
      </c>
      <c r="N239" t="s">
        <v>36</v>
      </c>
      <c r="O239">
        <f>_xlfn.XLOOKUP(E239,[1]Products!$B$2:$B$11,[1]Products!$F$2:$F$11)</f>
        <v>18</v>
      </c>
      <c r="P239">
        <f t="shared" si="6"/>
        <v>900</v>
      </c>
      <c r="Q239" s="3">
        <f t="shared" si="7"/>
        <v>0.36577978689053919</v>
      </c>
      <c r="R239">
        <f>MONTH(Table1[[#This Row],[Order_Date]])</f>
        <v>11</v>
      </c>
    </row>
    <row r="240" spans="1:18" x14ac:dyDescent="0.3">
      <c r="A240" t="s">
        <v>380</v>
      </c>
      <c r="B240" t="s">
        <v>671</v>
      </c>
      <c r="C240" t="s">
        <v>72</v>
      </c>
      <c r="D240" t="s">
        <v>73</v>
      </c>
      <c r="E240" t="s">
        <v>40</v>
      </c>
      <c r="F240" t="s">
        <v>41</v>
      </c>
      <c r="G240">
        <v>17</v>
      </c>
      <c r="H240" s="6">
        <v>60.91</v>
      </c>
      <c r="I240">
        <v>1035.47</v>
      </c>
      <c r="J240">
        <v>54.09</v>
      </c>
      <c r="K240">
        <v>301.38</v>
      </c>
      <c r="L240" t="s">
        <v>35</v>
      </c>
      <c r="M240" t="s">
        <v>18</v>
      </c>
      <c r="N240" t="s">
        <v>55</v>
      </c>
      <c r="O240">
        <f>_xlfn.XLOOKUP(E240,[1]Products!$B$2:$B$11,[1]Products!$F$2:$F$11)</f>
        <v>40</v>
      </c>
      <c r="P240">
        <f t="shared" si="6"/>
        <v>680</v>
      </c>
      <c r="Q240" s="3">
        <f t="shared" si="7"/>
        <v>0.29105623533274744</v>
      </c>
      <c r="R240">
        <f>MONTH(Table1[[#This Row],[Order_Date]])</f>
        <v>2</v>
      </c>
    </row>
    <row r="241" spans="1:18" x14ac:dyDescent="0.3">
      <c r="A241" t="s">
        <v>381</v>
      </c>
      <c r="B241" t="s">
        <v>666</v>
      </c>
      <c r="C241" t="s">
        <v>270</v>
      </c>
      <c r="D241" t="s">
        <v>52</v>
      </c>
      <c r="E241" t="s">
        <v>45</v>
      </c>
      <c r="F241" t="s">
        <v>34</v>
      </c>
      <c r="G241">
        <v>25</v>
      </c>
      <c r="H241" s="6">
        <v>31.15</v>
      </c>
      <c r="I241">
        <v>778.75</v>
      </c>
      <c r="J241">
        <v>47.45</v>
      </c>
      <c r="K241">
        <v>231.3</v>
      </c>
      <c r="L241" t="s">
        <v>17</v>
      </c>
      <c r="M241" t="s">
        <v>29</v>
      </c>
      <c r="N241" t="s">
        <v>55</v>
      </c>
      <c r="O241">
        <f>_xlfn.XLOOKUP(E241,[1]Products!$B$2:$B$11,[1]Products!$F$2:$F$11)</f>
        <v>20</v>
      </c>
      <c r="P241">
        <f t="shared" si="6"/>
        <v>500</v>
      </c>
      <c r="Q241" s="3">
        <f t="shared" si="7"/>
        <v>0.29701444622792939</v>
      </c>
      <c r="R241">
        <f>MONTH(Table1[[#This Row],[Order_Date]])</f>
        <v>5</v>
      </c>
    </row>
    <row r="242" spans="1:18" x14ac:dyDescent="0.3">
      <c r="A242" t="s">
        <v>382</v>
      </c>
      <c r="B242" t="s">
        <v>673</v>
      </c>
      <c r="C242" t="s">
        <v>287</v>
      </c>
      <c r="D242" t="s">
        <v>102</v>
      </c>
      <c r="E242" t="s">
        <v>22</v>
      </c>
      <c r="F242" t="s">
        <v>16</v>
      </c>
      <c r="G242">
        <v>30</v>
      </c>
      <c r="H242" s="6">
        <v>31.12</v>
      </c>
      <c r="I242">
        <v>933.6</v>
      </c>
      <c r="J242">
        <v>50.88</v>
      </c>
      <c r="K242">
        <v>342.72</v>
      </c>
      <c r="L242" t="s">
        <v>23</v>
      </c>
      <c r="M242" t="s">
        <v>24</v>
      </c>
      <c r="N242" t="s">
        <v>25</v>
      </c>
      <c r="O242">
        <f>_xlfn.XLOOKUP(E242,[1]Products!$B$2:$B$11,[1]Products!$F$2:$F$11)</f>
        <v>18</v>
      </c>
      <c r="P242">
        <f t="shared" si="6"/>
        <v>540</v>
      </c>
      <c r="Q242" s="3">
        <f t="shared" si="7"/>
        <v>0.36709511568123393</v>
      </c>
      <c r="R242">
        <f>MONTH(Table1[[#This Row],[Order_Date]])</f>
        <v>7</v>
      </c>
    </row>
    <row r="243" spans="1:18" x14ac:dyDescent="0.3">
      <c r="A243" t="s">
        <v>383</v>
      </c>
      <c r="B243" t="s">
        <v>662</v>
      </c>
      <c r="C243" t="s">
        <v>109</v>
      </c>
      <c r="D243" t="s">
        <v>44</v>
      </c>
      <c r="E243" t="s">
        <v>57</v>
      </c>
      <c r="F243" t="s">
        <v>49</v>
      </c>
      <c r="G243">
        <v>17</v>
      </c>
      <c r="H243" s="6">
        <v>19.64</v>
      </c>
      <c r="I243">
        <v>333.88</v>
      </c>
      <c r="J243">
        <v>22.23</v>
      </c>
      <c r="K243">
        <v>48.15</v>
      </c>
      <c r="L243" t="s">
        <v>35</v>
      </c>
      <c r="M243" t="s">
        <v>29</v>
      </c>
      <c r="N243" t="s">
        <v>19</v>
      </c>
      <c r="O243">
        <f>_xlfn.XLOOKUP(E243,[1]Products!$B$2:$B$11,[1]Products!$F$2:$F$11)</f>
        <v>15.5</v>
      </c>
      <c r="P243">
        <f t="shared" si="6"/>
        <v>263.5</v>
      </c>
      <c r="Q243" s="3">
        <f t="shared" si="7"/>
        <v>0.14421348987660237</v>
      </c>
      <c r="R243">
        <f>MONTH(Table1[[#This Row],[Order_Date]])</f>
        <v>2</v>
      </c>
    </row>
    <row r="244" spans="1:18" x14ac:dyDescent="0.3">
      <c r="A244" t="s">
        <v>384</v>
      </c>
      <c r="B244" t="s">
        <v>665</v>
      </c>
      <c r="C244" t="s">
        <v>385</v>
      </c>
      <c r="D244" t="s">
        <v>652</v>
      </c>
      <c r="E244" t="s">
        <v>33</v>
      </c>
      <c r="F244" t="s">
        <v>34</v>
      </c>
      <c r="G244">
        <v>37</v>
      </c>
      <c r="H244" s="6">
        <v>57.35</v>
      </c>
      <c r="I244">
        <v>2121.9499999999998</v>
      </c>
      <c r="J244">
        <v>147.38999999999999</v>
      </c>
      <c r="K244">
        <v>790.56</v>
      </c>
      <c r="L244" t="s">
        <v>17</v>
      </c>
      <c r="M244" t="s">
        <v>18</v>
      </c>
      <c r="N244" t="s">
        <v>19</v>
      </c>
      <c r="O244">
        <f>_xlfn.XLOOKUP(E244,[1]Products!$B$2:$B$11,[1]Products!$F$2:$F$11)</f>
        <v>32</v>
      </c>
      <c r="P244">
        <f t="shared" si="6"/>
        <v>1184</v>
      </c>
      <c r="Q244" s="3">
        <f t="shared" si="7"/>
        <v>0.37256297273734068</v>
      </c>
      <c r="R244">
        <f>MONTH(Table1[[#This Row],[Order_Date]])</f>
        <v>6</v>
      </c>
    </row>
    <row r="245" spans="1:18" x14ac:dyDescent="0.3">
      <c r="A245" t="s">
        <v>386</v>
      </c>
      <c r="B245" t="s">
        <v>662</v>
      </c>
      <c r="C245" t="s">
        <v>14</v>
      </c>
      <c r="D245" t="s">
        <v>28</v>
      </c>
      <c r="E245" t="s">
        <v>15</v>
      </c>
      <c r="F245" t="s">
        <v>16</v>
      </c>
      <c r="G245">
        <v>45</v>
      </c>
      <c r="H245" s="6">
        <v>42.6</v>
      </c>
      <c r="I245">
        <v>1917</v>
      </c>
      <c r="J245">
        <v>104.27</v>
      </c>
      <c r="K245">
        <v>237.73</v>
      </c>
      <c r="L245" t="s">
        <v>23</v>
      </c>
      <c r="M245" t="s">
        <v>29</v>
      </c>
      <c r="N245" t="s">
        <v>25</v>
      </c>
      <c r="O245">
        <f>_xlfn.XLOOKUP(E245,[1]Products!$B$2:$B$11,[1]Products!$F$2:$F$11)</f>
        <v>35</v>
      </c>
      <c r="P245">
        <f t="shared" si="6"/>
        <v>1575</v>
      </c>
      <c r="Q245" s="3">
        <f t="shared" si="7"/>
        <v>0.12401147626499738</v>
      </c>
      <c r="R245">
        <f>MONTH(Table1[[#This Row],[Order_Date]])</f>
        <v>2</v>
      </c>
    </row>
    <row r="246" spans="1:18" x14ac:dyDescent="0.3">
      <c r="A246" t="s">
        <v>387</v>
      </c>
      <c r="B246" t="s">
        <v>665</v>
      </c>
      <c r="C246" t="s">
        <v>98</v>
      </c>
      <c r="D246" t="s">
        <v>653</v>
      </c>
      <c r="E246" t="s">
        <v>45</v>
      </c>
      <c r="F246" t="s">
        <v>34</v>
      </c>
      <c r="G246">
        <v>25</v>
      </c>
      <c r="H246" s="6">
        <v>31.82</v>
      </c>
      <c r="I246">
        <v>795.5</v>
      </c>
      <c r="J246">
        <v>37.33</v>
      </c>
      <c r="K246">
        <v>258.17</v>
      </c>
      <c r="L246" t="s">
        <v>17</v>
      </c>
      <c r="M246" t="s">
        <v>24</v>
      </c>
      <c r="N246" t="s">
        <v>25</v>
      </c>
      <c r="O246">
        <f>_xlfn.XLOOKUP(E246,[1]Products!$B$2:$B$11,[1]Products!$F$2:$F$11)</f>
        <v>20</v>
      </c>
      <c r="P246">
        <f t="shared" si="6"/>
        <v>500</v>
      </c>
      <c r="Q246" s="3">
        <f t="shared" si="7"/>
        <v>0.32453802639849155</v>
      </c>
      <c r="R246">
        <f>MONTH(Table1[[#This Row],[Order_Date]])</f>
        <v>6</v>
      </c>
    </row>
    <row r="247" spans="1:18" x14ac:dyDescent="0.3">
      <c r="A247" t="s">
        <v>388</v>
      </c>
      <c r="B247" t="s">
        <v>666</v>
      </c>
      <c r="C247" t="s">
        <v>121</v>
      </c>
      <c r="D247" t="s">
        <v>173</v>
      </c>
      <c r="E247" t="s">
        <v>53</v>
      </c>
      <c r="F247" t="s">
        <v>54</v>
      </c>
      <c r="G247">
        <v>17</v>
      </c>
      <c r="H247" s="6">
        <v>36.270000000000003</v>
      </c>
      <c r="I247">
        <v>616.59</v>
      </c>
      <c r="J247">
        <v>22.76</v>
      </c>
      <c r="K247">
        <v>168.83</v>
      </c>
      <c r="L247" t="s">
        <v>35</v>
      </c>
      <c r="M247" t="s">
        <v>18</v>
      </c>
      <c r="N247" t="s">
        <v>55</v>
      </c>
      <c r="O247">
        <f>_xlfn.XLOOKUP(E247,[1]Products!$B$2:$B$11,[1]Products!$F$2:$F$11)</f>
        <v>25</v>
      </c>
      <c r="P247">
        <f t="shared" si="6"/>
        <v>425</v>
      </c>
      <c r="Q247" s="3">
        <f t="shared" si="7"/>
        <v>0.27381241992247685</v>
      </c>
      <c r="R247">
        <f>MONTH(Table1[[#This Row],[Order_Date]])</f>
        <v>5</v>
      </c>
    </row>
    <row r="248" spans="1:18" x14ac:dyDescent="0.3">
      <c r="A248" t="s">
        <v>389</v>
      </c>
      <c r="B248" t="s">
        <v>676</v>
      </c>
      <c r="C248" t="s">
        <v>207</v>
      </c>
      <c r="D248" t="s">
        <v>654</v>
      </c>
      <c r="E248" t="s">
        <v>22</v>
      </c>
      <c r="F248" t="s">
        <v>16</v>
      </c>
      <c r="G248">
        <v>4</v>
      </c>
      <c r="H248" s="6">
        <v>27.01</v>
      </c>
      <c r="I248">
        <v>108.04</v>
      </c>
      <c r="J248">
        <v>4.7300000000000004</v>
      </c>
      <c r="K248">
        <v>31.31</v>
      </c>
      <c r="L248" t="s">
        <v>35</v>
      </c>
      <c r="M248" t="s">
        <v>29</v>
      </c>
      <c r="N248" t="s">
        <v>55</v>
      </c>
      <c r="O248">
        <f>_xlfn.XLOOKUP(E248,[1]Products!$B$2:$B$11,[1]Products!$F$2:$F$11)</f>
        <v>18</v>
      </c>
      <c r="P248">
        <f t="shared" si="6"/>
        <v>72</v>
      </c>
      <c r="Q248" s="3">
        <f t="shared" si="7"/>
        <v>0.28980007404664937</v>
      </c>
      <c r="R248">
        <f>MONTH(Table1[[#This Row],[Order_Date]])</f>
        <v>11</v>
      </c>
    </row>
    <row r="249" spans="1:18" x14ac:dyDescent="0.3">
      <c r="A249" t="s">
        <v>390</v>
      </c>
      <c r="B249" t="s">
        <v>675</v>
      </c>
      <c r="C249" t="s">
        <v>227</v>
      </c>
      <c r="D249" t="s">
        <v>44</v>
      </c>
      <c r="E249" t="s">
        <v>15</v>
      </c>
      <c r="F249" t="s">
        <v>16</v>
      </c>
      <c r="G249">
        <v>22</v>
      </c>
      <c r="H249" s="6">
        <v>57.6</v>
      </c>
      <c r="I249">
        <v>1267.2</v>
      </c>
      <c r="J249">
        <v>35.32</v>
      </c>
      <c r="K249">
        <v>461.88</v>
      </c>
      <c r="L249" t="s">
        <v>35</v>
      </c>
      <c r="M249" t="s">
        <v>18</v>
      </c>
      <c r="N249" t="s">
        <v>19</v>
      </c>
      <c r="O249">
        <f>_xlfn.XLOOKUP(E249,[1]Products!$B$2:$B$11,[1]Products!$F$2:$F$11)</f>
        <v>35</v>
      </c>
      <c r="P249">
        <f t="shared" si="6"/>
        <v>770</v>
      </c>
      <c r="Q249" s="3">
        <f t="shared" si="7"/>
        <v>0.36448863636363632</v>
      </c>
      <c r="R249">
        <f>MONTH(Table1[[#This Row],[Order_Date]])</f>
        <v>5</v>
      </c>
    </row>
    <row r="250" spans="1:18" x14ac:dyDescent="0.3">
      <c r="A250" t="s">
        <v>391</v>
      </c>
      <c r="B250" t="s">
        <v>677</v>
      </c>
      <c r="C250" t="s">
        <v>257</v>
      </c>
      <c r="D250" t="s">
        <v>147</v>
      </c>
      <c r="E250" t="s">
        <v>53</v>
      </c>
      <c r="F250" t="s">
        <v>54</v>
      </c>
      <c r="G250">
        <v>24</v>
      </c>
      <c r="H250" s="6">
        <v>43.34</v>
      </c>
      <c r="I250">
        <v>1040.1600000000001</v>
      </c>
      <c r="J250">
        <v>41.18</v>
      </c>
      <c r="K250">
        <v>398.98</v>
      </c>
      <c r="L250" t="s">
        <v>17</v>
      </c>
      <c r="M250" t="s">
        <v>29</v>
      </c>
      <c r="N250" t="s">
        <v>25</v>
      </c>
      <c r="O250">
        <f>_xlfn.XLOOKUP(E250,[1]Products!$B$2:$B$11,[1]Products!$F$2:$F$11)</f>
        <v>25</v>
      </c>
      <c r="P250">
        <f t="shared" si="6"/>
        <v>600</v>
      </c>
      <c r="Q250" s="3">
        <f t="shared" si="7"/>
        <v>0.38357560375326871</v>
      </c>
      <c r="R250">
        <f>MONTH(Table1[[#This Row],[Order_Date]])</f>
        <v>1</v>
      </c>
    </row>
    <row r="251" spans="1:18" x14ac:dyDescent="0.3">
      <c r="A251" t="s">
        <v>392</v>
      </c>
      <c r="B251" t="s">
        <v>662</v>
      </c>
      <c r="C251" t="s">
        <v>162</v>
      </c>
      <c r="D251" t="s">
        <v>44</v>
      </c>
      <c r="E251" t="s">
        <v>40</v>
      </c>
      <c r="F251" t="s">
        <v>41</v>
      </c>
      <c r="G251">
        <v>37</v>
      </c>
      <c r="H251" s="6">
        <v>71.8</v>
      </c>
      <c r="I251">
        <v>2656.6</v>
      </c>
      <c r="J251">
        <v>60.3</v>
      </c>
      <c r="K251">
        <v>1116.3</v>
      </c>
      <c r="L251" t="s">
        <v>23</v>
      </c>
      <c r="M251" t="s">
        <v>18</v>
      </c>
      <c r="N251" t="s">
        <v>19</v>
      </c>
      <c r="O251">
        <f>_xlfn.XLOOKUP(E251,[1]Products!$B$2:$B$11,[1]Products!$F$2:$F$11)</f>
        <v>40</v>
      </c>
      <c r="P251">
        <f t="shared" si="6"/>
        <v>1480</v>
      </c>
      <c r="Q251" s="3">
        <f t="shared" si="7"/>
        <v>0.42019875028231574</v>
      </c>
      <c r="R251">
        <f>MONTH(Table1[[#This Row],[Order_Date]])</f>
        <v>2</v>
      </c>
    </row>
    <row r="252" spans="1:18" x14ac:dyDescent="0.3">
      <c r="A252" t="s">
        <v>393</v>
      </c>
      <c r="B252" t="s">
        <v>665</v>
      </c>
      <c r="C252" t="s">
        <v>385</v>
      </c>
      <c r="D252" t="s">
        <v>654</v>
      </c>
      <c r="E252" t="s">
        <v>45</v>
      </c>
      <c r="F252" t="s">
        <v>34</v>
      </c>
      <c r="G252">
        <v>24</v>
      </c>
      <c r="H252" s="6">
        <v>29.11</v>
      </c>
      <c r="I252">
        <v>698.64</v>
      </c>
      <c r="J252">
        <v>53.99</v>
      </c>
      <c r="K252">
        <v>164.65</v>
      </c>
      <c r="L252" t="s">
        <v>35</v>
      </c>
      <c r="M252" t="s">
        <v>29</v>
      </c>
      <c r="N252" t="s">
        <v>55</v>
      </c>
      <c r="O252">
        <f>_xlfn.XLOOKUP(E252,[1]Products!$B$2:$B$11,[1]Products!$F$2:$F$11)</f>
        <v>20</v>
      </c>
      <c r="P252">
        <f t="shared" si="6"/>
        <v>480</v>
      </c>
      <c r="Q252" s="3">
        <f t="shared" si="7"/>
        <v>0.23567216305965877</v>
      </c>
      <c r="R252">
        <f>MONTH(Table1[[#This Row],[Order_Date]])</f>
        <v>6</v>
      </c>
    </row>
    <row r="253" spans="1:18" x14ac:dyDescent="0.3">
      <c r="A253" t="s">
        <v>394</v>
      </c>
      <c r="B253" t="s">
        <v>677</v>
      </c>
      <c r="C253" t="s">
        <v>395</v>
      </c>
      <c r="D253" t="s">
        <v>73</v>
      </c>
      <c r="E253" t="s">
        <v>48</v>
      </c>
      <c r="F253" t="s">
        <v>49</v>
      </c>
      <c r="G253">
        <v>6</v>
      </c>
      <c r="H253" s="6">
        <v>27.91</v>
      </c>
      <c r="I253">
        <v>167.46</v>
      </c>
      <c r="J253">
        <v>10.01</v>
      </c>
      <c r="K253">
        <v>22.45</v>
      </c>
      <c r="L253" t="s">
        <v>17</v>
      </c>
      <c r="M253" t="s">
        <v>18</v>
      </c>
      <c r="N253" t="s">
        <v>55</v>
      </c>
      <c r="O253">
        <f>_xlfn.XLOOKUP(E253,[1]Products!$B$2:$B$11,[1]Products!$F$2:$F$11)</f>
        <v>22.5</v>
      </c>
      <c r="P253">
        <f t="shared" si="6"/>
        <v>135</v>
      </c>
      <c r="Q253" s="3">
        <f t="shared" si="7"/>
        <v>0.1340618655201242</v>
      </c>
      <c r="R253">
        <f>MONTH(Table1[[#This Row],[Order_Date]])</f>
        <v>1</v>
      </c>
    </row>
    <row r="254" spans="1:18" x14ac:dyDescent="0.3">
      <c r="A254" t="s">
        <v>396</v>
      </c>
      <c r="B254" t="s">
        <v>671</v>
      </c>
      <c r="C254" t="s">
        <v>31</v>
      </c>
      <c r="D254" t="s">
        <v>52</v>
      </c>
      <c r="E254" t="s">
        <v>48</v>
      </c>
      <c r="F254" t="s">
        <v>49</v>
      </c>
      <c r="G254">
        <v>28</v>
      </c>
      <c r="H254" s="6">
        <v>27.29</v>
      </c>
      <c r="I254">
        <v>764.12</v>
      </c>
      <c r="J254">
        <v>25.78</v>
      </c>
      <c r="K254">
        <v>108.34</v>
      </c>
      <c r="L254" t="s">
        <v>35</v>
      </c>
      <c r="M254" t="s">
        <v>18</v>
      </c>
      <c r="N254" t="s">
        <v>55</v>
      </c>
      <c r="O254">
        <f>_xlfn.XLOOKUP(E254,[1]Products!$B$2:$B$11,[1]Products!$F$2:$F$11)</f>
        <v>22.5</v>
      </c>
      <c r="P254">
        <f t="shared" si="6"/>
        <v>630</v>
      </c>
      <c r="Q254" s="3">
        <f t="shared" si="7"/>
        <v>0.1417840129822541</v>
      </c>
      <c r="R254">
        <f>MONTH(Table1[[#This Row],[Order_Date]])</f>
        <v>2</v>
      </c>
    </row>
    <row r="255" spans="1:18" x14ac:dyDescent="0.3">
      <c r="A255" t="s">
        <v>397</v>
      </c>
      <c r="B255" t="s">
        <v>671</v>
      </c>
      <c r="C255" t="s">
        <v>315</v>
      </c>
      <c r="D255" t="s">
        <v>44</v>
      </c>
      <c r="E255" t="s">
        <v>48</v>
      </c>
      <c r="F255" t="s">
        <v>49</v>
      </c>
      <c r="G255">
        <v>47</v>
      </c>
      <c r="H255" s="6">
        <v>35.880000000000003</v>
      </c>
      <c r="I255">
        <v>1686.36</v>
      </c>
      <c r="J255">
        <v>70.3</v>
      </c>
      <c r="K255">
        <v>558.55999999999995</v>
      </c>
      <c r="L255" t="s">
        <v>17</v>
      </c>
      <c r="M255" t="s">
        <v>24</v>
      </c>
      <c r="N255" t="s">
        <v>19</v>
      </c>
      <c r="O255">
        <f>_xlfn.XLOOKUP(E255,[1]Products!$B$2:$B$11,[1]Products!$F$2:$F$11)</f>
        <v>22.5</v>
      </c>
      <c r="P255">
        <f t="shared" si="6"/>
        <v>1057.5</v>
      </c>
      <c r="Q255" s="3">
        <f t="shared" si="7"/>
        <v>0.33122227756825351</v>
      </c>
      <c r="R255">
        <f>MONTH(Table1[[#This Row],[Order_Date]])</f>
        <v>2</v>
      </c>
    </row>
    <row r="256" spans="1:18" x14ac:dyDescent="0.3">
      <c r="A256" t="s">
        <v>398</v>
      </c>
      <c r="B256" t="s">
        <v>665</v>
      </c>
      <c r="C256" t="s">
        <v>195</v>
      </c>
      <c r="D256" t="s">
        <v>102</v>
      </c>
      <c r="E256" t="s">
        <v>57</v>
      </c>
      <c r="F256" t="s">
        <v>49</v>
      </c>
      <c r="G256">
        <v>19</v>
      </c>
      <c r="H256" s="6">
        <v>27.47</v>
      </c>
      <c r="I256">
        <v>521.92999999999995</v>
      </c>
      <c r="J256">
        <v>31.29</v>
      </c>
      <c r="K256">
        <v>196.14</v>
      </c>
      <c r="L256" t="s">
        <v>23</v>
      </c>
      <c r="M256" t="s">
        <v>29</v>
      </c>
      <c r="N256" t="s">
        <v>25</v>
      </c>
      <c r="O256">
        <f>_xlfn.XLOOKUP(E256,[1]Products!$B$2:$B$11,[1]Products!$F$2:$F$11)</f>
        <v>15.5</v>
      </c>
      <c r="P256">
        <f t="shared" si="6"/>
        <v>294.5</v>
      </c>
      <c r="Q256" s="3">
        <f t="shared" si="7"/>
        <v>0.37579752074032918</v>
      </c>
      <c r="R256">
        <f>MONTH(Table1[[#This Row],[Order_Date]])</f>
        <v>6</v>
      </c>
    </row>
    <row r="257" spans="1:18" x14ac:dyDescent="0.3">
      <c r="A257" t="s">
        <v>399</v>
      </c>
      <c r="B257" t="s">
        <v>676</v>
      </c>
      <c r="C257" t="s">
        <v>131</v>
      </c>
      <c r="D257" t="s">
        <v>125</v>
      </c>
      <c r="E257" t="s">
        <v>45</v>
      </c>
      <c r="F257" t="s">
        <v>34</v>
      </c>
      <c r="G257">
        <v>13</v>
      </c>
      <c r="H257" s="6">
        <v>29.26</v>
      </c>
      <c r="I257">
        <v>380.38</v>
      </c>
      <c r="J257">
        <v>9.4700000000000006</v>
      </c>
      <c r="K257">
        <v>110.91</v>
      </c>
      <c r="L257" t="s">
        <v>23</v>
      </c>
      <c r="M257" t="s">
        <v>29</v>
      </c>
      <c r="N257" t="s">
        <v>126</v>
      </c>
      <c r="O257">
        <f>_xlfn.XLOOKUP(E257,[1]Products!$B$2:$B$11,[1]Products!$F$2:$F$11)</f>
        <v>20</v>
      </c>
      <c r="P257">
        <f t="shared" si="6"/>
        <v>260</v>
      </c>
      <c r="Q257" s="3">
        <f t="shared" si="7"/>
        <v>0.29157684420842317</v>
      </c>
      <c r="R257">
        <f>MONTH(Table1[[#This Row],[Order_Date]])</f>
        <v>11</v>
      </c>
    </row>
    <row r="258" spans="1:18" x14ac:dyDescent="0.3">
      <c r="A258" t="s">
        <v>400</v>
      </c>
      <c r="B258" t="s">
        <v>661</v>
      </c>
      <c r="C258" t="s">
        <v>302</v>
      </c>
      <c r="D258" t="s">
        <v>147</v>
      </c>
      <c r="E258" t="s">
        <v>22</v>
      </c>
      <c r="F258" t="s">
        <v>16</v>
      </c>
      <c r="G258">
        <v>4</v>
      </c>
      <c r="H258" s="6">
        <v>26.17</v>
      </c>
      <c r="I258">
        <v>104.68</v>
      </c>
      <c r="J258">
        <v>6.33</v>
      </c>
      <c r="K258">
        <v>26.35</v>
      </c>
      <c r="L258" t="s">
        <v>17</v>
      </c>
      <c r="M258" t="s">
        <v>24</v>
      </c>
      <c r="N258" t="s">
        <v>25</v>
      </c>
      <c r="O258">
        <f>_xlfn.XLOOKUP(E258,[1]Products!$B$2:$B$11,[1]Products!$F$2:$F$11)</f>
        <v>18</v>
      </c>
      <c r="P258">
        <f t="shared" si="6"/>
        <v>72</v>
      </c>
      <c r="Q258" s="3">
        <f t="shared" si="7"/>
        <v>0.25171952617500953</v>
      </c>
      <c r="R258">
        <f>MONTH(Table1[[#This Row],[Order_Date]])</f>
        <v>1</v>
      </c>
    </row>
    <row r="259" spans="1:18" x14ac:dyDescent="0.3">
      <c r="A259" t="s">
        <v>401</v>
      </c>
      <c r="B259" t="s">
        <v>677</v>
      </c>
      <c r="C259" t="s">
        <v>162</v>
      </c>
      <c r="D259" t="s">
        <v>147</v>
      </c>
      <c r="E259" t="s">
        <v>48</v>
      </c>
      <c r="F259" t="s">
        <v>49</v>
      </c>
      <c r="G259">
        <v>43</v>
      </c>
      <c r="H259" s="6">
        <v>37.32</v>
      </c>
      <c r="I259">
        <v>1604.76</v>
      </c>
      <c r="J259">
        <v>61.01</v>
      </c>
      <c r="K259">
        <v>576.25</v>
      </c>
      <c r="L259" t="s">
        <v>17</v>
      </c>
      <c r="M259" t="s">
        <v>24</v>
      </c>
      <c r="N259" t="s">
        <v>25</v>
      </c>
      <c r="O259">
        <f>_xlfn.XLOOKUP(E259,[1]Products!$B$2:$B$11,[1]Products!$F$2:$F$11)</f>
        <v>22.5</v>
      </c>
      <c r="P259">
        <f t="shared" ref="P259:P322" si="8">G259*O259</f>
        <v>967.5</v>
      </c>
      <c r="Q259" s="3">
        <f t="shared" ref="Q259:Q322" si="9">K259/I259</f>
        <v>0.35908796330915527</v>
      </c>
      <c r="R259">
        <f>MONTH(Table1[[#This Row],[Order_Date]])</f>
        <v>1</v>
      </c>
    </row>
    <row r="260" spans="1:18" x14ac:dyDescent="0.3">
      <c r="A260" t="s">
        <v>402</v>
      </c>
      <c r="B260" t="s">
        <v>667</v>
      </c>
      <c r="C260" t="s">
        <v>289</v>
      </c>
      <c r="D260" t="s">
        <v>82</v>
      </c>
      <c r="E260" t="s">
        <v>22</v>
      </c>
      <c r="F260" t="s">
        <v>16</v>
      </c>
      <c r="G260">
        <v>27</v>
      </c>
      <c r="H260" s="6">
        <v>23.05</v>
      </c>
      <c r="I260">
        <v>622.35</v>
      </c>
      <c r="J260">
        <v>20.440000000000001</v>
      </c>
      <c r="K260">
        <v>115.91</v>
      </c>
      <c r="L260" t="s">
        <v>35</v>
      </c>
      <c r="M260" t="s">
        <v>24</v>
      </c>
      <c r="N260" t="s">
        <v>83</v>
      </c>
      <c r="O260">
        <f>_xlfn.XLOOKUP(E260,[1]Products!$B$2:$B$11,[1]Products!$F$2:$F$11)</f>
        <v>18</v>
      </c>
      <c r="P260">
        <f t="shared" si="8"/>
        <v>486</v>
      </c>
      <c r="Q260" s="3">
        <f t="shared" si="9"/>
        <v>0.18624568169036715</v>
      </c>
      <c r="R260">
        <f>MONTH(Table1[[#This Row],[Order_Date]])</f>
        <v>9</v>
      </c>
    </row>
    <row r="261" spans="1:18" x14ac:dyDescent="0.3">
      <c r="A261" t="s">
        <v>403</v>
      </c>
      <c r="B261" t="s">
        <v>664</v>
      </c>
      <c r="C261" t="s">
        <v>404</v>
      </c>
      <c r="D261" t="s">
        <v>73</v>
      </c>
      <c r="E261" t="s">
        <v>60</v>
      </c>
      <c r="F261" t="s">
        <v>34</v>
      </c>
      <c r="G261">
        <v>38</v>
      </c>
      <c r="H261" s="6">
        <v>19.02</v>
      </c>
      <c r="I261">
        <v>722.76</v>
      </c>
      <c r="J261">
        <v>14.63</v>
      </c>
      <c r="K261">
        <v>223.63</v>
      </c>
      <c r="L261" t="s">
        <v>23</v>
      </c>
      <c r="M261" t="s">
        <v>24</v>
      </c>
      <c r="N261" t="s">
        <v>55</v>
      </c>
      <c r="O261">
        <f>_xlfn.XLOOKUP(E261,[1]Products!$B$2:$B$11,[1]Products!$F$2:$F$11)</f>
        <v>12.75</v>
      </c>
      <c r="P261">
        <f t="shared" si="8"/>
        <v>484.5</v>
      </c>
      <c r="Q261" s="3">
        <f t="shared" si="9"/>
        <v>0.30941114616193482</v>
      </c>
      <c r="R261">
        <f>MONTH(Table1[[#This Row],[Order_Date]])</f>
        <v>10</v>
      </c>
    </row>
    <row r="262" spans="1:18" x14ac:dyDescent="0.3">
      <c r="A262" t="s">
        <v>405</v>
      </c>
      <c r="B262" t="s">
        <v>665</v>
      </c>
      <c r="C262" t="s">
        <v>406</v>
      </c>
      <c r="D262" t="s">
        <v>39</v>
      </c>
      <c r="E262" t="s">
        <v>40</v>
      </c>
      <c r="F262" t="s">
        <v>41</v>
      </c>
      <c r="G262">
        <v>10</v>
      </c>
      <c r="H262" s="6">
        <v>70.94</v>
      </c>
      <c r="I262">
        <v>709.4</v>
      </c>
      <c r="J262">
        <v>18.64</v>
      </c>
      <c r="K262">
        <v>290.76</v>
      </c>
      <c r="L262" t="s">
        <v>23</v>
      </c>
      <c r="M262" t="s">
        <v>29</v>
      </c>
      <c r="N262" t="s">
        <v>19</v>
      </c>
      <c r="O262">
        <f>_xlfn.XLOOKUP(E262,[1]Products!$B$2:$B$11,[1]Products!$F$2:$F$11)</f>
        <v>40</v>
      </c>
      <c r="P262">
        <f t="shared" si="8"/>
        <v>400</v>
      </c>
      <c r="Q262" s="3">
        <f t="shared" si="9"/>
        <v>0.40986749365661124</v>
      </c>
      <c r="R262">
        <f>MONTH(Table1[[#This Row],[Order_Date]])</f>
        <v>6</v>
      </c>
    </row>
    <row r="263" spans="1:18" x14ac:dyDescent="0.3">
      <c r="A263" t="s">
        <v>407</v>
      </c>
      <c r="B263" t="s">
        <v>677</v>
      </c>
      <c r="C263" t="s">
        <v>274</v>
      </c>
      <c r="D263" t="s">
        <v>66</v>
      </c>
      <c r="E263" t="s">
        <v>53</v>
      </c>
      <c r="F263" t="s">
        <v>54</v>
      </c>
      <c r="G263">
        <v>17</v>
      </c>
      <c r="H263" s="6">
        <v>38.28</v>
      </c>
      <c r="I263">
        <v>650.76</v>
      </c>
      <c r="J263">
        <v>38.43</v>
      </c>
      <c r="K263">
        <v>187.33</v>
      </c>
      <c r="L263" t="s">
        <v>23</v>
      </c>
      <c r="M263" t="s">
        <v>29</v>
      </c>
      <c r="N263" t="s">
        <v>55</v>
      </c>
      <c r="O263">
        <f>_xlfn.XLOOKUP(E263,[1]Products!$B$2:$B$11,[1]Products!$F$2:$F$11)</f>
        <v>25</v>
      </c>
      <c r="P263">
        <f t="shared" si="8"/>
        <v>425</v>
      </c>
      <c r="Q263" s="3">
        <f t="shared" si="9"/>
        <v>0.28786342123056119</v>
      </c>
      <c r="R263">
        <f>MONTH(Table1[[#This Row],[Order_Date]])</f>
        <v>1</v>
      </c>
    </row>
    <row r="264" spans="1:18" x14ac:dyDescent="0.3">
      <c r="A264" t="s">
        <v>408</v>
      </c>
      <c r="B264" t="s">
        <v>667</v>
      </c>
      <c r="C264" t="s">
        <v>360</v>
      </c>
      <c r="D264" t="s">
        <v>652</v>
      </c>
      <c r="E264" t="s">
        <v>33</v>
      </c>
      <c r="F264" t="s">
        <v>34</v>
      </c>
      <c r="G264">
        <v>10</v>
      </c>
      <c r="H264" s="6">
        <v>38.799999999999997</v>
      </c>
      <c r="I264">
        <v>388</v>
      </c>
      <c r="J264">
        <v>16.39</v>
      </c>
      <c r="K264">
        <v>51.61</v>
      </c>
      <c r="L264" t="s">
        <v>35</v>
      </c>
      <c r="M264" t="s">
        <v>24</v>
      </c>
      <c r="N264" t="s">
        <v>19</v>
      </c>
      <c r="O264">
        <f>_xlfn.XLOOKUP(E264,[1]Products!$B$2:$B$11,[1]Products!$F$2:$F$11)</f>
        <v>32</v>
      </c>
      <c r="P264">
        <f t="shared" si="8"/>
        <v>320</v>
      </c>
      <c r="Q264" s="3">
        <f t="shared" si="9"/>
        <v>0.13301546391752578</v>
      </c>
      <c r="R264">
        <f>MONTH(Table1[[#This Row],[Order_Date]])</f>
        <v>9</v>
      </c>
    </row>
    <row r="265" spans="1:18" x14ac:dyDescent="0.3">
      <c r="A265" t="s">
        <v>409</v>
      </c>
      <c r="B265" t="s">
        <v>675</v>
      </c>
      <c r="C265" t="s">
        <v>162</v>
      </c>
      <c r="D265" t="s">
        <v>52</v>
      </c>
      <c r="E265" t="s">
        <v>53</v>
      </c>
      <c r="F265" t="s">
        <v>54</v>
      </c>
      <c r="G265">
        <v>3</v>
      </c>
      <c r="H265" s="6">
        <v>33.840000000000003</v>
      </c>
      <c r="I265">
        <v>101.52</v>
      </c>
      <c r="J265">
        <v>2.3199999999999998</v>
      </c>
      <c r="K265">
        <v>24.2</v>
      </c>
      <c r="L265" t="s">
        <v>35</v>
      </c>
      <c r="M265" t="s">
        <v>29</v>
      </c>
      <c r="N265" t="s">
        <v>55</v>
      </c>
      <c r="O265">
        <f>_xlfn.XLOOKUP(E265,[1]Products!$B$2:$B$11,[1]Products!$F$2:$F$11)</f>
        <v>25</v>
      </c>
      <c r="P265">
        <f t="shared" si="8"/>
        <v>75</v>
      </c>
      <c r="Q265" s="3">
        <f t="shared" si="9"/>
        <v>0.23837667454688732</v>
      </c>
      <c r="R265">
        <f>MONTH(Table1[[#This Row],[Order_Date]])</f>
        <v>5</v>
      </c>
    </row>
    <row r="266" spans="1:18" x14ac:dyDescent="0.3">
      <c r="A266" t="s">
        <v>410</v>
      </c>
      <c r="B266" t="s">
        <v>672</v>
      </c>
      <c r="C266" t="s">
        <v>195</v>
      </c>
      <c r="D266" t="s">
        <v>147</v>
      </c>
      <c r="E266" t="s">
        <v>57</v>
      </c>
      <c r="F266" t="s">
        <v>49</v>
      </c>
      <c r="G266">
        <v>20</v>
      </c>
      <c r="H266" s="6">
        <v>21.12</v>
      </c>
      <c r="I266">
        <v>422.4</v>
      </c>
      <c r="J266">
        <v>22.08</v>
      </c>
      <c r="K266">
        <v>90.32</v>
      </c>
      <c r="L266" t="s">
        <v>23</v>
      </c>
      <c r="M266" t="s">
        <v>29</v>
      </c>
      <c r="N266" t="s">
        <v>25</v>
      </c>
      <c r="O266">
        <f>_xlfn.XLOOKUP(E266,[1]Products!$B$2:$B$11,[1]Products!$F$2:$F$11)</f>
        <v>15.5</v>
      </c>
      <c r="P266">
        <f t="shared" si="8"/>
        <v>310</v>
      </c>
      <c r="Q266" s="3">
        <f t="shared" si="9"/>
        <v>0.21382575757575756</v>
      </c>
      <c r="R266">
        <f>MONTH(Table1[[#This Row],[Order_Date]])</f>
        <v>3</v>
      </c>
    </row>
    <row r="267" spans="1:18" x14ac:dyDescent="0.3">
      <c r="A267" t="s">
        <v>411</v>
      </c>
      <c r="B267" t="s">
        <v>670</v>
      </c>
      <c r="C267" t="s">
        <v>272</v>
      </c>
      <c r="D267" t="s">
        <v>82</v>
      </c>
      <c r="E267" t="s">
        <v>15</v>
      </c>
      <c r="F267" t="s">
        <v>16</v>
      </c>
      <c r="G267">
        <v>1</v>
      </c>
      <c r="H267" s="6">
        <v>58.15</v>
      </c>
      <c r="I267">
        <v>58.15</v>
      </c>
      <c r="J267">
        <v>4.2</v>
      </c>
      <c r="K267">
        <v>18.95</v>
      </c>
      <c r="L267" t="s">
        <v>23</v>
      </c>
      <c r="M267" t="s">
        <v>24</v>
      </c>
      <c r="N267" t="s">
        <v>83</v>
      </c>
      <c r="O267">
        <f>_xlfn.XLOOKUP(E267,[1]Products!$B$2:$B$11,[1]Products!$F$2:$F$11)</f>
        <v>35</v>
      </c>
      <c r="P267">
        <f t="shared" si="8"/>
        <v>35</v>
      </c>
      <c r="Q267" s="3">
        <f t="shared" si="9"/>
        <v>0.32588134135855545</v>
      </c>
      <c r="R267">
        <f>MONTH(Table1[[#This Row],[Order_Date]])</f>
        <v>12</v>
      </c>
    </row>
    <row r="268" spans="1:18" x14ac:dyDescent="0.3">
      <c r="A268" t="s">
        <v>412</v>
      </c>
      <c r="B268" t="s">
        <v>672</v>
      </c>
      <c r="C268" t="s">
        <v>93</v>
      </c>
      <c r="D268" t="s">
        <v>32</v>
      </c>
      <c r="E268" t="s">
        <v>33</v>
      </c>
      <c r="F268" t="s">
        <v>34</v>
      </c>
      <c r="G268">
        <v>32</v>
      </c>
      <c r="H268" s="6">
        <v>45.96</v>
      </c>
      <c r="I268">
        <v>1470.72</v>
      </c>
      <c r="J268">
        <v>82.77</v>
      </c>
      <c r="K268">
        <v>363.95</v>
      </c>
      <c r="L268" t="s">
        <v>17</v>
      </c>
      <c r="M268" t="s">
        <v>24</v>
      </c>
      <c r="N268" t="s">
        <v>36</v>
      </c>
      <c r="O268">
        <f>_xlfn.XLOOKUP(E268,[1]Products!$B$2:$B$11,[1]Products!$F$2:$F$11)</f>
        <v>32</v>
      </c>
      <c r="P268">
        <f t="shared" si="8"/>
        <v>1024</v>
      </c>
      <c r="Q268" s="3">
        <f t="shared" si="9"/>
        <v>0.24746382724107918</v>
      </c>
      <c r="R268">
        <f>MONTH(Table1[[#This Row],[Order_Date]])</f>
        <v>3</v>
      </c>
    </row>
    <row r="269" spans="1:18" x14ac:dyDescent="0.3">
      <c r="A269" t="s">
        <v>413</v>
      </c>
      <c r="B269" t="s">
        <v>669</v>
      </c>
      <c r="C269" t="s">
        <v>293</v>
      </c>
      <c r="D269" t="s">
        <v>28</v>
      </c>
      <c r="E269" t="s">
        <v>60</v>
      </c>
      <c r="F269" t="s">
        <v>34</v>
      </c>
      <c r="G269">
        <v>37</v>
      </c>
      <c r="H269" s="6">
        <v>16.82</v>
      </c>
      <c r="I269">
        <v>622.34</v>
      </c>
      <c r="J269">
        <v>32.9</v>
      </c>
      <c r="K269">
        <v>117.69</v>
      </c>
      <c r="L269" t="s">
        <v>35</v>
      </c>
      <c r="M269" t="s">
        <v>24</v>
      </c>
      <c r="N269" t="s">
        <v>25</v>
      </c>
      <c r="O269">
        <f>_xlfn.XLOOKUP(E269,[1]Products!$B$2:$B$11,[1]Products!$F$2:$F$11)</f>
        <v>12.75</v>
      </c>
      <c r="P269">
        <f t="shared" si="8"/>
        <v>471.75</v>
      </c>
      <c r="Q269" s="3">
        <f t="shared" si="9"/>
        <v>0.18910884725391264</v>
      </c>
      <c r="R269">
        <f>MONTH(Table1[[#This Row],[Order_Date]])</f>
        <v>4</v>
      </c>
    </row>
    <row r="270" spans="1:18" x14ac:dyDescent="0.3">
      <c r="A270" t="s">
        <v>414</v>
      </c>
      <c r="B270" t="s">
        <v>663</v>
      </c>
      <c r="C270" t="s">
        <v>47</v>
      </c>
      <c r="D270" t="s">
        <v>28</v>
      </c>
      <c r="E270" t="s">
        <v>33</v>
      </c>
      <c r="F270" t="s">
        <v>34</v>
      </c>
      <c r="G270">
        <v>18</v>
      </c>
      <c r="H270" s="6">
        <v>54.62</v>
      </c>
      <c r="I270">
        <v>983.16</v>
      </c>
      <c r="J270">
        <v>22.61</v>
      </c>
      <c r="K270">
        <v>384.55</v>
      </c>
      <c r="L270" t="s">
        <v>35</v>
      </c>
      <c r="M270" t="s">
        <v>24</v>
      </c>
      <c r="N270" t="s">
        <v>25</v>
      </c>
      <c r="O270">
        <f>_xlfn.XLOOKUP(E270,[1]Products!$B$2:$B$11,[1]Products!$F$2:$F$11)</f>
        <v>32</v>
      </c>
      <c r="P270">
        <f t="shared" si="8"/>
        <v>576</v>
      </c>
      <c r="Q270" s="3">
        <f t="shared" si="9"/>
        <v>0.39113674274787424</v>
      </c>
      <c r="R270">
        <f>MONTH(Table1[[#This Row],[Order_Date]])</f>
        <v>4</v>
      </c>
    </row>
    <row r="271" spans="1:18" x14ac:dyDescent="0.3">
      <c r="A271" t="s">
        <v>415</v>
      </c>
      <c r="B271" t="s">
        <v>674</v>
      </c>
      <c r="C271" t="s">
        <v>101</v>
      </c>
      <c r="D271" t="s">
        <v>28</v>
      </c>
      <c r="E271" t="s">
        <v>60</v>
      </c>
      <c r="F271" t="s">
        <v>34</v>
      </c>
      <c r="G271">
        <v>30</v>
      </c>
      <c r="H271" s="6">
        <v>22.83</v>
      </c>
      <c r="I271">
        <v>684.9</v>
      </c>
      <c r="J271">
        <v>32.31</v>
      </c>
      <c r="K271">
        <v>270.08999999999997</v>
      </c>
      <c r="L271" t="s">
        <v>17</v>
      </c>
      <c r="M271" t="s">
        <v>24</v>
      </c>
      <c r="N271" t="s">
        <v>25</v>
      </c>
      <c r="O271">
        <f>_xlfn.XLOOKUP(E271,[1]Products!$B$2:$B$11,[1]Products!$F$2:$F$11)</f>
        <v>12.75</v>
      </c>
      <c r="P271">
        <f t="shared" si="8"/>
        <v>382.5</v>
      </c>
      <c r="Q271" s="3">
        <f t="shared" si="9"/>
        <v>0.3943495400788436</v>
      </c>
      <c r="R271">
        <f>MONTH(Table1[[#This Row],[Order_Date]])</f>
        <v>3</v>
      </c>
    </row>
    <row r="272" spans="1:18" x14ac:dyDescent="0.3">
      <c r="A272" t="s">
        <v>416</v>
      </c>
      <c r="B272" t="s">
        <v>670</v>
      </c>
      <c r="C272" t="s">
        <v>417</v>
      </c>
      <c r="D272" t="s">
        <v>102</v>
      </c>
      <c r="E272" t="s">
        <v>33</v>
      </c>
      <c r="F272" t="s">
        <v>34</v>
      </c>
      <c r="G272">
        <v>39</v>
      </c>
      <c r="H272" s="6">
        <v>47.02</v>
      </c>
      <c r="I272">
        <v>1833.78</v>
      </c>
      <c r="J272">
        <v>50.01</v>
      </c>
      <c r="K272">
        <v>535.77</v>
      </c>
      <c r="L272" t="s">
        <v>35</v>
      </c>
      <c r="M272" t="s">
        <v>24</v>
      </c>
      <c r="N272" t="s">
        <v>25</v>
      </c>
      <c r="O272">
        <f>_xlfn.XLOOKUP(E272,[1]Products!$B$2:$B$11,[1]Products!$F$2:$F$11)</f>
        <v>32</v>
      </c>
      <c r="P272">
        <f t="shared" si="8"/>
        <v>1248</v>
      </c>
      <c r="Q272" s="3">
        <f t="shared" si="9"/>
        <v>0.29216699931289469</v>
      </c>
      <c r="R272">
        <f>MONTH(Table1[[#This Row],[Order_Date]])</f>
        <v>12</v>
      </c>
    </row>
    <row r="273" spans="1:18" x14ac:dyDescent="0.3">
      <c r="A273" t="s">
        <v>418</v>
      </c>
      <c r="B273" t="s">
        <v>669</v>
      </c>
      <c r="C273" t="s">
        <v>85</v>
      </c>
      <c r="D273" t="s">
        <v>652</v>
      </c>
      <c r="E273" t="s">
        <v>79</v>
      </c>
      <c r="F273" t="s">
        <v>49</v>
      </c>
      <c r="G273">
        <v>22</v>
      </c>
      <c r="H273" s="6">
        <v>43.32</v>
      </c>
      <c r="I273">
        <v>953.04</v>
      </c>
      <c r="J273">
        <v>71.3</v>
      </c>
      <c r="K273">
        <v>265.74</v>
      </c>
      <c r="L273" t="s">
        <v>23</v>
      </c>
      <c r="M273" t="s">
        <v>29</v>
      </c>
      <c r="N273" t="s">
        <v>19</v>
      </c>
      <c r="O273">
        <f>_xlfn.XLOOKUP(E273,[1]Products!$B$2:$B$11,[1]Products!$F$2:$F$11)</f>
        <v>28</v>
      </c>
      <c r="P273">
        <f t="shared" si="8"/>
        <v>616</v>
      </c>
      <c r="Q273" s="3">
        <f t="shared" si="9"/>
        <v>0.27883404683958701</v>
      </c>
      <c r="R273">
        <f>MONTH(Table1[[#This Row],[Order_Date]])</f>
        <v>4</v>
      </c>
    </row>
    <row r="274" spans="1:18" x14ac:dyDescent="0.3">
      <c r="A274" t="s">
        <v>419</v>
      </c>
      <c r="B274" t="s">
        <v>664</v>
      </c>
      <c r="C274" t="s">
        <v>296</v>
      </c>
      <c r="D274" t="s">
        <v>73</v>
      </c>
      <c r="E274" t="s">
        <v>48</v>
      </c>
      <c r="F274" t="s">
        <v>49</v>
      </c>
      <c r="G274">
        <v>6</v>
      </c>
      <c r="H274" s="6">
        <v>31.69</v>
      </c>
      <c r="I274">
        <v>190.14</v>
      </c>
      <c r="J274">
        <v>12.52</v>
      </c>
      <c r="K274">
        <v>42.62</v>
      </c>
      <c r="L274" t="s">
        <v>35</v>
      </c>
      <c r="M274" t="s">
        <v>24</v>
      </c>
      <c r="N274" t="s">
        <v>55</v>
      </c>
      <c r="O274">
        <f>_xlfn.XLOOKUP(E274,[1]Products!$B$2:$B$11,[1]Products!$F$2:$F$11)</f>
        <v>22.5</v>
      </c>
      <c r="P274">
        <f t="shared" si="8"/>
        <v>135</v>
      </c>
      <c r="Q274" s="3">
        <f t="shared" si="9"/>
        <v>0.22415062585463344</v>
      </c>
      <c r="R274">
        <f>MONTH(Table1[[#This Row],[Order_Date]])</f>
        <v>10</v>
      </c>
    </row>
    <row r="275" spans="1:18" x14ac:dyDescent="0.3">
      <c r="A275" t="s">
        <v>420</v>
      </c>
      <c r="B275" t="s">
        <v>665</v>
      </c>
      <c r="C275" t="s">
        <v>195</v>
      </c>
      <c r="D275" t="s">
        <v>147</v>
      </c>
      <c r="E275" t="s">
        <v>15</v>
      </c>
      <c r="F275" t="s">
        <v>16</v>
      </c>
      <c r="G275">
        <v>19</v>
      </c>
      <c r="H275" s="6">
        <v>53.28</v>
      </c>
      <c r="I275">
        <v>1012.32</v>
      </c>
      <c r="J275">
        <v>27.24</v>
      </c>
      <c r="K275">
        <v>320.08</v>
      </c>
      <c r="L275" t="s">
        <v>35</v>
      </c>
      <c r="M275" t="s">
        <v>24</v>
      </c>
      <c r="N275" t="s">
        <v>25</v>
      </c>
      <c r="O275">
        <f>_xlfn.XLOOKUP(E275,[1]Products!$B$2:$B$11,[1]Products!$F$2:$F$11)</f>
        <v>35</v>
      </c>
      <c r="P275">
        <f t="shared" si="8"/>
        <v>665</v>
      </c>
      <c r="Q275" s="3">
        <f t="shared" si="9"/>
        <v>0.31618460565828982</v>
      </c>
      <c r="R275">
        <f>MONTH(Table1[[#This Row],[Order_Date]])</f>
        <v>6</v>
      </c>
    </row>
    <row r="276" spans="1:18" x14ac:dyDescent="0.3">
      <c r="A276" t="s">
        <v>421</v>
      </c>
      <c r="B276" t="s">
        <v>675</v>
      </c>
      <c r="C276" t="s">
        <v>150</v>
      </c>
      <c r="D276" t="s">
        <v>652</v>
      </c>
      <c r="E276" t="s">
        <v>15</v>
      </c>
      <c r="F276" t="s">
        <v>16</v>
      </c>
      <c r="G276">
        <v>47</v>
      </c>
      <c r="H276" s="6">
        <v>47.53</v>
      </c>
      <c r="I276">
        <v>2233.91</v>
      </c>
      <c r="J276">
        <v>128.91</v>
      </c>
      <c r="K276">
        <v>460</v>
      </c>
      <c r="L276" t="s">
        <v>23</v>
      </c>
      <c r="M276" t="s">
        <v>18</v>
      </c>
      <c r="N276" t="s">
        <v>19</v>
      </c>
      <c r="O276">
        <f>_xlfn.XLOOKUP(E276,[1]Products!$B$2:$B$11,[1]Products!$F$2:$F$11)</f>
        <v>35</v>
      </c>
      <c r="P276">
        <f t="shared" si="8"/>
        <v>1645</v>
      </c>
      <c r="Q276" s="3">
        <f t="shared" si="9"/>
        <v>0.20591697964555422</v>
      </c>
      <c r="R276">
        <f>MONTH(Table1[[#This Row],[Order_Date]])</f>
        <v>5</v>
      </c>
    </row>
    <row r="277" spans="1:18" x14ac:dyDescent="0.3">
      <c r="A277" t="s">
        <v>422</v>
      </c>
      <c r="B277" t="s">
        <v>676</v>
      </c>
      <c r="C277" t="s">
        <v>282</v>
      </c>
      <c r="D277" t="s">
        <v>66</v>
      </c>
      <c r="E277" t="s">
        <v>45</v>
      </c>
      <c r="F277" t="s">
        <v>34</v>
      </c>
      <c r="G277">
        <v>12</v>
      </c>
      <c r="H277" s="6">
        <v>24.02</v>
      </c>
      <c r="I277">
        <v>288.24</v>
      </c>
      <c r="J277">
        <v>9.8000000000000007</v>
      </c>
      <c r="K277">
        <v>38.44</v>
      </c>
      <c r="L277" t="s">
        <v>17</v>
      </c>
      <c r="M277" t="s">
        <v>29</v>
      </c>
      <c r="N277" t="s">
        <v>55</v>
      </c>
      <c r="O277">
        <f>_xlfn.XLOOKUP(E277,[1]Products!$B$2:$B$11,[1]Products!$F$2:$F$11)</f>
        <v>20</v>
      </c>
      <c r="P277">
        <f t="shared" si="8"/>
        <v>240</v>
      </c>
      <c r="Q277" s="3">
        <f t="shared" si="9"/>
        <v>0.133361087982237</v>
      </c>
      <c r="R277">
        <f>MONTH(Table1[[#This Row],[Order_Date]])</f>
        <v>11</v>
      </c>
    </row>
    <row r="278" spans="1:18" x14ac:dyDescent="0.3">
      <c r="A278" t="s">
        <v>423</v>
      </c>
      <c r="B278" t="s">
        <v>661</v>
      </c>
      <c r="C278" t="s">
        <v>360</v>
      </c>
      <c r="D278" t="s">
        <v>66</v>
      </c>
      <c r="E278" t="s">
        <v>60</v>
      </c>
      <c r="F278" t="s">
        <v>34</v>
      </c>
      <c r="G278">
        <v>32</v>
      </c>
      <c r="H278" s="6">
        <v>15.64</v>
      </c>
      <c r="I278">
        <v>500.48</v>
      </c>
      <c r="J278">
        <v>24.69</v>
      </c>
      <c r="K278">
        <v>67.790000000000006</v>
      </c>
      <c r="L278" t="s">
        <v>35</v>
      </c>
      <c r="M278" t="s">
        <v>18</v>
      </c>
      <c r="N278" t="s">
        <v>55</v>
      </c>
      <c r="O278">
        <f>_xlfn.XLOOKUP(E278,[1]Products!$B$2:$B$11,[1]Products!$F$2:$F$11)</f>
        <v>12.75</v>
      </c>
      <c r="P278">
        <f t="shared" si="8"/>
        <v>408</v>
      </c>
      <c r="Q278" s="3">
        <f t="shared" si="9"/>
        <v>0.13544996803069054</v>
      </c>
      <c r="R278">
        <f>MONTH(Table1[[#This Row],[Order_Date]])</f>
        <v>1</v>
      </c>
    </row>
    <row r="279" spans="1:18" x14ac:dyDescent="0.3">
      <c r="A279" t="s">
        <v>424</v>
      </c>
      <c r="B279" t="s">
        <v>664</v>
      </c>
      <c r="C279" t="s">
        <v>236</v>
      </c>
      <c r="D279" t="s">
        <v>125</v>
      </c>
      <c r="E279" t="s">
        <v>33</v>
      </c>
      <c r="F279" t="s">
        <v>34</v>
      </c>
      <c r="G279">
        <v>22</v>
      </c>
      <c r="H279" s="6">
        <v>42.54</v>
      </c>
      <c r="I279">
        <v>935.88</v>
      </c>
      <c r="J279">
        <v>45.37</v>
      </c>
      <c r="K279">
        <v>186.51</v>
      </c>
      <c r="L279" t="s">
        <v>17</v>
      </c>
      <c r="M279" t="s">
        <v>29</v>
      </c>
      <c r="N279" t="s">
        <v>126</v>
      </c>
      <c r="O279">
        <f>_xlfn.XLOOKUP(E279,[1]Products!$B$2:$B$11,[1]Products!$F$2:$F$11)</f>
        <v>32</v>
      </c>
      <c r="P279">
        <f t="shared" si="8"/>
        <v>704</v>
      </c>
      <c r="Q279" s="3">
        <f t="shared" si="9"/>
        <v>0.1992883703038851</v>
      </c>
      <c r="R279">
        <f>MONTH(Table1[[#This Row],[Order_Date]])</f>
        <v>10</v>
      </c>
    </row>
    <row r="280" spans="1:18" x14ac:dyDescent="0.3">
      <c r="A280" t="s">
        <v>425</v>
      </c>
      <c r="B280" t="s">
        <v>665</v>
      </c>
      <c r="C280" t="s">
        <v>311</v>
      </c>
      <c r="D280" t="s">
        <v>173</v>
      </c>
      <c r="E280" t="s">
        <v>53</v>
      </c>
      <c r="F280" t="s">
        <v>54</v>
      </c>
      <c r="G280">
        <v>37</v>
      </c>
      <c r="H280" s="6">
        <v>43.55</v>
      </c>
      <c r="I280">
        <v>1611.35</v>
      </c>
      <c r="J280">
        <v>67.78</v>
      </c>
      <c r="K280">
        <v>618.57000000000005</v>
      </c>
      <c r="L280" t="s">
        <v>23</v>
      </c>
      <c r="M280" t="s">
        <v>24</v>
      </c>
      <c r="N280" t="s">
        <v>55</v>
      </c>
      <c r="O280">
        <f>_xlfn.XLOOKUP(E280,[1]Products!$B$2:$B$11,[1]Products!$F$2:$F$11)</f>
        <v>25</v>
      </c>
      <c r="P280">
        <f t="shared" si="8"/>
        <v>925</v>
      </c>
      <c r="Q280" s="3">
        <f t="shared" si="9"/>
        <v>0.38388307940546751</v>
      </c>
      <c r="R280">
        <f>MONTH(Table1[[#This Row],[Order_Date]])</f>
        <v>6</v>
      </c>
    </row>
    <row r="281" spans="1:18" x14ac:dyDescent="0.3">
      <c r="A281" t="s">
        <v>426</v>
      </c>
      <c r="B281" t="s">
        <v>668</v>
      </c>
      <c r="C281" t="s">
        <v>109</v>
      </c>
      <c r="D281" t="s">
        <v>32</v>
      </c>
      <c r="E281" t="s">
        <v>57</v>
      </c>
      <c r="F281" t="s">
        <v>49</v>
      </c>
      <c r="G281">
        <v>42</v>
      </c>
      <c r="H281" s="6">
        <v>20.260000000000002</v>
      </c>
      <c r="I281">
        <v>850.92</v>
      </c>
      <c r="J281">
        <v>22.43</v>
      </c>
      <c r="K281">
        <v>177.49</v>
      </c>
      <c r="L281" t="s">
        <v>35</v>
      </c>
      <c r="M281" t="s">
        <v>29</v>
      </c>
      <c r="N281" t="s">
        <v>36</v>
      </c>
      <c r="O281">
        <f>_xlfn.XLOOKUP(E281,[1]Products!$B$2:$B$11,[1]Products!$F$2:$F$11)</f>
        <v>15.5</v>
      </c>
      <c r="P281">
        <f t="shared" si="8"/>
        <v>651</v>
      </c>
      <c r="Q281" s="3">
        <f t="shared" si="9"/>
        <v>0.20858600103417479</v>
      </c>
      <c r="R281">
        <f>MONTH(Table1[[#This Row],[Order_Date]])</f>
        <v>8</v>
      </c>
    </row>
    <row r="282" spans="1:18" x14ac:dyDescent="0.3">
      <c r="A282" t="s">
        <v>427</v>
      </c>
      <c r="B282" t="s">
        <v>666</v>
      </c>
      <c r="C282" t="s">
        <v>64</v>
      </c>
      <c r="D282" t="s">
        <v>39</v>
      </c>
      <c r="E282" t="s">
        <v>22</v>
      </c>
      <c r="F282" t="s">
        <v>16</v>
      </c>
      <c r="G282">
        <v>43</v>
      </c>
      <c r="H282" s="6">
        <v>24.08</v>
      </c>
      <c r="I282">
        <v>1035.44</v>
      </c>
      <c r="J282">
        <v>35.07</v>
      </c>
      <c r="K282">
        <v>226.37</v>
      </c>
      <c r="L282" t="s">
        <v>23</v>
      </c>
      <c r="M282" t="s">
        <v>29</v>
      </c>
      <c r="N282" t="s">
        <v>19</v>
      </c>
      <c r="O282">
        <f>_xlfn.XLOOKUP(E282,[1]Products!$B$2:$B$11,[1]Products!$F$2:$F$11)</f>
        <v>18</v>
      </c>
      <c r="P282">
        <f t="shared" si="8"/>
        <v>774</v>
      </c>
      <c r="Q282" s="3">
        <f t="shared" si="9"/>
        <v>0.21862203507687553</v>
      </c>
      <c r="R282">
        <f>MONTH(Table1[[#This Row],[Order_Date]])</f>
        <v>5</v>
      </c>
    </row>
    <row r="283" spans="1:18" x14ac:dyDescent="0.3">
      <c r="A283" t="s">
        <v>428</v>
      </c>
      <c r="B283" t="s">
        <v>665</v>
      </c>
      <c r="C283" t="s">
        <v>293</v>
      </c>
      <c r="D283" t="s">
        <v>147</v>
      </c>
      <c r="E283" t="s">
        <v>40</v>
      </c>
      <c r="F283" t="s">
        <v>41</v>
      </c>
      <c r="G283">
        <v>14</v>
      </c>
      <c r="H283" s="6">
        <v>69.010000000000005</v>
      </c>
      <c r="I283">
        <v>966.14</v>
      </c>
      <c r="J283">
        <v>32.67</v>
      </c>
      <c r="K283">
        <v>373.47</v>
      </c>
      <c r="L283" t="s">
        <v>23</v>
      </c>
      <c r="M283" t="s">
        <v>18</v>
      </c>
      <c r="N283" t="s">
        <v>25</v>
      </c>
      <c r="O283">
        <f>_xlfn.XLOOKUP(E283,[1]Products!$B$2:$B$11,[1]Products!$F$2:$F$11)</f>
        <v>40</v>
      </c>
      <c r="P283">
        <f t="shared" si="8"/>
        <v>560</v>
      </c>
      <c r="Q283" s="3">
        <f t="shared" si="9"/>
        <v>0.38655888380565967</v>
      </c>
      <c r="R283">
        <f>MONTH(Table1[[#This Row],[Order_Date]])</f>
        <v>6</v>
      </c>
    </row>
    <row r="284" spans="1:18" x14ac:dyDescent="0.3">
      <c r="A284" t="s">
        <v>429</v>
      </c>
      <c r="B284" t="s">
        <v>675</v>
      </c>
      <c r="C284" t="s">
        <v>113</v>
      </c>
      <c r="D284" t="s">
        <v>125</v>
      </c>
      <c r="E284" t="s">
        <v>45</v>
      </c>
      <c r="F284" t="s">
        <v>34</v>
      </c>
      <c r="G284">
        <v>29</v>
      </c>
      <c r="H284" s="6">
        <v>28.29</v>
      </c>
      <c r="I284">
        <v>820.41</v>
      </c>
      <c r="J284">
        <v>63.15</v>
      </c>
      <c r="K284">
        <v>177.26</v>
      </c>
      <c r="L284" t="s">
        <v>35</v>
      </c>
      <c r="M284" t="s">
        <v>29</v>
      </c>
      <c r="N284" t="s">
        <v>126</v>
      </c>
      <c r="O284">
        <f>_xlfn.XLOOKUP(E284,[1]Products!$B$2:$B$11,[1]Products!$F$2:$F$11)</f>
        <v>20</v>
      </c>
      <c r="P284">
        <f t="shared" si="8"/>
        <v>580</v>
      </c>
      <c r="Q284" s="3">
        <f t="shared" si="9"/>
        <v>0.21606270035713851</v>
      </c>
      <c r="R284">
        <f>MONTH(Table1[[#This Row],[Order_Date]])</f>
        <v>5</v>
      </c>
    </row>
    <row r="285" spans="1:18" x14ac:dyDescent="0.3">
      <c r="A285" t="s">
        <v>430</v>
      </c>
      <c r="B285" t="s">
        <v>677</v>
      </c>
      <c r="C285" t="s">
        <v>217</v>
      </c>
      <c r="D285" t="s">
        <v>44</v>
      </c>
      <c r="E285" t="s">
        <v>57</v>
      </c>
      <c r="F285" t="s">
        <v>49</v>
      </c>
      <c r="G285">
        <v>29</v>
      </c>
      <c r="H285" s="6">
        <v>26.51</v>
      </c>
      <c r="I285">
        <v>768.79</v>
      </c>
      <c r="J285">
        <v>15.66</v>
      </c>
      <c r="K285">
        <v>303.63</v>
      </c>
      <c r="L285" t="s">
        <v>23</v>
      </c>
      <c r="M285" t="s">
        <v>18</v>
      </c>
      <c r="N285" t="s">
        <v>19</v>
      </c>
      <c r="O285">
        <f>_xlfn.XLOOKUP(E285,[1]Products!$B$2:$B$11,[1]Products!$F$2:$F$11)</f>
        <v>15.5</v>
      </c>
      <c r="P285">
        <f t="shared" si="8"/>
        <v>449.5</v>
      </c>
      <c r="Q285" s="3">
        <f t="shared" si="9"/>
        <v>0.3949453036589966</v>
      </c>
      <c r="R285">
        <f>MONTH(Table1[[#This Row],[Order_Date]])</f>
        <v>1</v>
      </c>
    </row>
    <row r="286" spans="1:18" x14ac:dyDescent="0.3">
      <c r="A286" t="s">
        <v>431</v>
      </c>
      <c r="B286" t="s">
        <v>670</v>
      </c>
      <c r="C286" t="s">
        <v>117</v>
      </c>
      <c r="D286" t="s">
        <v>39</v>
      </c>
      <c r="E286" t="s">
        <v>15</v>
      </c>
      <c r="F286" t="s">
        <v>16</v>
      </c>
      <c r="G286">
        <v>11</v>
      </c>
      <c r="H286" s="6">
        <v>58.07</v>
      </c>
      <c r="I286">
        <v>638.77</v>
      </c>
      <c r="J286">
        <v>43.89</v>
      </c>
      <c r="K286">
        <v>209.88</v>
      </c>
      <c r="L286" t="s">
        <v>17</v>
      </c>
      <c r="M286" t="s">
        <v>24</v>
      </c>
      <c r="N286" t="s">
        <v>19</v>
      </c>
      <c r="O286">
        <f>_xlfn.XLOOKUP(E286,[1]Products!$B$2:$B$11,[1]Products!$F$2:$F$11)</f>
        <v>35</v>
      </c>
      <c r="P286">
        <f t="shared" si="8"/>
        <v>385</v>
      </c>
      <c r="Q286" s="3">
        <f t="shared" si="9"/>
        <v>0.32856896848630962</v>
      </c>
      <c r="R286">
        <f>MONTH(Table1[[#This Row],[Order_Date]])</f>
        <v>12</v>
      </c>
    </row>
    <row r="287" spans="1:18" x14ac:dyDescent="0.3">
      <c r="A287" t="s">
        <v>432</v>
      </c>
      <c r="B287" t="s">
        <v>666</v>
      </c>
      <c r="C287" t="s">
        <v>106</v>
      </c>
      <c r="D287" t="s">
        <v>653</v>
      </c>
      <c r="E287" t="s">
        <v>33</v>
      </c>
      <c r="F287" t="s">
        <v>34</v>
      </c>
      <c r="G287">
        <v>3</v>
      </c>
      <c r="H287" s="6">
        <v>48.76</v>
      </c>
      <c r="I287">
        <v>146.28</v>
      </c>
      <c r="J287">
        <v>10.45</v>
      </c>
      <c r="K287">
        <v>39.83</v>
      </c>
      <c r="L287" t="s">
        <v>35</v>
      </c>
      <c r="M287" t="s">
        <v>24</v>
      </c>
      <c r="N287" t="s">
        <v>25</v>
      </c>
      <c r="O287">
        <f>_xlfn.XLOOKUP(E287,[1]Products!$B$2:$B$11,[1]Products!$F$2:$F$11)</f>
        <v>32</v>
      </c>
      <c r="P287">
        <f t="shared" si="8"/>
        <v>96</v>
      </c>
      <c r="Q287" s="3">
        <f t="shared" si="9"/>
        <v>0.2722860267979218</v>
      </c>
      <c r="R287">
        <f>MONTH(Table1[[#This Row],[Order_Date]])</f>
        <v>5</v>
      </c>
    </row>
    <row r="288" spans="1:18" x14ac:dyDescent="0.3">
      <c r="A288" t="s">
        <v>433</v>
      </c>
      <c r="B288" t="s">
        <v>675</v>
      </c>
      <c r="C288" t="s">
        <v>157</v>
      </c>
      <c r="D288" t="s">
        <v>173</v>
      </c>
      <c r="E288" t="s">
        <v>45</v>
      </c>
      <c r="F288" t="s">
        <v>34</v>
      </c>
      <c r="G288">
        <v>49</v>
      </c>
      <c r="H288" s="6">
        <v>30.46</v>
      </c>
      <c r="I288">
        <v>1492.54</v>
      </c>
      <c r="J288">
        <v>51.82</v>
      </c>
      <c r="K288">
        <v>460.72</v>
      </c>
      <c r="L288" t="s">
        <v>23</v>
      </c>
      <c r="M288" t="s">
        <v>18</v>
      </c>
      <c r="N288" t="s">
        <v>55</v>
      </c>
      <c r="O288">
        <f>_xlfn.XLOOKUP(E288,[1]Products!$B$2:$B$11,[1]Products!$F$2:$F$11)</f>
        <v>20</v>
      </c>
      <c r="P288">
        <f t="shared" si="8"/>
        <v>980</v>
      </c>
      <c r="Q288" s="3">
        <f t="shared" si="9"/>
        <v>0.30868184437268015</v>
      </c>
      <c r="R288">
        <f>MONTH(Table1[[#This Row],[Order_Date]])</f>
        <v>5</v>
      </c>
    </row>
    <row r="289" spans="1:18" x14ac:dyDescent="0.3">
      <c r="A289" t="s">
        <v>434</v>
      </c>
      <c r="B289" t="s">
        <v>667</v>
      </c>
      <c r="C289" t="s">
        <v>27</v>
      </c>
      <c r="D289" t="s">
        <v>52</v>
      </c>
      <c r="E289" t="s">
        <v>79</v>
      </c>
      <c r="F289" t="s">
        <v>49</v>
      </c>
      <c r="G289">
        <v>25</v>
      </c>
      <c r="H289" s="6">
        <v>35.21</v>
      </c>
      <c r="I289">
        <v>880.25</v>
      </c>
      <c r="J289">
        <v>39.799999999999997</v>
      </c>
      <c r="K289">
        <v>140.44999999999999</v>
      </c>
      <c r="L289" t="s">
        <v>35</v>
      </c>
      <c r="M289" t="s">
        <v>24</v>
      </c>
      <c r="N289" t="s">
        <v>55</v>
      </c>
      <c r="O289">
        <f>_xlfn.XLOOKUP(E289,[1]Products!$B$2:$B$11,[1]Products!$F$2:$F$11)</f>
        <v>28</v>
      </c>
      <c r="P289">
        <f t="shared" si="8"/>
        <v>700</v>
      </c>
      <c r="Q289" s="3">
        <f t="shared" si="9"/>
        <v>0.1595569440499858</v>
      </c>
      <c r="R289">
        <f>MONTH(Table1[[#This Row],[Order_Date]])</f>
        <v>9</v>
      </c>
    </row>
    <row r="290" spans="1:18" x14ac:dyDescent="0.3">
      <c r="A290" t="s">
        <v>435</v>
      </c>
      <c r="B290" t="s">
        <v>677</v>
      </c>
      <c r="C290" t="s">
        <v>217</v>
      </c>
      <c r="D290" t="s">
        <v>652</v>
      </c>
      <c r="E290" t="s">
        <v>79</v>
      </c>
      <c r="F290" t="s">
        <v>49</v>
      </c>
      <c r="G290">
        <v>37</v>
      </c>
      <c r="H290" s="6">
        <v>44.82</v>
      </c>
      <c r="I290">
        <v>1658.34</v>
      </c>
      <c r="J290">
        <v>65.75</v>
      </c>
      <c r="K290">
        <v>556.59</v>
      </c>
      <c r="L290" t="s">
        <v>23</v>
      </c>
      <c r="M290" t="s">
        <v>24</v>
      </c>
      <c r="N290" t="s">
        <v>19</v>
      </c>
      <c r="O290">
        <f>_xlfn.XLOOKUP(E290,[1]Products!$B$2:$B$11,[1]Products!$F$2:$F$11)</f>
        <v>28</v>
      </c>
      <c r="P290">
        <f t="shared" si="8"/>
        <v>1036</v>
      </c>
      <c r="Q290" s="3">
        <f t="shared" si="9"/>
        <v>0.33563081153442603</v>
      </c>
      <c r="R290">
        <f>MONTH(Table1[[#This Row],[Order_Date]])</f>
        <v>1</v>
      </c>
    </row>
    <row r="291" spans="1:18" x14ac:dyDescent="0.3">
      <c r="A291" t="s">
        <v>436</v>
      </c>
      <c r="B291" t="s">
        <v>665</v>
      </c>
      <c r="C291" t="s">
        <v>302</v>
      </c>
      <c r="D291" t="s">
        <v>147</v>
      </c>
      <c r="E291" t="s">
        <v>57</v>
      </c>
      <c r="F291" t="s">
        <v>49</v>
      </c>
      <c r="G291">
        <v>11</v>
      </c>
      <c r="H291" s="6">
        <v>18.75</v>
      </c>
      <c r="I291">
        <v>206.25</v>
      </c>
      <c r="J291">
        <v>11.67</v>
      </c>
      <c r="K291">
        <v>24.08</v>
      </c>
      <c r="L291" t="s">
        <v>17</v>
      </c>
      <c r="M291" t="s">
        <v>18</v>
      </c>
      <c r="N291" t="s">
        <v>25</v>
      </c>
      <c r="O291">
        <f>_xlfn.XLOOKUP(E291,[1]Products!$B$2:$B$11,[1]Products!$F$2:$F$11)</f>
        <v>15.5</v>
      </c>
      <c r="P291">
        <f t="shared" si="8"/>
        <v>170.5</v>
      </c>
      <c r="Q291" s="3">
        <f t="shared" si="9"/>
        <v>0.11675151515151515</v>
      </c>
      <c r="R291">
        <f>MONTH(Table1[[#This Row],[Order_Date]])</f>
        <v>6</v>
      </c>
    </row>
    <row r="292" spans="1:18" x14ac:dyDescent="0.3">
      <c r="A292" t="s">
        <v>437</v>
      </c>
      <c r="B292" t="s">
        <v>671</v>
      </c>
      <c r="C292" t="s">
        <v>217</v>
      </c>
      <c r="D292" t="s">
        <v>32</v>
      </c>
      <c r="E292" t="s">
        <v>45</v>
      </c>
      <c r="F292" t="s">
        <v>34</v>
      </c>
      <c r="G292">
        <v>37</v>
      </c>
      <c r="H292" s="6">
        <v>31.66</v>
      </c>
      <c r="I292">
        <v>1171.42</v>
      </c>
      <c r="J292">
        <v>58.95</v>
      </c>
      <c r="K292">
        <v>372.47</v>
      </c>
      <c r="L292" t="s">
        <v>35</v>
      </c>
      <c r="M292" t="s">
        <v>18</v>
      </c>
      <c r="N292" t="s">
        <v>36</v>
      </c>
      <c r="O292">
        <f>_xlfn.XLOOKUP(E292,[1]Products!$B$2:$B$11,[1]Products!$F$2:$F$11)</f>
        <v>20</v>
      </c>
      <c r="P292">
        <f t="shared" si="8"/>
        <v>740</v>
      </c>
      <c r="Q292" s="3">
        <f t="shared" si="9"/>
        <v>0.31796452169162215</v>
      </c>
      <c r="R292">
        <f>MONTH(Table1[[#This Row],[Order_Date]])</f>
        <v>2</v>
      </c>
    </row>
    <row r="293" spans="1:18" x14ac:dyDescent="0.3">
      <c r="A293" t="s">
        <v>438</v>
      </c>
      <c r="B293" t="s">
        <v>673</v>
      </c>
      <c r="C293" t="s">
        <v>296</v>
      </c>
      <c r="D293" t="s">
        <v>653</v>
      </c>
      <c r="E293" t="s">
        <v>45</v>
      </c>
      <c r="F293" t="s">
        <v>34</v>
      </c>
      <c r="G293">
        <v>17</v>
      </c>
      <c r="H293" s="6">
        <v>32.74</v>
      </c>
      <c r="I293">
        <v>556.58000000000004</v>
      </c>
      <c r="J293">
        <v>14.68</v>
      </c>
      <c r="K293">
        <v>201.9</v>
      </c>
      <c r="L293" t="s">
        <v>23</v>
      </c>
      <c r="M293" t="s">
        <v>24</v>
      </c>
      <c r="N293" t="s">
        <v>25</v>
      </c>
      <c r="O293">
        <f>_xlfn.XLOOKUP(E293,[1]Products!$B$2:$B$11,[1]Products!$F$2:$F$11)</f>
        <v>20</v>
      </c>
      <c r="P293">
        <f t="shared" si="8"/>
        <v>340</v>
      </c>
      <c r="Q293" s="3">
        <f t="shared" si="9"/>
        <v>0.36275108699558012</v>
      </c>
      <c r="R293">
        <f>MONTH(Table1[[#This Row],[Order_Date]])</f>
        <v>7</v>
      </c>
    </row>
    <row r="294" spans="1:18" x14ac:dyDescent="0.3">
      <c r="A294" t="s">
        <v>439</v>
      </c>
      <c r="B294" t="s">
        <v>663</v>
      </c>
      <c r="C294" t="s">
        <v>64</v>
      </c>
      <c r="D294" t="s">
        <v>652</v>
      </c>
      <c r="E294" t="s">
        <v>79</v>
      </c>
      <c r="F294" t="s">
        <v>49</v>
      </c>
      <c r="G294">
        <v>7</v>
      </c>
      <c r="H294" s="6">
        <v>46.64</v>
      </c>
      <c r="I294">
        <v>326.48</v>
      </c>
      <c r="J294">
        <v>25.19</v>
      </c>
      <c r="K294">
        <v>105.29</v>
      </c>
      <c r="L294" t="s">
        <v>23</v>
      </c>
      <c r="M294" t="s">
        <v>29</v>
      </c>
      <c r="N294" t="s">
        <v>19</v>
      </c>
      <c r="O294">
        <f>_xlfn.XLOOKUP(E294,[1]Products!$B$2:$B$11,[1]Products!$F$2:$F$11)</f>
        <v>28</v>
      </c>
      <c r="P294">
        <f t="shared" si="8"/>
        <v>196</v>
      </c>
      <c r="Q294" s="3">
        <f t="shared" si="9"/>
        <v>0.32250061259495222</v>
      </c>
      <c r="R294">
        <f>MONTH(Table1[[#This Row],[Order_Date]])</f>
        <v>4</v>
      </c>
    </row>
    <row r="295" spans="1:18" x14ac:dyDescent="0.3">
      <c r="A295" t="s">
        <v>440</v>
      </c>
      <c r="B295" t="s">
        <v>662</v>
      </c>
      <c r="C295" t="s">
        <v>131</v>
      </c>
      <c r="D295" t="s">
        <v>654</v>
      </c>
      <c r="E295" t="s">
        <v>22</v>
      </c>
      <c r="F295" t="s">
        <v>16</v>
      </c>
      <c r="G295">
        <v>16</v>
      </c>
      <c r="H295" s="6">
        <v>24.77</v>
      </c>
      <c r="I295">
        <v>396.32</v>
      </c>
      <c r="J295">
        <v>15.6</v>
      </c>
      <c r="K295">
        <v>92.72</v>
      </c>
      <c r="L295" t="s">
        <v>17</v>
      </c>
      <c r="M295" t="s">
        <v>29</v>
      </c>
      <c r="N295" t="s">
        <v>55</v>
      </c>
      <c r="O295">
        <f>_xlfn.XLOOKUP(E295,[1]Products!$B$2:$B$11,[1]Products!$F$2:$F$11)</f>
        <v>18</v>
      </c>
      <c r="P295">
        <f t="shared" si="8"/>
        <v>288</v>
      </c>
      <c r="Q295" s="3">
        <f t="shared" si="9"/>
        <v>0.23395236172789666</v>
      </c>
      <c r="R295">
        <f>MONTH(Table1[[#This Row],[Order_Date]])</f>
        <v>2</v>
      </c>
    </row>
    <row r="296" spans="1:18" x14ac:dyDescent="0.3">
      <c r="A296" t="s">
        <v>441</v>
      </c>
      <c r="B296" t="s">
        <v>669</v>
      </c>
      <c r="C296" t="s">
        <v>59</v>
      </c>
      <c r="D296" t="s">
        <v>44</v>
      </c>
      <c r="E296" t="s">
        <v>40</v>
      </c>
      <c r="F296" t="s">
        <v>41</v>
      </c>
      <c r="G296">
        <v>39</v>
      </c>
      <c r="H296" s="6">
        <v>56.5</v>
      </c>
      <c r="I296">
        <v>2203.5</v>
      </c>
      <c r="J296">
        <v>141.58000000000001</v>
      </c>
      <c r="K296">
        <v>501.92</v>
      </c>
      <c r="L296" t="s">
        <v>35</v>
      </c>
      <c r="M296" t="s">
        <v>18</v>
      </c>
      <c r="N296" t="s">
        <v>19</v>
      </c>
      <c r="O296">
        <f>_xlfn.XLOOKUP(E296,[1]Products!$B$2:$B$11,[1]Products!$F$2:$F$11)</f>
        <v>40</v>
      </c>
      <c r="P296">
        <f t="shared" si="8"/>
        <v>1560</v>
      </c>
      <c r="Q296" s="3">
        <f t="shared" si="9"/>
        <v>0.2277830723848423</v>
      </c>
      <c r="R296">
        <f>MONTH(Table1[[#This Row],[Order_Date]])</f>
        <v>4</v>
      </c>
    </row>
    <row r="297" spans="1:18" x14ac:dyDescent="0.3">
      <c r="A297" t="s">
        <v>442</v>
      </c>
      <c r="B297" t="s">
        <v>667</v>
      </c>
      <c r="C297" t="s">
        <v>360</v>
      </c>
      <c r="D297" t="s">
        <v>173</v>
      </c>
      <c r="E297" t="s">
        <v>57</v>
      </c>
      <c r="F297" t="s">
        <v>49</v>
      </c>
      <c r="G297">
        <v>1</v>
      </c>
      <c r="H297" s="6">
        <v>24.01</v>
      </c>
      <c r="I297">
        <v>24.01</v>
      </c>
      <c r="J297">
        <v>1.58</v>
      </c>
      <c r="K297">
        <v>6.93</v>
      </c>
      <c r="L297" t="s">
        <v>17</v>
      </c>
      <c r="M297" t="s">
        <v>18</v>
      </c>
      <c r="N297" t="s">
        <v>55</v>
      </c>
      <c r="O297">
        <f>_xlfn.XLOOKUP(E297,[1]Products!$B$2:$B$11,[1]Products!$F$2:$F$11)</f>
        <v>15.5</v>
      </c>
      <c r="P297">
        <f t="shared" si="8"/>
        <v>15.5</v>
      </c>
      <c r="Q297" s="3">
        <f t="shared" si="9"/>
        <v>0.28862973760932942</v>
      </c>
      <c r="R297">
        <f>MONTH(Table1[[#This Row],[Order_Date]])</f>
        <v>9</v>
      </c>
    </row>
    <row r="298" spans="1:18" x14ac:dyDescent="0.3">
      <c r="A298" t="s">
        <v>443</v>
      </c>
      <c r="B298" t="s">
        <v>670</v>
      </c>
      <c r="C298" t="s">
        <v>96</v>
      </c>
      <c r="D298" t="s">
        <v>173</v>
      </c>
      <c r="E298" t="s">
        <v>53</v>
      </c>
      <c r="F298" t="s">
        <v>54</v>
      </c>
      <c r="G298">
        <v>45</v>
      </c>
      <c r="H298" s="6">
        <v>35.99</v>
      </c>
      <c r="I298">
        <v>1619.55</v>
      </c>
      <c r="J298">
        <v>49.95</v>
      </c>
      <c r="K298">
        <v>444.6</v>
      </c>
      <c r="L298" t="s">
        <v>17</v>
      </c>
      <c r="M298" t="s">
        <v>24</v>
      </c>
      <c r="N298" t="s">
        <v>55</v>
      </c>
      <c r="O298">
        <f>_xlfn.XLOOKUP(E298,[1]Products!$B$2:$B$11,[1]Products!$F$2:$F$11)</f>
        <v>25</v>
      </c>
      <c r="P298">
        <f t="shared" si="8"/>
        <v>1125</v>
      </c>
      <c r="Q298" s="3">
        <f t="shared" si="9"/>
        <v>0.27452070019449848</v>
      </c>
      <c r="R298">
        <f>MONTH(Table1[[#This Row],[Order_Date]])</f>
        <v>12</v>
      </c>
    </row>
    <row r="299" spans="1:18" x14ac:dyDescent="0.3">
      <c r="A299" t="s">
        <v>444</v>
      </c>
      <c r="B299" t="s">
        <v>662</v>
      </c>
      <c r="C299" t="s">
        <v>162</v>
      </c>
      <c r="D299" t="s">
        <v>66</v>
      </c>
      <c r="E299" t="s">
        <v>45</v>
      </c>
      <c r="F299" t="s">
        <v>34</v>
      </c>
      <c r="G299">
        <v>5</v>
      </c>
      <c r="H299" s="6">
        <v>25.45</v>
      </c>
      <c r="I299">
        <v>127.25</v>
      </c>
      <c r="J299">
        <v>7.22</v>
      </c>
      <c r="K299">
        <v>20.03</v>
      </c>
      <c r="L299" t="s">
        <v>35</v>
      </c>
      <c r="M299" t="s">
        <v>29</v>
      </c>
      <c r="N299" t="s">
        <v>55</v>
      </c>
      <c r="O299">
        <f>_xlfn.XLOOKUP(E299,[1]Products!$B$2:$B$11,[1]Products!$F$2:$F$11)</f>
        <v>20</v>
      </c>
      <c r="P299">
        <f t="shared" si="8"/>
        <v>100</v>
      </c>
      <c r="Q299" s="3">
        <f t="shared" si="9"/>
        <v>0.15740667976424363</v>
      </c>
      <c r="R299">
        <f>MONTH(Table1[[#This Row],[Order_Date]])</f>
        <v>2</v>
      </c>
    </row>
    <row r="300" spans="1:18" x14ac:dyDescent="0.3">
      <c r="A300" t="s">
        <v>445</v>
      </c>
      <c r="B300" t="s">
        <v>661</v>
      </c>
      <c r="C300" t="s">
        <v>96</v>
      </c>
      <c r="D300" t="s">
        <v>73</v>
      </c>
      <c r="E300" t="s">
        <v>57</v>
      </c>
      <c r="F300" t="s">
        <v>49</v>
      </c>
      <c r="G300">
        <v>24</v>
      </c>
      <c r="H300" s="6">
        <v>19.53</v>
      </c>
      <c r="I300">
        <v>468.72</v>
      </c>
      <c r="J300">
        <v>14.12</v>
      </c>
      <c r="K300">
        <v>82.6</v>
      </c>
      <c r="L300" t="s">
        <v>17</v>
      </c>
      <c r="M300" t="s">
        <v>18</v>
      </c>
      <c r="N300" t="s">
        <v>55</v>
      </c>
      <c r="O300">
        <f>_xlfn.XLOOKUP(E300,[1]Products!$B$2:$B$11,[1]Products!$F$2:$F$11)</f>
        <v>15.5</v>
      </c>
      <c r="P300">
        <f t="shared" si="8"/>
        <v>372</v>
      </c>
      <c r="Q300" s="3">
        <f t="shared" si="9"/>
        <v>0.17622461170848266</v>
      </c>
      <c r="R300">
        <f>MONTH(Table1[[#This Row],[Order_Date]])</f>
        <v>1</v>
      </c>
    </row>
    <row r="301" spans="1:18" x14ac:dyDescent="0.3">
      <c r="A301" t="s">
        <v>446</v>
      </c>
      <c r="B301" t="s">
        <v>661</v>
      </c>
      <c r="C301" t="s">
        <v>21</v>
      </c>
      <c r="D301" t="s">
        <v>39</v>
      </c>
      <c r="E301" t="s">
        <v>60</v>
      </c>
      <c r="F301" t="s">
        <v>34</v>
      </c>
      <c r="G301">
        <v>28</v>
      </c>
      <c r="H301" s="6">
        <v>22.33</v>
      </c>
      <c r="I301">
        <v>625.24</v>
      </c>
      <c r="J301">
        <v>44.24</v>
      </c>
      <c r="K301">
        <v>224</v>
      </c>
      <c r="L301" t="s">
        <v>17</v>
      </c>
      <c r="M301" t="s">
        <v>18</v>
      </c>
      <c r="N301" t="s">
        <v>19</v>
      </c>
      <c r="O301">
        <f>_xlfn.XLOOKUP(E301,[1]Products!$B$2:$B$11,[1]Products!$F$2:$F$11)</f>
        <v>12.75</v>
      </c>
      <c r="P301">
        <f t="shared" si="8"/>
        <v>357</v>
      </c>
      <c r="Q301" s="3">
        <f t="shared" si="9"/>
        <v>0.35826242722794449</v>
      </c>
      <c r="R301">
        <f>MONTH(Table1[[#This Row],[Order_Date]])</f>
        <v>1</v>
      </c>
    </row>
    <row r="302" spans="1:18" x14ac:dyDescent="0.3">
      <c r="A302" t="s">
        <v>447</v>
      </c>
      <c r="B302" t="s">
        <v>676</v>
      </c>
      <c r="C302" t="s">
        <v>87</v>
      </c>
      <c r="D302" t="s">
        <v>28</v>
      </c>
      <c r="E302" t="s">
        <v>33</v>
      </c>
      <c r="F302" t="s">
        <v>34</v>
      </c>
      <c r="G302">
        <v>49</v>
      </c>
      <c r="H302" s="6">
        <v>39.31</v>
      </c>
      <c r="I302">
        <v>1926.19</v>
      </c>
      <c r="J302">
        <v>69.7</v>
      </c>
      <c r="K302">
        <v>288.49</v>
      </c>
      <c r="L302" t="s">
        <v>23</v>
      </c>
      <c r="M302" t="s">
        <v>18</v>
      </c>
      <c r="N302" t="s">
        <v>25</v>
      </c>
      <c r="O302">
        <f>_xlfn.XLOOKUP(E302,[1]Products!$B$2:$B$11,[1]Products!$F$2:$F$11)</f>
        <v>32</v>
      </c>
      <c r="P302">
        <f t="shared" si="8"/>
        <v>1568</v>
      </c>
      <c r="Q302" s="3">
        <f t="shared" si="9"/>
        <v>0.14977234852221225</v>
      </c>
      <c r="R302">
        <f>MONTH(Table1[[#This Row],[Order_Date]])</f>
        <v>11</v>
      </c>
    </row>
    <row r="303" spans="1:18" x14ac:dyDescent="0.3">
      <c r="A303" t="s">
        <v>448</v>
      </c>
      <c r="B303" t="s">
        <v>673</v>
      </c>
      <c r="C303" t="s">
        <v>179</v>
      </c>
      <c r="D303" t="s">
        <v>173</v>
      </c>
      <c r="E303" t="s">
        <v>57</v>
      </c>
      <c r="F303" t="s">
        <v>49</v>
      </c>
      <c r="G303">
        <v>6</v>
      </c>
      <c r="H303" s="6">
        <v>22.95</v>
      </c>
      <c r="I303">
        <v>137.69999999999999</v>
      </c>
      <c r="J303">
        <v>5.63</v>
      </c>
      <c r="K303">
        <v>39.07</v>
      </c>
      <c r="L303" t="s">
        <v>23</v>
      </c>
      <c r="M303" t="s">
        <v>24</v>
      </c>
      <c r="N303" t="s">
        <v>55</v>
      </c>
      <c r="O303">
        <f>_xlfn.XLOOKUP(E303,[1]Products!$B$2:$B$11,[1]Products!$F$2:$F$11)</f>
        <v>15.5</v>
      </c>
      <c r="P303">
        <f t="shared" si="8"/>
        <v>93</v>
      </c>
      <c r="Q303" s="3">
        <f t="shared" si="9"/>
        <v>0.28373275236020334</v>
      </c>
      <c r="R303">
        <f>MONTH(Table1[[#This Row],[Order_Date]])</f>
        <v>7</v>
      </c>
    </row>
    <row r="304" spans="1:18" x14ac:dyDescent="0.3">
      <c r="A304" t="s">
        <v>449</v>
      </c>
      <c r="B304" t="s">
        <v>665</v>
      </c>
      <c r="C304" t="s">
        <v>150</v>
      </c>
      <c r="D304" t="s">
        <v>44</v>
      </c>
      <c r="E304" t="s">
        <v>45</v>
      </c>
      <c r="F304" t="s">
        <v>34</v>
      </c>
      <c r="G304">
        <v>35</v>
      </c>
      <c r="H304" s="6">
        <v>27.72</v>
      </c>
      <c r="I304">
        <v>970.2</v>
      </c>
      <c r="J304">
        <v>61.74</v>
      </c>
      <c r="K304">
        <v>208.46</v>
      </c>
      <c r="L304" t="s">
        <v>17</v>
      </c>
      <c r="M304" t="s">
        <v>29</v>
      </c>
      <c r="N304" t="s">
        <v>19</v>
      </c>
      <c r="O304">
        <f>_xlfn.XLOOKUP(E304,[1]Products!$B$2:$B$11,[1]Products!$F$2:$F$11)</f>
        <v>20</v>
      </c>
      <c r="P304">
        <f t="shared" si="8"/>
        <v>700</v>
      </c>
      <c r="Q304" s="3">
        <f t="shared" si="9"/>
        <v>0.21486291486291487</v>
      </c>
      <c r="R304">
        <f>MONTH(Table1[[#This Row],[Order_Date]])</f>
        <v>6</v>
      </c>
    </row>
    <row r="305" spans="1:18" x14ac:dyDescent="0.3">
      <c r="A305" t="s">
        <v>450</v>
      </c>
      <c r="B305" t="s">
        <v>664</v>
      </c>
      <c r="C305" t="s">
        <v>141</v>
      </c>
      <c r="D305" t="s">
        <v>52</v>
      </c>
      <c r="E305" t="s">
        <v>40</v>
      </c>
      <c r="F305" t="s">
        <v>41</v>
      </c>
      <c r="G305">
        <v>34</v>
      </c>
      <c r="H305" s="6">
        <v>64.75</v>
      </c>
      <c r="I305">
        <v>2201.5</v>
      </c>
      <c r="J305">
        <v>68.05</v>
      </c>
      <c r="K305">
        <v>773.45</v>
      </c>
      <c r="L305" t="s">
        <v>35</v>
      </c>
      <c r="M305" t="s">
        <v>29</v>
      </c>
      <c r="N305" t="s">
        <v>55</v>
      </c>
      <c r="O305">
        <f>_xlfn.XLOOKUP(E305,[1]Products!$B$2:$B$11,[1]Products!$F$2:$F$11)</f>
        <v>40</v>
      </c>
      <c r="P305">
        <f t="shared" si="8"/>
        <v>1360</v>
      </c>
      <c r="Q305" s="3">
        <f t="shared" si="9"/>
        <v>0.35132863956393368</v>
      </c>
      <c r="R305">
        <f>MONTH(Table1[[#This Row],[Order_Date]])</f>
        <v>10</v>
      </c>
    </row>
    <row r="306" spans="1:18" x14ac:dyDescent="0.3">
      <c r="A306" t="s">
        <v>451</v>
      </c>
      <c r="B306" t="s">
        <v>669</v>
      </c>
      <c r="C306" t="s">
        <v>115</v>
      </c>
      <c r="D306" t="s">
        <v>125</v>
      </c>
      <c r="E306" t="s">
        <v>45</v>
      </c>
      <c r="F306" t="s">
        <v>34</v>
      </c>
      <c r="G306">
        <v>49</v>
      </c>
      <c r="H306" s="6">
        <v>26.02</v>
      </c>
      <c r="I306">
        <v>1274.98</v>
      </c>
      <c r="J306">
        <v>61.84</v>
      </c>
      <c r="K306">
        <v>233.14</v>
      </c>
      <c r="L306" t="s">
        <v>35</v>
      </c>
      <c r="M306" t="s">
        <v>24</v>
      </c>
      <c r="N306" t="s">
        <v>126</v>
      </c>
      <c r="O306">
        <f>_xlfn.XLOOKUP(E306,[1]Products!$B$2:$B$11,[1]Products!$F$2:$F$11)</f>
        <v>20</v>
      </c>
      <c r="P306">
        <f t="shared" si="8"/>
        <v>980</v>
      </c>
      <c r="Q306" s="3">
        <f t="shared" si="9"/>
        <v>0.18285777031796577</v>
      </c>
      <c r="R306">
        <f>MONTH(Table1[[#This Row],[Order_Date]])</f>
        <v>4</v>
      </c>
    </row>
    <row r="307" spans="1:18" x14ac:dyDescent="0.3">
      <c r="A307" t="s">
        <v>452</v>
      </c>
      <c r="B307" t="s">
        <v>670</v>
      </c>
      <c r="C307" t="s">
        <v>242</v>
      </c>
      <c r="D307" t="s">
        <v>32</v>
      </c>
      <c r="E307" t="s">
        <v>53</v>
      </c>
      <c r="F307" t="s">
        <v>54</v>
      </c>
      <c r="G307">
        <v>1</v>
      </c>
      <c r="H307" s="6">
        <v>32.979999999999997</v>
      </c>
      <c r="I307">
        <v>32.979999999999997</v>
      </c>
      <c r="J307">
        <v>1.89</v>
      </c>
      <c r="K307">
        <v>6.09</v>
      </c>
      <c r="L307" t="s">
        <v>35</v>
      </c>
      <c r="M307" t="s">
        <v>24</v>
      </c>
      <c r="N307" t="s">
        <v>36</v>
      </c>
      <c r="O307">
        <f>_xlfn.XLOOKUP(E307,[1]Products!$B$2:$B$11,[1]Products!$F$2:$F$11)</f>
        <v>25</v>
      </c>
      <c r="P307">
        <f t="shared" si="8"/>
        <v>25</v>
      </c>
      <c r="Q307" s="3">
        <f t="shared" si="9"/>
        <v>0.18465736810187994</v>
      </c>
      <c r="R307">
        <f>MONTH(Table1[[#This Row],[Order_Date]])</f>
        <v>12</v>
      </c>
    </row>
    <row r="308" spans="1:18" x14ac:dyDescent="0.3">
      <c r="A308" t="s">
        <v>453</v>
      </c>
      <c r="B308" t="s">
        <v>676</v>
      </c>
      <c r="C308" t="s">
        <v>311</v>
      </c>
      <c r="D308" t="s">
        <v>32</v>
      </c>
      <c r="E308" t="s">
        <v>60</v>
      </c>
      <c r="F308" t="s">
        <v>34</v>
      </c>
      <c r="G308">
        <v>18</v>
      </c>
      <c r="H308" s="6">
        <v>20.09</v>
      </c>
      <c r="I308">
        <v>361.62</v>
      </c>
      <c r="J308">
        <v>8.3800000000000008</v>
      </c>
      <c r="K308">
        <v>123.74</v>
      </c>
      <c r="L308" t="s">
        <v>17</v>
      </c>
      <c r="M308" t="s">
        <v>18</v>
      </c>
      <c r="N308" t="s">
        <v>36</v>
      </c>
      <c r="O308">
        <f>_xlfn.XLOOKUP(E308,[1]Products!$B$2:$B$11,[1]Products!$F$2:$F$11)</f>
        <v>12.75</v>
      </c>
      <c r="P308">
        <f t="shared" si="8"/>
        <v>229.5</v>
      </c>
      <c r="Q308" s="3">
        <f t="shared" si="9"/>
        <v>0.34218240141585088</v>
      </c>
      <c r="R308">
        <f>MONTH(Table1[[#This Row],[Order_Date]])</f>
        <v>11</v>
      </c>
    </row>
    <row r="309" spans="1:18" x14ac:dyDescent="0.3">
      <c r="A309" t="s">
        <v>454</v>
      </c>
      <c r="B309" t="s">
        <v>665</v>
      </c>
      <c r="C309" t="s">
        <v>162</v>
      </c>
      <c r="D309" t="s">
        <v>173</v>
      </c>
      <c r="E309" t="s">
        <v>15</v>
      </c>
      <c r="F309" t="s">
        <v>16</v>
      </c>
      <c r="G309">
        <v>39</v>
      </c>
      <c r="H309" s="6">
        <v>49.59</v>
      </c>
      <c r="I309">
        <v>1934.01</v>
      </c>
      <c r="J309">
        <v>62.79</v>
      </c>
      <c r="K309">
        <v>506.22</v>
      </c>
      <c r="L309" t="s">
        <v>23</v>
      </c>
      <c r="M309" t="s">
        <v>24</v>
      </c>
      <c r="N309" t="s">
        <v>55</v>
      </c>
      <c r="O309">
        <f>_xlfn.XLOOKUP(E309,[1]Products!$B$2:$B$11,[1]Products!$F$2:$F$11)</f>
        <v>35</v>
      </c>
      <c r="P309">
        <f t="shared" si="8"/>
        <v>1365</v>
      </c>
      <c r="Q309" s="3">
        <f t="shared" si="9"/>
        <v>0.26174631982254487</v>
      </c>
      <c r="R309">
        <f>MONTH(Table1[[#This Row],[Order_Date]])</f>
        <v>6</v>
      </c>
    </row>
    <row r="310" spans="1:18" x14ac:dyDescent="0.3">
      <c r="A310" t="s">
        <v>455</v>
      </c>
      <c r="B310" t="s">
        <v>669</v>
      </c>
      <c r="C310" t="s">
        <v>287</v>
      </c>
      <c r="D310" t="s">
        <v>39</v>
      </c>
      <c r="E310" t="s">
        <v>33</v>
      </c>
      <c r="F310" t="s">
        <v>34</v>
      </c>
      <c r="G310">
        <v>6</v>
      </c>
      <c r="H310" s="6">
        <v>41.99</v>
      </c>
      <c r="I310">
        <v>251.94</v>
      </c>
      <c r="J310">
        <v>10.76</v>
      </c>
      <c r="K310">
        <v>49.18</v>
      </c>
      <c r="L310" t="s">
        <v>17</v>
      </c>
      <c r="M310" t="s">
        <v>18</v>
      </c>
      <c r="N310" t="s">
        <v>19</v>
      </c>
      <c r="O310">
        <f>_xlfn.XLOOKUP(E310,[1]Products!$B$2:$B$11,[1]Products!$F$2:$F$11)</f>
        <v>32</v>
      </c>
      <c r="P310">
        <f t="shared" si="8"/>
        <v>192</v>
      </c>
      <c r="Q310" s="3">
        <f t="shared" si="9"/>
        <v>0.19520520758910853</v>
      </c>
      <c r="R310">
        <f>MONTH(Table1[[#This Row],[Order_Date]])</f>
        <v>4</v>
      </c>
    </row>
    <row r="311" spans="1:18" x14ac:dyDescent="0.3">
      <c r="A311" t="s">
        <v>456</v>
      </c>
      <c r="B311" t="s">
        <v>675</v>
      </c>
      <c r="C311" t="s">
        <v>64</v>
      </c>
      <c r="D311" t="s">
        <v>66</v>
      </c>
      <c r="E311" t="s">
        <v>15</v>
      </c>
      <c r="F311" t="s">
        <v>16</v>
      </c>
      <c r="G311">
        <v>12</v>
      </c>
      <c r="H311" s="6">
        <v>47.4</v>
      </c>
      <c r="I311">
        <v>568.79999999999995</v>
      </c>
      <c r="J311">
        <v>23.31</v>
      </c>
      <c r="K311">
        <v>125.49</v>
      </c>
      <c r="L311" t="s">
        <v>35</v>
      </c>
      <c r="M311" t="s">
        <v>18</v>
      </c>
      <c r="N311" t="s">
        <v>55</v>
      </c>
      <c r="O311">
        <f>_xlfn.XLOOKUP(E311,[1]Products!$B$2:$B$11,[1]Products!$F$2:$F$11)</f>
        <v>35</v>
      </c>
      <c r="P311">
        <f t="shared" si="8"/>
        <v>420</v>
      </c>
      <c r="Q311" s="3">
        <f t="shared" si="9"/>
        <v>0.22062236286919831</v>
      </c>
      <c r="R311">
        <f>MONTH(Table1[[#This Row],[Order_Date]])</f>
        <v>5</v>
      </c>
    </row>
    <row r="312" spans="1:18" x14ac:dyDescent="0.3">
      <c r="A312" t="s">
        <v>457</v>
      </c>
      <c r="B312" t="s">
        <v>673</v>
      </c>
      <c r="C312" t="s">
        <v>245</v>
      </c>
      <c r="D312" t="s">
        <v>654</v>
      </c>
      <c r="E312" t="s">
        <v>45</v>
      </c>
      <c r="F312" t="s">
        <v>34</v>
      </c>
      <c r="G312">
        <v>50</v>
      </c>
      <c r="H312" s="6">
        <v>34.28</v>
      </c>
      <c r="I312">
        <v>1714</v>
      </c>
      <c r="J312">
        <v>59.84</v>
      </c>
      <c r="K312">
        <v>654.16</v>
      </c>
      <c r="L312" t="s">
        <v>17</v>
      </c>
      <c r="M312" t="s">
        <v>18</v>
      </c>
      <c r="N312" t="s">
        <v>55</v>
      </c>
      <c r="O312">
        <f>_xlfn.XLOOKUP(E312,[1]Products!$B$2:$B$11,[1]Products!$F$2:$F$11)</f>
        <v>20</v>
      </c>
      <c r="P312">
        <f t="shared" si="8"/>
        <v>1000</v>
      </c>
      <c r="Q312" s="3">
        <f t="shared" si="9"/>
        <v>0.38165694282380397</v>
      </c>
      <c r="R312">
        <f>MONTH(Table1[[#This Row],[Order_Date]])</f>
        <v>7</v>
      </c>
    </row>
    <row r="313" spans="1:18" x14ac:dyDescent="0.3">
      <c r="A313" t="s">
        <v>458</v>
      </c>
      <c r="B313" t="s">
        <v>674</v>
      </c>
      <c r="C313" t="s">
        <v>200</v>
      </c>
      <c r="D313" t="s">
        <v>82</v>
      </c>
      <c r="E313" t="s">
        <v>22</v>
      </c>
      <c r="F313" t="s">
        <v>16</v>
      </c>
      <c r="G313">
        <v>50</v>
      </c>
      <c r="H313" s="6">
        <v>29.39</v>
      </c>
      <c r="I313">
        <v>1469.5</v>
      </c>
      <c r="J313">
        <v>101.51</v>
      </c>
      <c r="K313">
        <v>467.99</v>
      </c>
      <c r="L313" t="s">
        <v>35</v>
      </c>
      <c r="M313" t="s">
        <v>29</v>
      </c>
      <c r="N313" t="s">
        <v>83</v>
      </c>
      <c r="O313">
        <f>_xlfn.XLOOKUP(E313,[1]Products!$B$2:$B$11,[1]Products!$F$2:$F$11)</f>
        <v>18</v>
      </c>
      <c r="P313">
        <f t="shared" si="8"/>
        <v>900</v>
      </c>
      <c r="Q313" s="3">
        <f t="shared" si="9"/>
        <v>0.31846886696155158</v>
      </c>
      <c r="R313">
        <f>MONTH(Table1[[#This Row],[Order_Date]])</f>
        <v>3</v>
      </c>
    </row>
    <row r="314" spans="1:18" x14ac:dyDescent="0.3">
      <c r="A314" t="s">
        <v>459</v>
      </c>
      <c r="B314" t="s">
        <v>668</v>
      </c>
      <c r="C314" t="s">
        <v>109</v>
      </c>
      <c r="D314" t="s">
        <v>32</v>
      </c>
      <c r="E314" t="s">
        <v>22</v>
      </c>
      <c r="F314" t="s">
        <v>16</v>
      </c>
      <c r="G314">
        <v>46</v>
      </c>
      <c r="H314" s="6">
        <v>30.34</v>
      </c>
      <c r="I314">
        <v>1395.64</v>
      </c>
      <c r="J314">
        <v>104.2</v>
      </c>
      <c r="K314">
        <v>463.44</v>
      </c>
      <c r="L314" t="s">
        <v>17</v>
      </c>
      <c r="M314" t="s">
        <v>24</v>
      </c>
      <c r="N314" t="s">
        <v>36</v>
      </c>
      <c r="O314">
        <f>_xlfn.XLOOKUP(E314,[1]Products!$B$2:$B$11,[1]Products!$F$2:$F$11)</f>
        <v>18</v>
      </c>
      <c r="P314">
        <f t="shared" si="8"/>
        <v>828</v>
      </c>
      <c r="Q314" s="3">
        <f t="shared" si="9"/>
        <v>0.33206270958126732</v>
      </c>
      <c r="R314">
        <f>MONTH(Table1[[#This Row],[Order_Date]])</f>
        <v>8</v>
      </c>
    </row>
    <row r="315" spans="1:18" x14ac:dyDescent="0.3">
      <c r="A315" t="s">
        <v>460</v>
      </c>
      <c r="B315" t="s">
        <v>672</v>
      </c>
      <c r="C315" t="s">
        <v>461</v>
      </c>
      <c r="D315" t="s">
        <v>66</v>
      </c>
      <c r="E315" t="s">
        <v>60</v>
      </c>
      <c r="F315" t="s">
        <v>34</v>
      </c>
      <c r="G315">
        <v>50</v>
      </c>
      <c r="H315" s="6">
        <v>18.809999999999999</v>
      </c>
      <c r="I315">
        <v>940.5</v>
      </c>
      <c r="J315">
        <v>40.25</v>
      </c>
      <c r="K315">
        <v>262.75</v>
      </c>
      <c r="L315" t="s">
        <v>23</v>
      </c>
      <c r="M315" t="s">
        <v>24</v>
      </c>
      <c r="N315" t="s">
        <v>55</v>
      </c>
      <c r="O315">
        <f>_xlfn.XLOOKUP(E315,[1]Products!$B$2:$B$11,[1]Products!$F$2:$F$11)</f>
        <v>12.75</v>
      </c>
      <c r="P315">
        <f t="shared" si="8"/>
        <v>637.5</v>
      </c>
      <c r="Q315" s="3">
        <f t="shared" si="9"/>
        <v>0.27937267410951622</v>
      </c>
      <c r="R315">
        <f>MONTH(Table1[[#This Row],[Order_Date]])</f>
        <v>3</v>
      </c>
    </row>
    <row r="316" spans="1:18" x14ac:dyDescent="0.3">
      <c r="A316" t="s">
        <v>462</v>
      </c>
      <c r="B316" t="s">
        <v>673</v>
      </c>
      <c r="C316" t="s">
        <v>200</v>
      </c>
      <c r="D316" t="s">
        <v>125</v>
      </c>
      <c r="E316" t="s">
        <v>48</v>
      </c>
      <c r="F316" t="s">
        <v>49</v>
      </c>
      <c r="G316">
        <v>2</v>
      </c>
      <c r="H316" s="6">
        <v>29.64</v>
      </c>
      <c r="I316">
        <v>59.28</v>
      </c>
      <c r="J316">
        <v>4.59</v>
      </c>
      <c r="K316">
        <v>9.69</v>
      </c>
      <c r="L316" t="s">
        <v>23</v>
      </c>
      <c r="M316" t="s">
        <v>29</v>
      </c>
      <c r="N316" t="s">
        <v>126</v>
      </c>
      <c r="O316">
        <f>_xlfn.XLOOKUP(E316,[1]Products!$B$2:$B$11,[1]Products!$F$2:$F$11)</f>
        <v>22.5</v>
      </c>
      <c r="P316">
        <f t="shared" si="8"/>
        <v>45</v>
      </c>
      <c r="Q316" s="3">
        <f t="shared" si="9"/>
        <v>0.16346153846153846</v>
      </c>
      <c r="R316">
        <f>MONTH(Table1[[#This Row],[Order_Date]])</f>
        <v>7</v>
      </c>
    </row>
    <row r="317" spans="1:18" x14ac:dyDescent="0.3">
      <c r="A317" t="s">
        <v>463</v>
      </c>
      <c r="B317" t="s">
        <v>677</v>
      </c>
      <c r="C317" t="s">
        <v>360</v>
      </c>
      <c r="D317" t="s">
        <v>66</v>
      </c>
      <c r="E317" t="s">
        <v>48</v>
      </c>
      <c r="F317" t="s">
        <v>49</v>
      </c>
      <c r="G317">
        <v>48</v>
      </c>
      <c r="H317" s="6">
        <v>27.9</v>
      </c>
      <c r="I317">
        <v>1339.2</v>
      </c>
      <c r="J317">
        <v>66.31</v>
      </c>
      <c r="K317">
        <v>192.89</v>
      </c>
      <c r="L317" t="s">
        <v>23</v>
      </c>
      <c r="M317" t="s">
        <v>29</v>
      </c>
      <c r="N317" t="s">
        <v>55</v>
      </c>
      <c r="O317">
        <f>_xlfn.XLOOKUP(E317,[1]Products!$B$2:$B$11,[1]Products!$F$2:$F$11)</f>
        <v>22.5</v>
      </c>
      <c r="P317">
        <f t="shared" si="8"/>
        <v>1080</v>
      </c>
      <c r="Q317" s="3">
        <f t="shared" si="9"/>
        <v>0.1440337514934289</v>
      </c>
      <c r="R317">
        <f>MONTH(Table1[[#This Row],[Order_Date]])</f>
        <v>1</v>
      </c>
    </row>
    <row r="318" spans="1:18" x14ac:dyDescent="0.3">
      <c r="A318" t="s">
        <v>464</v>
      </c>
      <c r="B318" t="s">
        <v>670</v>
      </c>
      <c r="C318" t="s">
        <v>289</v>
      </c>
      <c r="D318" t="s">
        <v>102</v>
      </c>
      <c r="E318" t="s">
        <v>53</v>
      </c>
      <c r="F318" t="s">
        <v>54</v>
      </c>
      <c r="G318">
        <v>28</v>
      </c>
      <c r="H318" s="6">
        <v>38.520000000000003</v>
      </c>
      <c r="I318">
        <v>1078.56</v>
      </c>
      <c r="J318">
        <v>64.510000000000005</v>
      </c>
      <c r="K318">
        <v>314.05</v>
      </c>
      <c r="L318" t="s">
        <v>17</v>
      </c>
      <c r="M318" t="s">
        <v>24</v>
      </c>
      <c r="N318" t="s">
        <v>25</v>
      </c>
      <c r="O318">
        <f>_xlfn.XLOOKUP(E318,[1]Products!$B$2:$B$11,[1]Products!$F$2:$F$11)</f>
        <v>25</v>
      </c>
      <c r="P318">
        <f t="shared" si="8"/>
        <v>700</v>
      </c>
      <c r="Q318" s="3">
        <f t="shared" si="9"/>
        <v>0.29117527073134553</v>
      </c>
      <c r="R318">
        <f>MONTH(Table1[[#This Row],[Order_Date]])</f>
        <v>12</v>
      </c>
    </row>
    <row r="319" spans="1:18" x14ac:dyDescent="0.3">
      <c r="A319" t="s">
        <v>465</v>
      </c>
      <c r="B319" t="s">
        <v>672</v>
      </c>
      <c r="C319" t="s">
        <v>177</v>
      </c>
      <c r="D319" t="s">
        <v>653</v>
      </c>
      <c r="E319" t="s">
        <v>48</v>
      </c>
      <c r="F319" t="s">
        <v>49</v>
      </c>
      <c r="G319">
        <v>11</v>
      </c>
      <c r="H319" s="6">
        <v>31.08</v>
      </c>
      <c r="I319">
        <v>341.88</v>
      </c>
      <c r="J319">
        <v>17.18</v>
      </c>
      <c r="K319">
        <v>77.2</v>
      </c>
      <c r="L319" t="s">
        <v>35</v>
      </c>
      <c r="M319" t="s">
        <v>29</v>
      </c>
      <c r="N319" t="s">
        <v>25</v>
      </c>
      <c r="O319">
        <f>_xlfn.XLOOKUP(E319,[1]Products!$B$2:$B$11,[1]Products!$F$2:$F$11)</f>
        <v>22.5</v>
      </c>
      <c r="P319">
        <f t="shared" si="8"/>
        <v>247.5</v>
      </c>
      <c r="Q319" s="3">
        <f t="shared" si="9"/>
        <v>0.22581022581022583</v>
      </c>
      <c r="R319">
        <f>MONTH(Table1[[#This Row],[Order_Date]])</f>
        <v>3</v>
      </c>
    </row>
    <row r="320" spans="1:18" x14ac:dyDescent="0.3">
      <c r="A320" t="s">
        <v>466</v>
      </c>
      <c r="B320" t="s">
        <v>664</v>
      </c>
      <c r="C320" t="s">
        <v>242</v>
      </c>
      <c r="D320" t="s">
        <v>44</v>
      </c>
      <c r="E320" t="s">
        <v>45</v>
      </c>
      <c r="F320" t="s">
        <v>34</v>
      </c>
      <c r="G320">
        <v>42</v>
      </c>
      <c r="H320" s="6">
        <v>25.95</v>
      </c>
      <c r="I320">
        <v>1089.9000000000001</v>
      </c>
      <c r="J320">
        <v>27.5</v>
      </c>
      <c r="K320">
        <v>222.4</v>
      </c>
      <c r="L320" t="s">
        <v>35</v>
      </c>
      <c r="M320" t="s">
        <v>29</v>
      </c>
      <c r="N320" t="s">
        <v>19</v>
      </c>
      <c r="O320">
        <f>_xlfn.XLOOKUP(E320,[1]Products!$B$2:$B$11,[1]Products!$F$2:$F$11)</f>
        <v>20</v>
      </c>
      <c r="P320">
        <f t="shared" si="8"/>
        <v>840</v>
      </c>
      <c r="Q320" s="3">
        <f t="shared" si="9"/>
        <v>0.2040554179282503</v>
      </c>
      <c r="R320">
        <f>MONTH(Table1[[#This Row],[Order_Date]])</f>
        <v>10</v>
      </c>
    </row>
    <row r="321" spans="1:18" x14ac:dyDescent="0.3">
      <c r="A321" t="s">
        <v>467</v>
      </c>
      <c r="B321" t="s">
        <v>668</v>
      </c>
      <c r="C321" t="s">
        <v>395</v>
      </c>
      <c r="D321" t="s">
        <v>66</v>
      </c>
      <c r="E321" t="s">
        <v>53</v>
      </c>
      <c r="F321" t="s">
        <v>54</v>
      </c>
      <c r="G321">
        <v>30</v>
      </c>
      <c r="H321" s="6">
        <v>30.16</v>
      </c>
      <c r="I321">
        <v>904.8</v>
      </c>
      <c r="J321">
        <v>70.13</v>
      </c>
      <c r="K321">
        <v>84.67</v>
      </c>
      <c r="L321" t="s">
        <v>23</v>
      </c>
      <c r="M321" t="s">
        <v>18</v>
      </c>
      <c r="N321" t="s">
        <v>55</v>
      </c>
      <c r="O321">
        <f>_xlfn.XLOOKUP(E321,[1]Products!$B$2:$B$11,[1]Products!$F$2:$F$11)</f>
        <v>25</v>
      </c>
      <c r="P321">
        <f t="shared" si="8"/>
        <v>750</v>
      </c>
      <c r="Q321" s="3">
        <f t="shared" si="9"/>
        <v>9.3578691423519017E-2</v>
      </c>
      <c r="R321">
        <f>MONTH(Table1[[#This Row],[Order_Date]])</f>
        <v>8</v>
      </c>
    </row>
    <row r="322" spans="1:18" x14ac:dyDescent="0.3">
      <c r="A322" t="s">
        <v>468</v>
      </c>
      <c r="B322" t="s">
        <v>673</v>
      </c>
      <c r="C322" t="s">
        <v>469</v>
      </c>
      <c r="D322" t="s">
        <v>32</v>
      </c>
      <c r="E322" t="s">
        <v>45</v>
      </c>
      <c r="F322" t="s">
        <v>34</v>
      </c>
      <c r="G322">
        <v>40</v>
      </c>
      <c r="H322" s="6">
        <v>30.03</v>
      </c>
      <c r="I322">
        <v>1201.2</v>
      </c>
      <c r="J322">
        <v>71.97</v>
      </c>
      <c r="K322">
        <v>329.23</v>
      </c>
      <c r="L322" t="s">
        <v>23</v>
      </c>
      <c r="M322" t="s">
        <v>18</v>
      </c>
      <c r="N322" t="s">
        <v>36</v>
      </c>
      <c r="O322">
        <f>_xlfn.XLOOKUP(E322,[1]Products!$B$2:$B$11,[1]Products!$F$2:$F$11)</f>
        <v>20</v>
      </c>
      <c r="P322">
        <f t="shared" si="8"/>
        <v>800</v>
      </c>
      <c r="Q322" s="3">
        <f t="shared" si="9"/>
        <v>0.27408424908424911</v>
      </c>
      <c r="R322">
        <f>MONTH(Table1[[#This Row],[Order_Date]])</f>
        <v>7</v>
      </c>
    </row>
    <row r="323" spans="1:18" x14ac:dyDescent="0.3">
      <c r="A323" t="s">
        <v>470</v>
      </c>
      <c r="B323" t="s">
        <v>664</v>
      </c>
      <c r="C323" t="s">
        <v>96</v>
      </c>
      <c r="D323" t="s">
        <v>82</v>
      </c>
      <c r="E323" t="s">
        <v>45</v>
      </c>
      <c r="F323" t="s">
        <v>34</v>
      </c>
      <c r="G323">
        <v>15</v>
      </c>
      <c r="H323" s="6">
        <v>27.12</v>
      </c>
      <c r="I323">
        <v>406.8</v>
      </c>
      <c r="J323">
        <v>24.28</v>
      </c>
      <c r="K323">
        <v>82.52</v>
      </c>
      <c r="L323" t="s">
        <v>23</v>
      </c>
      <c r="M323" t="s">
        <v>24</v>
      </c>
      <c r="N323" t="s">
        <v>83</v>
      </c>
      <c r="O323">
        <f>_xlfn.XLOOKUP(E323,[1]Products!$B$2:$B$11,[1]Products!$F$2:$F$11)</f>
        <v>20</v>
      </c>
      <c r="P323">
        <f t="shared" ref="P323:P386" si="10">G323*O323</f>
        <v>300</v>
      </c>
      <c r="Q323" s="3">
        <f t="shared" ref="Q323:Q386" si="11">K323/I323</f>
        <v>0.20285152409046212</v>
      </c>
      <c r="R323">
        <f>MONTH(Table1[[#This Row],[Order_Date]])</f>
        <v>10</v>
      </c>
    </row>
    <row r="324" spans="1:18" x14ac:dyDescent="0.3">
      <c r="A324" t="s">
        <v>471</v>
      </c>
      <c r="B324" t="s">
        <v>664</v>
      </c>
      <c r="C324" t="s">
        <v>157</v>
      </c>
      <c r="D324" t="s">
        <v>102</v>
      </c>
      <c r="E324" t="s">
        <v>60</v>
      </c>
      <c r="F324" t="s">
        <v>34</v>
      </c>
      <c r="G324">
        <v>35</v>
      </c>
      <c r="H324" s="6">
        <v>18.350000000000001</v>
      </c>
      <c r="I324">
        <v>642.25</v>
      </c>
      <c r="J324">
        <v>29.35</v>
      </c>
      <c r="K324">
        <v>166.65</v>
      </c>
      <c r="L324" t="s">
        <v>17</v>
      </c>
      <c r="M324" t="s">
        <v>24</v>
      </c>
      <c r="N324" t="s">
        <v>25</v>
      </c>
      <c r="O324">
        <f>_xlfn.XLOOKUP(E324,[1]Products!$B$2:$B$11,[1]Products!$F$2:$F$11)</f>
        <v>12.75</v>
      </c>
      <c r="P324">
        <f t="shared" si="10"/>
        <v>446.25</v>
      </c>
      <c r="Q324" s="3">
        <f t="shared" si="11"/>
        <v>0.2594783962631374</v>
      </c>
      <c r="R324">
        <f>MONTH(Table1[[#This Row],[Order_Date]])</f>
        <v>10</v>
      </c>
    </row>
    <row r="325" spans="1:18" x14ac:dyDescent="0.3">
      <c r="A325" t="s">
        <v>472</v>
      </c>
      <c r="B325" t="s">
        <v>665</v>
      </c>
      <c r="C325" t="s">
        <v>406</v>
      </c>
      <c r="D325" t="s">
        <v>82</v>
      </c>
      <c r="E325" t="s">
        <v>15</v>
      </c>
      <c r="F325" t="s">
        <v>16</v>
      </c>
      <c r="G325">
        <v>21</v>
      </c>
      <c r="H325" s="6">
        <v>52.59</v>
      </c>
      <c r="I325">
        <v>1104.3900000000001</v>
      </c>
      <c r="J325">
        <v>57.06</v>
      </c>
      <c r="K325">
        <v>312.33</v>
      </c>
      <c r="L325" t="s">
        <v>23</v>
      </c>
      <c r="M325" t="s">
        <v>24</v>
      </c>
      <c r="N325" t="s">
        <v>83</v>
      </c>
      <c r="O325">
        <f>_xlfn.XLOOKUP(E325,[1]Products!$B$2:$B$11,[1]Products!$F$2:$F$11)</f>
        <v>35</v>
      </c>
      <c r="P325">
        <f t="shared" si="10"/>
        <v>735</v>
      </c>
      <c r="Q325" s="3">
        <f t="shared" si="11"/>
        <v>0.28280770380028791</v>
      </c>
      <c r="R325">
        <f>MONTH(Table1[[#This Row],[Order_Date]])</f>
        <v>6</v>
      </c>
    </row>
    <row r="326" spans="1:18" x14ac:dyDescent="0.3">
      <c r="A326" t="s">
        <v>473</v>
      </c>
      <c r="B326" t="s">
        <v>667</v>
      </c>
      <c r="C326" t="s">
        <v>360</v>
      </c>
      <c r="D326" t="s">
        <v>52</v>
      </c>
      <c r="E326" t="s">
        <v>79</v>
      </c>
      <c r="F326" t="s">
        <v>49</v>
      </c>
      <c r="G326">
        <v>10</v>
      </c>
      <c r="H326" s="6">
        <v>44.2</v>
      </c>
      <c r="I326">
        <v>442</v>
      </c>
      <c r="J326">
        <v>18.45</v>
      </c>
      <c r="K326">
        <v>143.55000000000001</v>
      </c>
      <c r="L326" t="s">
        <v>17</v>
      </c>
      <c r="M326" t="s">
        <v>18</v>
      </c>
      <c r="N326" t="s">
        <v>55</v>
      </c>
      <c r="O326">
        <f>_xlfn.XLOOKUP(E326,[1]Products!$B$2:$B$11,[1]Products!$F$2:$F$11)</f>
        <v>28</v>
      </c>
      <c r="P326">
        <f t="shared" si="10"/>
        <v>280</v>
      </c>
      <c r="Q326" s="3">
        <f t="shared" si="11"/>
        <v>0.32477375565610861</v>
      </c>
      <c r="R326">
        <f>MONTH(Table1[[#This Row],[Order_Date]])</f>
        <v>9</v>
      </c>
    </row>
    <row r="327" spans="1:18" x14ac:dyDescent="0.3">
      <c r="A327" t="s">
        <v>474</v>
      </c>
      <c r="B327" t="s">
        <v>670</v>
      </c>
      <c r="C327" t="s">
        <v>205</v>
      </c>
      <c r="D327" t="s">
        <v>52</v>
      </c>
      <c r="E327" t="s">
        <v>15</v>
      </c>
      <c r="F327" t="s">
        <v>16</v>
      </c>
      <c r="G327">
        <v>11</v>
      </c>
      <c r="H327" s="6">
        <v>60.9</v>
      </c>
      <c r="I327">
        <v>669.9</v>
      </c>
      <c r="J327">
        <v>26.28</v>
      </c>
      <c r="K327">
        <v>258.62</v>
      </c>
      <c r="L327" t="s">
        <v>23</v>
      </c>
      <c r="M327" t="s">
        <v>24</v>
      </c>
      <c r="N327" t="s">
        <v>55</v>
      </c>
      <c r="O327">
        <f>_xlfn.XLOOKUP(E327,[1]Products!$B$2:$B$11,[1]Products!$F$2:$F$11)</f>
        <v>35</v>
      </c>
      <c r="P327">
        <f t="shared" si="10"/>
        <v>385</v>
      </c>
      <c r="Q327" s="3">
        <f t="shared" si="11"/>
        <v>0.38605762054037918</v>
      </c>
      <c r="R327">
        <f>MONTH(Table1[[#This Row],[Order_Date]])</f>
        <v>12</v>
      </c>
    </row>
    <row r="328" spans="1:18" x14ac:dyDescent="0.3">
      <c r="A328" t="s">
        <v>475</v>
      </c>
      <c r="B328" t="s">
        <v>667</v>
      </c>
      <c r="C328" t="s">
        <v>51</v>
      </c>
      <c r="D328" t="s">
        <v>654</v>
      </c>
      <c r="E328" t="s">
        <v>60</v>
      </c>
      <c r="F328" t="s">
        <v>34</v>
      </c>
      <c r="G328">
        <v>26</v>
      </c>
      <c r="H328" s="6">
        <v>22.32</v>
      </c>
      <c r="I328">
        <v>580.32000000000005</v>
      </c>
      <c r="J328">
        <v>45.08</v>
      </c>
      <c r="K328">
        <v>203.74</v>
      </c>
      <c r="L328" t="s">
        <v>23</v>
      </c>
      <c r="M328" t="s">
        <v>24</v>
      </c>
      <c r="N328" t="s">
        <v>55</v>
      </c>
      <c r="O328">
        <f>_xlfn.XLOOKUP(E328,[1]Products!$B$2:$B$11,[1]Products!$F$2:$F$11)</f>
        <v>12.75</v>
      </c>
      <c r="P328">
        <f t="shared" si="10"/>
        <v>331.5</v>
      </c>
      <c r="Q328" s="3">
        <f t="shared" si="11"/>
        <v>0.3510821615660325</v>
      </c>
      <c r="R328">
        <f>MONTH(Table1[[#This Row],[Order_Date]])</f>
        <v>9</v>
      </c>
    </row>
    <row r="329" spans="1:18" x14ac:dyDescent="0.3">
      <c r="A329" t="s">
        <v>476</v>
      </c>
      <c r="B329" t="s">
        <v>661</v>
      </c>
      <c r="C329" t="s">
        <v>257</v>
      </c>
      <c r="D329" t="s">
        <v>52</v>
      </c>
      <c r="E329" t="s">
        <v>79</v>
      </c>
      <c r="F329" t="s">
        <v>49</v>
      </c>
      <c r="G329">
        <v>46</v>
      </c>
      <c r="H329" s="6">
        <v>41.89</v>
      </c>
      <c r="I329">
        <v>1926.94</v>
      </c>
      <c r="J329">
        <v>97.39</v>
      </c>
      <c r="K329">
        <v>541.54999999999995</v>
      </c>
      <c r="L329" t="s">
        <v>17</v>
      </c>
      <c r="M329" t="s">
        <v>29</v>
      </c>
      <c r="N329" t="s">
        <v>55</v>
      </c>
      <c r="O329">
        <f>_xlfn.XLOOKUP(E329,[1]Products!$B$2:$B$11,[1]Products!$F$2:$F$11)</f>
        <v>28</v>
      </c>
      <c r="P329">
        <f t="shared" si="10"/>
        <v>1288</v>
      </c>
      <c r="Q329" s="3">
        <f t="shared" si="11"/>
        <v>0.28104144394739844</v>
      </c>
      <c r="R329">
        <f>MONTH(Table1[[#This Row],[Order_Date]])</f>
        <v>1</v>
      </c>
    </row>
    <row r="330" spans="1:18" x14ac:dyDescent="0.3">
      <c r="A330" t="s">
        <v>477</v>
      </c>
      <c r="B330" t="s">
        <v>664</v>
      </c>
      <c r="C330" t="s">
        <v>169</v>
      </c>
      <c r="D330" t="s">
        <v>653</v>
      </c>
      <c r="E330" t="s">
        <v>60</v>
      </c>
      <c r="F330" t="s">
        <v>34</v>
      </c>
      <c r="G330">
        <v>43</v>
      </c>
      <c r="H330" s="6">
        <v>21.24</v>
      </c>
      <c r="I330">
        <v>913.32</v>
      </c>
      <c r="J330">
        <v>50.32</v>
      </c>
      <c r="K330">
        <v>314.75</v>
      </c>
      <c r="L330" t="s">
        <v>23</v>
      </c>
      <c r="M330" t="s">
        <v>18</v>
      </c>
      <c r="N330" t="s">
        <v>25</v>
      </c>
      <c r="O330">
        <f>_xlfn.XLOOKUP(E330,[1]Products!$B$2:$B$11,[1]Products!$F$2:$F$11)</f>
        <v>12.75</v>
      </c>
      <c r="P330">
        <f t="shared" si="10"/>
        <v>548.25</v>
      </c>
      <c r="Q330" s="3">
        <f t="shared" si="11"/>
        <v>0.34462181929663205</v>
      </c>
      <c r="R330">
        <f>MONTH(Table1[[#This Row],[Order_Date]])</f>
        <v>10</v>
      </c>
    </row>
    <row r="331" spans="1:18" x14ac:dyDescent="0.3">
      <c r="A331" t="s">
        <v>478</v>
      </c>
      <c r="B331" t="s">
        <v>672</v>
      </c>
      <c r="C331" t="s">
        <v>479</v>
      </c>
      <c r="D331" t="s">
        <v>147</v>
      </c>
      <c r="E331" t="s">
        <v>48</v>
      </c>
      <c r="F331" t="s">
        <v>49</v>
      </c>
      <c r="G331">
        <v>28</v>
      </c>
      <c r="H331" s="6">
        <v>33.700000000000003</v>
      </c>
      <c r="I331">
        <v>943.6</v>
      </c>
      <c r="J331">
        <v>20.170000000000002</v>
      </c>
      <c r="K331">
        <v>293.43</v>
      </c>
      <c r="L331" t="s">
        <v>17</v>
      </c>
      <c r="M331" t="s">
        <v>24</v>
      </c>
      <c r="N331" t="s">
        <v>25</v>
      </c>
      <c r="O331">
        <f>_xlfn.XLOOKUP(E331,[1]Products!$B$2:$B$11,[1]Products!$F$2:$F$11)</f>
        <v>22.5</v>
      </c>
      <c r="P331">
        <f t="shared" si="10"/>
        <v>630</v>
      </c>
      <c r="Q331" s="3">
        <f t="shared" si="11"/>
        <v>0.31096863077575243</v>
      </c>
      <c r="R331">
        <f>MONTH(Table1[[#This Row],[Order_Date]])</f>
        <v>3</v>
      </c>
    </row>
    <row r="332" spans="1:18" x14ac:dyDescent="0.3">
      <c r="A332" t="s">
        <v>480</v>
      </c>
      <c r="B332" t="s">
        <v>668</v>
      </c>
      <c r="C332" t="s">
        <v>207</v>
      </c>
      <c r="D332" t="s">
        <v>173</v>
      </c>
      <c r="E332" t="s">
        <v>15</v>
      </c>
      <c r="F332" t="s">
        <v>16</v>
      </c>
      <c r="G332">
        <v>41</v>
      </c>
      <c r="H332" s="6">
        <v>42.74</v>
      </c>
      <c r="I332">
        <v>1752.34</v>
      </c>
      <c r="J332">
        <v>92.09</v>
      </c>
      <c r="K332">
        <v>225.25</v>
      </c>
      <c r="L332" t="s">
        <v>35</v>
      </c>
      <c r="M332" t="s">
        <v>18</v>
      </c>
      <c r="N332" t="s">
        <v>55</v>
      </c>
      <c r="O332">
        <f>_xlfn.XLOOKUP(E332,[1]Products!$B$2:$B$11,[1]Products!$F$2:$F$11)</f>
        <v>35</v>
      </c>
      <c r="P332">
        <f t="shared" si="10"/>
        <v>1435</v>
      </c>
      <c r="Q332" s="3">
        <f t="shared" si="11"/>
        <v>0.12854240615405688</v>
      </c>
      <c r="R332">
        <f>MONTH(Table1[[#This Row],[Order_Date]])</f>
        <v>8</v>
      </c>
    </row>
    <row r="333" spans="1:18" x14ac:dyDescent="0.3">
      <c r="A333" t="s">
        <v>481</v>
      </c>
      <c r="B333" t="s">
        <v>667</v>
      </c>
      <c r="C333" t="s">
        <v>406</v>
      </c>
      <c r="D333" t="s">
        <v>653</v>
      </c>
      <c r="E333" t="s">
        <v>45</v>
      </c>
      <c r="F333" t="s">
        <v>34</v>
      </c>
      <c r="G333">
        <v>24</v>
      </c>
      <c r="H333" s="6">
        <v>30.18</v>
      </c>
      <c r="I333">
        <v>724.32</v>
      </c>
      <c r="J333">
        <v>44.97</v>
      </c>
      <c r="K333">
        <v>199.35</v>
      </c>
      <c r="L333" t="s">
        <v>17</v>
      </c>
      <c r="M333" t="s">
        <v>18</v>
      </c>
      <c r="N333" t="s">
        <v>25</v>
      </c>
      <c r="O333">
        <f>_xlfn.XLOOKUP(E333,[1]Products!$B$2:$B$11,[1]Products!$F$2:$F$11)</f>
        <v>20</v>
      </c>
      <c r="P333">
        <f t="shared" si="10"/>
        <v>480</v>
      </c>
      <c r="Q333" s="3">
        <f t="shared" si="11"/>
        <v>0.27522365805168986</v>
      </c>
      <c r="R333">
        <f>MONTH(Table1[[#This Row],[Order_Date]])</f>
        <v>9</v>
      </c>
    </row>
    <row r="334" spans="1:18" x14ac:dyDescent="0.3">
      <c r="A334" t="s">
        <v>482</v>
      </c>
      <c r="B334" t="s">
        <v>662</v>
      </c>
      <c r="C334" t="s">
        <v>106</v>
      </c>
      <c r="D334" t="s">
        <v>73</v>
      </c>
      <c r="E334" t="s">
        <v>57</v>
      </c>
      <c r="F334" t="s">
        <v>49</v>
      </c>
      <c r="G334">
        <v>44</v>
      </c>
      <c r="H334" s="6">
        <v>20.02</v>
      </c>
      <c r="I334">
        <v>880.88</v>
      </c>
      <c r="J334">
        <v>60.27</v>
      </c>
      <c r="K334">
        <v>138.61000000000001</v>
      </c>
      <c r="L334" t="s">
        <v>23</v>
      </c>
      <c r="M334" t="s">
        <v>24</v>
      </c>
      <c r="N334" t="s">
        <v>55</v>
      </c>
      <c r="O334">
        <f>_xlfn.XLOOKUP(E334,[1]Products!$B$2:$B$11,[1]Products!$F$2:$F$11)</f>
        <v>15.5</v>
      </c>
      <c r="P334">
        <f t="shared" si="10"/>
        <v>682</v>
      </c>
      <c r="Q334" s="3">
        <f t="shared" si="11"/>
        <v>0.15735400962673693</v>
      </c>
      <c r="R334">
        <f>MONTH(Table1[[#This Row],[Order_Date]])</f>
        <v>2</v>
      </c>
    </row>
    <row r="335" spans="1:18" x14ac:dyDescent="0.3">
      <c r="A335" t="s">
        <v>483</v>
      </c>
      <c r="B335" t="s">
        <v>668</v>
      </c>
      <c r="C335" t="s">
        <v>104</v>
      </c>
      <c r="D335" t="s">
        <v>653</v>
      </c>
      <c r="E335" t="s">
        <v>45</v>
      </c>
      <c r="F335" t="s">
        <v>34</v>
      </c>
      <c r="G335">
        <v>12</v>
      </c>
      <c r="H335" s="6">
        <v>27.45</v>
      </c>
      <c r="I335">
        <v>329.4</v>
      </c>
      <c r="J335">
        <v>13.22</v>
      </c>
      <c r="K335">
        <v>76.180000000000007</v>
      </c>
      <c r="L335" t="s">
        <v>35</v>
      </c>
      <c r="M335" t="s">
        <v>29</v>
      </c>
      <c r="N335" t="s">
        <v>25</v>
      </c>
      <c r="O335">
        <f>_xlfn.XLOOKUP(E335,[1]Products!$B$2:$B$11,[1]Products!$F$2:$F$11)</f>
        <v>20</v>
      </c>
      <c r="P335">
        <f t="shared" si="10"/>
        <v>240</v>
      </c>
      <c r="Q335" s="3">
        <f t="shared" si="11"/>
        <v>0.23126897389192475</v>
      </c>
      <c r="R335">
        <f>MONTH(Table1[[#This Row],[Order_Date]])</f>
        <v>8</v>
      </c>
    </row>
    <row r="336" spans="1:18" x14ac:dyDescent="0.3">
      <c r="A336" t="s">
        <v>484</v>
      </c>
      <c r="B336" t="s">
        <v>676</v>
      </c>
      <c r="C336" t="s">
        <v>85</v>
      </c>
      <c r="D336" t="s">
        <v>82</v>
      </c>
      <c r="E336" t="s">
        <v>45</v>
      </c>
      <c r="F336" t="s">
        <v>34</v>
      </c>
      <c r="G336">
        <v>26</v>
      </c>
      <c r="H336" s="6">
        <v>30.57</v>
      </c>
      <c r="I336">
        <v>794.82</v>
      </c>
      <c r="J336">
        <v>19.45</v>
      </c>
      <c r="K336">
        <v>255.37</v>
      </c>
      <c r="L336" t="s">
        <v>35</v>
      </c>
      <c r="M336" t="s">
        <v>24</v>
      </c>
      <c r="N336" t="s">
        <v>83</v>
      </c>
      <c r="O336">
        <f>_xlfn.XLOOKUP(E336,[1]Products!$B$2:$B$11,[1]Products!$F$2:$F$11)</f>
        <v>20</v>
      </c>
      <c r="P336">
        <f t="shared" si="10"/>
        <v>520</v>
      </c>
      <c r="Q336" s="3">
        <f t="shared" si="11"/>
        <v>0.32129287134193907</v>
      </c>
      <c r="R336">
        <f>MONTH(Table1[[#This Row],[Order_Date]])</f>
        <v>11</v>
      </c>
    </row>
    <row r="337" spans="1:18" x14ac:dyDescent="0.3">
      <c r="A337" t="s">
        <v>485</v>
      </c>
      <c r="B337" t="s">
        <v>667</v>
      </c>
      <c r="C337" t="s">
        <v>111</v>
      </c>
      <c r="D337" t="s">
        <v>73</v>
      </c>
      <c r="E337" t="s">
        <v>53</v>
      </c>
      <c r="F337" t="s">
        <v>54</v>
      </c>
      <c r="G337">
        <v>46</v>
      </c>
      <c r="H337" s="6">
        <v>32.19</v>
      </c>
      <c r="I337">
        <v>1480.74</v>
      </c>
      <c r="J337">
        <v>111.13</v>
      </c>
      <c r="K337">
        <v>219.61</v>
      </c>
      <c r="L337" t="s">
        <v>35</v>
      </c>
      <c r="M337" t="s">
        <v>24</v>
      </c>
      <c r="N337" t="s">
        <v>55</v>
      </c>
      <c r="O337">
        <f>_xlfn.XLOOKUP(E337,[1]Products!$B$2:$B$11,[1]Products!$F$2:$F$11)</f>
        <v>25</v>
      </c>
      <c r="P337">
        <f t="shared" si="10"/>
        <v>1150</v>
      </c>
      <c r="Q337" s="3">
        <f t="shared" si="11"/>
        <v>0.14831097964531248</v>
      </c>
      <c r="R337">
        <f>MONTH(Table1[[#This Row],[Order_Date]])</f>
        <v>9</v>
      </c>
    </row>
    <row r="338" spans="1:18" x14ac:dyDescent="0.3">
      <c r="A338" t="s">
        <v>486</v>
      </c>
      <c r="B338" t="s">
        <v>674</v>
      </c>
      <c r="C338" t="s">
        <v>81</v>
      </c>
      <c r="D338" t="s">
        <v>66</v>
      </c>
      <c r="E338" t="s">
        <v>22</v>
      </c>
      <c r="F338" t="s">
        <v>16</v>
      </c>
      <c r="G338">
        <v>20</v>
      </c>
      <c r="H338" s="6">
        <v>31.79</v>
      </c>
      <c r="I338">
        <v>635.79999999999995</v>
      </c>
      <c r="J338">
        <v>38.43</v>
      </c>
      <c r="K338">
        <v>237.37</v>
      </c>
      <c r="L338" t="s">
        <v>17</v>
      </c>
      <c r="M338" t="s">
        <v>24</v>
      </c>
      <c r="N338" t="s">
        <v>55</v>
      </c>
      <c r="O338">
        <f>_xlfn.XLOOKUP(E338,[1]Products!$B$2:$B$11,[1]Products!$F$2:$F$11)</f>
        <v>18</v>
      </c>
      <c r="P338">
        <f t="shared" si="10"/>
        <v>360</v>
      </c>
      <c r="Q338" s="3">
        <f t="shared" si="11"/>
        <v>0.37334067316766284</v>
      </c>
      <c r="R338">
        <f>MONTH(Table1[[#This Row],[Order_Date]])</f>
        <v>3</v>
      </c>
    </row>
    <row r="339" spans="1:18" x14ac:dyDescent="0.3">
      <c r="A339" t="s">
        <v>487</v>
      </c>
      <c r="B339" t="s">
        <v>674</v>
      </c>
      <c r="C339" t="s">
        <v>14</v>
      </c>
      <c r="D339" t="s">
        <v>125</v>
      </c>
      <c r="E339" t="s">
        <v>22</v>
      </c>
      <c r="F339" t="s">
        <v>16</v>
      </c>
      <c r="G339">
        <v>8</v>
      </c>
      <c r="H339" s="6">
        <v>28.94</v>
      </c>
      <c r="I339">
        <v>231.52</v>
      </c>
      <c r="J339">
        <v>7</v>
      </c>
      <c r="K339">
        <v>80.52</v>
      </c>
      <c r="L339" t="s">
        <v>35</v>
      </c>
      <c r="M339" t="s">
        <v>24</v>
      </c>
      <c r="N339" t="s">
        <v>126</v>
      </c>
      <c r="O339">
        <f>_xlfn.XLOOKUP(E339,[1]Products!$B$2:$B$11,[1]Products!$F$2:$F$11)</f>
        <v>18</v>
      </c>
      <c r="P339">
        <f t="shared" si="10"/>
        <v>144</v>
      </c>
      <c r="Q339" s="3">
        <f t="shared" si="11"/>
        <v>0.34778852798894261</v>
      </c>
      <c r="R339">
        <f>MONTH(Table1[[#This Row],[Order_Date]])</f>
        <v>3</v>
      </c>
    </row>
    <row r="340" spans="1:18" x14ac:dyDescent="0.3">
      <c r="A340" t="s">
        <v>488</v>
      </c>
      <c r="B340" t="s">
        <v>664</v>
      </c>
      <c r="C340" t="s">
        <v>207</v>
      </c>
      <c r="D340" t="s">
        <v>102</v>
      </c>
      <c r="E340" t="s">
        <v>22</v>
      </c>
      <c r="F340" t="s">
        <v>16</v>
      </c>
      <c r="G340">
        <v>40</v>
      </c>
      <c r="H340" s="6">
        <v>30.66</v>
      </c>
      <c r="I340">
        <v>1226.4000000000001</v>
      </c>
      <c r="J340">
        <v>85.24</v>
      </c>
      <c r="K340">
        <v>421.16</v>
      </c>
      <c r="L340" t="s">
        <v>17</v>
      </c>
      <c r="M340" t="s">
        <v>18</v>
      </c>
      <c r="N340" t="s">
        <v>25</v>
      </c>
      <c r="O340">
        <f>_xlfn.XLOOKUP(E340,[1]Products!$B$2:$B$11,[1]Products!$F$2:$F$11)</f>
        <v>18</v>
      </c>
      <c r="P340">
        <f t="shared" si="10"/>
        <v>720</v>
      </c>
      <c r="Q340" s="3">
        <f t="shared" si="11"/>
        <v>0.34341161121983038</v>
      </c>
      <c r="R340">
        <f>MONTH(Table1[[#This Row],[Order_Date]])</f>
        <v>10</v>
      </c>
    </row>
    <row r="341" spans="1:18" x14ac:dyDescent="0.3">
      <c r="A341" t="s">
        <v>489</v>
      </c>
      <c r="B341" t="s">
        <v>674</v>
      </c>
      <c r="C341" t="s">
        <v>338</v>
      </c>
      <c r="D341" t="s">
        <v>125</v>
      </c>
      <c r="E341" t="s">
        <v>33</v>
      </c>
      <c r="F341" t="s">
        <v>34</v>
      </c>
      <c r="G341">
        <v>44</v>
      </c>
      <c r="H341" s="6">
        <v>54.09</v>
      </c>
      <c r="I341">
        <v>2379.96</v>
      </c>
      <c r="J341">
        <v>106.39</v>
      </c>
      <c r="K341">
        <v>865.57</v>
      </c>
      <c r="L341" t="s">
        <v>17</v>
      </c>
      <c r="M341" t="s">
        <v>24</v>
      </c>
      <c r="N341" t="s">
        <v>126</v>
      </c>
      <c r="O341">
        <f>_xlfn.XLOOKUP(E341,[1]Products!$B$2:$B$11,[1]Products!$F$2:$F$11)</f>
        <v>32</v>
      </c>
      <c r="P341">
        <f t="shared" si="10"/>
        <v>1408</v>
      </c>
      <c r="Q341" s="3">
        <f t="shared" si="11"/>
        <v>0.36369098640313285</v>
      </c>
      <c r="R341">
        <f>MONTH(Table1[[#This Row],[Order_Date]])</f>
        <v>3</v>
      </c>
    </row>
    <row r="342" spans="1:18" x14ac:dyDescent="0.3">
      <c r="A342" t="s">
        <v>490</v>
      </c>
      <c r="B342" t="s">
        <v>662</v>
      </c>
      <c r="C342" t="s">
        <v>106</v>
      </c>
      <c r="D342" t="s">
        <v>66</v>
      </c>
      <c r="E342" t="s">
        <v>40</v>
      </c>
      <c r="F342" t="s">
        <v>41</v>
      </c>
      <c r="G342">
        <v>32</v>
      </c>
      <c r="H342" s="6">
        <v>68.89</v>
      </c>
      <c r="I342">
        <v>2204.48</v>
      </c>
      <c r="J342">
        <v>152.05000000000001</v>
      </c>
      <c r="K342">
        <v>772.43</v>
      </c>
      <c r="L342" t="s">
        <v>17</v>
      </c>
      <c r="M342" t="s">
        <v>24</v>
      </c>
      <c r="N342" t="s">
        <v>55</v>
      </c>
      <c r="O342">
        <f>_xlfn.XLOOKUP(E342,[1]Products!$B$2:$B$11,[1]Products!$F$2:$F$11)</f>
        <v>40</v>
      </c>
      <c r="P342">
        <f t="shared" si="10"/>
        <v>1280</v>
      </c>
      <c r="Q342" s="3">
        <f t="shared" si="11"/>
        <v>0.35039102191900129</v>
      </c>
      <c r="R342">
        <f>MONTH(Table1[[#This Row],[Order_Date]])</f>
        <v>2</v>
      </c>
    </row>
    <row r="343" spans="1:18" x14ac:dyDescent="0.3">
      <c r="A343" t="s">
        <v>491</v>
      </c>
      <c r="B343" t="s">
        <v>675</v>
      </c>
      <c r="C343" t="s">
        <v>461</v>
      </c>
      <c r="D343" t="s">
        <v>173</v>
      </c>
      <c r="E343" t="s">
        <v>15</v>
      </c>
      <c r="F343" t="s">
        <v>16</v>
      </c>
      <c r="G343">
        <v>44</v>
      </c>
      <c r="H343" s="6">
        <v>43.35</v>
      </c>
      <c r="I343">
        <v>1907.4</v>
      </c>
      <c r="J343">
        <v>99.05</v>
      </c>
      <c r="K343">
        <v>268.35000000000002</v>
      </c>
      <c r="L343" t="s">
        <v>35</v>
      </c>
      <c r="M343" t="s">
        <v>24</v>
      </c>
      <c r="N343" t="s">
        <v>55</v>
      </c>
      <c r="O343">
        <f>_xlfn.XLOOKUP(E343,[1]Products!$B$2:$B$11,[1]Products!$F$2:$F$11)</f>
        <v>35</v>
      </c>
      <c r="P343">
        <f t="shared" si="10"/>
        <v>1540</v>
      </c>
      <c r="Q343" s="3">
        <f t="shared" si="11"/>
        <v>0.1406888958792073</v>
      </c>
      <c r="R343">
        <f>MONTH(Table1[[#This Row],[Order_Date]])</f>
        <v>5</v>
      </c>
    </row>
    <row r="344" spans="1:18" x14ac:dyDescent="0.3">
      <c r="A344" t="s">
        <v>492</v>
      </c>
      <c r="B344" t="s">
        <v>673</v>
      </c>
      <c r="C344" t="s">
        <v>21</v>
      </c>
      <c r="D344" t="s">
        <v>44</v>
      </c>
      <c r="E344" t="s">
        <v>79</v>
      </c>
      <c r="F344" t="s">
        <v>49</v>
      </c>
      <c r="G344">
        <v>24</v>
      </c>
      <c r="H344" s="6">
        <v>34</v>
      </c>
      <c r="I344">
        <v>816</v>
      </c>
      <c r="J344">
        <v>42.15</v>
      </c>
      <c r="K344">
        <v>101.85</v>
      </c>
      <c r="L344" t="s">
        <v>35</v>
      </c>
      <c r="M344" t="s">
        <v>18</v>
      </c>
      <c r="N344" t="s">
        <v>19</v>
      </c>
      <c r="O344">
        <f>_xlfn.XLOOKUP(E344,[1]Products!$B$2:$B$11,[1]Products!$F$2:$F$11)</f>
        <v>28</v>
      </c>
      <c r="P344">
        <f t="shared" si="10"/>
        <v>672</v>
      </c>
      <c r="Q344" s="3">
        <f t="shared" si="11"/>
        <v>0.12481617647058822</v>
      </c>
      <c r="R344">
        <f>MONTH(Table1[[#This Row],[Order_Date]])</f>
        <v>7</v>
      </c>
    </row>
    <row r="345" spans="1:18" x14ac:dyDescent="0.3">
      <c r="A345" t="s">
        <v>493</v>
      </c>
      <c r="B345" t="s">
        <v>671</v>
      </c>
      <c r="C345" t="s">
        <v>145</v>
      </c>
      <c r="D345" t="s">
        <v>52</v>
      </c>
      <c r="E345" t="s">
        <v>22</v>
      </c>
      <c r="F345" t="s">
        <v>16</v>
      </c>
      <c r="G345">
        <v>41</v>
      </c>
      <c r="H345" s="6">
        <v>30.25</v>
      </c>
      <c r="I345">
        <v>1240.25</v>
      </c>
      <c r="J345">
        <v>92.86</v>
      </c>
      <c r="K345">
        <v>409.39</v>
      </c>
      <c r="L345" t="s">
        <v>17</v>
      </c>
      <c r="M345" t="s">
        <v>18</v>
      </c>
      <c r="N345" t="s">
        <v>55</v>
      </c>
      <c r="O345">
        <f>_xlfn.XLOOKUP(E345,[1]Products!$B$2:$B$11,[1]Products!$F$2:$F$11)</f>
        <v>18</v>
      </c>
      <c r="P345">
        <f t="shared" si="10"/>
        <v>738</v>
      </c>
      <c r="Q345" s="3">
        <f t="shared" si="11"/>
        <v>0.33008667607337228</v>
      </c>
      <c r="R345">
        <f>MONTH(Table1[[#This Row],[Order_Date]])</f>
        <v>2</v>
      </c>
    </row>
    <row r="346" spans="1:18" x14ac:dyDescent="0.3">
      <c r="A346" t="s">
        <v>494</v>
      </c>
      <c r="B346" t="s">
        <v>674</v>
      </c>
      <c r="C346" t="s">
        <v>14</v>
      </c>
      <c r="D346" t="s">
        <v>82</v>
      </c>
      <c r="E346" t="s">
        <v>57</v>
      </c>
      <c r="F346" t="s">
        <v>49</v>
      </c>
      <c r="G346">
        <v>15</v>
      </c>
      <c r="H346" s="6">
        <v>23.71</v>
      </c>
      <c r="I346">
        <v>355.65</v>
      </c>
      <c r="J346">
        <v>7.22</v>
      </c>
      <c r="K346">
        <v>115.93</v>
      </c>
      <c r="L346" t="s">
        <v>23</v>
      </c>
      <c r="M346" t="s">
        <v>24</v>
      </c>
      <c r="N346" t="s">
        <v>83</v>
      </c>
      <c r="O346">
        <f>_xlfn.XLOOKUP(E346,[1]Products!$B$2:$B$11,[1]Products!$F$2:$F$11)</f>
        <v>15.5</v>
      </c>
      <c r="P346">
        <f t="shared" si="10"/>
        <v>232.5</v>
      </c>
      <c r="Q346" s="3">
        <f t="shared" si="11"/>
        <v>0.32596654013777593</v>
      </c>
      <c r="R346">
        <f>MONTH(Table1[[#This Row],[Order_Date]])</f>
        <v>3</v>
      </c>
    </row>
    <row r="347" spans="1:18" x14ac:dyDescent="0.3">
      <c r="A347" t="s">
        <v>495</v>
      </c>
      <c r="B347" t="s">
        <v>668</v>
      </c>
      <c r="C347" t="s">
        <v>119</v>
      </c>
      <c r="D347" t="s">
        <v>66</v>
      </c>
      <c r="E347" t="s">
        <v>33</v>
      </c>
      <c r="F347" t="s">
        <v>34</v>
      </c>
      <c r="G347">
        <v>33</v>
      </c>
      <c r="H347" s="6">
        <v>48.64</v>
      </c>
      <c r="I347">
        <v>1605.12</v>
      </c>
      <c r="J347">
        <v>98.71</v>
      </c>
      <c r="K347">
        <v>450.41</v>
      </c>
      <c r="L347" t="s">
        <v>17</v>
      </c>
      <c r="M347" t="s">
        <v>24</v>
      </c>
      <c r="N347" t="s">
        <v>55</v>
      </c>
      <c r="O347">
        <f>_xlfn.XLOOKUP(E347,[1]Products!$B$2:$B$11,[1]Products!$F$2:$F$11)</f>
        <v>32</v>
      </c>
      <c r="P347">
        <f t="shared" si="10"/>
        <v>1056</v>
      </c>
      <c r="Q347" s="3">
        <f t="shared" si="11"/>
        <v>0.28060830342902715</v>
      </c>
      <c r="R347">
        <f>MONTH(Table1[[#This Row],[Order_Date]])</f>
        <v>8</v>
      </c>
    </row>
    <row r="348" spans="1:18" x14ac:dyDescent="0.3">
      <c r="A348" t="s">
        <v>496</v>
      </c>
      <c r="B348" t="s">
        <v>663</v>
      </c>
      <c r="C348" t="s">
        <v>31</v>
      </c>
      <c r="D348" t="s">
        <v>147</v>
      </c>
      <c r="E348" t="s">
        <v>15</v>
      </c>
      <c r="F348" t="s">
        <v>16</v>
      </c>
      <c r="G348">
        <v>7</v>
      </c>
      <c r="H348" s="6">
        <v>50.94</v>
      </c>
      <c r="I348">
        <v>356.58</v>
      </c>
      <c r="J348">
        <v>11.19</v>
      </c>
      <c r="K348">
        <v>100.39</v>
      </c>
      <c r="L348" t="s">
        <v>23</v>
      </c>
      <c r="M348" t="s">
        <v>18</v>
      </c>
      <c r="N348" t="s">
        <v>25</v>
      </c>
      <c r="O348">
        <f>_xlfn.XLOOKUP(E348,[1]Products!$B$2:$B$11,[1]Products!$F$2:$F$11)</f>
        <v>35</v>
      </c>
      <c r="P348">
        <f t="shared" si="10"/>
        <v>245</v>
      </c>
      <c r="Q348" s="3">
        <f t="shared" si="11"/>
        <v>0.28153570026361546</v>
      </c>
      <c r="R348">
        <f>MONTH(Table1[[#This Row],[Order_Date]])</f>
        <v>4</v>
      </c>
    </row>
    <row r="349" spans="1:18" x14ac:dyDescent="0.3">
      <c r="A349" t="s">
        <v>497</v>
      </c>
      <c r="B349" t="s">
        <v>661</v>
      </c>
      <c r="C349" t="s">
        <v>200</v>
      </c>
      <c r="D349" t="s">
        <v>125</v>
      </c>
      <c r="E349" t="s">
        <v>45</v>
      </c>
      <c r="F349" t="s">
        <v>34</v>
      </c>
      <c r="G349">
        <v>1</v>
      </c>
      <c r="H349" s="6">
        <v>31.4</v>
      </c>
      <c r="I349">
        <v>31.4</v>
      </c>
      <c r="J349">
        <v>1.1399999999999999</v>
      </c>
      <c r="K349">
        <v>10.26</v>
      </c>
      <c r="L349" t="s">
        <v>35</v>
      </c>
      <c r="M349" t="s">
        <v>24</v>
      </c>
      <c r="N349" t="s">
        <v>126</v>
      </c>
      <c r="O349">
        <f>_xlfn.XLOOKUP(E349,[1]Products!$B$2:$B$11,[1]Products!$F$2:$F$11)</f>
        <v>20</v>
      </c>
      <c r="P349">
        <f t="shared" si="10"/>
        <v>20</v>
      </c>
      <c r="Q349" s="3">
        <f t="shared" si="11"/>
        <v>0.32675159235668788</v>
      </c>
      <c r="R349">
        <f>MONTH(Table1[[#This Row],[Order_Date]])</f>
        <v>1</v>
      </c>
    </row>
    <row r="350" spans="1:18" x14ac:dyDescent="0.3">
      <c r="A350" t="s">
        <v>498</v>
      </c>
      <c r="B350" t="s">
        <v>673</v>
      </c>
      <c r="C350" t="s">
        <v>195</v>
      </c>
      <c r="D350" t="s">
        <v>28</v>
      </c>
      <c r="E350" t="s">
        <v>60</v>
      </c>
      <c r="F350" t="s">
        <v>34</v>
      </c>
      <c r="G350">
        <v>28</v>
      </c>
      <c r="H350" s="6">
        <v>18.59</v>
      </c>
      <c r="I350">
        <v>520.52</v>
      </c>
      <c r="J350">
        <v>14.08</v>
      </c>
      <c r="K350">
        <v>149.44</v>
      </c>
      <c r="L350" t="s">
        <v>17</v>
      </c>
      <c r="M350" t="s">
        <v>18</v>
      </c>
      <c r="N350" t="s">
        <v>25</v>
      </c>
      <c r="O350">
        <f>_xlfn.XLOOKUP(E350,[1]Products!$B$2:$B$11,[1]Products!$F$2:$F$11)</f>
        <v>12.75</v>
      </c>
      <c r="P350">
        <f t="shared" si="10"/>
        <v>357</v>
      </c>
      <c r="Q350" s="3">
        <f t="shared" si="11"/>
        <v>0.28709751786674864</v>
      </c>
      <c r="R350">
        <f>MONTH(Table1[[#This Row],[Order_Date]])</f>
        <v>7</v>
      </c>
    </row>
    <row r="351" spans="1:18" x14ac:dyDescent="0.3">
      <c r="A351" t="s">
        <v>499</v>
      </c>
      <c r="B351" t="s">
        <v>674</v>
      </c>
      <c r="C351" t="s">
        <v>500</v>
      </c>
      <c r="D351" t="s">
        <v>102</v>
      </c>
      <c r="E351" t="s">
        <v>57</v>
      </c>
      <c r="F351" t="s">
        <v>49</v>
      </c>
      <c r="G351">
        <v>50</v>
      </c>
      <c r="H351" s="6">
        <v>20.66</v>
      </c>
      <c r="I351">
        <v>1033</v>
      </c>
      <c r="J351">
        <v>34.130000000000003</v>
      </c>
      <c r="K351">
        <v>223.87</v>
      </c>
      <c r="L351" t="s">
        <v>35</v>
      </c>
      <c r="M351" t="s">
        <v>24</v>
      </c>
      <c r="N351" t="s">
        <v>25</v>
      </c>
      <c r="O351">
        <f>_xlfn.XLOOKUP(E351,[1]Products!$B$2:$B$11,[1]Products!$F$2:$F$11)</f>
        <v>15.5</v>
      </c>
      <c r="P351">
        <f t="shared" si="10"/>
        <v>775</v>
      </c>
      <c r="Q351" s="3">
        <f t="shared" si="11"/>
        <v>0.21671829622458857</v>
      </c>
      <c r="R351">
        <f>MONTH(Table1[[#This Row],[Order_Date]])</f>
        <v>3</v>
      </c>
    </row>
    <row r="352" spans="1:18" x14ac:dyDescent="0.3">
      <c r="A352" t="s">
        <v>501</v>
      </c>
      <c r="B352" t="s">
        <v>661</v>
      </c>
      <c r="C352" t="s">
        <v>152</v>
      </c>
      <c r="D352" t="s">
        <v>52</v>
      </c>
      <c r="E352" t="s">
        <v>15</v>
      </c>
      <c r="F352" t="s">
        <v>16</v>
      </c>
      <c r="G352">
        <v>4</v>
      </c>
      <c r="H352" s="6">
        <v>46.62</v>
      </c>
      <c r="I352">
        <v>186.48</v>
      </c>
      <c r="J352">
        <v>13.29</v>
      </c>
      <c r="K352">
        <v>33.19</v>
      </c>
      <c r="L352" t="s">
        <v>23</v>
      </c>
      <c r="M352" t="s">
        <v>18</v>
      </c>
      <c r="N352" t="s">
        <v>55</v>
      </c>
      <c r="O352">
        <f>_xlfn.XLOOKUP(E352,[1]Products!$B$2:$B$11,[1]Products!$F$2:$F$11)</f>
        <v>35</v>
      </c>
      <c r="P352">
        <f t="shared" si="10"/>
        <v>140</v>
      </c>
      <c r="Q352" s="3">
        <f t="shared" si="11"/>
        <v>0.17798155298155299</v>
      </c>
      <c r="R352">
        <f>MONTH(Table1[[#This Row],[Order_Date]])</f>
        <v>1</v>
      </c>
    </row>
    <row r="353" spans="1:18" x14ac:dyDescent="0.3">
      <c r="A353" t="s">
        <v>502</v>
      </c>
      <c r="B353" t="s">
        <v>661</v>
      </c>
      <c r="C353" t="s">
        <v>461</v>
      </c>
      <c r="D353" t="s">
        <v>82</v>
      </c>
      <c r="E353" t="s">
        <v>57</v>
      </c>
      <c r="F353" t="s">
        <v>49</v>
      </c>
      <c r="G353">
        <v>37</v>
      </c>
      <c r="H353" s="6">
        <v>21.81</v>
      </c>
      <c r="I353">
        <v>806.97</v>
      </c>
      <c r="J353">
        <v>19.63</v>
      </c>
      <c r="K353">
        <v>213.84</v>
      </c>
      <c r="L353" t="s">
        <v>35</v>
      </c>
      <c r="M353" t="s">
        <v>29</v>
      </c>
      <c r="N353" t="s">
        <v>83</v>
      </c>
      <c r="O353">
        <f>_xlfn.XLOOKUP(E353,[1]Products!$B$2:$B$11,[1]Products!$F$2:$F$11)</f>
        <v>15.5</v>
      </c>
      <c r="P353">
        <f t="shared" si="10"/>
        <v>573.5</v>
      </c>
      <c r="Q353" s="3">
        <f t="shared" si="11"/>
        <v>0.26499126361574782</v>
      </c>
      <c r="R353">
        <f>MONTH(Table1[[#This Row],[Order_Date]])</f>
        <v>1</v>
      </c>
    </row>
    <row r="354" spans="1:18" x14ac:dyDescent="0.3">
      <c r="A354" t="s">
        <v>503</v>
      </c>
      <c r="B354" t="s">
        <v>663</v>
      </c>
      <c r="C354" t="s">
        <v>131</v>
      </c>
      <c r="D354" t="s">
        <v>52</v>
      </c>
      <c r="E354" t="s">
        <v>57</v>
      </c>
      <c r="F354" t="s">
        <v>49</v>
      </c>
      <c r="G354">
        <v>48</v>
      </c>
      <c r="H354" s="6">
        <v>26.68</v>
      </c>
      <c r="I354">
        <v>1280.6400000000001</v>
      </c>
      <c r="J354">
        <v>55.36</v>
      </c>
      <c r="K354">
        <v>481.28</v>
      </c>
      <c r="L354" t="s">
        <v>17</v>
      </c>
      <c r="M354" t="s">
        <v>24</v>
      </c>
      <c r="N354" t="s">
        <v>55</v>
      </c>
      <c r="O354">
        <f>_xlfn.XLOOKUP(E354,[1]Products!$B$2:$B$11,[1]Products!$F$2:$F$11)</f>
        <v>15.5</v>
      </c>
      <c r="P354">
        <f t="shared" si="10"/>
        <v>744</v>
      </c>
      <c r="Q354" s="3">
        <f t="shared" si="11"/>
        <v>0.37581209395302345</v>
      </c>
      <c r="R354">
        <f>MONTH(Table1[[#This Row],[Order_Date]])</f>
        <v>4</v>
      </c>
    </row>
    <row r="355" spans="1:18" x14ac:dyDescent="0.3">
      <c r="A355" t="s">
        <v>504</v>
      </c>
      <c r="B355" t="s">
        <v>666</v>
      </c>
      <c r="C355" t="s">
        <v>115</v>
      </c>
      <c r="D355" t="s">
        <v>32</v>
      </c>
      <c r="E355" t="s">
        <v>53</v>
      </c>
      <c r="F355" t="s">
        <v>54</v>
      </c>
      <c r="G355">
        <v>24</v>
      </c>
      <c r="H355" s="6">
        <v>42.82</v>
      </c>
      <c r="I355">
        <v>1027.68</v>
      </c>
      <c r="J355">
        <v>69.95</v>
      </c>
      <c r="K355">
        <v>357.73</v>
      </c>
      <c r="L355" t="s">
        <v>17</v>
      </c>
      <c r="M355" t="s">
        <v>18</v>
      </c>
      <c r="N355" t="s">
        <v>36</v>
      </c>
      <c r="O355">
        <f>_xlfn.XLOOKUP(E355,[1]Products!$B$2:$B$11,[1]Products!$F$2:$F$11)</f>
        <v>25</v>
      </c>
      <c r="P355">
        <f t="shared" si="10"/>
        <v>600</v>
      </c>
      <c r="Q355" s="3">
        <f t="shared" si="11"/>
        <v>0.34809473766152887</v>
      </c>
      <c r="R355">
        <f>MONTH(Table1[[#This Row],[Order_Date]])</f>
        <v>5</v>
      </c>
    </row>
    <row r="356" spans="1:18" x14ac:dyDescent="0.3">
      <c r="A356" t="s">
        <v>505</v>
      </c>
      <c r="B356" t="s">
        <v>661</v>
      </c>
      <c r="C356" t="s">
        <v>117</v>
      </c>
      <c r="D356" t="s">
        <v>125</v>
      </c>
      <c r="E356" t="s">
        <v>48</v>
      </c>
      <c r="F356" t="s">
        <v>49</v>
      </c>
      <c r="G356">
        <v>26</v>
      </c>
      <c r="H356" s="6">
        <v>34.4</v>
      </c>
      <c r="I356">
        <v>894.4</v>
      </c>
      <c r="J356">
        <v>40.42</v>
      </c>
      <c r="K356">
        <v>268.98</v>
      </c>
      <c r="L356" t="s">
        <v>17</v>
      </c>
      <c r="M356" t="s">
        <v>18</v>
      </c>
      <c r="N356" t="s">
        <v>126</v>
      </c>
      <c r="O356">
        <f>_xlfn.XLOOKUP(E356,[1]Products!$B$2:$B$11,[1]Products!$F$2:$F$11)</f>
        <v>22.5</v>
      </c>
      <c r="P356">
        <f t="shared" si="10"/>
        <v>585</v>
      </c>
      <c r="Q356" s="3">
        <f t="shared" si="11"/>
        <v>0.3007379248658319</v>
      </c>
      <c r="R356">
        <f>MONTH(Table1[[#This Row],[Order_Date]])</f>
        <v>1</v>
      </c>
    </row>
    <row r="357" spans="1:18" x14ac:dyDescent="0.3">
      <c r="A357" t="s">
        <v>506</v>
      </c>
      <c r="B357" t="s">
        <v>665</v>
      </c>
      <c r="C357" t="s">
        <v>198</v>
      </c>
      <c r="D357" t="s">
        <v>28</v>
      </c>
      <c r="E357" t="s">
        <v>15</v>
      </c>
      <c r="F357" t="s">
        <v>16</v>
      </c>
      <c r="G357">
        <v>47</v>
      </c>
      <c r="H357" s="6">
        <v>44.89</v>
      </c>
      <c r="I357">
        <v>2109.83</v>
      </c>
      <c r="J357">
        <v>45.91</v>
      </c>
      <c r="K357">
        <v>418.92</v>
      </c>
      <c r="L357" t="s">
        <v>17</v>
      </c>
      <c r="M357" t="s">
        <v>24</v>
      </c>
      <c r="N357" t="s">
        <v>25</v>
      </c>
      <c r="O357">
        <f>_xlfn.XLOOKUP(E357,[1]Products!$B$2:$B$11,[1]Products!$F$2:$F$11)</f>
        <v>35</v>
      </c>
      <c r="P357">
        <f t="shared" si="10"/>
        <v>1645</v>
      </c>
      <c r="Q357" s="3">
        <f t="shared" si="11"/>
        <v>0.19855628178573631</v>
      </c>
      <c r="R357">
        <f>MONTH(Table1[[#This Row],[Order_Date]])</f>
        <v>6</v>
      </c>
    </row>
    <row r="358" spans="1:18" x14ac:dyDescent="0.3">
      <c r="A358" t="s">
        <v>507</v>
      </c>
      <c r="B358" t="s">
        <v>670</v>
      </c>
      <c r="C358" t="s">
        <v>175</v>
      </c>
      <c r="D358" t="s">
        <v>52</v>
      </c>
      <c r="E358" t="s">
        <v>57</v>
      </c>
      <c r="F358" t="s">
        <v>49</v>
      </c>
      <c r="G358">
        <v>1</v>
      </c>
      <c r="H358" s="6">
        <v>18.739999999999998</v>
      </c>
      <c r="I358">
        <v>18.739999999999998</v>
      </c>
      <c r="J358">
        <v>0.5</v>
      </c>
      <c r="K358">
        <v>2.74</v>
      </c>
      <c r="L358" t="s">
        <v>35</v>
      </c>
      <c r="M358" t="s">
        <v>24</v>
      </c>
      <c r="N358" t="s">
        <v>55</v>
      </c>
      <c r="O358">
        <f>_xlfn.XLOOKUP(E358,[1]Products!$B$2:$B$11,[1]Products!$F$2:$F$11)</f>
        <v>15.5</v>
      </c>
      <c r="P358">
        <f t="shared" si="10"/>
        <v>15.5</v>
      </c>
      <c r="Q358" s="3">
        <f t="shared" si="11"/>
        <v>0.14621131270010676</v>
      </c>
      <c r="R358">
        <f>MONTH(Table1[[#This Row],[Order_Date]])</f>
        <v>12</v>
      </c>
    </row>
    <row r="359" spans="1:18" x14ac:dyDescent="0.3">
      <c r="A359" t="s">
        <v>508</v>
      </c>
      <c r="B359" t="s">
        <v>670</v>
      </c>
      <c r="C359" t="s">
        <v>166</v>
      </c>
      <c r="D359" t="s">
        <v>66</v>
      </c>
      <c r="E359" t="s">
        <v>48</v>
      </c>
      <c r="F359" t="s">
        <v>49</v>
      </c>
      <c r="G359">
        <v>27</v>
      </c>
      <c r="H359" s="6">
        <v>36.270000000000003</v>
      </c>
      <c r="I359">
        <v>979.29</v>
      </c>
      <c r="J359">
        <v>54.58</v>
      </c>
      <c r="K359">
        <v>317.20999999999998</v>
      </c>
      <c r="L359" t="s">
        <v>23</v>
      </c>
      <c r="M359" t="s">
        <v>24</v>
      </c>
      <c r="N359" t="s">
        <v>55</v>
      </c>
      <c r="O359">
        <f>_xlfn.XLOOKUP(E359,[1]Products!$B$2:$B$11,[1]Products!$F$2:$F$11)</f>
        <v>22.5</v>
      </c>
      <c r="P359">
        <f t="shared" si="10"/>
        <v>607.5</v>
      </c>
      <c r="Q359" s="3">
        <f t="shared" si="11"/>
        <v>0.32391834900795474</v>
      </c>
      <c r="R359">
        <f>MONTH(Table1[[#This Row],[Order_Date]])</f>
        <v>12</v>
      </c>
    </row>
    <row r="360" spans="1:18" x14ac:dyDescent="0.3">
      <c r="A360" t="s">
        <v>509</v>
      </c>
      <c r="B360" t="s">
        <v>664</v>
      </c>
      <c r="C360" t="s">
        <v>89</v>
      </c>
      <c r="D360" t="s">
        <v>147</v>
      </c>
      <c r="E360" t="s">
        <v>60</v>
      </c>
      <c r="F360" t="s">
        <v>34</v>
      </c>
      <c r="G360">
        <v>13</v>
      </c>
      <c r="H360" s="6">
        <v>18.82</v>
      </c>
      <c r="I360">
        <v>244.66</v>
      </c>
      <c r="J360">
        <v>6.49</v>
      </c>
      <c r="K360">
        <v>72.42</v>
      </c>
      <c r="L360" t="s">
        <v>35</v>
      </c>
      <c r="M360" t="s">
        <v>24</v>
      </c>
      <c r="N360" t="s">
        <v>25</v>
      </c>
      <c r="O360">
        <f>_xlfn.XLOOKUP(E360,[1]Products!$B$2:$B$11,[1]Products!$F$2:$F$11)</f>
        <v>12.75</v>
      </c>
      <c r="P360">
        <f t="shared" si="10"/>
        <v>165.75</v>
      </c>
      <c r="Q360" s="3">
        <f t="shared" si="11"/>
        <v>0.29600261587509197</v>
      </c>
      <c r="R360">
        <f>MONTH(Table1[[#This Row],[Order_Date]])</f>
        <v>10</v>
      </c>
    </row>
    <row r="361" spans="1:18" x14ac:dyDescent="0.3">
      <c r="A361" t="s">
        <v>510</v>
      </c>
      <c r="B361" t="s">
        <v>662</v>
      </c>
      <c r="C361" t="s">
        <v>338</v>
      </c>
      <c r="D361" t="s">
        <v>125</v>
      </c>
      <c r="E361" t="s">
        <v>79</v>
      </c>
      <c r="F361" t="s">
        <v>49</v>
      </c>
      <c r="G361">
        <v>41</v>
      </c>
      <c r="H361" s="6">
        <v>43.19</v>
      </c>
      <c r="I361">
        <v>1770.79</v>
      </c>
      <c r="J361">
        <v>83.28</v>
      </c>
      <c r="K361">
        <v>539.51</v>
      </c>
      <c r="L361" t="s">
        <v>23</v>
      </c>
      <c r="M361" t="s">
        <v>18</v>
      </c>
      <c r="N361" t="s">
        <v>126</v>
      </c>
      <c r="O361">
        <f>_xlfn.XLOOKUP(E361,[1]Products!$B$2:$B$11,[1]Products!$F$2:$F$11)</f>
        <v>28</v>
      </c>
      <c r="P361">
        <f t="shared" si="10"/>
        <v>1148</v>
      </c>
      <c r="Q361" s="3">
        <f t="shared" si="11"/>
        <v>0.30467192608948551</v>
      </c>
      <c r="R361">
        <f>MONTH(Table1[[#This Row],[Order_Date]])</f>
        <v>2</v>
      </c>
    </row>
    <row r="362" spans="1:18" x14ac:dyDescent="0.3">
      <c r="A362" t="s">
        <v>511</v>
      </c>
      <c r="B362" t="s">
        <v>672</v>
      </c>
      <c r="C362" t="s">
        <v>62</v>
      </c>
      <c r="D362" t="s">
        <v>52</v>
      </c>
      <c r="E362" t="s">
        <v>79</v>
      </c>
      <c r="F362" t="s">
        <v>49</v>
      </c>
      <c r="G362">
        <v>40</v>
      </c>
      <c r="H362" s="6">
        <v>42.31</v>
      </c>
      <c r="I362">
        <v>1692.4</v>
      </c>
      <c r="J362">
        <v>118.59</v>
      </c>
      <c r="K362">
        <v>453.81</v>
      </c>
      <c r="L362" t="s">
        <v>23</v>
      </c>
      <c r="M362" t="s">
        <v>29</v>
      </c>
      <c r="N362" t="s">
        <v>55</v>
      </c>
      <c r="O362">
        <f>_xlfn.XLOOKUP(E362,[1]Products!$B$2:$B$11,[1]Products!$F$2:$F$11)</f>
        <v>28</v>
      </c>
      <c r="P362">
        <f t="shared" si="10"/>
        <v>1120</v>
      </c>
      <c r="Q362" s="3">
        <f t="shared" si="11"/>
        <v>0.26814582840935947</v>
      </c>
      <c r="R362">
        <f>MONTH(Table1[[#This Row],[Order_Date]])</f>
        <v>3</v>
      </c>
    </row>
    <row r="363" spans="1:18" x14ac:dyDescent="0.3">
      <c r="A363" t="s">
        <v>512</v>
      </c>
      <c r="B363" t="s">
        <v>666</v>
      </c>
      <c r="C363" t="s">
        <v>272</v>
      </c>
      <c r="D363" t="s">
        <v>173</v>
      </c>
      <c r="E363" t="s">
        <v>33</v>
      </c>
      <c r="F363" t="s">
        <v>34</v>
      </c>
      <c r="G363">
        <v>1</v>
      </c>
      <c r="H363" s="6">
        <v>57.15</v>
      </c>
      <c r="I363">
        <v>57.15</v>
      </c>
      <c r="J363">
        <v>4.1100000000000003</v>
      </c>
      <c r="K363">
        <v>21.04</v>
      </c>
      <c r="L363" t="s">
        <v>23</v>
      </c>
      <c r="M363" t="s">
        <v>18</v>
      </c>
      <c r="N363" t="s">
        <v>55</v>
      </c>
      <c r="O363">
        <f>_xlfn.XLOOKUP(E363,[1]Products!$B$2:$B$11,[1]Products!$F$2:$F$11)</f>
        <v>32</v>
      </c>
      <c r="P363">
        <f t="shared" si="10"/>
        <v>32</v>
      </c>
      <c r="Q363" s="3">
        <f t="shared" si="11"/>
        <v>0.36815398075240596</v>
      </c>
      <c r="R363">
        <f>MONTH(Table1[[#This Row],[Order_Date]])</f>
        <v>5</v>
      </c>
    </row>
    <row r="364" spans="1:18" x14ac:dyDescent="0.3">
      <c r="A364" t="s">
        <v>513</v>
      </c>
      <c r="B364" t="s">
        <v>675</v>
      </c>
      <c r="C364" t="s">
        <v>164</v>
      </c>
      <c r="D364" t="s">
        <v>39</v>
      </c>
      <c r="E364" t="s">
        <v>45</v>
      </c>
      <c r="F364" t="s">
        <v>34</v>
      </c>
      <c r="G364">
        <v>15</v>
      </c>
      <c r="H364" s="6">
        <v>30.03</v>
      </c>
      <c r="I364">
        <v>450.45</v>
      </c>
      <c r="J364">
        <v>29.99</v>
      </c>
      <c r="K364">
        <v>120.46</v>
      </c>
      <c r="L364" t="s">
        <v>35</v>
      </c>
      <c r="M364" t="s">
        <v>24</v>
      </c>
      <c r="N364" t="s">
        <v>19</v>
      </c>
      <c r="O364">
        <f>_xlfn.XLOOKUP(E364,[1]Products!$B$2:$B$11,[1]Products!$F$2:$F$11)</f>
        <v>20</v>
      </c>
      <c r="P364">
        <f t="shared" si="10"/>
        <v>300</v>
      </c>
      <c r="Q364" s="3">
        <f t="shared" si="11"/>
        <v>0.26742146742146744</v>
      </c>
      <c r="R364">
        <f>MONTH(Table1[[#This Row],[Order_Date]])</f>
        <v>5</v>
      </c>
    </row>
    <row r="365" spans="1:18" x14ac:dyDescent="0.3">
      <c r="A365" t="s">
        <v>514</v>
      </c>
      <c r="B365" t="s">
        <v>675</v>
      </c>
      <c r="C365" t="s">
        <v>157</v>
      </c>
      <c r="D365" t="s">
        <v>32</v>
      </c>
      <c r="E365" t="s">
        <v>45</v>
      </c>
      <c r="F365" t="s">
        <v>34</v>
      </c>
      <c r="G365">
        <v>48</v>
      </c>
      <c r="H365" s="6">
        <v>30.91</v>
      </c>
      <c r="I365">
        <v>1483.68</v>
      </c>
      <c r="J365">
        <v>85.5</v>
      </c>
      <c r="K365">
        <v>438.18</v>
      </c>
      <c r="L365" t="s">
        <v>17</v>
      </c>
      <c r="M365" t="s">
        <v>24</v>
      </c>
      <c r="N365" t="s">
        <v>36</v>
      </c>
      <c r="O365">
        <f>_xlfn.XLOOKUP(E365,[1]Products!$B$2:$B$11,[1]Products!$F$2:$F$11)</f>
        <v>20</v>
      </c>
      <c r="P365">
        <f t="shared" si="10"/>
        <v>960</v>
      </c>
      <c r="Q365" s="3">
        <f t="shared" si="11"/>
        <v>0.29533322549336782</v>
      </c>
      <c r="R365">
        <f>MONTH(Table1[[#This Row],[Order_Date]])</f>
        <v>5</v>
      </c>
    </row>
    <row r="366" spans="1:18" x14ac:dyDescent="0.3">
      <c r="A366" t="s">
        <v>515</v>
      </c>
      <c r="B366" t="s">
        <v>677</v>
      </c>
      <c r="C366" t="s">
        <v>319</v>
      </c>
      <c r="D366" t="s">
        <v>44</v>
      </c>
      <c r="E366" t="s">
        <v>48</v>
      </c>
      <c r="F366" t="s">
        <v>49</v>
      </c>
      <c r="G366">
        <v>8</v>
      </c>
      <c r="H366" s="6">
        <v>32.19</v>
      </c>
      <c r="I366">
        <v>257.52</v>
      </c>
      <c r="J366">
        <v>11.85</v>
      </c>
      <c r="K366">
        <v>65.67</v>
      </c>
      <c r="L366" t="s">
        <v>17</v>
      </c>
      <c r="M366" t="s">
        <v>18</v>
      </c>
      <c r="N366" t="s">
        <v>19</v>
      </c>
      <c r="O366">
        <f>_xlfn.XLOOKUP(E366,[1]Products!$B$2:$B$11,[1]Products!$F$2:$F$11)</f>
        <v>22.5</v>
      </c>
      <c r="P366">
        <f t="shared" si="10"/>
        <v>180</v>
      </c>
      <c r="Q366" s="3">
        <f t="shared" si="11"/>
        <v>0.25500931966449208</v>
      </c>
      <c r="R366">
        <f>MONTH(Table1[[#This Row],[Order_Date]])</f>
        <v>1</v>
      </c>
    </row>
    <row r="367" spans="1:18" x14ac:dyDescent="0.3">
      <c r="A367" t="s">
        <v>516</v>
      </c>
      <c r="B367" t="s">
        <v>668</v>
      </c>
      <c r="C367" t="s">
        <v>143</v>
      </c>
      <c r="D367" t="s">
        <v>654</v>
      </c>
      <c r="E367" t="s">
        <v>40</v>
      </c>
      <c r="F367" t="s">
        <v>41</v>
      </c>
      <c r="G367">
        <v>22</v>
      </c>
      <c r="H367" s="6">
        <v>60.75</v>
      </c>
      <c r="I367">
        <v>1336.5</v>
      </c>
      <c r="J367">
        <v>38.340000000000003</v>
      </c>
      <c r="K367">
        <v>418.16</v>
      </c>
      <c r="L367" t="s">
        <v>17</v>
      </c>
      <c r="M367" t="s">
        <v>24</v>
      </c>
      <c r="N367" t="s">
        <v>55</v>
      </c>
      <c r="O367">
        <f>_xlfn.XLOOKUP(E367,[1]Products!$B$2:$B$11,[1]Products!$F$2:$F$11)</f>
        <v>40</v>
      </c>
      <c r="P367">
        <f t="shared" si="10"/>
        <v>880</v>
      </c>
      <c r="Q367" s="3">
        <f t="shared" si="11"/>
        <v>0.3128769173213618</v>
      </c>
      <c r="R367">
        <f>MONTH(Table1[[#This Row],[Order_Date]])</f>
        <v>8</v>
      </c>
    </row>
    <row r="368" spans="1:18" x14ac:dyDescent="0.3">
      <c r="A368" t="s">
        <v>517</v>
      </c>
      <c r="B368" t="s">
        <v>674</v>
      </c>
      <c r="C368" t="s">
        <v>115</v>
      </c>
      <c r="D368" t="s">
        <v>28</v>
      </c>
      <c r="E368" t="s">
        <v>40</v>
      </c>
      <c r="F368" t="s">
        <v>41</v>
      </c>
      <c r="G368">
        <v>38</v>
      </c>
      <c r="H368" s="6">
        <v>66.06</v>
      </c>
      <c r="I368">
        <v>2510.2800000000002</v>
      </c>
      <c r="J368">
        <v>50.37</v>
      </c>
      <c r="K368">
        <v>939.91</v>
      </c>
      <c r="L368" t="s">
        <v>17</v>
      </c>
      <c r="M368" t="s">
        <v>18</v>
      </c>
      <c r="N368" t="s">
        <v>25</v>
      </c>
      <c r="O368">
        <f>_xlfn.XLOOKUP(E368,[1]Products!$B$2:$B$11,[1]Products!$F$2:$F$11)</f>
        <v>40</v>
      </c>
      <c r="P368">
        <f t="shared" si="10"/>
        <v>1520</v>
      </c>
      <c r="Q368" s="3">
        <f t="shared" si="11"/>
        <v>0.37442436700288412</v>
      </c>
      <c r="R368">
        <f>MONTH(Table1[[#This Row],[Order_Date]])</f>
        <v>3</v>
      </c>
    </row>
    <row r="369" spans="1:18" x14ac:dyDescent="0.3">
      <c r="A369" t="s">
        <v>518</v>
      </c>
      <c r="B369" t="s">
        <v>667</v>
      </c>
      <c r="C369" t="s">
        <v>93</v>
      </c>
      <c r="D369" t="s">
        <v>652</v>
      </c>
      <c r="E369" t="s">
        <v>15</v>
      </c>
      <c r="F369" t="s">
        <v>16</v>
      </c>
      <c r="G369">
        <v>33</v>
      </c>
      <c r="H369" s="6">
        <v>50.88</v>
      </c>
      <c r="I369">
        <v>1679.04</v>
      </c>
      <c r="J369">
        <v>61.48</v>
      </c>
      <c r="K369">
        <v>462.56</v>
      </c>
      <c r="L369" t="s">
        <v>17</v>
      </c>
      <c r="M369" t="s">
        <v>24</v>
      </c>
      <c r="N369" t="s">
        <v>19</v>
      </c>
      <c r="O369">
        <f>_xlfn.XLOOKUP(E369,[1]Products!$B$2:$B$11,[1]Products!$F$2:$F$11)</f>
        <v>35</v>
      </c>
      <c r="P369">
        <f t="shared" si="10"/>
        <v>1155</v>
      </c>
      <c r="Q369" s="3">
        <f t="shared" si="11"/>
        <v>0.27549075662283212</v>
      </c>
      <c r="R369">
        <f>MONTH(Table1[[#This Row],[Order_Date]])</f>
        <v>9</v>
      </c>
    </row>
    <row r="370" spans="1:18" x14ac:dyDescent="0.3">
      <c r="A370" t="s">
        <v>519</v>
      </c>
      <c r="B370" t="s">
        <v>673</v>
      </c>
      <c r="C370" t="s">
        <v>257</v>
      </c>
      <c r="D370" t="s">
        <v>52</v>
      </c>
      <c r="E370" t="s">
        <v>79</v>
      </c>
      <c r="F370" t="s">
        <v>49</v>
      </c>
      <c r="G370">
        <v>49</v>
      </c>
      <c r="H370" s="6">
        <v>34.479999999999997</v>
      </c>
      <c r="I370">
        <v>1689.52</v>
      </c>
      <c r="J370">
        <v>53.06</v>
      </c>
      <c r="K370">
        <v>264.45999999999998</v>
      </c>
      <c r="L370" t="s">
        <v>35</v>
      </c>
      <c r="M370" t="s">
        <v>29</v>
      </c>
      <c r="N370" t="s">
        <v>55</v>
      </c>
      <c r="O370">
        <f>_xlfn.XLOOKUP(E370,[1]Products!$B$2:$B$11,[1]Products!$F$2:$F$11)</f>
        <v>28</v>
      </c>
      <c r="P370">
        <f t="shared" si="10"/>
        <v>1372</v>
      </c>
      <c r="Q370" s="3">
        <f t="shared" si="11"/>
        <v>0.15652966523036127</v>
      </c>
      <c r="R370">
        <f>MONTH(Table1[[#This Row],[Order_Date]])</f>
        <v>7</v>
      </c>
    </row>
    <row r="371" spans="1:18" x14ac:dyDescent="0.3">
      <c r="A371" t="s">
        <v>520</v>
      </c>
      <c r="B371" t="s">
        <v>677</v>
      </c>
      <c r="C371" t="s">
        <v>164</v>
      </c>
      <c r="D371" t="s">
        <v>73</v>
      </c>
      <c r="E371" t="s">
        <v>45</v>
      </c>
      <c r="F371" t="s">
        <v>34</v>
      </c>
      <c r="G371">
        <v>31</v>
      </c>
      <c r="H371" s="6">
        <v>25.43</v>
      </c>
      <c r="I371">
        <v>788.33</v>
      </c>
      <c r="J371">
        <v>57.81</v>
      </c>
      <c r="K371">
        <v>110.52</v>
      </c>
      <c r="L371" t="s">
        <v>17</v>
      </c>
      <c r="M371" t="s">
        <v>24</v>
      </c>
      <c r="N371" t="s">
        <v>55</v>
      </c>
      <c r="O371">
        <f>_xlfn.XLOOKUP(E371,[1]Products!$B$2:$B$11,[1]Products!$F$2:$F$11)</f>
        <v>20</v>
      </c>
      <c r="P371">
        <f t="shared" si="10"/>
        <v>620</v>
      </c>
      <c r="Q371" s="3">
        <f t="shared" si="11"/>
        <v>0.14019509596235077</v>
      </c>
      <c r="R371">
        <f>MONTH(Table1[[#This Row],[Order_Date]])</f>
        <v>1</v>
      </c>
    </row>
    <row r="372" spans="1:18" x14ac:dyDescent="0.3">
      <c r="A372" t="s">
        <v>521</v>
      </c>
      <c r="B372" t="s">
        <v>671</v>
      </c>
      <c r="C372" t="s">
        <v>222</v>
      </c>
      <c r="D372" t="s">
        <v>147</v>
      </c>
      <c r="E372" t="s">
        <v>45</v>
      </c>
      <c r="F372" t="s">
        <v>34</v>
      </c>
      <c r="G372">
        <v>29</v>
      </c>
      <c r="H372" s="6">
        <v>31.68</v>
      </c>
      <c r="I372">
        <v>918.72</v>
      </c>
      <c r="J372">
        <v>22.22</v>
      </c>
      <c r="K372">
        <v>316.5</v>
      </c>
      <c r="L372" t="s">
        <v>35</v>
      </c>
      <c r="M372" t="s">
        <v>18</v>
      </c>
      <c r="N372" t="s">
        <v>25</v>
      </c>
      <c r="O372">
        <f>_xlfn.XLOOKUP(E372,[1]Products!$B$2:$B$11,[1]Products!$F$2:$F$11)</f>
        <v>20</v>
      </c>
      <c r="P372">
        <f t="shared" si="10"/>
        <v>580</v>
      </c>
      <c r="Q372" s="3">
        <f t="shared" si="11"/>
        <v>0.34450104493207939</v>
      </c>
      <c r="R372">
        <f>MONTH(Table1[[#This Row],[Order_Date]])</f>
        <v>2</v>
      </c>
    </row>
    <row r="373" spans="1:18" x14ac:dyDescent="0.3">
      <c r="A373" t="s">
        <v>522</v>
      </c>
      <c r="B373" t="s">
        <v>674</v>
      </c>
      <c r="C373" t="s">
        <v>350</v>
      </c>
      <c r="D373" t="s">
        <v>66</v>
      </c>
      <c r="E373" t="s">
        <v>79</v>
      </c>
      <c r="F373" t="s">
        <v>49</v>
      </c>
      <c r="G373">
        <v>42</v>
      </c>
      <c r="H373" s="6">
        <v>33.89</v>
      </c>
      <c r="I373">
        <v>1423.38</v>
      </c>
      <c r="J373">
        <v>85.4</v>
      </c>
      <c r="K373">
        <v>161.97999999999999</v>
      </c>
      <c r="L373" t="s">
        <v>35</v>
      </c>
      <c r="M373" t="s">
        <v>18</v>
      </c>
      <c r="N373" t="s">
        <v>55</v>
      </c>
      <c r="O373">
        <f>_xlfn.XLOOKUP(E373,[1]Products!$B$2:$B$11,[1]Products!$F$2:$F$11)</f>
        <v>28</v>
      </c>
      <c r="P373">
        <f t="shared" si="10"/>
        <v>1176</v>
      </c>
      <c r="Q373" s="3">
        <f t="shared" si="11"/>
        <v>0.11379954755581782</v>
      </c>
      <c r="R373">
        <f>MONTH(Table1[[#This Row],[Order_Date]])</f>
        <v>3</v>
      </c>
    </row>
    <row r="374" spans="1:18" x14ac:dyDescent="0.3">
      <c r="A374" t="s">
        <v>523</v>
      </c>
      <c r="B374" t="s">
        <v>667</v>
      </c>
      <c r="C374" t="s">
        <v>47</v>
      </c>
      <c r="D374" t="s">
        <v>66</v>
      </c>
      <c r="E374" t="s">
        <v>22</v>
      </c>
      <c r="F374" t="s">
        <v>16</v>
      </c>
      <c r="G374">
        <v>13</v>
      </c>
      <c r="H374" s="6">
        <v>21.75</v>
      </c>
      <c r="I374">
        <v>282.75</v>
      </c>
      <c r="J374">
        <v>12.5</v>
      </c>
      <c r="K374">
        <v>36.25</v>
      </c>
      <c r="L374" t="s">
        <v>35</v>
      </c>
      <c r="M374" t="s">
        <v>24</v>
      </c>
      <c r="N374" t="s">
        <v>55</v>
      </c>
      <c r="O374">
        <f>_xlfn.XLOOKUP(E374,[1]Products!$B$2:$B$11,[1]Products!$F$2:$F$11)</f>
        <v>18</v>
      </c>
      <c r="P374">
        <f t="shared" si="10"/>
        <v>234</v>
      </c>
      <c r="Q374" s="3">
        <f t="shared" si="11"/>
        <v>0.12820512820512819</v>
      </c>
      <c r="R374">
        <f>MONTH(Table1[[#This Row],[Order_Date]])</f>
        <v>9</v>
      </c>
    </row>
    <row r="375" spans="1:18" x14ac:dyDescent="0.3">
      <c r="A375" t="s">
        <v>524</v>
      </c>
      <c r="B375" t="s">
        <v>672</v>
      </c>
      <c r="C375" t="s">
        <v>96</v>
      </c>
      <c r="D375" t="s">
        <v>73</v>
      </c>
      <c r="E375" t="s">
        <v>48</v>
      </c>
      <c r="F375" t="s">
        <v>49</v>
      </c>
      <c r="G375">
        <v>25</v>
      </c>
      <c r="H375" s="6">
        <v>37.58</v>
      </c>
      <c r="I375">
        <v>939.5</v>
      </c>
      <c r="J375">
        <v>48.44</v>
      </c>
      <c r="K375">
        <v>328.56</v>
      </c>
      <c r="L375" t="s">
        <v>35</v>
      </c>
      <c r="M375" t="s">
        <v>29</v>
      </c>
      <c r="N375" t="s">
        <v>55</v>
      </c>
      <c r="O375">
        <f>_xlfn.XLOOKUP(E375,[1]Products!$B$2:$B$11,[1]Products!$F$2:$F$11)</f>
        <v>22.5</v>
      </c>
      <c r="P375">
        <f t="shared" si="10"/>
        <v>562.5</v>
      </c>
      <c r="Q375" s="3">
        <f t="shared" si="11"/>
        <v>0.34971793507184673</v>
      </c>
      <c r="R375">
        <f>MONTH(Table1[[#This Row],[Order_Date]])</f>
        <v>3</v>
      </c>
    </row>
    <row r="376" spans="1:18" x14ac:dyDescent="0.3">
      <c r="A376" t="s">
        <v>525</v>
      </c>
      <c r="B376" t="s">
        <v>662</v>
      </c>
      <c r="C376" t="s">
        <v>299</v>
      </c>
      <c r="D376" t="s">
        <v>147</v>
      </c>
      <c r="E376" t="s">
        <v>45</v>
      </c>
      <c r="F376" t="s">
        <v>34</v>
      </c>
      <c r="G376">
        <v>16</v>
      </c>
      <c r="H376" s="6">
        <v>25.25</v>
      </c>
      <c r="I376">
        <v>404</v>
      </c>
      <c r="J376">
        <v>18.75</v>
      </c>
      <c r="K376">
        <v>65.25</v>
      </c>
      <c r="L376" t="s">
        <v>23</v>
      </c>
      <c r="M376" t="s">
        <v>29</v>
      </c>
      <c r="N376" t="s">
        <v>25</v>
      </c>
      <c r="O376">
        <f>_xlfn.XLOOKUP(E376,[1]Products!$B$2:$B$11,[1]Products!$F$2:$F$11)</f>
        <v>20</v>
      </c>
      <c r="P376">
        <f t="shared" si="10"/>
        <v>320</v>
      </c>
      <c r="Q376" s="3">
        <f t="shared" si="11"/>
        <v>0.16150990099009901</v>
      </c>
      <c r="R376">
        <f>MONTH(Table1[[#This Row],[Order_Date]])</f>
        <v>2</v>
      </c>
    </row>
    <row r="377" spans="1:18" x14ac:dyDescent="0.3">
      <c r="A377" t="s">
        <v>526</v>
      </c>
      <c r="B377" t="s">
        <v>667</v>
      </c>
      <c r="C377" t="s">
        <v>236</v>
      </c>
      <c r="D377" t="s">
        <v>73</v>
      </c>
      <c r="E377" t="s">
        <v>57</v>
      </c>
      <c r="F377" t="s">
        <v>49</v>
      </c>
      <c r="G377">
        <v>37</v>
      </c>
      <c r="H377" s="6">
        <v>25.85</v>
      </c>
      <c r="I377">
        <v>956.45</v>
      </c>
      <c r="J377">
        <v>31.7</v>
      </c>
      <c r="K377">
        <v>351.25</v>
      </c>
      <c r="L377" t="s">
        <v>35</v>
      </c>
      <c r="M377" t="s">
        <v>29</v>
      </c>
      <c r="N377" t="s">
        <v>55</v>
      </c>
      <c r="O377">
        <f>_xlfn.XLOOKUP(E377,[1]Products!$B$2:$B$11,[1]Products!$F$2:$F$11)</f>
        <v>15.5</v>
      </c>
      <c r="P377">
        <f t="shared" si="10"/>
        <v>573.5</v>
      </c>
      <c r="Q377" s="3">
        <f t="shared" si="11"/>
        <v>0.3672434523498353</v>
      </c>
      <c r="R377">
        <f>MONTH(Table1[[#This Row],[Order_Date]])</f>
        <v>9</v>
      </c>
    </row>
    <row r="378" spans="1:18" x14ac:dyDescent="0.3">
      <c r="A378" t="s">
        <v>527</v>
      </c>
      <c r="B378" t="s">
        <v>661</v>
      </c>
      <c r="C378" t="s">
        <v>51</v>
      </c>
      <c r="D378" t="s">
        <v>66</v>
      </c>
      <c r="E378" t="s">
        <v>45</v>
      </c>
      <c r="F378" t="s">
        <v>34</v>
      </c>
      <c r="G378">
        <v>1</v>
      </c>
      <c r="H378" s="6">
        <v>25.72</v>
      </c>
      <c r="I378">
        <v>25.72</v>
      </c>
      <c r="J378">
        <v>2.04</v>
      </c>
      <c r="K378">
        <v>3.68</v>
      </c>
      <c r="L378" t="s">
        <v>35</v>
      </c>
      <c r="M378" t="s">
        <v>29</v>
      </c>
      <c r="N378" t="s">
        <v>55</v>
      </c>
      <c r="O378">
        <f>_xlfn.XLOOKUP(E378,[1]Products!$B$2:$B$11,[1]Products!$F$2:$F$11)</f>
        <v>20</v>
      </c>
      <c r="P378">
        <f t="shared" si="10"/>
        <v>20</v>
      </c>
      <c r="Q378" s="3">
        <f t="shared" si="11"/>
        <v>0.14307931570762053</v>
      </c>
      <c r="R378">
        <f>MONTH(Table1[[#This Row],[Order_Date]])</f>
        <v>1</v>
      </c>
    </row>
    <row r="379" spans="1:18" x14ac:dyDescent="0.3">
      <c r="A379" t="s">
        <v>528</v>
      </c>
      <c r="B379" t="s">
        <v>676</v>
      </c>
      <c r="C379" t="s">
        <v>338</v>
      </c>
      <c r="D379" t="s">
        <v>66</v>
      </c>
      <c r="E379" t="s">
        <v>79</v>
      </c>
      <c r="F379" t="s">
        <v>49</v>
      </c>
      <c r="G379">
        <v>48</v>
      </c>
      <c r="H379" s="6">
        <v>47.05</v>
      </c>
      <c r="I379">
        <v>2258.4</v>
      </c>
      <c r="J379">
        <v>179.44</v>
      </c>
      <c r="K379">
        <v>734.96</v>
      </c>
      <c r="L379" t="s">
        <v>23</v>
      </c>
      <c r="M379" t="s">
        <v>24</v>
      </c>
      <c r="N379" t="s">
        <v>55</v>
      </c>
      <c r="O379">
        <f>_xlfn.XLOOKUP(E379,[1]Products!$B$2:$B$11,[1]Products!$F$2:$F$11)</f>
        <v>28</v>
      </c>
      <c r="P379">
        <f t="shared" si="10"/>
        <v>1344</v>
      </c>
      <c r="Q379" s="3">
        <f t="shared" si="11"/>
        <v>0.32543393552957844</v>
      </c>
      <c r="R379">
        <f>MONTH(Table1[[#This Row],[Order_Date]])</f>
        <v>11</v>
      </c>
    </row>
    <row r="380" spans="1:18" x14ac:dyDescent="0.3">
      <c r="A380" t="s">
        <v>529</v>
      </c>
      <c r="B380" t="s">
        <v>672</v>
      </c>
      <c r="C380" t="s">
        <v>119</v>
      </c>
      <c r="D380" t="s">
        <v>32</v>
      </c>
      <c r="E380" t="s">
        <v>45</v>
      </c>
      <c r="F380" t="s">
        <v>34</v>
      </c>
      <c r="G380">
        <v>48</v>
      </c>
      <c r="H380" s="6">
        <v>29.94</v>
      </c>
      <c r="I380">
        <v>1437.12</v>
      </c>
      <c r="J380">
        <v>30.14</v>
      </c>
      <c r="K380">
        <v>446.98</v>
      </c>
      <c r="L380" t="s">
        <v>23</v>
      </c>
      <c r="M380" t="s">
        <v>24</v>
      </c>
      <c r="N380" t="s">
        <v>36</v>
      </c>
      <c r="O380">
        <f>_xlfn.XLOOKUP(E380,[1]Products!$B$2:$B$11,[1]Products!$F$2:$F$11)</f>
        <v>20</v>
      </c>
      <c r="P380">
        <f t="shared" si="10"/>
        <v>960</v>
      </c>
      <c r="Q380" s="3">
        <f t="shared" si="11"/>
        <v>0.31102482743264309</v>
      </c>
      <c r="R380">
        <f>MONTH(Table1[[#This Row],[Order_Date]])</f>
        <v>3</v>
      </c>
    </row>
    <row r="381" spans="1:18" x14ac:dyDescent="0.3">
      <c r="A381" t="s">
        <v>530</v>
      </c>
      <c r="B381" t="s">
        <v>668</v>
      </c>
      <c r="C381" t="s">
        <v>367</v>
      </c>
      <c r="D381" t="s">
        <v>28</v>
      </c>
      <c r="E381" t="s">
        <v>48</v>
      </c>
      <c r="F381" t="s">
        <v>49</v>
      </c>
      <c r="G381">
        <v>12</v>
      </c>
      <c r="H381" s="6">
        <v>35.68</v>
      </c>
      <c r="I381">
        <v>428.16</v>
      </c>
      <c r="J381">
        <v>13.07</v>
      </c>
      <c r="K381">
        <v>145.09</v>
      </c>
      <c r="L381" t="s">
        <v>23</v>
      </c>
      <c r="M381" t="s">
        <v>29</v>
      </c>
      <c r="N381" t="s">
        <v>25</v>
      </c>
      <c r="O381">
        <f>_xlfn.XLOOKUP(E381,[1]Products!$B$2:$B$11,[1]Products!$F$2:$F$11)</f>
        <v>22.5</v>
      </c>
      <c r="P381">
        <f t="shared" si="10"/>
        <v>270</v>
      </c>
      <c r="Q381" s="3">
        <f t="shared" si="11"/>
        <v>0.33886864723467863</v>
      </c>
      <c r="R381">
        <f>MONTH(Table1[[#This Row],[Order_Date]])</f>
        <v>8</v>
      </c>
    </row>
    <row r="382" spans="1:18" x14ac:dyDescent="0.3">
      <c r="A382" t="s">
        <v>531</v>
      </c>
      <c r="B382" t="s">
        <v>667</v>
      </c>
      <c r="C382" t="s">
        <v>282</v>
      </c>
      <c r="D382" t="s">
        <v>652</v>
      </c>
      <c r="E382" t="s">
        <v>33</v>
      </c>
      <c r="F382" t="s">
        <v>34</v>
      </c>
      <c r="G382">
        <v>30</v>
      </c>
      <c r="H382" s="6">
        <v>49.32</v>
      </c>
      <c r="I382">
        <v>1479.6</v>
      </c>
      <c r="J382">
        <v>105.97</v>
      </c>
      <c r="K382">
        <v>413.63</v>
      </c>
      <c r="L382" t="s">
        <v>23</v>
      </c>
      <c r="M382" t="s">
        <v>24</v>
      </c>
      <c r="N382" t="s">
        <v>19</v>
      </c>
      <c r="O382">
        <f>_xlfn.XLOOKUP(E382,[1]Products!$B$2:$B$11,[1]Products!$F$2:$F$11)</f>
        <v>32</v>
      </c>
      <c r="P382">
        <f t="shared" si="10"/>
        <v>960</v>
      </c>
      <c r="Q382" s="3">
        <f t="shared" si="11"/>
        <v>0.27955528521221951</v>
      </c>
      <c r="R382">
        <f>MONTH(Table1[[#This Row],[Order_Date]])</f>
        <v>9</v>
      </c>
    </row>
    <row r="383" spans="1:18" x14ac:dyDescent="0.3">
      <c r="A383" t="s">
        <v>532</v>
      </c>
      <c r="B383" t="s">
        <v>677</v>
      </c>
      <c r="C383" t="s">
        <v>296</v>
      </c>
      <c r="D383" t="s">
        <v>102</v>
      </c>
      <c r="E383" t="s">
        <v>79</v>
      </c>
      <c r="F383" t="s">
        <v>49</v>
      </c>
      <c r="G383">
        <v>27</v>
      </c>
      <c r="H383" s="6">
        <v>37.68</v>
      </c>
      <c r="I383">
        <v>1017.36</v>
      </c>
      <c r="J383">
        <v>80.739999999999995</v>
      </c>
      <c r="K383">
        <v>180.62</v>
      </c>
      <c r="L383" t="s">
        <v>35</v>
      </c>
      <c r="M383" t="s">
        <v>18</v>
      </c>
      <c r="N383" t="s">
        <v>25</v>
      </c>
      <c r="O383">
        <f>_xlfn.XLOOKUP(E383,[1]Products!$B$2:$B$11,[1]Products!$F$2:$F$11)</f>
        <v>28</v>
      </c>
      <c r="P383">
        <f t="shared" si="10"/>
        <v>756</v>
      </c>
      <c r="Q383" s="3">
        <f t="shared" si="11"/>
        <v>0.17753794133836598</v>
      </c>
      <c r="R383">
        <f>MONTH(Table1[[#This Row],[Order_Date]])</f>
        <v>1</v>
      </c>
    </row>
    <row r="384" spans="1:18" x14ac:dyDescent="0.3">
      <c r="A384" t="s">
        <v>533</v>
      </c>
      <c r="B384" t="s">
        <v>674</v>
      </c>
      <c r="C384" t="s">
        <v>169</v>
      </c>
      <c r="D384" t="s">
        <v>28</v>
      </c>
      <c r="E384" t="s">
        <v>53</v>
      </c>
      <c r="F384" t="s">
        <v>54</v>
      </c>
      <c r="G384">
        <v>39</v>
      </c>
      <c r="H384" s="6">
        <v>36.340000000000003</v>
      </c>
      <c r="I384">
        <v>1417.26</v>
      </c>
      <c r="J384">
        <v>67</v>
      </c>
      <c r="K384">
        <v>375.26</v>
      </c>
      <c r="L384" t="s">
        <v>35</v>
      </c>
      <c r="M384" t="s">
        <v>24</v>
      </c>
      <c r="N384" t="s">
        <v>25</v>
      </c>
      <c r="O384">
        <f>_xlfn.XLOOKUP(E384,[1]Products!$B$2:$B$11,[1]Products!$F$2:$F$11)</f>
        <v>25</v>
      </c>
      <c r="P384">
        <f t="shared" si="10"/>
        <v>975</v>
      </c>
      <c r="Q384" s="3">
        <f t="shared" si="11"/>
        <v>0.26477851629200005</v>
      </c>
      <c r="R384">
        <f>MONTH(Table1[[#This Row],[Order_Date]])</f>
        <v>3</v>
      </c>
    </row>
    <row r="385" spans="1:18" x14ac:dyDescent="0.3">
      <c r="A385" t="s">
        <v>534</v>
      </c>
      <c r="B385" t="s">
        <v>675</v>
      </c>
      <c r="C385" t="s">
        <v>51</v>
      </c>
      <c r="D385" t="s">
        <v>52</v>
      </c>
      <c r="E385" t="s">
        <v>57</v>
      </c>
      <c r="F385" t="s">
        <v>49</v>
      </c>
      <c r="G385">
        <v>16</v>
      </c>
      <c r="H385" s="6">
        <v>24.33</v>
      </c>
      <c r="I385">
        <v>389.28</v>
      </c>
      <c r="J385">
        <v>22.33</v>
      </c>
      <c r="K385">
        <v>118.95</v>
      </c>
      <c r="L385" t="s">
        <v>17</v>
      </c>
      <c r="M385" t="s">
        <v>29</v>
      </c>
      <c r="N385" t="s">
        <v>55</v>
      </c>
      <c r="O385">
        <f>_xlfn.XLOOKUP(E385,[1]Products!$B$2:$B$11,[1]Products!$F$2:$F$11)</f>
        <v>15.5</v>
      </c>
      <c r="P385">
        <f t="shared" si="10"/>
        <v>248</v>
      </c>
      <c r="Q385" s="3">
        <f t="shared" si="11"/>
        <v>0.30556411837237979</v>
      </c>
      <c r="R385">
        <f>MONTH(Table1[[#This Row],[Order_Date]])</f>
        <v>5</v>
      </c>
    </row>
    <row r="386" spans="1:18" x14ac:dyDescent="0.3">
      <c r="A386" t="s">
        <v>535</v>
      </c>
      <c r="B386" t="s">
        <v>661</v>
      </c>
      <c r="C386" t="s">
        <v>296</v>
      </c>
      <c r="D386" t="s">
        <v>654</v>
      </c>
      <c r="E386" t="s">
        <v>57</v>
      </c>
      <c r="F386" t="s">
        <v>49</v>
      </c>
      <c r="G386">
        <v>40</v>
      </c>
      <c r="H386" s="6">
        <v>22.28</v>
      </c>
      <c r="I386">
        <v>891.2</v>
      </c>
      <c r="J386">
        <v>32.729999999999997</v>
      </c>
      <c r="K386">
        <v>238.47</v>
      </c>
      <c r="L386" t="s">
        <v>17</v>
      </c>
      <c r="M386" t="s">
        <v>24</v>
      </c>
      <c r="N386" t="s">
        <v>55</v>
      </c>
      <c r="O386">
        <f>_xlfn.XLOOKUP(E386,[1]Products!$B$2:$B$11,[1]Products!$F$2:$F$11)</f>
        <v>15.5</v>
      </c>
      <c r="P386">
        <f t="shared" si="10"/>
        <v>620</v>
      </c>
      <c r="Q386" s="3">
        <f t="shared" si="11"/>
        <v>0.26758303411131057</v>
      </c>
      <c r="R386">
        <f>MONTH(Table1[[#This Row],[Order_Date]])</f>
        <v>1</v>
      </c>
    </row>
    <row r="387" spans="1:18" x14ac:dyDescent="0.3">
      <c r="A387" t="s">
        <v>536</v>
      </c>
      <c r="B387" t="s">
        <v>668</v>
      </c>
      <c r="C387" t="s">
        <v>101</v>
      </c>
      <c r="D387" t="s">
        <v>73</v>
      </c>
      <c r="E387" t="s">
        <v>60</v>
      </c>
      <c r="F387" t="s">
        <v>34</v>
      </c>
      <c r="G387">
        <v>45</v>
      </c>
      <c r="H387" s="6">
        <v>21.71</v>
      </c>
      <c r="I387">
        <v>976.95</v>
      </c>
      <c r="J387">
        <v>51.6</v>
      </c>
      <c r="K387">
        <v>351.6</v>
      </c>
      <c r="L387" t="s">
        <v>17</v>
      </c>
      <c r="M387" t="s">
        <v>18</v>
      </c>
      <c r="N387" t="s">
        <v>55</v>
      </c>
      <c r="O387">
        <f>_xlfn.XLOOKUP(E387,[1]Products!$B$2:$B$11,[1]Products!$F$2:$F$11)</f>
        <v>12.75</v>
      </c>
      <c r="P387">
        <f t="shared" ref="P387:P450" si="12">G387*O387</f>
        <v>573.75</v>
      </c>
      <c r="Q387" s="3">
        <f t="shared" ref="Q387:Q450" si="13">K387/I387</f>
        <v>0.35989559342852756</v>
      </c>
      <c r="R387">
        <f>MONTH(Table1[[#This Row],[Order_Date]])</f>
        <v>8</v>
      </c>
    </row>
    <row r="388" spans="1:18" x14ac:dyDescent="0.3">
      <c r="A388" t="s">
        <v>537</v>
      </c>
      <c r="B388" t="s">
        <v>668</v>
      </c>
      <c r="C388" t="s">
        <v>177</v>
      </c>
      <c r="D388" t="s">
        <v>147</v>
      </c>
      <c r="E388" t="s">
        <v>53</v>
      </c>
      <c r="F388" t="s">
        <v>54</v>
      </c>
      <c r="G388">
        <v>8</v>
      </c>
      <c r="H388" s="6">
        <v>31.07</v>
      </c>
      <c r="I388">
        <v>248.56</v>
      </c>
      <c r="J388">
        <v>10.97</v>
      </c>
      <c r="K388">
        <v>37.590000000000003</v>
      </c>
      <c r="L388" t="s">
        <v>17</v>
      </c>
      <c r="M388" t="s">
        <v>24</v>
      </c>
      <c r="N388" t="s">
        <v>25</v>
      </c>
      <c r="O388">
        <f>_xlfn.XLOOKUP(E388,[1]Products!$B$2:$B$11,[1]Products!$F$2:$F$11)</f>
        <v>25</v>
      </c>
      <c r="P388">
        <f t="shared" si="12"/>
        <v>200</v>
      </c>
      <c r="Q388" s="3">
        <f t="shared" si="13"/>
        <v>0.15123109108464758</v>
      </c>
      <c r="R388">
        <f>MONTH(Table1[[#This Row],[Order_Date]])</f>
        <v>8</v>
      </c>
    </row>
    <row r="389" spans="1:18" x14ac:dyDescent="0.3">
      <c r="A389" t="s">
        <v>538</v>
      </c>
      <c r="B389" t="s">
        <v>671</v>
      </c>
      <c r="C389" t="s">
        <v>227</v>
      </c>
      <c r="D389" t="s">
        <v>102</v>
      </c>
      <c r="E389" t="s">
        <v>60</v>
      </c>
      <c r="F389" t="s">
        <v>34</v>
      </c>
      <c r="G389">
        <v>47</v>
      </c>
      <c r="H389" s="6">
        <v>21.93</v>
      </c>
      <c r="I389">
        <v>1030.71</v>
      </c>
      <c r="J389">
        <v>70.989999999999995</v>
      </c>
      <c r="K389">
        <v>360.47</v>
      </c>
      <c r="L389" t="s">
        <v>35</v>
      </c>
      <c r="M389" t="s">
        <v>18</v>
      </c>
      <c r="N389" t="s">
        <v>25</v>
      </c>
      <c r="O389">
        <f>_xlfn.XLOOKUP(E389,[1]Products!$B$2:$B$11,[1]Products!$F$2:$F$11)</f>
        <v>12.75</v>
      </c>
      <c r="P389">
        <f t="shared" si="12"/>
        <v>599.25</v>
      </c>
      <c r="Q389" s="3">
        <f t="shared" si="13"/>
        <v>0.3497297979062976</v>
      </c>
      <c r="R389">
        <f>MONTH(Table1[[#This Row],[Order_Date]])</f>
        <v>2</v>
      </c>
    </row>
    <row r="390" spans="1:18" x14ac:dyDescent="0.3">
      <c r="A390" t="s">
        <v>539</v>
      </c>
      <c r="B390" t="s">
        <v>673</v>
      </c>
      <c r="C390" t="s">
        <v>98</v>
      </c>
      <c r="D390" t="s">
        <v>102</v>
      </c>
      <c r="E390" t="s">
        <v>60</v>
      </c>
      <c r="F390" t="s">
        <v>34</v>
      </c>
      <c r="G390">
        <v>46</v>
      </c>
      <c r="H390" s="6">
        <v>21.46</v>
      </c>
      <c r="I390">
        <v>987.16</v>
      </c>
      <c r="J390">
        <v>21.64</v>
      </c>
      <c r="K390">
        <v>379.02</v>
      </c>
      <c r="L390" t="s">
        <v>23</v>
      </c>
      <c r="M390" t="s">
        <v>18</v>
      </c>
      <c r="N390" t="s">
        <v>25</v>
      </c>
      <c r="O390">
        <f>_xlfn.XLOOKUP(E390,[1]Products!$B$2:$B$11,[1]Products!$F$2:$F$11)</f>
        <v>12.75</v>
      </c>
      <c r="P390">
        <f t="shared" si="12"/>
        <v>586.5</v>
      </c>
      <c r="Q390" s="3">
        <f t="shared" si="13"/>
        <v>0.38394991693342517</v>
      </c>
      <c r="R390">
        <f>MONTH(Table1[[#This Row],[Order_Date]])</f>
        <v>7</v>
      </c>
    </row>
    <row r="391" spans="1:18" x14ac:dyDescent="0.3">
      <c r="A391" t="s">
        <v>540</v>
      </c>
      <c r="B391" t="s">
        <v>662</v>
      </c>
      <c r="C391" t="s">
        <v>72</v>
      </c>
      <c r="D391" t="s">
        <v>652</v>
      </c>
      <c r="E391" t="s">
        <v>79</v>
      </c>
      <c r="F391" t="s">
        <v>49</v>
      </c>
      <c r="G391">
        <v>45</v>
      </c>
      <c r="H391" s="6">
        <v>47.1</v>
      </c>
      <c r="I391">
        <v>2119.5</v>
      </c>
      <c r="J391">
        <v>120.16</v>
      </c>
      <c r="K391">
        <v>739.34</v>
      </c>
      <c r="L391" t="s">
        <v>23</v>
      </c>
      <c r="M391" t="s">
        <v>24</v>
      </c>
      <c r="N391" t="s">
        <v>19</v>
      </c>
      <c r="O391">
        <f>_xlfn.XLOOKUP(E391,[1]Products!$B$2:$B$11,[1]Products!$F$2:$F$11)</f>
        <v>28</v>
      </c>
      <c r="P391">
        <f t="shared" si="12"/>
        <v>1260</v>
      </c>
      <c r="Q391" s="3">
        <f t="shared" si="13"/>
        <v>0.34882755366831802</v>
      </c>
      <c r="R391">
        <f>MONTH(Table1[[#This Row],[Order_Date]])</f>
        <v>2</v>
      </c>
    </row>
    <row r="392" spans="1:18" x14ac:dyDescent="0.3">
      <c r="A392" t="s">
        <v>541</v>
      </c>
      <c r="B392" t="s">
        <v>674</v>
      </c>
      <c r="C392" t="s">
        <v>14</v>
      </c>
      <c r="D392" t="s">
        <v>173</v>
      </c>
      <c r="E392" t="s">
        <v>15</v>
      </c>
      <c r="F392" t="s">
        <v>16</v>
      </c>
      <c r="G392">
        <v>2</v>
      </c>
      <c r="H392" s="6">
        <v>58.32</v>
      </c>
      <c r="I392">
        <v>116.64</v>
      </c>
      <c r="J392">
        <v>8.99</v>
      </c>
      <c r="K392">
        <v>37.65</v>
      </c>
      <c r="L392" t="s">
        <v>17</v>
      </c>
      <c r="M392" t="s">
        <v>24</v>
      </c>
      <c r="N392" t="s">
        <v>55</v>
      </c>
      <c r="O392">
        <f>_xlfn.XLOOKUP(E392,[1]Products!$B$2:$B$11,[1]Products!$F$2:$F$11)</f>
        <v>35</v>
      </c>
      <c r="P392">
        <f t="shared" si="12"/>
        <v>70</v>
      </c>
      <c r="Q392" s="3">
        <f t="shared" si="13"/>
        <v>0.32278806584362141</v>
      </c>
      <c r="R392">
        <f>MONTH(Table1[[#This Row],[Order_Date]])</f>
        <v>3</v>
      </c>
    </row>
    <row r="393" spans="1:18" x14ac:dyDescent="0.3">
      <c r="A393" t="s">
        <v>542</v>
      </c>
      <c r="B393" t="s">
        <v>671</v>
      </c>
      <c r="C393" t="s">
        <v>296</v>
      </c>
      <c r="D393" t="s">
        <v>102</v>
      </c>
      <c r="E393" t="s">
        <v>15</v>
      </c>
      <c r="F393" t="s">
        <v>16</v>
      </c>
      <c r="G393">
        <v>31</v>
      </c>
      <c r="H393" s="6">
        <v>61.34</v>
      </c>
      <c r="I393">
        <v>1901.54</v>
      </c>
      <c r="J393">
        <v>147.43</v>
      </c>
      <c r="K393">
        <v>669.11</v>
      </c>
      <c r="L393" t="s">
        <v>23</v>
      </c>
      <c r="M393" t="s">
        <v>18</v>
      </c>
      <c r="N393" t="s">
        <v>25</v>
      </c>
      <c r="O393">
        <f>_xlfn.XLOOKUP(E393,[1]Products!$B$2:$B$11,[1]Products!$F$2:$F$11)</f>
        <v>35</v>
      </c>
      <c r="P393">
        <f t="shared" si="12"/>
        <v>1085</v>
      </c>
      <c r="Q393" s="3">
        <f t="shared" si="13"/>
        <v>0.35187795155505541</v>
      </c>
      <c r="R393">
        <f>MONTH(Table1[[#This Row],[Order_Date]])</f>
        <v>2</v>
      </c>
    </row>
    <row r="394" spans="1:18" x14ac:dyDescent="0.3">
      <c r="A394" t="s">
        <v>543</v>
      </c>
      <c r="B394" t="s">
        <v>672</v>
      </c>
      <c r="C394" t="s">
        <v>162</v>
      </c>
      <c r="D394" t="s">
        <v>39</v>
      </c>
      <c r="E394" t="s">
        <v>53</v>
      </c>
      <c r="F394" t="s">
        <v>54</v>
      </c>
      <c r="G394">
        <v>15</v>
      </c>
      <c r="H394" s="6">
        <v>43.9</v>
      </c>
      <c r="I394">
        <v>658.5</v>
      </c>
      <c r="J394">
        <v>36.479999999999997</v>
      </c>
      <c r="K394">
        <v>247.02</v>
      </c>
      <c r="L394" t="s">
        <v>35</v>
      </c>
      <c r="M394" t="s">
        <v>24</v>
      </c>
      <c r="N394" t="s">
        <v>19</v>
      </c>
      <c r="O394">
        <f>_xlfn.XLOOKUP(E394,[1]Products!$B$2:$B$11,[1]Products!$F$2:$F$11)</f>
        <v>25</v>
      </c>
      <c r="P394">
        <f t="shared" si="12"/>
        <v>375</v>
      </c>
      <c r="Q394" s="3">
        <f t="shared" si="13"/>
        <v>0.37512528473804102</v>
      </c>
      <c r="R394">
        <f>MONTH(Table1[[#This Row],[Order_Date]])</f>
        <v>3</v>
      </c>
    </row>
    <row r="395" spans="1:18" x14ac:dyDescent="0.3">
      <c r="A395" t="s">
        <v>544</v>
      </c>
      <c r="B395" t="s">
        <v>676</v>
      </c>
      <c r="C395" t="s">
        <v>162</v>
      </c>
      <c r="D395" t="s">
        <v>28</v>
      </c>
      <c r="E395" t="s">
        <v>60</v>
      </c>
      <c r="F395" t="s">
        <v>34</v>
      </c>
      <c r="G395">
        <v>4</v>
      </c>
      <c r="H395" s="6">
        <v>20.53</v>
      </c>
      <c r="I395">
        <v>82.12</v>
      </c>
      <c r="J395">
        <v>4.05</v>
      </c>
      <c r="K395">
        <v>27.07</v>
      </c>
      <c r="L395" t="s">
        <v>17</v>
      </c>
      <c r="M395" t="s">
        <v>29</v>
      </c>
      <c r="N395" t="s">
        <v>25</v>
      </c>
      <c r="O395">
        <f>_xlfn.XLOOKUP(E395,[1]Products!$B$2:$B$11,[1]Products!$F$2:$F$11)</f>
        <v>12.75</v>
      </c>
      <c r="P395">
        <f t="shared" si="12"/>
        <v>51</v>
      </c>
      <c r="Q395" s="3">
        <f t="shared" si="13"/>
        <v>0.32963955187530442</v>
      </c>
      <c r="R395">
        <f>MONTH(Table1[[#This Row],[Order_Date]])</f>
        <v>11</v>
      </c>
    </row>
    <row r="396" spans="1:18" x14ac:dyDescent="0.3">
      <c r="A396" t="s">
        <v>545</v>
      </c>
      <c r="B396" t="s">
        <v>673</v>
      </c>
      <c r="C396" t="s">
        <v>145</v>
      </c>
      <c r="D396" t="s">
        <v>125</v>
      </c>
      <c r="E396" t="s">
        <v>45</v>
      </c>
      <c r="F396" t="s">
        <v>34</v>
      </c>
      <c r="G396">
        <v>6</v>
      </c>
      <c r="H396" s="6">
        <v>24.7</v>
      </c>
      <c r="I396">
        <v>148.19999999999999</v>
      </c>
      <c r="J396">
        <v>3.76</v>
      </c>
      <c r="K396">
        <v>24.44</v>
      </c>
      <c r="L396" t="s">
        <v>35</v>
      </c>
      <c r="M396" t="s">
        <v>18</v>
      </c>
      <c r="N396" t="s">
        <v>126</v>
      </c>
      <c r="O396">
        <f>_xlfn.XLOOKUP(E396,[1]Products!$B$2:$B$11,[1]Products!$F$2:$F$11)</f>
        <v>20</v>
      </c>
      <c r="P396">
        <f t="shared" si="12"/>
        <v>120</v>
      </c>
      <c r="Q396" s="3">
        <f t="shared" si="13"/>
        <v>0.1649122807017544</v>
      </c>
      <c r="R396">
        <f>MONTH(Table1[[#This Row],[Order_Date]])</f>
        <v>7</v>
      </c>
    </row>
    <row r="397" spans="1:18" x14ac:dyDescent="0.3">
      <c r="A397" t="s">
        <v>546</v>
      </c>
      <c r="B397" t="s">
        <v>670</v>
      </c>
      <c r="C397" t="s">
        <v>326</v>
      </c>
      <c r="D397" t="s">
        <v>32</v>
      </c>
      <c r="E397" t="s">
        <v>60</v>
      </c>
      <c r="F397" t="s">
        <v>34</v>
      </c>
      <c r="G397">
        <v>19</v>
      </c>
      <c r="H397" s="6">
        <v>19.170000000000002</v>
      </c>
      <c r="I397">
        <v>364.23</v>
      </c>
      <c r="J397">
        <v>15.16</v>
      </c>
      <c r="K397">
        <v>106.82</v>
      </c>
      <c r="L397" t="s">
        <v>23</v>
      </c>
      <c r="M397" t="s">
        <v>24</v>
      </c>
      <c r="N397" t="s">
        <v>36</v>
      </c>
      <c r="O397">
        <f>_xlfn.XLOOKUP(E397,[1]Products!$B$2:$B$11,[1]Products!$F$2:$F$11)</f>
        <v>12.75</v>
      </c>
      <c r="P397">
        <f t="shared" si="12"/>
        <v>242.25</v>
      </c>
      <c r="Q397" s="3">
        <f t="shared" si="13"/>
        <v>0.29327622656014052</v>
      </c>
      <c r="R397">
        <f>MONTH(Table1[[#This Row],[Order_Date]])</f>
        <v>12</v>
      </c>
    </row>
    <row r="398" spans="1:18" x14ac:dyDescent="0.3">
      <c r="A398" t="s">
        <v>547</v>
      </c>
      <c r="B398" t="s">
        <v>675</v>
      </c>
      <c r="C398" t="s">
        <v>395</v>
      </c>
      <c r="D398" t="s">
        <v>52</v>
      </c>
      <c r="E398" t="s">
        <v>40</v>
      </c>
      <c r="F398" t="s">
        <v>41</v>
      </c>
      <c r="G398">
        <v>2</v>
      </c>
      <c r="H398" s="6">
        <v>55.28</v>
      </c>
      <c r="I398">
        <v>110.56</v>
      </c>
      <c r="J398">
        <v>5.37</v>
      </c>
      <c r="K398">
        <v>25.19</v>
      </c>
      <c r="L398" t="s">
        <v>35</v>
      </c>
      <c r="M398" t="s">
        <v>24</v>
      </c>
      <c r="N398" t="s">
        <v>55</v>
      </c>
      <c r="O398">
        <f>_xlfn.XLOOKUP(E398,[1]Products!$B$2:$B$11,[1]Products!$F$2:$F$11)</f>
        <v>40</v>
      </c>
      <c r="P398">
        <f t="shared" si="12"/>
        <v>80</v>
      </c>
      <c r="Q398" s="3">
        <f t="shared" si="13"/>
        <v>0.22784008683068019</v>
      </c>
      <c r="R398">
        <f>MONTH(Table1[[#This Row],[Order_Date]])</f>
        <v>5</v>
      </c>
    </row>
    <row r="399" spans="1:18" x14ac:dyDescent="0.3">
      <c r="A399" t="s">
        <v>548</v>
      </c>
      <c r="B399" t="s">
        <v>665</v>
      </c>
      <c r="C399" t="s">
        <v>207</v>
      </c>
      <c r="D399" t="s">
        <v>32</v>
      </c>
      <c r="E399" t="s">
        <v>53</v>
      </c>
      <c r="F399" t="s">
        <v>54</v>
      </c>
      <c r="G399">
        <v>49</v>
      </c>
      <c r="H399" s="6">
        <v>43.91</v>
      </c>
      <c r="I399">
        <v>2151.59</v>
      </c>
      <c r="J399">
        <v>63.55</v>
      </c>
      <c r="K399">
        <v>863.04</v>
      </c>
      <c r="L399" t="s">
        <v>17</v>
      </c>
      <c r="M399" t="s">
        <v>24</v>
      </c>
      <c r="N399" t="s">
        <v>36</v>
      </c>
      <c r="O399">
        <f>_xlfn.XLOOKUP(E399,[1]Products!$B$2:$B$11,[1]Products!$F$2:$F$11)</f>
        <v>25</v>
      </c>
      <c r="P399">
        <f t="shared" si="12"/>
        <v>1225</v>
      </c>
      <c r="Q399" s="3">
        <f t="shared" si="13"/>
        <v>0.40111731324276462</v>
      </c>
      <c r="R399">
        <f>MONTH(Table1[[#This Row],[Order_Date]])</f>
        <v>6</v>
      </c>
    </row>
    <row r="400" spans="1:18" x14ac:dyDescent="0.3">
      <c r="A400" t="s">
        <v>549</v>
      </c>
      <c r="B400" t="s">
        <v>663</v>
      </c>
      <c r="C400" t="s">
        <v>189</v>
      </c>
      <c r="D400" t="s">
        <v>32</v>
      </c>
      <c r="E400" t="s">
        <v>53</v>
      </c>
      <c r="F400" t="s">
        <v>54</v>
      </c>
      <c r="G400">
        <v>29</v>
      </c>
      <c r="H400" s="6">
        <v>41.84</v>
      </c>
      <c r="I400">
        <v>1213.3599999999999</v>
      </c>
      <c r="J400">
        <v>56.83</v>
      </c>
      <c r="K400">
        <v>431.53</v>
      </c>
      <c r="L400" t="s">
        <v>35</v>
      </c>
      <c r="M400" t="s">
        <v>29</v>
      </c>
      <c r="N400" t="s">
        <v>36</v>
      </c>
      <c r="O400">
        <f>_xlfn.XLOOKUP(E400,[1]Products!$B$2:$B$11,[1]Products!$F$2:$F$11)</f>
        <v>25</v>
      </c>
      <c r="P400">
        <f t="shared" si="12"/>
        <v>725</v>
      </c>
      <c r="Q400" s="3">
        <f t="shared" si="13"/>
        <v>0.35564877694995717</v>
      </c>
      <c r="R400">
        <f>MONTH(Table1[[#This Row],[Order_Date]])</f>
        <v>4</v>
      </c>
    </row>
    <row r="401" spans="1:18" x14ac:dyDescent="0.3">
      <c r="A401" t="s">
        <v>550</v>
      </c>
      <c r="B401" t="s">
        <v>665</v>
      </c>
      <c r="C401" t="s">
        <v>172</v>
      </c>
      <c r="D401" t="s">
        <v>82</v>
      </c>
      <c r="E401" t="s">
        <v>57</v>
      </c>
      <c r="F401" t="s">
        <v>49</v>
      </c>
      <c r="G401">
        <v>43</v>
      </c>
      <c r="H401" s="6">
        <v>27.41</v>
      </c>
      <c r="I401">
        <v>1178.6300000000001</v>
      </c>
      <c r="J401">
        <v>55.82</v>
      </c>
      <c r="K401">
        <v>456.31</v>
      </c>
      <c r="L401" t="s">
        <v>35</v>
      </c>
      <c r="M401" t="s">
        <v>24</v>
      </c>
      <c r="N401" t="s">
        <v>83</v>
      </c>
      <c r="O401">
        <f>_xlfn.XLOOKUP(E401,[1]Products!$B$2:$B$11,[1]Products!$F$2:$F$11)</f>
        <v>15.5</v>
      </c>
      <c r="P401">
        <f t="shared" si="12"/>
        <v>666.5</v>
      </c>
      <c r="Q401" s="3">
        <f t="shared" si="13"/>
        <v>0.38715288088713162</v>
      </c>
      <c r="R401">
        <f>MONTH(Table1[[#This Row],[Order_Date]])</f>
        <v>6</v>
      </c>
    </row>
    <row r="402" spans="1:18" x14ac:dyDescent="0.3">
      <c r="A402" t="s">
        <v>551</v>
      </c>
      <c r="B402" t="s">
        <v>668</v>
      </c>
      <c r="C402" t="s">
        <v>469</v>
      </c>
      <c r="D402" t="s">
        <v>44</v>
      </c>
      <c r="E402" t="s">
        <v>45</v>
      </c>
      <c r="F402" t="s">
        <v>34</v>
      </c>
      <c r="G402">
        <v>28</v>
      </c>
      <c r="H402" s="6">
        <v>31.84</v>
      </c>
      <c r="I402">
        <v>891.52</v>
      </c>
      <c r="J402">
        <v>54.24</v>
      </c>
      <c r="K402">
        <v>277.27999999999997</v>
      </c>
      <c r="L402" t="s">
        <v>17</v>
      </c>
      <c r="M402" t="s">
        <v>24</v>
      </c>
      <c r="N402" t="s">
        <v>19</v>
      </c>
      <c r="O402">
        <f>_xlfn.XLOOKUP(E402,[1]Products!$B$2:$B$11,[1]Products!$F$2:$F$11)</f>
        <v>20</v>
      </c>
      <c r="P402">
        <f t="shared" si="12"/>
        <v>560</v>
      </c>
      <c r="Q402" s="3">
        <f t="shared" si="13"/>
        <v>0.31101938262742279</v>
      </c>
      <c r="R402">
        <f>MONTH(Table1[[#This Row],[Order_Date]])</f>
        <v>8</v>
      </c>
    </row>
    <row r="403" spans="1:18" x14ac:dyDescent="0.3">
      <c r="A403" t="s">
        <v>552</v>
      </c>
      <c r="B403" t="s">
        <v>670</v>
      </c>
      <c r="C403" t="s">
        <v>287</v>
      </c>
      <c r="D403" t="s">
        <v>52</v>
      </c>
      <c r="E403" t="s">
        <v>53</v>
      </c>
      <c r="F403" t="s">
        <v>54</v>
      </c>
      <c r="G403">
        <v>42</v>
      </c>
      <c r="H403" s="6">
        <v>35.840000000000003</v>
      </c>
      <c r="I403">
        <v>1505.28</v>
      </c>
      <c r="J403">
        <v>60.65</v>
      </c>
      <c r="K403">
        <v>394.63</v>
      </c>
      <c r="L403" t="s">
        <v>35</v>
      </c>
      <c r="M403" t="s">
        <v>24</v>
      </c>
      <c r="N403" t="s">
        <v>55</v>
      </c>
      <c r="O403">
        <f>_xlfn.XLOOKUP(E403,[1]Products!$B$2:$B$11,[1]Products!$F$2:$F$11)</f>
        <v>25</v>
      </c>
      <c r="P403">
        <f t="shared" si="12"/>
        <v>1050</v>
      </c>
      <c r="Q403" s="3">
        <f t="shared" si="13"/>
        <v>0.262163849914966</v>
      </c>
      <c r="R403">
        <f>MONTH(Table1[[#This Row],[Order_Date]])</f>
        <v>12</v>
      </c>
    </row>
    <row r="404" spans="1:18" x14ac:dyDescent="0.3">
      <c r="A404" t="s">
        <v>553</v>
      </c>
      <c r="B404" t="s">
        <v>667</v>
      </c>
      <c r="C404" t="s">
        <v>59</v>
      </c>
      <c r="D404" t="s">
        <v>66</v>
      </c>
      <c r="E404" t="s">
        <v>48</v>
      </c>
      <c r="F404" t="s">
        <v>49</v>
      </c>
      <c r="G404">
        <v>22</v>
      </c>
      <c r="H404" s="6">
        <v>30.55</v>
      </c>
      <c r="I404">
        <v>672.1</v>
      </c>
      <c r="J404">
        <v>46.8</v>
      </c>
      <c r="K404">
        <v>130.30000000000001</v>
      </c>
      <c r="L404" t="s">
        <v>23</v>
      </c>
      <c r="M404" t="s">
        <v>29</v>
      </c>
      <c r="N404" t="s">
        <v>55</v>
      </c>
      <c r="O404">
        <f>_xlfn.XLOOKUP(E404,[1]Products!$B$2:$B$11,[1]Products!$F$2:$F$11)</f>
        <v>22.5</v>
      </c>
      <c r="P404">
        <f t="shared" si="12"/>
        <v>495</v>
      </c>
      <c r="Q404" s="3">
        <f t="shared" si="13"/>
        <v>0.19386995982740665</v>
      </c>
      <c r="R404">
        <f>MONTH(Table1[[#This Row],[Order_Date]])</f>
        <v>9</v>
      </c>
    </row>
    <row r="405" spans="1:18" x14ac:dyDescent="0.3">
      <c r="A405" t="s">
        <v>554</v>
      </c>
      <c r="B405" t="s">
        <v>669</v>
      </c>
      <c r="C405" t="s">
        <v>217</v>
      </c>
      <c r="D405" t="s">
        <v>73</v>
      </c>
      <c r="E405" t="s">
        <v>79</v>
      </c>
      <c r="F405" t="s">
        <v>49</v>
      </c>
      <c r="G405">
        <v>13</v>
      </c>
      <c r="H405" s="6">
        <v>45.16</v>
      </c>
      <c r="I405">
        <v>587.08000000000004</v>
      </c>
      <c r="J405">
        <v>29.68</v>
      </c>
      <c r="K405">
        <v>193.4</v>
      </c>
      <c r="L405" t="s">
        <v>23</v>
      </c>
      <c r="M405" t="s">
        <v>24</v>
      </c>
      <c r="N405" t="s">
        <v>55</v>
      </c>
      <c r="O405">
        <f>_xlfn.XLOOKUP(E405,[1]Products!$B$2:$B$11,[1]Products!$F$2:$F$11)</f>
        <v>28</v>
      </c>
      <c r="P405">
        <f t="shared" si="12"/>
        <v>364</v>
      </c>
      <c r="Q405" s="3">
        <f t="shared" si="13"/>
        <v>0.32942699461742864</v>
      </c>
      <c r="R405">
        <f>MONTH(Table1[[#This Row],[Order_Date]])</f>
        <v>4</v>
      </c>
    </row>
    <row r="406" spans="1:18" x14ac:dyDescent="0.3">
      <c r="A406" t="s">
        <v>555</v>
      </c>
      <c r="B406" t="s">
        <v>665</v>
      </c>
      <c r="C406" t="s">
        <v>138</v>
      </c>
      <c r="D406" t="s">
        <v>125</v>
      </c>
      <c r="E406" t="s">
        <v>15</v>
      </c>
      <c r="F406" t="s">
        <v>16</v>
      </c>
      <c r="G406">
        <v>40</v>
      </c>
      <c r="H406" s="6">
        <v>45.23</v>
      </c>
      <c r="I406">
        <v>1809.2</v>
      </c>
      <c r="J406">
        <v>136.25</v>
      </c>
      <c r="K406">
        <v>272.95</v>
      </c>
      <c r="L406" t="s">
        <v>35</v>
      </c>
      <c r="M406" t="s">
        <v>29</v>
      </c>
      <c r="N406" t="s">
        <v>126</v>
      </c>
      <c r="O406">
        <f>_xlfn.XLOOKUP(E406,[1]Products!$B$2:$B$11,[1]Products!$F$2:$F$11)</f>
        <v>35</v>
      </c>
      <c r="P406">
        <f t="shared" si="12"/>
        <v>1400</v>
      </c>
      <c r="Q406" s="3">
        <f t="shared" si="13"/>
        <v>0.15086778686712357</v>
      </c>
      <c r="R406">
        <f>MONTH(Table1[[#This Row],[Order_Date]])</f>
        <v>6</v>
      </c>
    </row>
    <row r="407" spans="1:18" x14ac:dyDescent="0.3">
      <c r="A407" t="s">
        <v>556</v>
      </c>
      <c r="B407" t="s">
        <v>677</v>
      </c>
      <c r="C407" t="s">
        <v>253</v>
      </c>
      <c r="D407" t="s">
        <v>73</v>
      </c>
      <c r="E407" t="s">
        <v>22</v>
      </c>
      <c r="F407" t="s">
        <v>16</v>
      </c>
      <c r="G407">
        <v>41</v>
      </c>
      <c r="H407" s="6">
        <v>22.78</v>
      </c>
      <c r="I407">
        <v>933.98</v>
      </c>
      <c r="J407">
        <v>38.369999999999997</v>
      </c>
      <c r="K407">
        <v>157.61000000000001</v>
      </c>
      <c r="L407" t="s">
        <v>23</v>
      </c>
      <c r="M407" t="s">
        <v>18</v>
      </c>
      <c r="N407" t="s">
        <v>55</v>
      </c>
      <c r="O407">
        <f>_xlfn.XLOOKUP(E407,[1]Products!$B$2:$B$11,[1]Products!$F$2:$F$11)</f>
        <v>18</v>
      </c>
      <c r="P407">
        <f t="shared" si="12"/>
        <v>738</v>
      </c>
      <c r="Q407" s="3">
        <f t="shared" si="13"/>
        <v>0.16875093685089618</v>
      </c>
      <c r="R407">
        <f>MONTH(Table1[[#This Row],[Order_Date]])</f>
        <v>1</v>
      </c>
    </row>
    <row r="408" spans="1:18" x14ac:dyDescent="0.3">
      <c r="A408" t="s">
        <v>557</v>
      </c>
      <c r="B408" t="s">
        <v>673</v>
      </c>
      <c r="C408" t="s">
        <v>98</v>
      </c>
      <c r="D408" t="s">
        <v>102</v>
      </c>
      <c r="E408" t="s">
        <v>57</v>
      </c>
      <c r="F408" t="s">
        <v>49</v>
      </c>
      <c r="G408">
        <v>34</v>
      </c>
      <c r="H408" s="6">
        <v>24.21</v>
      </c>
      <c r="I408">
        <v>823.14</v>
      </c>
      <c r="J408">
        <v>58.25</v>
      </c>
      <c r="K408">
        <v>237.89</v>
      </c>
      <c r="L408" t="s">
        <v>17</v>
      </c>
      <c r="M408" t="s">
        <v>18</v>
      </c>
      <c r="N408" t="s">
        <v>25</v>
      </c>
      <c r="O408">
        <f>_xlfn.XLOOKUP(E408,[1]Products!$B$2:$B$11,[1]Products!$F$2:$F$11)</f>
        <v>15.5</v>
      </c>
      <c r="P408">
        <f t="shared" si="12"/>
        <v>527</v>
      </c>
      <c r="Q408" s="3">
        <f t="shared" si="13"/>
        <v>0.28900308574483075</v>
      </c>
      <c r="R408">
        <f>MONTH(Table1[[#This Row],[Order_Date]])</f>
        <v>7</v>
      </c>
    </row>
    <row r="409" spans="1:18" x14ac:dyDescent="0.3">
      <c r="A409" t="s">
        <v>558</v>
      </c>
      <c r="B409" t="s">
        <v>669</v>
      </c>
      <c r="C409" t="s">
        <v>111</v>
      </c>
      <c r="D409" t="s">
        <v>653</v>
      </c>
      <c r="E409" t="s">
        <v>45</v>
      </c>
      <c r="F409" t="s">
        <v>34</v>
      </c>
      <c r="G409">
        <v>46</v>
      </c>
      <c r="H409" s="6">
        <v>34.64</v>
      </c>
      <c r="I409">
        <v>1593.44</v>
      </c>
      <c r="J409">
        <v>45.93</v>
      </c>
      <c r="K409">
        <v>627.51</v>
      </c>
      <c r="L409" t="s">
        <v>35</v>
      </c>
      <c r="M409" t="s">
        <v>18</v>
      </c>
      <c r="N409" t="s">
        <v>25</v>
      </c>
      <c r="O409">
        <f>_xlfn.XLOOKUP(E409,[1]Products!$B$2:$B$11,[1]Products!$F$2:$F$11)</f>
        <v>20</v>
      </c>
      <c r="P409">
        <f t="shared" si="12"/>
        <v>920</v>
      </c>
      <c r="Q409" s="3">
        <f t="shared" si="13"/>
        <v>0.39380836429360377</v>
      </c>
      <c r="R409">
        <f>MONTH(Table1[[#This Row],[Order_Date]])</f>
        <v>4</v>
      </c>
    </row>
    <row r="410" spans="1:18" x14ac:dyDescent="0.3">
      <c r="A410" t="s">
        <v>559</v>
      </c>
      <c r="B410" t="s">
        <v>677</v>
      </c>
      <c r="C410" t="s">
        <v>138</v>
      </c>
      <c r="D410" t="s">
        <v>39</v>
      </c>
      <c r="E410" t="s">
        <v>45</v>
      </c>
      <c r="F410" t="s">
        <v>34</v>
      </c>
      <c r="G410">
        <v>10</v>
      </c>
      <c r="H410" s="6">
        <v>27.06</v>
      </c>
      <c r="I410">
        <v>270.60000000000002</v>
      </c>
      <c r="J410">
        <v>15.35</v>
      </c>
      <c r="K410">
        <v>55.25</v>
      </c>
      <c r="L410" t="s">
        <v>17</v>
      </c>
      <c r="M410" t="s">
        <v>29</v>
      </c>
      <c r="N410" t="s">
        <v>19</v>
      </c>
      <c r="O410">
        <f>_xlfn.XLOOKUP(E410,[1]Products!$B$2:$B$11,[1]Products!$F$2:$F$11)</f>
        <v>20</v>
      </c>
      <c r="P410">
        <f t="shared" si="12"/>
        <v>200</v>
      </c>
      <c r="Q410" s="3">
        <f t="shared" si="13"/>
        <v>0.20417590539541758</v>
      </c>
      <c r="R410">
        <f>MONTH(Table1[[#This Row],[Order_Date]])</f>
        <v>1</v>
      </c>
    </row>
    <row r="411" spans="1:18" x14ac:dyDescent="0.3">
      <c r="A411" t="s">
        <v>560</v>
      </c>
      <c r="B411" t="s">
        <v>664</v>
      </c>
      <c r="C411" t="s">
        <v>135</v>
      </c>
      <c r="D411" t="s">
        <v>653</v>
      </c>
      <c r="E411" t="s">
        <v>22</v>
      </c>
      <c r="F411" t="s">
        <v>16</v>
      </c>
      <c r="G411">
        <v>11</v>
      </c>
      <c r="H411" s="6">
        <v>27.74</v>
      </c>
      <c r="I411">
        <v>305.14</v>
      </c>
      <c r="J411">
        <v>10.81</v>
      </c>
      <c r="K411">
        <v>96.33</v>
      </c>
      <c r="L411" t="s">
        <v>23</v>
      </c>
      <c r="M411" t="s">
        <v>29</v>
      </c>
      <c r="N411" t="s">
        <v>25</v>
      </c>
      <c r="O411">
        <f>_xlfn.XLOOKUP(E411,[1]Products!$B$2:$B$11,[1]Products!$F$2:$F$11)</f>
        <v>18</v>
      </c>
      <c r="P411">
        <f t="shared" si="12"/>
        <v>198</v>
      </c>
      <c r="Q411" s="3">
        <f t="shared" si="13"/>
        <v>0.31569115815691157</v>
      </c>
      <c r="R411">
        <f>MONTH(Table1[[#This Row],[Order_Date]])</f>
        <v>10</v>
      </c>
    </row>
    <row r="412" spans="1:18" x14ac:dyDescent="0.3">
      <c r="A412" t="s">
        <v>561</v>
      </c>
      <c r="B412" t="s">
        <v>677</v>
      </c>
      <c r="C412" t="s">
        <v>93</v>
      </c>
      <c r="D412" t="s">
        <v>39</v>
      </c>
      <c r="E412" t="s">
        <v>79</v>
      </c>
      <c r="F412" t="s">
        <v>49</v>
      </c>
      <c r="G412">
        <v>29</v>
      </c>
      <c r="H412" s="6">
        <v>38.08</v>
      </c>
      <c r="I412">
        <v>1104.32</v>
      </c>
      <c r="J412">
        <v>25.63</v>
      </c>
      <c r="K412">
        <v>266.69</v>
      </c>
      <c r="L412" t="s">
        <v>23</v>
      </c>
      <c r="M412" t="s">
        <v>29</v>
      </c>
      <c r="N412" t="s">
        <v>19</v>
      </c>
      <c r="O412">
        <f>_xlfn.XLOOKUP(E412,[1]Products!$B$2:$B$11,[1]Products!$F$2:$F$11)</f>
        <v>28</v>
      </c>
      <c r="P412">
        <f t="shared" si="12"/>
        <v>812</v>
      </c>
      <c r="Q412" s="3">
        <f t="shared" si="13"/>
        <v>0.24149702984642135</v>
      </c>
      <c r="R412">
        <f>MONTH(Table1[[#This Row],[Order_Date]])</f>
        <v>1</v>
      </c>
    </row>
    <row r="413" spans="1:18" x14ac:dyDescent="0.3">
      <c r="A413" t="s">
        <v>562</v>
      </c>
      <c r="B413" t="s">
        <v>669</v>
      </c>
      <c r="C413" t="s">
        <v>115</v>
      </c>
      <c r="D413" t="s">
        <v>39</v>
      </c>
      <c r="E413" t="s">
        <v>79</v>
      </c>
      <c r="F413" t="s">
        <v>49</v>
      </c>
      <c r="G413">
        <v>18</v>
      </c>
      <c r="H413" s="6">
        <v>43.65</v>
      </c>
      <c r="I413">
        <v>785.7</v>
      </c>
      <c r="J413">
        <v>54.52</v>
      </c>
      <c r="K413">
        <v>227.18</v>
      </c>
      <c r="L413" t="s">
        <v>23</v>
      </c>
      <c r="M413" t="s">
        <v>18</v>
      </c>
      <c r="N413" t="s">
        <v>19</v>
      </c>
      <c r="O413">
        <f>_xlfn.XLOOKUP(E413,[1]Products!$B$2:$B$11,[1]Products!$F$2:$F$11)</f>
        <v>28</v>
      </c>
      <c r="P413">
        <f t="shared" si="12"/>
        <v>504</v>
      </c>
      <c r="Q413" s="3">
        <f t="shared" si="13"/>
        <v>0.28914343897161765</v>
      </c>
      <c r="R413">
        <f>MONTH(Table1[[#This Row],[Order_Date]])</f>
        <v>4</v>
      </c>
    </row>
    <row r="414" spans="1:18" x14ac:dyDescent="0.3">
      <c r="A414" t="s">
        <v>563</v>
      </c>
      <c r="B414" t="s">
        <v>671</v>
      </c>
      <c r="C414" t="s">
        <v>350</v>
      </c>
      <c r="D414" t="s">
        <v>102</v>
      </c>
      <c r="E414" t="s">
        <v>15</v>
      </c>
      <c r="F414" t="s">
        <v>16</v>
      </c>
      <c r="G414">
        <v>49</v>
      </c>
      <c r="H414" s="6">
        <v>51.97</v>
      </c>
      <c r="I414">
        <v>2546.5300000000002</v>
      </c>
      <c r="J414">
        <v>112.26</v>
      </c>
      <c r="K414">
        <v>719.27</v>
      </c>
      <c r="L414" t="s">
        <v>23</v>
      </c>
      <c r="M414" t="s">
        <v>24</v>
      </c>
      <c r="N414" t="s">
        <v>25</v>
      </c>
      <c r="O414">
        <f>_xlfn.XLOOKUP(E414,[1]Products!$B$2:$B$11,[1]Products!$F$2:$F$11)</f>
        <v>35</v>
      </c>
      <c r="P414">
        <f t="shared" si="12"/>
        <v>1715</v>
      </c>
      <c r="Q414" s="3">
        <f t="shared" si="13"/>
        <v>0.28245102158623692</v>
      </c>
      <c r="R414">
        <f>MONTH(Table1[[#This Row],[Order_Date]])</f>
        <v>2</v>
      </c>
    </row>
    <row r="415" spans="1:18" x14ac:dyDescent="0.3">
      <c r="A415" t="s">
        <v>564</v>
      </c>
      <c r="B415" t="s">
        <v>661</v>
      </c>
      <c r="C415" t="s">
        <v>119</v>
      </c>
      <c r="D415" t="s">
        <v>66</v>
      </c>
      <c r="E415" t="s">
        <v>53</v>
      </c>
      <c r="F415" t="s">
        <v>54</v>
      </c>
      <c r="G415">
        <v>13</v>
      </c>
      <c r="H415" s="6">
        <v>36.85</v>
      </c>
      <c r="I415">
        <v>479.05</v>
      </c>
      <c r="J415">
        <v>10.15</v>
      </c>
      <c r="K415">
        <v>143.9</v>
      </c>
      <c r="L415" t="s">
        <v>17</v>
      </c>
      <c r="M415" t="s">
        <v>29</v>
      </c>
      <c r="N415" t="s">
        <v>55</v>
      </c>
      <c r="O415">
        <f>_xlfn.XLOOKUP(E415,[1]Products!$B$2:$B$11,[1]Products!$F$2:$F$11)</f>
        <v>25</v>
      </c>
      <c r="P415">
        <f t="shared" si="12"/>
        <v>325</v>
      </c>
      <c r="Q415" s="3">
        <f t="shared" si="13"/>
        <v>0.30038618098319592</v>
      </c>
      <c r="R415">
        <f>MONTH(Table1[[#This Row],[Order_Date]])</f>
        <v>1</v>
      </c>
    </row>
    <row r="416" spans="1:18" x14ac:dyDescent="0.3">
      <c r="A416" t="s">
        <v>565</v>
      </c>
      <c r="B416" t="s">
        <v>675</v>
      </c>
      <c r="C416" t="s">
        <v>70</v>
      </c>
      <c r="D416" t="s">
        <v>39</v>
      </c>
      <c r="E416" t="s">
        <v>33</v>
      </c>
      <c r="F416" t="s">
        <v>34</v>
      </c>
      <c r="G416">
        <v>33</v>
      </c>
      <c r="H416" s="6">
        <v>38.520000000000003</v>
      </c>
      <c r="I416">
        <v>1271.1600000000001</v>
      </c>
      <c r="J416">
        <v>81.459999999999994</v>
      </c>
      <c r="K416">
        <v>133.69999999999999</v>
      </c>
      <c r="L416" t="s">
        <v>17</v>
      </c>
      <c r="M416" t="s">
        <v>18</v>
      </c>
      <c r="N416" t="s">
        <v>19</v>
      </c>
      <c r="O416">
        <f>_xlfn.XLOOKUP(E416,[1]Products!$B$2:$B$11,[1]Products!$F$2:$F$11)</f>
        <v>32</v>
      </c>
      <c r="P416">
        <f t="shared" si="12"/>
        <v>1056</v>
      </c>
      <c r="Q416" s="3">
        <f t="shared" si="13"/>
        <v>0.10517952106737152</v>
      </c>
      <c r="R416">
        <f>MONTH(Table1[[#This Row],[Order_Date]])</f>
        <v>5</v>
      </c>
    </row>
    <row r="417" spans="1:18" x14ac:dyDescent="0.3">
      <c r="A417" t="s">
        <v>566</v>
      </c>
      <c r="B417" t="s">
        <v>669</v>
      </c>
      <c r="C417" t="s">
        <v>236</v>
      </c>
      <c r="D417" t="s">
        <v>52</v>
      </c>
      <c r="E417" t="s">
        <v>57</v>
      </c>
      <c r="F417" t="s">
        <v>49</v>
      </c>
      <c r="G417">
        <v>41</v>
      </c>
      <c r="H417" s="6">
        <v>26.98</v>
      </c>
      <c r="I417">
        <v>1106.18</v>
      </c>
      <c r="J417">
        <v>51.77</v>
      </c>
      <c r="K417">
        <v>418.91</v>
      </c>
      <c r="L417" t="s">
        <v>35</v>
      </c>
      <c r="M417" t="s">
        <v>24</v>
      </c>
      <c r="N417" t="s">
        <v>55</v>
      </c>
      <c r="O417">
        <f>_xlfn.XLOOKUP(E417,[1]Products!$B$2:$B$11,[1]Products!$F$2:$F$11)</f>
        <v>15.5</v>
      </c>
      <c r="P417">
        <f t="shared" si="12"/>
        <v>635.5</v>
      </c>
      <c r="Q417" s="3">
        <f t="shared" si="13"/>
        <v>0.37869966913160608</v>
      </c>
      <c r="R417">
        <f>MONTH(Table1[[#This Row],[Order_Date]])</f>
        <v>4</v>
      </c>
    </row>
    <row r="418" spans="1:18" x14ac:dyDescent="0.3">
      <c r="A418" t="s">
        <v>567</v>
      </c>
      <c r="B418" t="s">
        <v>671</v>
      </c>
      <c r="C418" t="s">
        <v>93</v>
      </c>
      <c r="D418" t="s">
        <v>102</v>
      </c>
      <c r="E418" t="s">
        <v>57</v>
      </c>
      <c r="F418" t="s">
        <v>49</v>
      </c>
      <c r="G418">
        <v>4</v>
      </c>
      <c r="H418" s="6">
        <v>23.56</v>
      </c>
      <c r="I418">
        <v>94.24</v>
      </c>
      <c r="J418">
        <v>7.03</v>
      </c>
      <c r="K418">
        <v>25.21</v>
      </c>
      <c r="L418" t="s">
        <v>35</v>
      </c>
      <c r="M418" t="s">
        <v>29</v>
      </c>
      <c r="N418" t="s">
        <v>25</v>
      </c>
      <c r="O418">
        <f>_xlfn.XLOOKUP(E418,[1]Products!$B$2:$B$11,[1]Products!$F$2:$F$11)</f>
        <v>15.5</v>
      </c>
      <c r="P418">
        <f t="shared" si="12"/>
        <v>62</v>
      </c>
      <c r="Q418" s="3">
        <f t="shared" si="13"/>
        <v>0.26750848896434637</v>
      </c>
      <c r="R418">
        <f>MONTH(Table1[[#This Row],[Order_Date]])</f>
        <v>2</v>
      </c>
    </row>
    <row r="419" spans="1:18" x14ac:dyDescent="0.3">
      <c r="A419" t="s">
        <v>568</v>
      </c>
      <c r="B419" t="s">
        <v>673</v>
      </c>
      <c r="C419" t="s">
        <v>293</v>
      </c>
      <c r="D419" t="s">
        <v>173</v>
      </c>
      <c r="E419" t="s">
        <v>33</v>
      </c>
      <c r="F419" t="s">
        <v>34</v>
      </c>
      <c r="G419">
        <v>17</v>
      </c>
      <c r="H419" s="6">
        <v>57.14</v>
      </c>
      <c r="I419">
        <v>971.38</v>
      </c>
      <c r="J419">
        <v>70.010000000000005</v>
      </c>
      <c r="K419">
        <v>357.37</v>
      </c>
      <c r="L419" t="s">
        <v>35</v>
      </c>
      <c r="M419" t="s">
        <v>24</v>
      </c>
      <c r="N419" t="s">
        <v>55</v>
      </c>
      <c r="O419">
        <f>_xlfn.XLOOKUP(E419,[1]Products!$B$2:$B$11,[1]Products!$F$2:$F$11)</f>
        <v>32</v>
      </c>
      <c r="P419">
        <f t="shared" si="12"/>
        <v>544</v>
      </c>
      <c r="Q419" s="3">
        <f t="shared" si="13"/>
        <v>0.36789927731680705</v>
      </c>
      <c r="R419">
        <f>MONTH(Table1[[#This Row],[Order_Date]])</f>
        <v>7</v>
      </c>
    </row>
    <row r="420" spans="1:18" x14ac:dyDescent="0.3">
      <c r="A420" t="s">
        <v>569</v>
      </c>
      <c r="B420" t="s">
        <v>662</v>
      </c>
      <c r="C420" t="s">
        <v>109</v>
      </c>
      <c r="D420" t="s">
        <v>125</v>
      </c>
      <c r="E420" t="s">
        <v>53</v>
      </c>
      <c r="F420" t="s">
        <v>54</v>
      </c>
      <c r="G420">
        <v>44</v>
      </c>
      <c r="H420" s="6">
        <v>38.14</v>
      </c>
      <c r="I420">
        <v>1678.16</v>
      </c>
      <c r="J420">
        <v>124.49</v>
      </c>
      <c r="K420">
        <v>453.67</v>
      </c>
      <c r="L420" t="s">
        <v>35</v>
      </c>
      <c r="M420" t="s">
        <v>18</v>
      </c>
      <c r="N420" t="s">
        <v>126</v>
      </c>
      <c r="O420">
        <f>_xlfn.XLOOKUP(E420,[1]Products!$B$2:$B$11,[1]Products!$F$2:$F$11)</f>
        <v>25</v>
      </c>
      <c r="P420">
        <f t="shared" si="12"/>
        <v>1100</v>
      </c>
      <c r="Q420" s="3">
        <f t="shared" si="13"/>
        <v>0.27033775087000045</v>
      </c>
      <c r="R420">
        <f>MONTH(Table1[[#This Row],[Order_Date]])</f>
        <v>2</v>
      </c>
    </row>
    <row r="421" spans="1:18" x14ac:dyDescent="0.3">
      <c r="A421" t="s">
        <v>570</v>
      </c>
      <c r="B421" t="s">
        <v>673</v>
      </c>
      <c r="C421" t="s">
        <v>98</v>
      </c>
      <c r="D421" t="s">
        <v>82</v>
      </c>
      <c r="E421" t="s">
        <v>22</v>
      </c>
      <c r="F421" t="s">
        <v>16</v>
      </c>
      <c r="G421">
        <v>14</v>
      </c>
      <c r="H421" s="6">
        <v>24</v>
      </c>
      <c r="I421">
        <v>336</v>
      </c>
      <c r="J421">
        <v>22.88</v>
      </c>
      <c r="K421">
        <v>61.12</v>
      </c>
      <c r="L421" t="s">
        <v>23</v>
      </c>
      <c r="M421" t="s">
        <v>24</v>
      </c>
      <c r="N421" t="s">
        <v>83</v>
      </c>
      <c r="O421">
        <f>_xlfn.XLOOKUP(E421,[1]Products!$B$2:$B$11,[1]Products!$F$2:$F$11)</f>
        <v>18</v>
      </c>
      <c r="P421">
        <f t="shared" si="12"/>
        <v>252</v>
      </c>
      <c r="Q421" s="3">
        <f t="shared" si="13"/>
        <v>0.1819047619047619</v>
      </c>
      <c r="R421">
        <f>MONTH(Table1[[#This Row],[Order_Date]])</f>
        <v>7</v>
      </c>
    </row>
    <row r="422" spans="1:18" x14ac:dyDescent="0.3">
      <c r="A422" t="s">
        <v>571</v>
      </c>
      <c r="B422" t="s">
        <v>671</v>
      </c>
      <c r="C422" t="s">
        <v>72</v>
      </c>
      <c r="D422" t="s">
        <v>52</v>
      </c>
      <c r="E422" t="s">
        <v>57</v>
      </c>
      <c r="F422" t="s">
        <v>49</v>
      </c>
      <c r="G422">
        <v>50</v>
      </c>
      <c r="H422" s="6">
        <v>26.91</v>
      </c>
      <c r="I422">
        <v>1345.5</v>
      </c>
      <c r="J422">
        <v>91.7</v>
      </c>
      <c r="K422">
        <v>478.8</v>
      </c>
      <c r="L422" t="s">
        <v>35</v>
      </c>
      <c r="M422" t="s">
        <v>18</v>
      </c>
      <c r="N422" t="s">
        <v>55</v>
      </c>
      <c r="O422">
        <f>_xlfn.XLOOKUP(E422,[1]Products!$B$2:$B$11,[1]Products!$F$2:$F$11)</f>
        <v>15.5</v>
      </c>
      <c r="P422">
        <f t="shared" si="12"/>
        <v>775</v>
      </c>
      <c r="Q422" s="3">
        <f t="shared" si="13"/>
        <v>0.35585284280936458</v>
      </c>
      <c r="R422">
        <f>MONTH(Table1[[#This Row],[Order_Date]])</f>
        <v>2</v>
      </c>
    </row>
    <row r="423" spans="1:18" x14ac:dyDescent="0.3">
      <c r="A423" t="s">
        <v>572</v>
      </c>
      <c r="B423" t="s">
        <v>666</v>
      </c>
      <c r="C423" t="s">
        <v>282</v>
      </c>
      <c r="D423" t="s">
        <v>28</v>
      </c>
      <c r="E423" t="s">
        <v>40</v>
      </c>
      <c r="F423" t="s">
        <v>41</v>
      </c>
      <c r="G423">
        <v>7</v>
      </c>
      <c r="H423" s="6">
        <v>59.41</v>
      </c>
      <c r="I423">
        <v>415.87</v>
      </c>
      <c r="J423">
        <v>25.51</v>
      </c>
      <c r="K423">
        <v>110.36</v>
      </c>
      <c r="L423" t="s">
        <v>17</v>
      </c>
      <c r="M423" t="s">
        <v>29</v>
      </c>
      <c r="N423" t="s">
        <v>25</v>
      </c>
      <c r="O423">
        <f>_xlfn.XLOOKUP(E423,[1]Products!$B$2:$B$11,[1]Products!$F$2:$F$11)</f>
        <v>40</v>
      </c>
      <c r="P423">
        <f t="shared" si="12"/>
        <v>280</v>
      </c>
      <c r="Q423" s="3">
        <f t="shared" si="13"/>
        <v>0.26537139009786714</v>
      </c>
      <c r="R423">
        <f>MONTH(Table1[[#This Row],[Order_Date]])</f>
        <v>5</v>
      </c>
    </row>
    <row r="424" spans="1:18" x14ac:dyDescent="0.3">
      <c r="A424" t="s">
        <v>573</v>
      </c>
      <c r="B424" t="s">
        <v>677</v>
      </c>
      <c r="C424" t="s">
        <v>245</v>
      </c>
      <c r="D424" t="s">
        <v>73</v>
      </c>
      <c r="E424" t="s">
        <v>53</v>
      </c>
      <c r="F424" t="s">
        <v>54</v>
      </c>
      <c r="G424">
        <v>48</v>
      </c>
      <c r="H424" s="6">
        <v>37.31</v>
      </c>
      <c r="I424">
        <v>1790.88</v>
      </c>
      <c r="J424">
        <v>67.45</v>
      </c>
      <c r="K424">
        <v>523.42999999999995</v>
      </c>
      <c r="L424" t="s">
        <v>17</v>
      </c>
      <c r="M424" t="s">
        <v>24</v>
      </c>
      <c r="N424" t="s">
        <v>55</v>
      </c>
      <c r="O424">
        <f>_xlfn.XLOOKUP(E424,[1]Products!$B$2:$B$11,[1]Products!$F$2:$F$11)</f>
        <v>25</v>
      </c>
      <c r="P424">
        <f t="shared" si="12"/>
        <v>1200</v>
      </c>
      <c r="Q424" s="3">
        <f t="shared" si="13"/>
        <v>0.29227530599481816</v>
      </c>
      <c r="R424">
        <f>MONTH(Table1[[#This Row],[Order_Date]])</f>
        <v>1</v>
      </c>
    </row>
    <row r="425" spans="1:18" x14ac:dyDescent="0.3">
      <c r="A425" t="s">
        <v>574</v>
      </c>
      <c r="B425" t="s">
        <v>673</v>
      </c>
      <c r="C425" t="s">
        <v>175</v>
      </c>
      <c r="D425" t="s">
        <v>654</v>
      </c>
      <c r="E425" t="s">
        <v>40</v>
      </c>
      <c r="F425" t="s">
        <v>41</v>
      </c>
      <c r="G425">
        <v>38</v>
      </c>
      <c r="H425" s="6">
        <v>52.91</v>
      </c>
      <c r="I425">
        <v>2010.58</v>
      </c>
      <c r="J425">
        <v>94.22</v>
      </c>
      <c r="K425">
        <v>396.36</v>
      </c>
      <c r="L425" t="s">
        <v>17</v>
      </c>
      <c r="M425" t="s">
        <v>18</v>
      </c>
      <c r="N425" t="s">
        <v>55</v>
      </c>
      <c r="O425">
        <f>_xlfn.XLOOKUP(E425,[1]Products!$B$2:$B$11,[1]Products!$F$2:$F$11)</f>
        <v>40</v>
      </c>
      <c r="P425">
        <f t="shared" si="12"/>
        <v>1520</v>
      </c>
      <c r="Q425" s="3">
        <f t="shared" si="13"/>
        <v>0.19713714450556558</v>
      </c>
      <c r="R425">
        <f>MONTH(Table1[[#This Row],[Order_Date]])</f>
        <v>7</v>
      </c>
    </row>
    <row r="426" spans="1:18" x14ac:dyDescent="0.3">
      <c r="A426" t="s">
        <v>575</v>
      </c>
      <c r="B426" t="s">
        <v>666</v>
      </c>
      <c r="C426" t="s">
        <v>64</v>
      </c>
      <c r="D426" t="s">
        <v>653</v>
      </c>
      <c r="E426" t="s">
        <v>22</v>
      </c>
      <c r="F426" t="s">
        <v>16</v>
      </c>
      <c r="G426">
        <v>14</v>
      </c>
      <c r="H426" s="6">
        <v>27.09</v>
      </c>
      <c r="I426">
        <v>379.26</v>
      </c>
      <c r="J426">
        <v>14.42</v>
      </c>
      <c r="K426">
        <v>112.84</v>
      </c>
      <c r="L426" t="s">
        <v>35</v>
      </c>
      <c r="M426" t="s">
        <v>29</v>
      </c>
      <c r="N426" t="s">
        <v>25</v>
      </c>
      <c r="O426">
        <f>_xlfn.XLOOKUP(E426,[1]Products!$B$2:$B$11,[1]Products!$F$2:$F$11)</f>
        <v>18</v>
      </c>
      <c r="P426">
        <f t="shared" si="12"/>
        <v>252</v>
      </c>
      <c r="Q426" s="3">
        <f t="shared" si="13"/>
        <v>0.29752676264304173</v>
      </c>
      <c r="R426">
        <f>MONTH(Table1[[#This Row],[Order_Date]])</f>
        <v>5</v>
      </c>
    </row>
    <row r="427" spans="1:18" x14ac:dyDescent="0.3">
      <c r="A427" t="s">
        <v>576</v>
      </c>
      <c r="B427" t="s">
        <v>671</v>
      </c>
      <c r="C427" t="s">
        <v>109</v>
      </c>
      <c r="D427" t="s">
        <v>73</v>
      </c>
      <c r="E427" t="s">
        <v>48</v>
      </c>
      <c r="F427" t="s">
        <v>49</v>
      </c>
      <c r="G427">
        <v>41</v>
      </c>
      <c r="H427" s="6">
        <v>30.52</v>
      </c>
      <c r="I427">
        <v>1251.32</v>
      </c>
      <c r="J427">
        <v>56.88</v>
      </c>
      <c r="K427">
        <v>271.94</v>
      </c>
      <c r="L427" t="s">
        <v>17</v>
      </c>
      <c r="M427" t="s">
        <v>29</v>
      </c>
      <c r="N427" t="s">
        <v>55</v>
      </c>
      <c r="O427">
        <f>_xlfn.XLOOKUP(E427,[1]Products!$B$2:$B$11,[1]Products!$F$2:$F$11)</f>
        <v>22.5</v>
      </c>
      <c r="P427">
        <f t="shared" si="12"/>
        <v>922.5</v>
      </c>
      <c r="Q427" s="3">
        <f t="shared" si="13"/>
        <v>0.21732250743215165</v>
      </c>
      <c r="R427">
        <f>MONTH(Table1[[#This Row],[Order_Date]])</f>
        <v>2</v>
      </c>
    </row>
    <row r="428" spans="1:18" x14ac:dyDescent="0.3">
      <c r="A428" t="s">
        <v>577</v>
      </c>
      <c r="B428" t="s">
        <v>675</v>
      </c>
      <c r="C428" t="s">
        <v>227</v>
      </c>
      <c r="D428" t="s">
        <v>39</v>
      </c>
      <c r="E428" t="s">
        <v>79</v>
      </c>
      <c r="F428" t="s">
        <v>49</v>
      </c>
      <c r="G428">
        <v>23</v>
      </c>
      <c r="H428" s="6">
        <v>40.94</v>
      </c>
      <c r="I428">
        <v>941.62</v>
      </c>
      <c r="J428">
        <v>71.66</v>
      </c>
      <c r="K428">
        <v>225.96</v>
      </c>
      <c r="L428" t="s">
        <v>23</v>
      </c>
      <c r="M428" t="s">
        <v>29</v>
      </c>
      <c r="N428" t="s">
        <v>19</v>
      </c>
      <c r="O428">
        <f>_xlfn.XLOOKUP(E428,[1]Products!$B$2:$B$11,[1]Products!$F$2:$F$11)</f>
        <v>28</v>
      </c>
      <c r="P428">
        <f t="shared" si="12"/>
        <v>644</v>
      </c>
      <c r="Q428" s="3">
        <f t="shared" si="13"/>
        <v>0.23996941441345768</v>
      </c>
      <c r="R428">
        <f>MONTH(Table1[[#This Row],[Order_Date]])</f>
        <v>5</v>
      </c>
    </row>
    <row r="429" spans="1:18" x14ac:dyDescent="0.3">
      <c r="A429" t="s">
        <v>578</v>
      </c>
      <c r="B429" t="s">
        <v>665</v>
      </c>
      <c r="C429" t="s">
        <v>293</v>
      </c>
      <c r="D429" t="s">
        <v>147</v>
      </c>
      <c r="E429" t="s">
        <v>79</v>
      </c>
      <c r="F429" t="s">
        <v>49</v>
      </c>
      <c r="G429">
        <v>34</v>
      </c>
      <c r="H429" s="6">
        <v>41.77</v>
      </c>
      <c r="I429">
        <v>1420.18</v>
      </c>
      <c r="J429">
        <v>112.45</v>
      </c>
      <c r="K429">
        <v>355.73</v>
      </c>
      <c r="L429" t="s">
        <v>23</v>
      </c>
      <c r="M429" t="s">
        <v>29</v>
      </c>
      <c r="N429" t="s">
        <v>25</v>
      </c>
      <c r="O429">
        <f>_xlfn.XLOOKUP(E429,[1]Products!$B$2:$B$11,[1]Products!$F$2:$F$11)</f>
        <v>28</v>
      </c>
      <c r="P429">
        <f t="shared" si="12"/>
        <v>952</v>
      </c>
      <c r="Q429" s="3">
        <f t="shared" si="13"/>
        <v>0.25048233322536578</v>
      </c>
      <c r="R429">
        <f>MONTH(Table1[[#This Row],[Order_Date]])</f>
        <v>6</v>
      </c>
    </row>
    <row r="430" spans="1:18" x14ac:dyDescent="0.3">
      <c r="A430" t="s">
        <v>579</v>
      </c>
      <c r="B430" t="s">
        <v>668</v>
      </c>
      <c r="C430" t="s">
        <v>98</v>
      </c>
      <c r="D430" t="s">
        <v>173</v>
      </c>
      <c r="E430" t="s">
        <v>40</v>
      </c>
      <c r="F430" t="s">
        <v>41</v>
      </c>
      <c r="G430">
        <v>32</v>
      </c>
      <c r="H430" s="6">
        <v>69.98</v>
      </c>
      <c r="I430">
        <v>2239.36</v>
      </c>
      <c r="J430">
        <v>133.51</v>
      </c>
      <c r="K430">
        <v>825.85</v>
      </c>
      <c r="L430" t="s">
        <v>35</v>
      </c>
      <c r="M430" t="s">
        <v>18</v>
      </c>
      <c r="N430" t="s">
        <v>55</v>
      </c>
      <c r="O430">
        <f>_xlfn.XLOOKUP(E430,[1]Products!$B$2:$B$11,[1]Products!$F$2:$F$11)</f>
        <v>40</v>
      </c>
      <c r="P430">
        <f t="shared" si="12"/>
        <v>1280</v>
      </c>
      <c r="Q430" s="3">
        <f t="shared" si="13"/>
        <v>0.3687884038296656</v>
      </c>
      <c r="R430">
        <f>MONTH(Table1[[#This Row],[Order_Date]])</f>
        <v>8</v>
      </c>
    </row>
    <row r="431" spans="1:18" x14ac:dyDescent="0.3">
      <c r="A431" t="s">
        <v>580</v>
      </c>
      <c r="B431" t="s">
        <v>677</v>
      </c>
      <c r="C431" t="s">
        <v>162</v>
      </c>
      <c r="D431" t="s">
        <v>653</v>
      </c>
      <c r="E431" t="s">
        <v>15</v>
      </c>
      <c r="F431" t="s">
        <v>16</v>
      </c>
      <c r="G431">
        <v>25</v>
      </c>
      <c r="H431" s="6">
        <v>42.91</v>
      </c>
      <c r="I431">
        <v>1072.75</v>
      </c>
      <c r="J431">
        <v>80.02</v>
      </c>
      <c r="K431">
        <v>117.73</v>
      </c>
      <c r="L431" t="s">
        <v>23</v>
      </c>
      <c r="M431" t="s">
        <v>24</v>
      </c>
      <c r="N431" t="s">
        <v>25</v>
      </c>
      <c r="O431">
        <f>_xlfn.XLOOKUP(E431,[1]Products!$B$2:$B$11,[1]Products!$F$2:$F$11)</f>
        <v>35</v>
      </c>
      <c r="P431">
        <f t="shared" si="12"/>
        <v>875</v>
      </c>
      <c r="Q431" s="3">
        <f t="shared" si="13"/>
        <v>0.10974597995805174</v>
      </c>
      <c r="R431">
        <f>MONTH(Table1[[#This Row],[Order_Date]])</f>
        <v>1</v>
      </c>
    </row>
    <row r="432" spans="1:18" x14ac:dyDescent="0.3">
      <c r="A432" t="s">
        <v>581</v>
      </c>
      <c r="B432" t="s">
        <v>670</v>
      </c>
      <c r="C432" t="s">
        <v>404</v>
      </c>
      <c r="D432" t="s">
        <v>39</v>
      </c>
      <c r="E432" t="s">
        <v>60</v>
      </c>
      <c r="F432" t="s">
        <v>34</v>
      </c>
      <c r="G432">
        <v>7</v>
      </c>
      <c r="H432" s="6">
        <v>22.6</v>
      </c>
      <c r="I432">
        <v>158.19999999999999</v>
      </c>
      <c r="J432">
        <v>7.04</v>
      </c>
      <c r="K432">
        <v>61.91</v>
      </c>
      <c r="L432" t="s">
        <v>35</v>
      </c>
      <c r="M432" t="s">
        <v>18</v>
      </c>
      <c r="N432" t="s">
        <v>19</v>
      </c>
      <c r="O432">
        <f>_xlfn.XLOOKUP(E432,[1]Products!$B$2:$B$11,[1]Products!$F$2:$F$11)</f>
        <v>12.75</v>
      </c>
      <c r="P432">
        <f t="shared" si="12"/>
        <v>89.25</v>
      </c>
      <c r="Q432" s="3">
        <f t="shared" si="13"/>
        <v>0.39134007585335018</v>
      </c>
      <c r="R432">
        <f>MONTH(Table1[[#This Row],[Order_Date]])</f>
        <v>12</v>
      </c>
    </row>
    <row r="433" spans="1:18" x14ac:dyDescent="0.3">
      <c r="A433" t="s">
        <v>582</v>
      </c>
      <c r="B433" t="s">
        <v>665</v>
      </c>
      <c r="C433" t="s">
        <v>85</v>
      </c>
      <c r="D433" t="s">
        <v>652</v>
      </c>
      <c r="E433" t="s">
        <v>60</v>
      </c>
      <c r="F433" t="s">
        <v>34</v>
      </c>
      <c r="G433">
        <v>48</v>
      </c>
      <c r="H433" s="6">
        <v>19.5</v>
      </c>
      <c r="I433">
        <v>936</v>
      </c>
      <c r="J433">
        <v>70.069999999999993</v>
      </c>
      <c r="K433">
        <v>253.93</v>
      </c>
      <c r="L433" t="s">
        <v>17</v>
      </c>
      <c r="M433" t="s">
        <v>24</v>
      </c>
      <c r="N433" t="s">
        <v>19</v>
      </c>
      <c r="O433">
        <f>_xlfn.XLOOKUP(E433,[1]Products!$B$2:$B$11,[1]Products!$F$2:$F$11)</f>
        <v>12.75</v>
      </c>
      <c r="P433">
        <f t="shared" si="12"/>
        <v>612</v>
      </c>
      <c r="Q433" s="3">
        <f t="shared" si="13"/>
        <v>0.27129273504273504</v>
      </c>
      <c r="R433">
        <f>MONTH(Table1[[#This Row],[Order_Date]])</f>
        <v>6</v>
      </c>
    </row>
    <row r="434" spans="1:18" x14ac:dyDescent="0.3">
      <c r="A434" t="s">
        <v>583</v>
      </c>
      <c r="B434" t="s">
        <v>667</v>
      </c>
      <c r="C434" t="s">
        <v>27</v>
      </c>
      <c r="D434" t="s">
        <v>125</v>
      </c>
      <c r="E434" t="s">
        <v>40</v>
      </c>
      <c r="F434" t="s">
        <v>41</v>
      </c>
      <c r="G434">
        <v>32</v>
      </c>
      <c r="H434" s="6">
        <v>49.97</v>
      </c>
      <c r="I434">
        <v>1599.04</v>
      </c>
      <c r="J434">
        <v>43.1</v>
      </c>
      <c r="K434">
        <v>275.94</v>
      </c>
      <c r="L434" t="s">
        <v>23</v>
      </c>
      <c r="M434" t="s">
        <v>29</v>
      </c>
      <c r="N434" t="s">
        <v>126</v>
      </c>
      <c r="O434">
        <f>_xlfn.XLOOKUP(E434,[1]Products!$B$2:$B$11,[1]Products!$F$2:$F$11)</f>
        <v>40</v>
      </c>
      <c r="P434">
        <f t="shared" si="12"/>
        <v>1280</v>
      </c>
      <c r="Q434" s="3">
        <f t="shared" si="13"/>
        <v>0.17256603962377426</v>
      </c>
      <c r="R434">
        <f>MONTH(Table1[[#This Row],[Order_Date]])</f>
        <v>9</v>
      </c>
    </row>
    <row r="435" spans="1:18" x14ac:dyDescent="0.3">
      <c r="A435" t="s">
        <v>584</v>
      </c>
      <c r="B435" t="s">
        <v>661</v>
      </c>
      <c r="C435" t="s">
        <v>14</v>
      </c>
      <c r="D435" t="s">
        <v>102</v>
      </c>
      <c r="E435" t="s">
        <v>57</v>
      </c>
      <c r="F435" t="s">
        <v>49</v>
      </c>
      <c r="G435">
        <v>41</v>
      </c>
      <c r="H435" s="6">
        <v>25.62</v>
      </c>
      <c r="I435">
        <v>1050.42</v>
      </c>
      <c r="J435">
        <v>79.2</v>
      </c>
      <c r="K435">
        <v>335.72</v>
      </c>
      <c r="L435" t="s">
        <v>17</v>
      </c>
      <c r="M435" t="s">
        <v>24</v>
      </c>
      <c r="N435" t="s">
        <v>25</v>
      </c>
      <c r="O435">
        <f>_xlfn.XLOOKUP(E435,[1]Products!$B$2:$B$11,[1]Products!$F$2:$F$11)</f>
        <v>15.5</v>
      </c>
      <c r="P435">
        <f t="shared" si="12"/>
        <v>635.5</v>
      </c>
      <c r="Q435" s="3">
        <f t="shared" si="13"/>
        <v>0.31960549113687858</v>
      </c>
      <c r="R435">
        <f>MONTH(Table1[[#This Row],[Order_Date]])</f>
        <v>1</v>
      </c>
    </row>
    <row r="436" spans="1:18" x14ac:dyDescent="0.3">
      <c r="A436" t="s">
        <v>585</v>
      </c>
      <c r="B436" t="s">
        <v>671</v>
      </c>
      <c r="C436" t="s">
        <v>289</v>
      </c>
      <c r="D436" t="s">
        <v>652</v>
      </c>
      <c r="E436" t="s">
        <v>60</v>
      </c>
      <c r="F436" t="s">
        <v>34</v>
      </c>
      <c r="G436">
        <v>46</v>
      </c>
      <c r="H436" s="6">
        <v>16.78</v>
      </c>
      <c r="I436">
        <v>771.88</v>
      </c>
      <c r="J436">
        <v>18.04</v>
      </c>
      <c r="K436">
        <v>167.34</v>
      </c>
      <c r="L436" t="s">
        <v>35</v>
      </c>
      <c r="M436" t="s">
        <v>29</v>
      </c>
      <c r="N436" t="s">
        <v>19</v>
      </c>
      <c r="O436">
        <f>_xlfn.XLOOKUP(E436,[1]Products!$B$2:$B$11,[1]Products!$F$2:$F$11)</f>
        <v>12.75</v>
      </c>
      <c r="P436">
        <f t="shared" si="12"/>
        <v>586.5</v>
      </c>
      <c r="Q436" s="3">
        <f t="shared" si="13"/>
        <v>0.21679535679121106</v>
      </c>
      <c r="R436">
        <f>MONTH(Table1[[#This Row],[Order_Date]])</f>
        <v>2</v>
      </c>
    </row>
    <row r="437" spans="1:18" x14ac:dyDescent="0.3">
      <c r="A437" t="s">
        <v>586</v>
      </c>
      <c r="B437" t="s">
        <v>671</v>
      </c>
      <c r="C437" t="s">
        <v>315</v>
      </c>
      <c r="D437" t="s">
        <v>28</v>
      </c>
      <c r="E437" t="s">
        <v>33</v>
      </c>
      <c r="F437" t="s">
        <v>34</v>
      </c>
      <c r="G437">
        <v>16</v>
      </c>
      <c r="H437" s="6">
        <v>42.18</v>
      </c>
      <c r="I437">
        <v>674.88</v>
      </c>
      <c r="J437">
        <v>19.100000000000001</v>
      </c>
      <c r="K437">
        <v>143.78</v>
      </c>
      <c r="L437" t="s">
        <v>17</v>
      </c>
      <c r="M437" t="s">
        <v>29</v>
      </c>
      <c r="N437" t="s">
        <v>25</v>
      </c>
      <c r="O437">
        <f>_xlfn.XLOOKUP(E437,[1]Products!$B$2:$B$11,[1]Products!$F$2:$F$11)</f>
        <v>32</v>
      </c>
      <c r="P437">
        <f t="shared" si="12"/>
        <v>512</v>
      </c>
      <c r="Q437" s="3">
        <f t="shared" si="13"/>
        <v>0.21304528212422949</v>
      </c>
      <c r="R437">
        <f>MONTH(Table1[[#This Row],[Order_Date]])</f>
        <v>2</v>
      </c>
    </row>
    <row r="438" spans="1:18" x14ac:dyDescent="0.3">
      <c r="A438" t="s">
        <v>587</v>
      </c>
      <c r="B438" t="s">
        <v>668</v>
      </c>
      <c r="C438" t="s">
        <v>64</v>
      </c>
      <c r="D438" t="s">
        <v>102</v>
      </c>
      <c r="E438" t="s">
        <v>53</v>
      </c>
      <c r="F438" t="s">
        <v>54</v>
      </c>
      <c r="G438">
        <v>12</v>
      </c>
      <c r="H438" s="6">
        <v>34.97</v>
      </c>
      <c r="I438">
        <v>419.64</v>
      </c>
      <c r="J438">
        <v>28.48</v>
      </c>
      <c r="K438">
        <v>91.16</v>
      </c>
      <c r="L438" t="s">
        <v>17</v>
      </c>
      <c r="M438" t="s">
        <v>18</v>
      </c>
      <c r="N438" t="s">
        <v>25</v>
      </c>
      <c r="O438">
        <f>_xlfn.XLOOKUP(E438,[1]Products!$B$2:$B$11,[1]Products!$F$2:$F$11)</f>
        <v>25</v>
      </c>
      <c r="P438">
        <f t="shared" si="12"/>
        <v>300</v>
      </c>
      <c r="Q438" s="3">
        <f t="shared" si="13"/>
        <v>0.21723381946430273</v>
      </c>
      <c r="R438">
        <f>MONTH(Table1[[#This Row],[Order_Date]])</f>
        <v>8</v>
      </c>
    </row>
    <row r="439" spans="1:18" x14ac:dyDescent="0.3">
      <c r="A439" t="s">
        <v>588</v>
      </c>
      <c r="B439" t="s">
        <v>670</v>
      </c>
      <c r="C439" t="s">
        <v>133</v>
      </c>
      <c r="D439" t="s">
        <v>32</v>
      </c>
      <c r="E439" t="s">
        <v>45</v>
      </c>
      <c r="F439" t="s">
        <v>34</v>
      </c>
      <c r="G439">
        <v>31</v>
      </c>
      <c r="H439" s="6">
        <v>33.619999999999997</v>
      </c>
      <c r="I439">
        <v>1042.22</v>
      </c>
      <c r="J439">
        <v>26.33</v>
      </c>
      <c r="K439">
        <v>395.89</v>
      </c>
      <c r="L439" t="s">
        <v>35</v>
      </c>
      <c r="M439" t="s">
        <v>29</v>
      </c>
      <c r="N439" t="s">
        <v>36</v>
      </c>
      <c r="O439">
        <f>_xlfn.XLOOKUP(E439,[1]Products!$B$2:$B$11,[1]Products!$F$2:$F$11)</f>
        <v>20</v>
      </c>
      <c r="P439">
        <f t="shared" si="12"/>
        <v>620</v>
      </c>
      <c r="Q439" s="3">
        <f t="shared" si="13"/>
        <v>0.37985262228704109</v>
      </c>
      <c r="R439">
        <f>MONTH(Table1[[#This Row],[Order_Date]])</f>
        <v>12</v>
      </c>
    </row>
    <row r="440" spans="1:18" x14ac:dyDescent="0.3">
      <c r="A440" t="s">
        <v>589</v>
      </c>
      <c r="B440" t="s">
        <v>676</v>
      </c>
      <c r="C440" t="s">
        <v>417</v>
      </c>
      <c r="D440" t="s">
        <v>654</v>
      </c>
      <c r="E440" t="s">
        <v>48</v>
      </c>
      <c r="F440" t="s">
        <v>49</v>
      </c>
      <c r="G440">
        <v>40</v>
      </c>
      <c r="H440" s="6">
        <v>30.56</v>
      </c>
      <c r="I440">
        <v>1222.4000000000001</v>
      </c>
      <c r="J440">
        <v>26.42</v>
      </c>
      <c r="K440">
        <v>295.98</v>
      </c>
      <c r="L440" t="s">
        <v>17</v>
      </c>
      <c r="M440" t="s">
        <v>18</v>
      </c>
      <c r="N440" t="s">
        <v>55</v>
      </c>
      <c r="O440">
        <f>_xlfn.XLOOKUP(E440,[1]Products!$B$2:$B$11,[1]Products!$F$2:$F$11)</f>
        <v>22.5</v>
      </c>
      <c r="P440">
        <f t="shared" si="12"/>
        <v>900</v>
      </c>
      <c r="Q440" s="3">
        <f t="shared" si="13"/>
        <v>0.24213023560209423</v>
      </c>
      <c r="R440">
        <f>MONTH(Table1[[#This Row],[Order_Date]])</f>
        <v>11</v>
      </c>
    </row>
    <row r="441" spans="1:18" x14ac:dyDescent="0.3">
      <c r="A441" t="s">
        <v>590</v>
      </c>
      <c r="B441" t="s">
        <v>661</v>
      </c>
      <c r="C441" t="s">
        <v>138</v>
      </c>
      <c r="D441" t="s">
        <v>147</v>
      </c>
      <c r="E441" t="s">
        <v>15</v>
      </c>
      <c r="F441" t="s">
        <v>16</v>
      </c>
      <c r="G441">
        <v>15</v>
      </c>
      <c r="H441" s="6">
        <v>61.93</v>
      </c>
      <c r="I441">
        <v>928.95</v>
      </c>
      <c r="J441">
        <v>25.68</v>
      </c>
      <c r="K441">
        <v>378.27</v>
      </c>
      <c r="L441" t="s">
        <v>23</v>
      </c>
      <c r="M441" t="s">
        <v>29</v>
      </c>
      <c r="N441" t="s">
        <v>25</v>
      </c>
      <c r="O441">
        <f>_xlfn.XLOOKUP(E441,[1]Products!$B$2:$B$11,[1]Products!$F$2:$F$11)</f>
        <v>35</v>
      </c>
      <c r="P441">
        <f t="shared" si="12"/>
        <v>525</v>
      </c>
      <c r="Q441" s="3">
        <f t="shared" si="13"/>
        <v>0.407201679315356</v>
      </c>
      <c r="R441">
        <f>MONTH(Table1[[#This Row],[Order_Date]])</f>
        <v>1</v>
      </c>
    </row>
    <row r="442" spans="1:18" x14ac:dyDescent="0.3">
      <c r="A442" t="s">
        <v>591</v>
      </c>
      <c r="B442" t="s">
        <v>677</v>
      </c>
      <c r="C442" t="s">
        <v>117</v>
      </c>
      <c r="D442" t="s">
        <v>52</v>
      </c>
      <c r="E442" t="s">
        <v>45</v>
      </c>
      <c r="F442" t="s">
        <v>34</v>
      </c>
      <c r="G442">
        <v>20</v>
      </c>
      <c r="H442" s="6">
        <v>35.770000000000003</v>
      </c>
      <c r="I442">
        <v>715.4</v>
      </c>
      <c r="J442">
        <v>39.229999999999997</v>
      </c>
      <c r="K442">
        <v>276.17</v>
      </c>
      <c r="L442" t="s">
        <v>17</v>
      </c>
      <c r="M442" t="s">
        <v>18</v>
      </c>
      <c r="N442" t="s">
        <v>55</v>
      </c>
      <c r="O442">
        <f>_xlfn.XLOOKUP(E442,[1]Products!$B$2:$B$11,[1]Products!$F$2:$F$11)</f>
        <v>20</v>
      </c>
      <c r="P442">
        <f t="shared" si="12"/>
        <v>400</v>
      </c>
      <c r="Q442" s="3">
        <f t="shared" si="13"/>
        <v>0.38603578417668438</v>
      </c>
      <c r="R442">
        <f>MONTH(Table1[[#This Row],[Order_Date]])</f>
        <v>1</v>
      </c>
    </row>
    <row r="443" spans="1:18" x14ac:dyDescent="0.3">
      <c r="A443" t="s">
        <v>592</v>
      </c>
      <c r="B443" t="s">
        <v>665</v>
      </c>
      <c r="C443" t="s">
        <v>242</v>
      </c>
      <c r="D443" t="s">
        <v>653</v>
      </c>
      <c r="E443" t="s">
        <v>60</v>
      </c>
      <c r="F443" t="s">
        <v>34</v>
      </c>
      <c r="G443">
        <v>21</v>
      </c>
      <c r="H443" s="6">
        <v>22.48</v>
      </c>
      <c r="I443">
        <v>472.08</v>
      </c>
      <c r="J443">
        <v>12.96</v>
      </c>
      <c r="K443">
        <v>191.37</v>
      </c>
      <c r="L443" t="s">
        <v>23</v>
      </c>
      <c r="M443" t="s">
        <v>18</v>
      </c>
      <c r="N443" t="s">
        <v>25</v>
      </c>
      <c r="O443">
        <f>_xlfn.XLOOKUP(E443,[1]Products!$B$2:$B$11,[1]Products!$F$2:$F$11)</f>
        <v>12.75</v>
      </c>
      <c r="P443">
        <f t="shared" si="12"/>
        <v>267.75</v>
      </c>
      <c r="Q443" s="3">
        <f t="shared" si="13"/>
        <v>0.40537620742247077</v>
      </c>
      <c r="R443">
        <f>MONTH(Table1[[#This Row],[Order_Date]])</f>
        <v>6</v>
      </c>
    </row>
    <row r="444" spans="1:18" x14ac:dyDescent="0.3">
      <c r="A444" t="s">
        <v>593</v>
      </c>
      <c r="B444" t="s">
        <v>661</v>
      </c>
      <c r="C444" t="s">
        <v>270</v>
      </c>
      <c r="D444" t="s">
        <v>52</v>
      </c>
      <c r="E444" t="s">
        <v>22</v>
      </c>
      <c r="F444" t="s">
        <v>16</v>
      </c>
      <c r="G444">
        <v>8</v>
      </c>
      <c r="H444" s="6">
        <v>27.53</v>
      </c>
      <c r="I444">
        <v>220.24</v>
      </c>
      <c r="J444">
        <v>12.66</v>
      </c>
      <c r="K444">
        <v>63.58</v>
      </c>
      <c r="L444" t="s">
        <v>23</v>
      </c>
      <c r="M444" t="s">
        <v>24</v>
      </c>
      <c r="N444" t="s">
        <v>55</v>
      </c>
      <c r="O444">
        <f>_xlfn.XLOOKUP(E444,[1]Products!$B$2:$B$11,[1]Products!$F$2:$F$11)</f>
        <v>18</v>
      </c>
      <c r="P444">
        <f t="shared" si="12"/>
        <v>144</v>
      </c>
      <c r="Q444" s="3">
        <f t="shared" si="13"/>
        <v>0.28868507083181982</v>
      </c>
      <c r="R444">
        <f>MONTH(Table1[[#This Row],[Order_Date]])</f>
        <v>1</v>
      </c>
    </row>
    <row r="445" spans="1:18" x14ac:dyDescent="0.3">
      <c r="A445" t="s">
        <v>594</v>
      </c>
      <c r="B445" t="s">
        <v>667</v>
      </c>
      <c r="C445" t="s">
        <v>222</v>
      </c>
      <c r="D445" t="s">
        <v>173</v>
      </c>
      <c r="E445" t="s">
        <v>48</v>
      </c>
      <c r="F445" t="s">
        <v>49</v>
      </c>
      <c r="G445">
        <v>35</v>
      </c>
      <c r="H445" s="6">
        <v>39.65</v>
      </c>
      <c r="I445">
        <v>1387.75</v>
      </c>
      <c r="J445">
        <v>60.95</v>
      </c>
      <c r="K445">
        <v>539.29999999999995</v>
      </c>
      <c r="L445" t="s">
        <v>35</v>
      </c>
      <c r="M445" t="s">
        <v>24</v>
      </c>
      <c r="N445" t="s">
        <v>55</v>
      </c>
      <c r="O445">
        <f>_xlfn.XLOOKUP(E445,[1]Products!$B$2:$B$11,[1]Products!$F$2:$F$11)</f>
        <v>22.5</v>
      </c>
      <c r="P445">
        <f t="shared" si="12"/>
        <v>787.5</v>
      </c>
      <c r="Q445" s="3">
        <f t="shared" si="13"/>
        <v>0.38861466402450007</v>
      </c>
      <c r="R445">
        <f>MONTH(Table1[[#This Row],[Order_Date]])</f>
        <v>9</v>
      </c>
    </row>
    <row r="446" spans="1:18" x14ac:dyDescent="0.3">
      <c r="A446" t="s">
        <v>595</v>
      </c>
      <c r="B446" t="s">
        <v>671</v>
      </c>
      <c r="C446" t="s">
        <v>177</v>
      </c>
      <c r="D446" t="s">
        <v>82</v>
      </c>
      <c r="E446" t="s">
        <v>57</v>
      </c>
      <c r="F446" t="s">
        <v>49</v>
      </c>
      <c r="G446">
        <v>50</v>
      </c>
      <c r="H446" s="6">
        <v>23.68</v>
      </c>
      <c r="I446">
        <v>1184</v>
      </c>
      <c r="J446">
        <v>46.62</v>
      </c>
      <c r="K446">
        <v>362.38</v>
      </c>
      <c r="L446" t="s">
        <v>23</v>
      </c>
      <c r="M446" t="s">
        <v>24</v>
      </c>
      <c r="N446" t="s">
        <v>83</v>
      </c>
      <c r="O446">
        <f>_xlfn.XLOOKUP(E446,[1]Products!$B$2:$B$11,[1]Products!$F$2:$F$11)</f>
        <v>15.5</v>
      </c>
      <c r="P446">
        <f t="shared" si="12"/>
        <v>775</v>
      </c>
      <c r="Q446" s="3">
        <f t="shared" si="13"/>
        <v>0.30606418918918921</v>
      </c>
      <c r="R446">
        <f>MONTH(Table1[[#This Row],[Order_Date]])</f>
        <v>2</v>
      </c>
    </row>
    <row r="447" spans="1:18" x14ac:dyDescent="0.3">
      <c r="A447" t="s">
        <v>596</v>
      </c>
      <c r="B447" t="s">
        <v>662</v>
      </c>
      <c r="C447" t="s">
        <v>179</v>
      </c>
      <c r="D447" t="s">
        <v>654</v>
      </c>
      <c r="E447" t="s">
        <v>60</v>
      </c>
      <c r="F447" t="s">
        <v>34</v>
      </c>
      <c r="G447">
        <v>5</v>
      </c>
      <c r="H447" s="6">
        <v>19.809999999999999</v>
      </c>
      <c r="I447">
        <v>99.05</v>
      </c>
      <c r="J447">
        <v>5.91</v>
      </c>
      <c r="K447">
        <v>29.39</v>
      </c>
      <c r="L447" t="s">
        <v>23</v>
      </c>
      <c r="M447" t="s">
        <v>29</v>
      </c>
      <c r="N447" t="s">
        <v>55</v>
      </c>
      <c r="O447">
        <f>_xlfn.XLOOKUP(E447,[1]Products!$B$2:$B$11,[1]Products!$F$2:$F$11)</f>
        <v>12.75</v>
      </c>
      <c r="P447">
        <f t="shared" si="12"/>
        <v>63.75</v>
      </c>
      <c r="Q447" s="3">
        <f t="shared" si="13"/>
        <v>0.2967188288743059</v>
      </c>
      <c r="R447">
        <f>MONTH(Table1[[#This Row],[Order_Date]])</f>
        <v>2</v>
      </c>
    </row>
    <row r="448" spans="1:18" x14ac:dyDescent="0.3">
      <c r="A448" t="s">
        <v>597</v>
      </c>
      <c r="B448" t="s">
        <v>675</v>
      </c>
      <c r="C448" t="s">
        <v>72</v>
      </c>
      <c r="D448" t="s">
        <v>32</v>
      </c>
      <c r="E448" t="s">
        <v>60</v>
      </c>
      <c r="F448" t="s">
        <v>34</v>
      </c>
      <c r="G448">
        <v>27</v>
      </c>
      <c r="H448" s="6">
        <v>18.03</v>
      </c>
      <c r="I448">
        <v>486.81</v>
      </c>
      <c r="J448">
        <v>36.630000000000003</v>
      </c>
      <c r="K448">
        <v>105.93</v>
      </c>
      <c r="L448" t="s">
        <v>17</v>
      </c>
      <c r="M448" t="s">
        <v>29</v>
      </c>
      <c r="N448" t="s">
        <v>36</v>
      </c>
      <c r="O448">
        <f>_xlfn.XLOOKUP(E448,[1]Products!$B$2:$B$11,[1]Products!$F$2:$F$11)</f>
        <v>12.75</v>
      </c>
      <c r="P448">
        <f t="shared" si="12"/>
        <v>344.25</v>
      </c>
      <c r="Q448" s="3">
        <f t="shared" si="13"/>
        <v>0.21760029580329082</v>
      </c>
      <c r="R448">
        <f>MONTH(Table1[[#This Row],[Order_Date]])</f>
        <v>5</v>
      </c>
    </row>
    <row r="449" spans="1:18" x14ac:dyDescent="0.3">
      <c r="A449" t="s">
        <v>598</v>
      </c>
      <c r="B449" t="s">
        <v>663</v>
      </c>
      <c r="C449" t="s">
        <v>257</v>
      </c>
      <c r="D449" t="s">
        <v>82</v>
      </c>
      <c r="E449" t="s">
        <v>22</v>
      </c>
      <c r="F449" t="s">
        <v>16</v>
      </c>
      <c r="G449">
        <v>45</v>
      </c>
      <c r="H449" s="6">
        <v>26.93</v>
      </c>
      <c r="I449">
        <v>1211.8499999999999</v>
      </c>
      <c r="J449">
        <v>62.85</v>
      </c>
      <c r="K449">
        <v>339</v>
      </c>
      <c r="L449" t="s">
        <v>23</v>
      </c>
      <c r="M449" t="s">
        <v>24</v>
      </c>
      <c r="N449" t="s">
        <v>83</v>
      </c>
      <c r="O449">
        <f>_xlfn.XLOOKUP(E449,[1]Products!$B$2:$B$11,[1]Products!$F$2:$F$11)</f>
        <v>18</v>
      </c>
      <c r="P449">
        <f t="shared" si="12"/>
        <v>810</v>
      </c>
      <c r="Q449" s="3">
        <f t="shared" si="13"/>
        <v>0.2797375912860503</v>
      </c>
      <c r="R449">
        <f>MONTH(Table1[[#This Row],[Order_Date]])</f>
        <v>4</v>
      </c>
    </row>
    <row r="450" spans="1:18" x14ac:dyDescent="0.3">
      <c r="A450" t="s">
        <v>599</v>
      </c>
      <c r="B450" t="s">
        <v>665</v>
      </c>
      <c r="C450" t="s">
        <v>315</v>
      </c>
      <c r="D450" t="s">
        <v>28</v>
      </c>
      <c r="E450" t="s">
        <v>45</v>
      </c>
      <c r="F450" t="s">
        <v>34</v>
      </c>
      <c r="G450">
        <v>40</v>
      </c>
      <c r="H450" s="6">
        <v>32.54</v>
      </c>
      <c r="I450">
        <v>1301.5999999999999</v>
      </c>
      <c r="J450">
        <v>47.06</v>
      </c>
      <c r="K450">
        <v>454.54</v>
      </c>
      <c r="L450" t="s">
        <v>17</v>
      </c>
      <c r="M450" t="s">
        <v>24</v>
      </c>
      <c r="N450" t="s">
        <v>25</v>
      </c>
      <c r="O450">
        <f>_xlfn.XLOOKUP(E450,[1]Products!$B$2:$B$11,[1]Products!$F$2:$F$11)</f>
        <v>20</v>
      </c>
      <c r="P450">
        <f t="shared" si="12"/>
        <v>800</v>
      </c>
      <c r="Q450" s="3">
        <f t="shared" si="13"/>
        <v>0.34921634910878924</v>
      </c>
      <c r="R450">
        <f>MONTH(Table1[[#This Row],[Order_Date]])</f>
        <v>6</v>
      </c>
    </row>
    <row r="451" spans="1:18" x14ac:dyDescent="0.3">
      <c r="A451" t="s">
        <v>600</v>
      </c>
      <c r="B451" t="s">
        <v>666</v>
      </c>
      <c r="C451" t="s">
        <v>81</v>
      </c>
      <c r="D451" t="s">
        <v>173</v>
      </c>
      <c r="E451" t="s">
        <v>48</v>
      </c>
      <c r="F451" t="s">
        <v>49</v>
      </c>
      <c r="G451">
        <v>26</v>
      </c>
      <c r="H451" s="6">
        <v>35.32</v>
      </c>
      <c r="I451">
        <v>918.32</v>
      </c>
      <c r="J451">
        <v>60.02</v>
      </c>
      <c r="K451">
        <v>273.3</v>
      </c>
      <c r="L451" t="s">
        <v>35</v>
      </c>
      <c r="M451" t="s">
        <v>18</v>
      </c>
      <c r="N451" t="s">
        <v>55</v>
      </c>
      <c r="O451">
        <f>_xlfn.XLOOKUP(E451,[1]Products!$B$2:$B$11,[1]Products!$F$2:$F$11)</f>
        <v>22.5</v>
      </c>
      <c r="P451">
        <f t="shared" ref="P451:P501" si="14">G451*O451</f>
        <v>585</v>
      </c>
      <c r="Q451" s="3">
        <f t="shared" ref="Q451:Q501" si="15">K451/I451</f>
        <v>0.29760867671399949</v>
      </c>
      <c r="R451">
        <f>MONTH(Table1[[#This Row],[Order_Date]])</f>
        <v>5</v>
      </c>
    </row>
    <row r="452" spans="1:18" x14ac:dyDescent="0.3">
      <c r="A452" t="s">
        <v>601</v>
      </c>
      <c r="B452" t="s">
        <v>661</v>
      </c>
      <c r="C452" t="s">
        <v>89</v>
      </c>
      <c r="D452" t="s">
        <v>32</v>
      </c>
      <c r="E452" t="s">
        <v>60</v>
      </c>
      <c r="F452" t="s">
        <v>34</v>
      </c>
      <c r="G452">
        <v>16</v>
      </c>
      <c r="H452" s="6">
        <v>16.440000000000001</v>
      </c>
      <c r="I452">
        <v>263.04000000000002</v>
      </c>
      <c r="J452">
        <v>17.64</v>
      </c>
      <c r="K452">
        <v>41.4</v>
      </c>
      <c r="L452" t="s">
        <v>17</v>
      </c>
      <c r="M452" t="s">
        <v>18</v>
      </c>
      <c r="N452" t="s">
        <v>36</v>
      </c>
      <c r="O452">
        <f>_xlfn.XLOOKUP(E452,[1]Products!$B$2:$B$11,[1]Products!$F$2:$F$11)</f>
        <v>12.75</v>
      </c>
      <c r="P452">
        <f t="shared" si="14"/>
        <v>204</v>
      </c>
      <c r="Q452" s="3">
        <f t="shared" si="15"/>
        <v>0.1573905109489051</v>
      </c>
      <c r="R452">
        <f>MONTH(Table1[[#This Row],[Order_Date]])</f>
        <v>1</v>
      </c>
    </row>
    <row r="453" spans="1:18" x14ac:dyDescent="0.3">
      <c r="A453" t="s">
        <v>602</v>
      </c>
      <c r="B453" t="s">
        <v>674</v>
      </c>
      <c r="C453" t="s">
        <v>222</v>
      </c>
      <c r="D453" t="s">
        <v>102</v>
      </c>
      <c r="E453" t="s">
        <v>79</v>
      </c>
      <c r="F453" t="s">
        <v>49</v>
      </c>
      <c r="G453">
        <v>39</v>
      </c>
      <c r="H453" s="6">
        <v>46.27</v>
      </c>
      <c r="I453">
        <v>1804.53</v>
      </c>
      <c r="J453">
        <v>38.57</v>
      </c>
      <c r="K453">
        <v>673.96</v>
      </c>
      <c r="L453" t="s">
        <v>35</v>
      </c>
      <c r="M453" t="s">
        <v>29</v>
      </c>
      <c r="N453" t="s">
        <v>25</v>
      </c>
      <c r="O453">
        <f>_xlfn.XLOOKUP(E453,[1]Products!$B$2:$B$11,[1]Products!$F$2:$F$11)</f>
        <v>28</v>
      </c>
      <c r="P453">
        <f t="shared" si="14"/>
        <v>1092</v>
      </c>
      <c r="Q453" s="3">
        <f t="shared" si="15"/>
        <v>0.37348229178788939</v>
      </c>
      <c r="R453">
        <f>MONTH(Table1[[#This Row],[Order_Date]])</f>
        <v>3</v>
      </c>
    </row>
    <row r="454" spans="1:18" x14ac:dyDescent="0.3">
      <c r="A454" t="s">
        <v>603</v>
      </c>
      <c r="B454" t="s">
        <v>664</v>
      </c>
      <c r="C454" t="s">
        <v>150</v>
      </c>
      <c r="D454" t="s">
        <v>653</v>
      </c>
      <c r="E454" t="s">
        <v>53</v>
      </c>
      <c r="F454" t="s">
        <v>54</v>
      </c>
      <c r="G454">
        <v>15</v>
      </c>
      <c r="H454" s="6">
        <v>33.22</v>
      </c>
      <c r="I454">
        <v>498.3</v>
      </c>
      <c r="J454">
        <v>36.85</v>
      </c>
      <c r="K454">
        <v>86.45</v>
      </c>
      <c r="L454" t="s">
        <v>35</v>
      </c>
      <c r="M454" t="s">
        <v>29</v>
      </c>
      <c r="N454" t="s">
        <v>25</v>
      </c>
      <c r="O454">
        <f>_xlfn.XLOOKUP(E454,[1]Products!$B$2:$B$11,[1]Products!$F$2:$F$11)</f>
        <v>25</v>
      </c>
      <c r="P454">
        <f t="shared" si="14"/>
        <v>375</v>
      </c>
      <c r="Q454" s="3">
        <f t="shared" si="15"/>
        <v>0.17348986554284568</v>
      </c>
      <c r="R454">
        <f>MONTH(Table1[[#This Row],[Order_Date]])</f>
        <v>10</v>
      </c>
    </row>
    <row r="455" spans="1:18" x14ac:dyDescent="0.3">
      <c r="A455" t="s">
        <v>604</v>
      </c>
      <c r="B455" t="s">
        <v>665</v>
      </c>
      <c r="C455" t="s">
        <v>203</v>
      </c>
      <c r="D455" t="s">
        <v>82</v>
      </c>
      <c r="E455" t="s">
        <v>40</v>
      </c>
      <c r="F455" t="s">
        <v>41</v>
      </c>
      <c r="G455">
        <v>35</v>
      </c>
      <c r="H455" s="6">
        <v>71.02</v>
      </c>
      <c r="I455">
        <v>2485.6999999999998</v>
      </c>
      <c r="J455">
        <v>137.22</v>
      </c>
      <c r="K455">
        <v>948.48</v>
      </c>
      <c r="L455" t="s">
        <v>23</v>
      </c>
      <c r="M455" t="s">
        <v>24</v>
      </c>
      <c r="N455" t="s">
        <v>83</v>
      </c>
      <c r="O455">
        <f>_xlfn.XLOOKUP(E455,[1]Products!$B$2:$B$11,[1]Products!$F$2:$F$11)</f>
        <v>40</v>
      </c>
      <c r="P455">
        <f t="shared" si="14"/>
        <v>1400</v>
      </c>
      <c r="Q455" s="3">
        <f t="shared" si="15"/>
        <v>0.38157460675061355</v>
      </c>
      <c r="R455">
        <f>MONTH(Table1[[#This Row],[Order_Date]])</f>
        <v>6</v>
      </c>
    </row>
    <row r="456" spans="1:18" x14ac:dyDescent="0.3">
      <c r="A456" t="s">
        <v>605</v>
      </c>
      <c r="B456" t="s">
        <v>667</v>
      </c>
      <c r="C456" t="s">
        <v>98</v>
      </c>
      <c r="D456" t="s">
        <v>654</v>
      </c>
      <c r="E456" t="s">
        <v>79</v>
      </c>
      <c r="F456" t="s">
        <v>49</v>
      </c>
      <c r="G456">
        <v>2</v>
      </c>
      <c r="H456" s="6">
        <v>42.31</v>
      </c>
      <c r="I456">
        <v>84.62</v>
      </c>
      <c r="J456">
        <v>4.28</v>
      </c>
      <c r="K456">
        <v>24.34</v>
      </c>
      <c r="L456" t="s">
        <v>23</v>
      </c>
      <c r="M456" t="s">
        <v>24</v>
      </c>
      <c r="N456" t="s">
        <v>55</v>
      </c>
      <c r="O456">
        <f>_xlfn.XLOOKUP(E456,[1]Products!$B$2:$B$11,[1]Products!$F$2:$F$11)</f>
        <v>28</v>
      </c>
      <c r="P456">
        <f t="shared" si="14"/>
        <v>56</v>
      </c>
      <c r="Q456" s="3">
        <f t="shared" si="15"/>
        <v>0.28763885606239659</v>
      </c>
      <c r="R456">
        <f>MONTH(Table1[[#This Row],[Order_Date]])</f>
        <v>9</v>
      </c>
    </row>
    <row r="457" spans="1:18" x14ac:dyDescent="0.3">
      <c r="A457" t="s">
        <v>606</v>
      </c>
      <c r="B457" t="s">
        <v>669</v>
      </c>
      <c r="C457" t="s">
        <v>87</v>
      </c>
      <c r="D457" t="s">
        <v>66</v>
      </c>
      <c r="E457" t="s">
        <v>53</v>
      </c>
      <c r="F457" t="s">
        <v>54</v>
      </c>
      <c r="G457">
        <v>8</v>
      </c>
      <c r="H457" s="6">
        <v>41.36</v>
      </c>
      <c r="I457">
        <v>330.88</v>
      </c>
      <c r="J457">
        <v>11.78</v>
      </c>
      <c r="K457">
        <v>119.1</v>
      </c>
      <c r="L457" t="s">
        <v>17</v>
      </c>
      <c r="M457" t="s">
        <v>18</v>
      </c>
      <c r="N457" t="s">
        <v>55</v>
      </c>
      <c r="O457">
        <f>_xlfn.XLOOKUP(E457,[1]Products!$B$2:$B$11,[1]Products!$F$2:$F$11)</f>
        <v>25</v>
      </c>
      <c r="P457">
        <f t="shared" si="14"/>
        <v>200</v>
      </c>
      <c r="Q457" s="3">
        <f t="shared" si="15"/>
        <v>0.35994922630560927</v>
      </c>
      <c r="R457">
        <f>MONTH(Table1[[#This Row],[Order_Date]])</f>
        <v>4</v>
      </c>
    </row>
    <row r="458" spans="1:18" x14ac:dyDescent="0.3">
      <c r="A458" t="s">
        <v>607</v>
      </c>
      <c r="B458" t="s">
        <v>667</v>
      </c>
      <c r="C458" t="s">
        <v>117</v>
      </c>
      <c r="D458" t="s">
        <v>39</v>
      </c>
      <c r="E458" t="s">
        <v>22</v>
      </c>
      <c r="F458" t="s">
        <v>16</v>
      </c>
      <c r="G458">
        <v>3</v>
      </c>
      <c r="H458" s="6">
        <v>31.39</v>
      </c>
      <c r="I458">
        <v>94.17</v>
      </c>
      <c r="J458">
        <v>2.52</v>
      </c>
      <c r="K458">
        <v>37.65</v>
      </c>
      <c r="L458" t="s">
        <v>35</v>
      </c>
      <c r="M458" t="s">
        <v>29</v>
      </c>
      <c r="N458" t="s">
        <v>19</v>
      </c>
      <c r="O458">
        <f>_xlfn.XLOOKUP(E458,[1]Products!$B$2:$B$11,[1]Products!$F$2:$F$11)</f>
        <v>18</v>
      </c>
      <c r="P458">
        <f t="shared" si="14"/>
        <v>54</v>
      </c>
      <c r="Q458" s="3">
        <f t="shared" si="15"/>
        <v>0.39980885632366991</v>
      </c>
      <c r="R458">
        <f>MONTH(Table1[[#This Row],[Order_Date]])</f>
        <v>9</v>
      </c>
    </row>
    <row r="459" spans="1:18" x14ac:dyDescent="0.3">
      <c r="A459" t="s">
        <v>608</v>
      </c>
      <c r="B459" t="s">
        <v>661</v>
      </c>
      <c r="C459" t="s">
        <v>141</v>
      </c>
      <c r="D459" t="s">
        <v>102</v>
      </c>
      <c r="E459" t="s">
        <v>48</v>
      </c>
      <c r="F459" t="s">
        <v>49</v>
      </c>
      <c r="G459">
        <v>48</v>
      </c>
      <c r="H459" s="6">
        <v>33.61</v>
      </c>
      <c r="I459">
        <v>1613.28</v>
      </c>
      <c r="J459">
        <v>109.92</v>
      </c>
      <c r="K459">
        <v>423.36</v>
      </c>
      <c r="L459" t="s">
        <v>17</v>
      </c>
      <c r="M459" t="s">
        <v>29</v>
      </c>
      <c r="N459" t="s">
        <v>25</v>
      </c>
      <c r="O459">
        <f>_xlfn.XLOOKUP(E459,[1]Products!$B$2:$B$11,[1]Products!$F$2:$F$11)</f>
        <v>22.5</v>
      </c>
      <c r="P459">
        <f t="shared" si="14"/>
        <v>1080</v>
      </c>
      <c r="Q459" s="3">
        <f t="shared" si="15"/>
        <v>0.26242189824457007</v>
      </c>
      <c r="R459">
        <f>MONTH(Table1[[#This Row],[Order_Date]])</f>
        <v>1</v>
      </c>
    </row>
    <row r="460" spans="1:18" x14ac:dyDescent="0.3">
      <c r="A460" t="s">
        <v>609</v>
      </c>
      <c r="B460" t="s">
        <v>671</v>
      </c>
      <c r="C460" t="s">
        <v>169</v>
      </c>
      <c r="D460" t="s">
        <v>147</v>
      </c>
      <c r="E460" t="s">
        <v>33</v>
      </c>
      <c r="F460" t="s">
        <v>34</v>
      </c>
      <c r="G460">
        <v>9</v>
      </c>
      <c r="H460" s="6">
        <v>50.29</v>
      </c>
      <c r="I460">
        <v>452.61</v>
      </c>
      <c r="J460">
        <v>32.93</v>
      </c>
      <c r="K460">
        <v>131.68</v>
      </c>
      <c r="L460" t="s">
        <v>23</v>
      </c>
      <c r="M460" t="s">
        <v>29</v>
      </c>
      <c r="N460" t="s">
        <v>25</v>
      </c>
      <c r="O460">
        <f>_xlfn.XLOOKUP(E460,[1]Products!$B$2:$B$11,[1]Products!$F$2:$F$11)</f>
        <v>32</v>
      </c>
      <c r="P460">
        <f t="shared" si="14"/>
        <v>288</v>
      </c>
      <c r="Q460" s="3">
        <f t="shared" si="15"/>
        <v>0.29093480038001812</v>
      </c>
      <c r="R460">
        <f>MONTH(Table1[[#This Row],[Order_Date]])</f>
        <v>2</v>
      </c>
    </row>
    <row r="461" spans="1:18" x14ac:dyDescent="0.3">
      <c r="A461" t="s">
        <v>610</v>
      </c>
      <c r="B461" t="s">
        <v>664</v>
      </c>
      <c r="C461" t="s">
        <v>141</v>
      </c>
      <c r="D461" t="s">
        <v>652</v>
      </c>
      <c r="E461" t="s">
        <v>48</v>
      </c>
      <c r="F461" t="s">
        <v>49</v>
      </c>
      <c r="G461">
        <v>12</v>
      </c>
      <c r="H461" s="6">
        <v>34.96</v>
      </c>
      <c r="I461">
        <v>419.52</v>
      </c>
      <c r="J461">
        <v>15.43</v>
      </c>
      <c r="K461">
        <v>134.09</v>
      </c>
      <c r="L461" t="s">
        <v>23</v>
      </c>
      <c r="M461" t="s">
        <v>29</v>
      </c>
      <c r="N461" t="s">
        <v>19</v>
      </c>
      <c r="O461">
        <f>_xlfn.XLOOKUP(E461,[1]Products!$B$2:$B$11,[1]Products!$F$2:$F$11)</f>
        <v>22.5</v>
      </c>
      <c r="P461">
        <f t="shared" si="14"/>
        <v>270</v>
      </c>
      <c r="Q461" s="3">
        <f t="shared" si="15"/>
        <v>0.31962719298245618</v>
      </c>
      <c r="R461">
        <f>MONTH(Table1[[#This Row],[Order_Date]])</f>
        <v>10</v>
      </c>
    </row>
    <row r="462" spans="1:18" x14ac:dyDescent="0.3">
      <c r="A462" t="s">
        <v>611</v>
      </c>
      <c r="B462" t="s">
        <v>662</v>
      </c>
      <c r="C462" t="s">
        <v>367</v>
      </c>
      <c r="D462" t="s">
        <v>125</v>
      </c>
      <c r="E462" t="s">
        <v>15</v>
      </c>
      <c r="F462" t="s">
        <v>16</v>
      </c>
      <c r="G462">
        <v>29</v>
      </c>
      <c r="H462" s="6">
        <v>52.72</v>
      </c>
      <c r="I462">
        <v>1528.88</v>
      </c>
      <c r="J462">
        <v>96.91</v>
      </c>
      <c r="K462">
        <v>416.97</v>
      </c>
      <c r="L462" t="s">
        <v>23</v>
      </c>
      <c r="M462" t="s">
        <v>29</v>
      </c>
      <c r="N462" t="s">
        <v>126</v>
      </c>
      <c r="O462">
        <f>_xlfn.XLOOKUP(E462,[1]Products!$B$2:$B$11,[1]Products!$F$2:$F$11)</f>
        <v>35</v>
      </c>
      <c r="P462">
        <f t="shared" si="14"/>
        <v>1015</v>
      </c>
      <c r="Q462" s="3">
        <f t="shared" si="15"/>
        <v>0.27272905656428237</v>
      </c>
      <c r="R462">
        <f>MONTH(Table1[[#This Row],[Order_Date]])</f>
        <v>2</v>
      </c>
    </row>
    <row r="463" spans="1:18" x14ac:dyDescent="0.3">
      <c r="A463" t="s">
        <v>612</v>
      </c>
      <c r="B463" t="s">
        <v>662</v>
      </c>
      <c r="C463" t="s">
        <v>326</v>
      </c>
      <c r="D463" t="s">
        <v>39</v>
      </c>
      <c r="E463" t="s">
        <v>57</v>
      </c>
      <c r="F463" t="s">
        <v>49</v>
      </c>
      <c r="G463">
        <v>39</v>
      </c>
      <c r="H463" s="6">
        <v>22.18</v>
      </c>
      <c r="I463">
        <v>865.02</v>
      </c>
      <c r="J463">
        <v>26.23</v>
      </c>
      <c r="K463">
        <v>234.29</v>
      </c>
      <c r="L463" t="s">
        <v>17</v>
      </c>
      <c r="M463" t="s">
        <v>29</v>
      </c>
      <c r="N463" t="s">
        <v>19</v>
      </c>
      <c r="O463">
        <f>_xlfn.XLOOKUP(E463,[1]Products!$B$2:$B$11,[1]Products!$F$2:$F$11)</f>
        <v>15.5</v>
      </c>
      <c r="P463">
        <f t="shared" si="14"/>
        <v>604.5</v>
      </c>
      <c r="Q463" s="3">
        <f t="shared" si="15"/>
        <v>0.27084922891956253</v>
      </c>
      <c r="R463">
        <f>MONTH(Table1[[#This Row],[Order_Date]])</f>
        <v>2</v>
      </c>
    </row>
    <row r="464" spans="1:18" x14ac:dyDescent="0.3">
      <c r="A464" t="s">
        <v>613</v>
      </c>
      <c r="B464" t="s">
        <v>662</v>
      </c>
      <c r="C464" t="s">
        <v>319</v>
      </c>
      <c r="D464" t="s">
        <v>66</v>
      </c>
      <c r="E464" t="s">
        <v>57</v>
      </c>
      <c r="F464" t="s">
        <v>49</v>
      </c>
      <c r="G464">
        <v>11</v>
      </c>
      <c r="H464" s="6">
        <v>21.4</v>
      </c>
      <c r="I464">
        <v>235.4</v>
      </c>
      <c r="J464">
        <v>11.64</v>
      </c>
      <c r="K464">
        <v>53.26</v>
      </c>
      <c r="L464" t="s">
        <v>17</v>
      </c>
      <c r="M464" t="s">
        <v>29</v>
      </c>
      <c r="N464" t="s">
        <v>55</v>
      </c>
      <c r="O464">
        <f>_xlfn.XLOOKUP(E464,[1]Products!$B$2:$B$11,[1]Products!$F$2:$F$11)</f>
        <v>15.5</v>
      </c>
      <c r="P464">
        <f t="shared" si="14"/>
        <v>170.5</v>
      </c>
      <c r="Q464" s="3">
        <f t="shared" si="15"/>
        <v>0.22625318606627015</v>
      </c>
      <c r="R464">
        <f>MONTH(Table1[[#This Row],[Order_Date]])</f>
        <v>2</v>
      </c>
    </row>
    <row r="465" spans="1:18" x14ac:dyDescent="0.3">
      <c r="A465" t="s">
        <v>614</v>
      </c>
      <c r="B465" t="s">
        <v>663</v>
      </c>
      <c r="C465" t="s">
        <v>287</v>
      </c>
      <c r="D465" t="s">
        <v>66</v>
      </c>
      <c r="E465" t="s">
        <v>53</v>
      </c>
      <c r="F465" t="s">
        <v>54</v>
      </c>
      <c r="G465">
        <v>21</v>
      </c>
      <c r="H465" s="6">
        <v>36.26</v>
      </c>
      <c r="I465">
        <v>761.46</v>
      </c>
      <c r="J465">
        <v>56.99</v>
      </c>
      <c r="K465">
        <v>179.47</v>
      </c>
      <c r="L465" t="s">
        <v>23</v>
      </c>
      <c r="M465" t="s">
        <v>18</v>
      </c>
      <c r="N465" t="s">
        <v>55</v>
      </c>
      <c r="O465">
        <f>_xlfn.XLOOKUP(E465,[1]Products!$B$2:$B$11,[1]Products!$F$2:$F$11)</f>
        <v>25</v>
      </c>
      <c r="P465">
        <f t="shared" si="14"/>
        <v>525</v>
      </c>
      <c r="Q465" s="3">
        <f t="shared" si="15"/>
        <v>0.23569196018175609</v>
      </c>
      <c r="R465">
        <f>MONTH(Table1[[#This Row],[Order_Date]])</f>
        <v>4</v>
      </c>
    </row>
    <row r="466" spans="1:18" x14ac:dyDescent="0.3">
      <c r="A466" t="s">
        <v>615</v>
      </c>
      <c r="B466" t="s">
        <v>664</v>
      </c>
      <c r="C466" t="s">
        <v>203</v>
      </c>
      <c r="D466" t="s">
        <v>52</v>
      </c>
      <c r="E466" t="s">
        <v>48</v>
      </c>
      <c r="F466" t="s">
        <v>49</v>
      </c>
      <c r="G466">
        <v>39</v>
      </c>
      <c r="H466" s="6">
        <v>35.409999999999997</v>
      </c>
      <c r="I466">
        <v>1380.99</v>
      </c>
      <c r="J466">
        <v>84.56</v>
      </c>
      <c r="K466">
        <v>418.93</v>
      </c>
      <c r="L466" t="s">
        <v>23</v>
      </c>
      <c r="M466" t="s">
        <v>18</v>
      </c>
      <c r="N466" t="s">
        <v>55</v>
      </c>
      <c r="O466">
        <f>_xlfn.XLOOKUP(E466,[1]Products!$B$2:$B$11,[1]Products!$F$2:$F$11)</f>
        <v>22.5</v>
      </c>
      <c r="P466">
        <f t="shared" si="14"/>
        <v>877.5</v>
      </c>
      <c r="Q466" s="3">
        <f t="shared" si="15"/>
        <v>0.30335483964402349</v>
      </c>
      <c r="R466">
        <f>MONTH(Table1[[#This Row],[Order_Date]])</f>
        <v>10</v>
      </c>
    </row>
    <row r="467" spans="1:18" x14ac:dyDescent="0.3">
      <c r="A467" t="s">
        <v>616</v>
      </c>
      <c r="B467" t="s">
        <v>663</v>
      </c>
      <c r="C467" t="s">
        <v>106</v>
      </c>
      <c r="D467" t="s">
        <v>52</v>
      </c>
      <c r="E467" t="s">
        <v>22</v>
      </c>
      <c r="F467" t="s">
        <v>16</v>
      </c>
      <c r="G467">
        <v>13</v>
      </c>
      <c r="H467" s="6">
        <v>27.35</v>
      </c>
      <c r="I467">
        <v>355.55</v>
      </c>
      <c r="J467">
        <v>26.23</v>
      </c>
      <c r="K467">
        <v>95.32</v>
      </c>
      <c r="L467" t="s">
        <v>23</v>
      </c>
      <c r="M467" t="s">
        <v>29</v>
      </c>
      <c r="N467" t="s">
        <v>55</v>
      </c>
      <c r="O467">
        <f>_xlfn.XLOOKUP(E467,[1]Products!$B$2:$B$11,[1]Products!$F$2:$F$11)</f>
        <v>18</v>
      </c>
      <c r="P467">
        <f t="shared" si="14"/>
        <v>234</v>
      </c>
      <c r="Q467" s="3">
        <f t="shared" si="15"/>
        <v>0.26809168893263957</v>
      </c>
      <c r="R467">
        <f>MONTH(Table1[[#This Row],[Order_Date]])</f>
        <v>4</v>
      </c>
    </row>
    <row r="468" spans="1:18" x14ac:dyDescent="0.3">
      <c r="A468" t="s">
        <v>617</v>
      </c>
      <c r="B468" t="s">
        <v>677</v>
      </c>
      <c r="C468" t="s">
        <v>87</v>
      </c>
      <c r="D468" t="s">
        <v>32</v>
      </c>
      <c r="E468" t="s">
        <v>60</v>
      </c>
      <c r="F468" t="s">
        <v>34</v>
      </c>
      <c r="G468">
        <v>40</v>
      </c>
      <c r="H468" s="6">
        <v>21.08</v>
      </c>
      <c r="I468">
        <v>843.2</v>
      </c>
      <c r="J468">
        <v>66.81</v>
      </c>
      <c r="K468">
        <v>266.39</v>
      </c>
      <c r="L468" t="s">
        <v>35</v>
      </c>
      <c r="M468" t="s">
        <v>24</v>
      </c>
      <c r="N468" t="s">
        <v>36</v>
      </c>
      <c r="O468">
        <f>_xlfn.XLOOKUP(E468,[1]Products!$B$2:$B$11,[1]Products!$F$2:$F$11)</f>
        <v>12.75</v>
      </c>
      <c r="P468">
        <f t="shared" si="14"/>
        <v>510</v>
      </c>
      <c r="Q468" s="3">
        <f t="shared" si="15"/>
        <v>0.3159274193548387</v>
      </c>
      <c r="R468">
        <f>MONTH(Table1[[#This Row],[Order_Date]])</f>
        <v>1</v>
      </c>
    </row>
    <row r="469" spans="1:18" x14ac:dyDescent="0.3">
      <c r="A469" t="s">
        <v>618</v>
      </c>
      <c r="B469" t="s">
        <v>664</v>
      </c>
      <c r="C469" t="s">
        <v>367</v>
      </c>
      <c r="D469" t="s">
        <v>44</v>
      </c>
      <c r="E469" t="s">
        <v>57</v>
      </c>
      <c r="F469" t="s">
        <v>49</v>
      </c>
      <c r="G469">
        <v>47</v>
      </c>
      <c r="H469" s="6">
        <v>27.54</v>
      </c>
      <c r="I469">
        <v>1294.3800000000001</v>
      </c>
      <c r="J469">
        <v>62.78</v>
      </c>
      <c r="K469">
        <v>503.1</v>
      </c>
      <c r="L469" t="s">
        <v>17</v>
      </c>
      <c r="M469" t="s">
        <v>18</v>
      </c>
      <c r="N469" t="s">
        <v>19</v>
      </c>
      <c r="O469">
        <f>_xlfn.XLOOKUP(E469,[1]Products!$B$2:$B$11,[1]Products!$F$2:$F$11)</f>
        <v>15.5</v>
      </c>
      <c r="P469">
        <f t="shared" si="14"/>
        <v>728.5</v>
      </c>
      <c r="Q469" s="3">
        <f t="shared" si="15"/>
        <v>0.38868029481296062</v>
      </c>
      <c r="R469">
        <f>MONTH(Table1[[#This Row],[Order_Date]])</f>
        <v>10</v>
      </c>
    </row>
    <row r="470" spans="1:18" x14ac:dyDescent="0.3">
      <c r="A470" t="s">
        <v>619</v>
      </c>
      <c r="B470" t="s">
        <v>672</v>
      </c>
      <c r="C470" t="s">
        <v>31</v>
      </c>
      <c r="D470" t="s">
        <v>173</v>
      </c>
      <c r="E470" t="s">
        <v>33</v>
      </c>
      <c r="F470" t="s">
        <v>34</v>
      </c>
      <c r="G470">
        <v>16</v>
      </c>
      <c r="H470" s="6">
        <v>45.08</v>
      </c>
      <c r="I470">
        <v>721.28</v>
      </c>
      <c r="J470">
        <v>21.61</v>
      </c>
      <c r="K470">
        <v>187.67</v>
      </c>
      <c r="L470" t="s">
        <v>23</v>
      </c>
      <c r="M470" t="s">
        <v>29</v>
      </c>
      <c r="N470" t="s">
        <v>55</v>
      </c>
      <c r="O470">
        <f>_xlfn.XLOOKUP(E470,[1]Products!$B$2:$B$11,[1]Products!$F$2:$F$11)</f>
        <v>32</v>
      </c>
      <c r="P470">
        <f t="shared" si="14"/>
        <v>512</v>
      </c>
      <c r="Q470" s="3">
        <f t="shared" si="15"/>
        <v>0.26019021739130432</v>
      </c>
      <c r="R470">
        <f>MONTH(Table1[[#This Row],[Order_Date]])</f>
        <v>3</v>
      </c>
    </row>
    <row r="471" spans="1:18" x14ac:dyDescent="0.3">
      <c r="A471" t="s">
        <v>620</v>
      </c>
      <c r="B471" t="s">
        <v>669</v>
      </c>
      <c r="C471" t="s">
        <v>119</v>
      </c>
      <c r="D471" t="s">
        <v>654</v>
      </c>
      <c r="E471" t="s">
        <v>48</v>
      </c>
      <c r="F471" t="s">
        <v>49</v>
      </c>
      <c r="G471">
        <v>37</v>
      </c>
      <c r="H471" s="6">
        <v>33.200000000000003</v>
      </c>
      <c r="I471">
        <v>1228.4000000000001</v>
      </c>
      <c r="J471">
        <v>41.34</v>
      </c>
      <c r="K471">
        <v>354.56</v>
      </c>
      <c r="L471" t="s">
        <v>35</v>
      </c>
      <c r="M471" t="s">
        <v>24</v>
      </c>
      <c r="N471" t="s">
        <v>55</v>
      </c>
      <c r="O471">
        <f>_xlfn.XLOOKUP(E471,[1]Products!$B$2:$B$11,[1]Products!$F$2:$F$11)</f>
        <v>22.5</v>
      </c>
      <c r="P471">
        <f t="shared" si="14"/>
        <v>832.5</v>
      </c>
      <c r="Q471" s="3">
        <f t="shared" si="15"/>
        <v>0.28863562357538258</v>
      </c>
      <c r="R471">
        <f>MONTH(Table1[[#This Row],[Order_Date]])</f>
        <v>4</v>
      </c>
    </row>
    <row r="472" spans="1:18" x14ac:dyDescent="0.3">
      <c r="A472" t="s">
        <v>621</v>
      </c>
      <c r="B472" t="s">
        <v>670</v>
      </c>
      <c r="C472" t="s">
        <v>14</v>
      </c>
      <c r="D472" t="s">
        <v>654</v>
      </c>
      <c r="E472" t="s">
        <v>22</v>
      </c>
      <c r="F472" t="s">
        <v>16</v>
      </c>
      <c r="G472">
        <v>8</v>
      </c>
      <c r="H472" s="6">
        <v>27.31</v>
      </c>
      <c r="I472">
        <v>218.48</v>
      </c>
      <c r="J472">
        <v>9.51</v>
      </c>
      <c r="K472">
        <v>64.97</v>
      </c>
      <c r="L472" t="s">
        <v>35</v>
      </c>
      <c r="M472" t="s">
        <v>18</v>
      </c>
      <c r="N472" t="s">
        <v>55</v>
      </c>
      <c r="O472">
        <f>_xlfn.XLOOKUP(E472,[1]Products!$B$2:$B$11,[1]Products!$F$2:$F$11)</f>
        <v>18</v>
      </c>
      <c r="P472">
        <f t="shared" si="14"/>
        <v>144</v>
      </c>
      <c r="Q472" s="3">
        <f t="shared" si="15"/>
        <v>0.29737275723178325</v>
      </c>
      <c r="R472">
        <f>MONTH(Table1[[#This Row],[Order_Date]])</f>
        <v>12</v>
      </c>
    </row>
    <row r="473" spans="1:18" x14ac:dyDescent="0.3">
      <c r="A473" t="s">
        <v>622</v>
      </c>
      <c r="B473" t="s">
        <v>663</v>
      </c>
      <c r="C473" t="s">
        <v>93</v>
      </c>
      <c r="D473" t="s">
        <v>82</v>
      </c>
      <c r="E473" t="s">
        <v>22</v>
      </c>
      <c r="F473" t="s">
        <v>16</v>
      </c>
      <c r="G473">
        <v>19</v>
      </c>
      <c r="H473" s="6">
        <v>29.14</v>
      </c>
      <c r="I473">
        <v>553.66</v>
      </c>
      <c r="J473">
        <v>19.7</v>
      </c>
      <c r="K473">
        <v>191.96</v>
      </c>
      <c r="L473" t="s">
        <v>17</v>
      </c>
      <c r="M473" t="s">
        <v>24</v>
      </c>
      <c r="N473" t="s">
        <v>83</v>
      </c>
      <c r="O473">
        <f>_xlfn.XLOOKUP(E473,[1]Products!$B$2:$B$11,[1]Products!$F$2:$F$11)</f>
        <v>18</v>
      </c>
      <c r="P473">
        <f t="shared" si="14"/>
        <v>342</v>
      </c>
      <c r="Q473" s="3">
        <f t="shared" si="15"/>
        <v>0.34671097785644622</v>
      </c>
      <c r="R473">
        <f>MONTH(Table1[[#This Row],[Order_Date]])</f>
        <v>4</v>
      </c>
    </row>
    <row r="474" spans="1:18" x14ac:dyDescent="0.3">
      <c r="A474" t="s">
        <v>623</v>
      </c>
      <c r="B474" t="s">
        <v>667</v>
      </c>
      <c r="C474" t="s">
        <v>205</v>
      </c>
      <c r="D474" t="s">
        <v>66</v>
      </c>
      <c r="E474" t="s">
        <v>15</v>
      </c>
      <c r="F474" t="s">
        <v>16</v>
      </c>
      <c r="G474">
        <v>6</v>
      </c>
      <c r="H474" s="6">
        <v>55.41</v>
      </c>
      <c r="I474">
        <v>332.46</v>
      </c>
      <c r="J474">
        <v>15.57</v>
      </c>
      <c r="K474">
        <v>106.89</v>
      </c>
      <c r="L474" t="s">
        <v>17</v>
      </c>
      <c r="M474" t="s">
        <v>18</v>
      </c>
      <c r="N474" t="s">
        <v>55</v>
      </c>
      <c r="O474">
        <f>_xlfn.XLOOKUP(E474,[1]Products!$B$2:$B$11,[1]Products!$F$2:$F$11)</f>
        <v>35</v>
      </c>
      <c r="P474">
        <f t="shared" si="14"/>
        <v>210</v>
      </c>
      <c r="Q474" s="3">
        <f t="shared" si="15"/>
        <v>0.3215123623894604</v>
      </c>
      <c r="R474">
        <f>MONTH(Table1[[#This Row],[Order_Date]])</f>
        <v>9</v>
      </c>
    </row>
    <row r="475" spans="1:18" x14ac:dyDescent="0.3">
      <c r="A475" t="s">
        <v>624</v>
      </c>
      <c r="B475" t="s">
        <v>669</v>
      </c>
      <c r="C475" t="s">
        <v>189</v>
      </c>
      <c r="D475" t="s">
        <v>654</v>
      </c>
      <c r="E475" t="s">
        <v>22</v>
      </c>
      <c r="F475" t="s">
        <v>16</v>
      </c>
      <c r="G475">
        <v>48</v>
      </c>
      <c r="H475" s="6">
        <v>29.07</v>
      </c>
      <c r="I475">
        <v>1395.36</v>
      </c>
      <c r="J475">
        <v>70.38</v>
      </c>
      <c r="K475">
        <v>460.98</v>
      </c>
      <c r="L475" t="s">
        <v>23</v>
      </c>
      <c r="M475" t="s">
        <v>29</v>
      </c>
      <c r="N475" t="s">
        <v>55</v>
      </c>
      <c r="O475">
        <f>_xlfn.XLOOKUP(E475,[1]Products!$B$2:$B$11,[1]Products!$F$2:$F$11)</f>
        <v>18</v>
      </c>
      <c r="P475">
        <f t="shared" si="14"/>
        <v>864</v>
      </c>
      <c r="Q475" s="3">
        <f t="shared" si="15"/>
        <v>0.33036635706914347</v>
      </c>
      <c r="R475">
        <f>MONTH(Table1[[#This Row],[Order_Date]])</f>
        <v>4</v>
      </c>
    </row>
    <row r="476" spans="1:18" x14ac:dyDescent="0.3">
      <c r="A476" t="s">
        <v>625</v>
      </c>
      <c r="B476" t="s">
        <v>675</v>
      </c>
      <c r="C476" t="s">
        <v>282</v>
      </c>
      <c r="D476" t="s">
        <v>32</v>
      </c>
      <c r="E476" t="s">
        <v>48</v>
      </c>
      <c r="F476" t="s">
        <v>49</v>
      </c>
      <c r="G476">
        <v>26</v>
      </c>
      <c r="H476" s="6">
        <v>27.17</v>
      </c>
      <c r="I476">
        <v>706.42</v>
      </c>
      <c r="J476">
        <v>33.94</v>
      </c>
      <c r="K476">
        <v>87.48</v>
      </c>
      <c r="L476" t="s">
        <v>35</v>
      </c>
      <c r="M476" t="s">
        <v>24</v>
      </c>
      <c r="N476" t="s">
        <v>36</v>
      </c>
      <c r="O476">
        <f>_xlfn.XLOOKUP(E476,[1]Products!$B$2:$B$11,[1]Products!$F$2:$F$11)</f>
        <v>22.5</v>
      </c>
      <c r="P476">
        <f t="shared" si="14"/>
        <v>585</v>
      </c>
      <c r="Q476" s="3">
        <f t="shared" si="15"/>
        <v>0.12383567849154895</v>
      </c>
      <c r="R476">
        <f>MONTH(Table1[[#This Row],[Order_Date]])</f>
        <v>5</v>
      </c>
    </row>
    <row r="477" spans="1:18" x14ac:dyDescent="0.3">
      <c r="A477" t="s">
        <v>626</v>
      </c>
      <c r="B477" t="s">
        <v>675</v>
      </c>
      <c r="C477" t="s">
        <v>101</v>
      </c>
      <c r="D477" t="s">
        <v>73</v>
      </c>
      <c r="E477" t="s">
        <v>15</v>
      </c>
      <c r="F477" t="s">
        <v>16</v>
      </c>
      <c r="G477">
        <v>9</v>
      </c>
      <c r="H477" s="6">
        <v>48.76</v>
      </c>
      <c r="I477">
        <v>438.84</v>
      </c>
      <c r="J477">
        <v>16.91</v>
      </c>
      <c r="K477">
        <v>106.93</v>
      </c>
      <c r="L477" t="s">
        <v>35</v>
      </c>
      <c r="M477" t="s">
        <v>18</v>
      </c>
      <c r="N477" t="s">
        <v>55</v>
      </c>
      <c r="O477">
        <f>_xlfn.XLOOKUP(E477,[1]Products!$B$2:$B$11,[1]Products!$F$2:$F$11)</f>
        <v>35</v>
      </c>
      <c r="P477">
        <f t="shared" si="14"/>
        <v>315</v>
      </c>
      <c r="Q477" s="3">
        <f t="shared" si="15"/>
        <v>0.24366511712697114</v>
      </c>
      <c r="R477">
        <f>MONTH(Table1[[#This Row],[Order_Date]])</f>
        <v>5</v>
      </c>
    </row>
    <row r="478" spans="1:18" x14ac:dyDescent="0.3">
      <c r="A478" t="s">
        <v>627</v>
      </c>
      <c r="B478" t="s">
        <v>677</v>
      </c>
      <c r="C478" t="s">
        <v>222</v>
      </c>
      <c r="D478" t="s">
        <v>653</v>
      </c>
      <c r="E478" t="s">
        <v>48</v>
      </c>
      <c r="F478" t="s">
        <v>49</v>
      </c>
      <c r="G478">
        <v>37</v>
      </c>
      <c r="H478" s="6">
        <v>33.21</v>
      </c>
      <c r="I478">
        <v>1228.77</v>
      </c>
      <c r="J478">
        <v>96.12</v>
      </c>
      <c r="K478">
        <v>300.14999999999998</v>
      </c>
      <c r="L478" t="s">
        <v>35</v>
      </c>
      <c r="M478" t="s">
        <v>24</v>
      </c>
      <c r="N478" t="s">
        <v>25</v>
      </c>
      <c r="O478">
        <f>_xlfn.XLOOKUP(E478,[1]Products!$B$2:$B$11,[1]Products!$F$2:$F$11)</f>
        <v>22.5</v>
      </c>
      <c r="P478">
        <f t="shared" si="14"/>
        <v>832.5</v>
      </c>
      <c r="Q478" s="3">
        <f t="shared" si="15"/>
        <v>0.24426865890280522</v>
      </c>
      <c r="R478">
        <f>MONTH(Table1[[#This Row],[Order_Date]])</f>
        <v>1</v>
      </c>
    </row>
    <row r="479" spans="1:18" x14ac:dyDescent="0.3">
      <c r="A479" t="s">
        <v>628</v>
      </c>
      <c r="B479" t="s">
        <v>665</v>
      </c>
      <c r="C479" t="s">
        <v>101</v>
      </c>
      <c r="D479" t="s">
        <v>32</v>
      </c>
      <c r="E479" t="s">
        <v>60</v>
      </c>
      <c r="F479" t="s">
        <v>34</v>
      </c>
      <c r="G479">
        <v>29</v>
      </c>
      <c r="H479" s="6">
        <v>16.54</v>
      </c>
      <c r="I479">
        <v>479.66</v>
      </c>
      <c r="J479">
        <v>30.23</v>
      </c>
      <c r="K479">
        <v>79.680000000000007</v>
      </c>
      <c r="L479" t="s">
        <v>23</v>
      </c>
      <c r="M479" t="s">
        <v>29</v>
      </c>
      <c r="N479" t="s">
        <v>36</v>
      </c>
      <c r="O479">
        <f>_xlfn.XLOOKUP(E479,[1]Products!$B$2:$B$11,[1]Products!$F$2:$F$11)</f>
        <v>12.75</v>
      </c>
      <c r="P479">
        <f t="shared" si="14"/>
        <v>369.75</v>
      </c>
      <c r="Q479" s="3">
        <f t="shared" si="15"/>
        <v>0.16611766668056541</v>
      </c>
      <c r="R479">
        <f>MONTH(Table1[[#This Row],[Order_Date]])</f>
        <v>6</v>
      </c>
    </row>
    <row r="480" spans="1:18" x14ac:dyDescent="0.3">
      <c r="A480" t="s">
        <v>629</v>
      </c>
      <c r="B480" t="s">
        <v>669</v>
      </c>
      <c r="C480" t="s">
        <v>72</v>
      </c>
      <c r="D480" t="s">
        <v>125</v>
      </c>
      <c r="E480" t="s">
        <v>53</v>
      </c>
      <c r="F480" t="s">
        <v>54</v>
      </c>
      <c r="G480">
        <v>11</v>
      </c>
      <c r="H480" s="6">
        <v>44.56</v>
      </c>
      <c r="I480">
        <v>490.16</v>
      </c>
      <c r="J480">
        <v>23.97</v>
      </c>
      <c r="K480">
        <v>191.19</v>
      </c>
      <c r="L480" t="s">
        <v>23</v>
      </c>
      <c r="M480" t="s">
        <v>29</v>
      </c>
      <c r="N480" t="s">
        <v>126</v>
      </c>
      <c r="O480">
        <f>_xlfn.XLOOKUP(E480,[1]Products!$B$2:$B$11,[1]Products!$F$2:$F$11)</f>
        <v>25</v>
      </c>
      <c r="P480">
        <f t="shared" si="14"/>
        <v>275</v>
      </c>
      <c r="Q480" s="3">
        <f t="shared" si="15"/>
        <v>0.39005630814427938</v>
      </c>
      <c r="R480">
        <f>MONTH(Table1[[#This Row],[Order_Date]])</f>
        <v>4</v>
      </c>
    </row>
    <row r="481" spans="1:18" x14ac:dyDescent="0.3">
      <c r="A481" t="s">
        <v>630</v>
      </c>
      <c r="B481" t="s">
        <v>676</v>
      </c>
      <c r="C481" t="s">
        <v>47</v>
      </c>
      <c r="D481" t="s">
        <v>44</v>
      </c>
      <c r="E481" t="s">
        <v>33</v>
      </c>
      <c r="F481" t="s">
        <v>34</v>
      </c>
      <c r="G481">
        <v>50</v>
      </c>
      <c r="H481" s="6">
        <v>44.78</v>
      </c>
      <c r="I481">
        <v>2239</v>
      </c>
      <c r="J481">
        <v>169.97</v>
      </c>
      <c r="K481">
        <v>469.03</v>
      </c>
      <c r="L481" t="s">
        <v>17</v>
      </c>
      <c r="M481" t="s">
        <v>29</v>
      </c>
      <c r="N481" t="s">
        <v>19</v>
      </c>
      <c r="O481">
        <f>_xlfn.XLOOKUP(E481,[1]Products!$B$2:$B$11,[1]Products!$F$2:$F$11)</f>
        <v>32</v>
      </c>
      <c r="P481">
        <f t="shared" si="14"/>
        <v>1600</v>
      </c>
      <c r="Q481" s="3">
        <f t="shared" si="15"/>
        <v>0.20948191156766413</v>
      </c>
      <c r="R481">
        <f>MONTH(Table1[[#This Row],[Order_Date]])</f>
        <v>11</v>
      </c>
    </row>
    <row r="482" spans="1:18" x14ac:dyDescent="0.3">
      <c r="A482" t="s">
        <v>631</v>
      </c>
      <c r="B482" t="s">
        <v>670</v>
      </c>
      <c r="C482" t="s">
        <v>70</v>
      </c>
      <c r="D482" t="s">
        <v>652</v>
      </c>
      <c r="E482" t="s">
        <v>22</v>
      </c>
      <c r="F482" t="s">
        <v>16</v>
      </c>
      <c r="G482">
        <v>30</v>
      </c>
      <c r="H482" s="6">
        <v>22.51</v>
      </c>
      <c r="I482">
        <v>675.3</v>
      </c>
      <c r="J482">
        <v>26.26</v>
      </c>
      <c r="K482">
        <v>109.04</v>
      </c>
      <c r="L482" t="s">
        <v>17</v>
      </c>
      <c r="M482" t="s">
        <v>18</v>
      </c>
      <c r="N482" t="s">
        <v>19</v>
      </c>
      <c r="O482">
        <f>_xlfn.XLOOKUP(E482,[1]Products!$B$2:$B$11,[1]Products!$F$2:$F$11)</f>
        <v>18</v>
      </c>
      <c r="P482">
        <f t="shared" si="14"/>
        <v>540</v>
      </c>
      <c r="Q482" s="3">
        <f t="shared" si="15"/>
        <v>0.16146897675107361</v>
      </c>
      <c r="R482">
        <f>MONTH(Table1[[#This Row],[Order_Date]])</f>
        <v>12</v>
      </c>
    </row>
    <row r="483" spans="1:18" x14ac:dyDescent="0.3">
      <c r="A483" t="s">
        <v>632</v>
      </c>
      <c r="B483" t="s">
        <v>672</v>
      </c>
      <c r="C483" t="s">
        <v>242</v>
      </c>
      <c r="D483" t="s">
        <v>125</v>
      </c>
      <c r="E483" t="s">
        <v>57</v>
      </c>
      <c r="F483" t="s">
        <v>49</v>
      </c>
      <c r="G483">
        <v>50</v>
      </c>
      <c r="H483" s="6">
        <v>27.18</v>
      </c>
      <c r="I483">
        <v>1359</v>
      </c>
      <c r="J483">
        <v>45.67</v>
      </c>
      <c r="K483">
        <v>538.33000000000004</v>
      </c>
      <c r="L483" t="s">
        <v>17</v>
      </c>
      <c r="M483" t="s">
        <v>29</v>
      </c>
      <c r="N483" t="s">
        <v>126</v>
      </c>
      <c r="O483">
        <f>_xlfn.XLOOKUP(E483,[1]Products!$B$2:$B$11,[1]Products!$F$2:$F$11)</f>
        <v>15.5</v>
      </c>
      <c r="P483">
        <f t="shared" si="14"/>
        <v>775</v>
      </c>
      <c r="Q483" s="3">
        <f t="shared" si="15"/>
        <v>0.39612214863870499</v>
      </c>
      <c r="R483">
        <f>MONTH(Table1[[#This Row],[Order_Date]])</f>
        <v>3</v>
      </c>
    </row>
    <row r="484" spans="1:18" x14ac:dyDescent="0.3">
      <c r="A484" t="s">
        <v>633</v>
      </c>
      <c r="B484" t="s">
        <v>667</v>
      </c>
      <c r="C484" t="s">
        <v>131</v>
      </c>
      <c r="D484" t="s">
        <v>28</v>
      </c>
      <c r="E484" t="s">
        <v>79</v>
      </c>
      <c r="F484" t="s">
        <v>49</v>
      </c>
      <c r="G484">
        <v>28</v>
      </c>
      <c r="H484" s="6">
        <v>37.51</v>
      </c>
      <c r="I484">
        <v>1050.28</v>
      </c>
      <c r="J484">
        <v>45.83</v>
      </c>
      <c r="K484">
        <v>220.45</v>
      </c>
      <c r="L484" t="s">
        <v>35</v>
      </c>
      <c r="M484" t="s">
        <v>24</v>
      </c>
      <c r="N484" t="s">
        <v>25</v>
      </c>
      <c r="O484">
        <f>_xlfn.XLOOKUP(E484,[1]Products!$B$2:$B$11,[1]Products!$F$2:$F$11)</f>
        <v>28</v>
      </c>
      <c r="P484">
        <f t="shared" si="14"/>
        <v>784</v>
      </c>
      <c r="Q484" s="3">
        <f t="shared" si="15"/>
        <v>0.20989640857676048</v>
      </c>
      <c r="R484">
        <f>MONTH(Table1[[#This Row],[Order_Date]])</f>
        <v>9</v>
      </c>
    </row>
    <row r="485" spans="1:18" x14ac:dyDescent="0.3">
      <c r="A485" t="s">
        <v>634</v>
      </c>
      <c r="B485" t="s">
        <v>672</v>
      </c>
      <c r="C485" t="s">
        <v>64</v>
      </c>
      <c r="D485" t="s">
        <v>125</v>
      </c>
      <c r="E485" t="s">
        <v>40</v>
      </c>
      <c r="F485" t="s">
        <v>41</v>
      </c>
      <c r="G485">
        <v>50</v>
      </c>
      <c r="H485" s="6">
        <v>53.71</v>
      </c>
      <c r="I485">
        <v>2685.5</v>
      </c>
      <c r="J485">
        <v>197.89</v>
      </c>
      <c r="K485">
        <v>487.61</v>
      </c>
      <c r="L485" t="s">
        <v>23</v>
      </c>
      <c r="M485" t="s">
        <v>29</v>
      </c>
      <c r="N485" t="s">
        <v>126</v>
      </c>
      <c r="O485">
        <f>_xlfn.XLOOKUP(E485,[1]Products!$B$2:$B$11,[1]Products!$F$2:$F$11)</f>
        <v>40</v>
      </c>
      <c r="P485">
        <f t="shared" si="14"/>
        <v>2000</v>
      </c>
      <c r="Q485" s="3">
        <f t="shared" si="15"/>
        <v>0.18157140197356172</v>
      </c>
      <c r="R485">
        <f>MONTH(Table1[[#This Row],[Order_Date]])</f>
        <v>3</v>
      </c>
    </row>
    <row r="486" spans="1:18" x14ac:dyDescent="0.3">
      <c r="A486" t="s">
        <v>635</v>
      </c>
      <c r="B486" t="s">
        <v>670</v>
      </c>
      <c r="C486" t="s">
        <v>395</v>
      </c>
      <c r="D486" t="s">
        <v>82</v>
      </c>
      <c r="E486" t="s">
        <v>57</v>
      </c>
      <c r="F486" t="s">
        <v>49</v>
      </c>
      <c r="G486">
        <v>24</v>
      </c>
      <c r="H486" s="6">
        <v>18.62</v>
      </c>
      <c r="I486">
        <v>446.88</v>
      </c>
      <c r="J486">
        <v>26.91</v>
      </c>
      <c r="K486">
        <v>47.97</v>
      </c>
      <c r="L486" t="s">
        <v>23</v>
      </c>
      <c r="M486" t="s">
        <v>24</v>
      </c>
      <c r="N486" t="s">
        <v>83</v>
      </c>
      <c r="O486">
        <f>_xlfn.XLOOKUP(E486,[1]Products!$B$2:$B$11,[1]Products!$F$2:$F$11)</f>
        <v>15.5</v>
      </c>
      <c r="P486">
        <f t="shared" si="14"/>
        <v>372</v>
      </c>
      <c r="Q486" s="3">
        <f t="shared" si="15"/>
        <v>0.10734425349087003</v>
      </c>
      <c r="R486">
        <f>MONTH(Table1[[#This Row],[Order_Date]])</f>
        <v>12</v>
      </c>
    </row>
    <row r="487" spans="1:18" x14ac:dyDescent="0.3">
      <c r="A487" t="s">
        <v>636</v>
      </c>
      <c r="B487" t="s">
        <v>661</v>
      </c>
      <c r="C487" t="s">
        <v>179</v>
      </c>
      <c r="D487" t="s">
        <v>66</v>
      </c>
      <c r="E487" t="s">
        <v>40</v>
      </c>
      <c r="F487" t="s">
        <v>41</v>
      </c>
      <c r="G487">
        <v>10</v>
      </c>
      <c r="H487" s="6">
        <v>49.15</v>
      </c>
      <c r="I487">
        <v>491.5</v>
      </c>
      <c r="J487">
        <v>13.3</v>
      </c>
      <c r="K487">
        <v>78.2</v>
      </c>
      <c r="L487" t="s">
        <v>35</v>
      </c>
      <c r="M487" t="s">
        <v>29</v>
      </c>
      <c r="N487" t="s">
        <v>55</v>
      </c>
      <c r="O487">
        <f>_xlfn.XLOOKUP(E487,[1]Products!$B$2:$B$11,[1]Products!$F$2:$F$11)</f>
        <v>40</v>
      </c>
      <c r="P487">
        <f t="shared" si="14"/>
        <v>400</v>
      </c>
      <c r="Q487" s="3">
        <f t="shared" si="15"/>
        <v>0.15910478128179045</v>
      </c>
      <c r="R487">
        <f>MONTH(Table1[[#This Row],[Order_Date]])</f>
        <v>1</v>
      </c>
    </row>
    <row r="488" spans="1:18" x14ac:dyDescent="0.3">
      <c r="A488" t="s">
        <v>637</v>
      </c>
      <c r="B488" t="s">
        <v>670</v>
      </c>
      <c r="C488" t="s">
        <v>203</v>
      </c>
      <c r="D488" t="s">
        <v>52</v>
      </c>
      <c r="E488" t="s">
        <v>40</v>
      </c>
      <c r="F488" t="s">
        <v>41</v>
      </c>
      <c r="G488">
        <v>42</v>
      </c>
      <c r="H488" s="6">
        <v>50.96</v>
      </c>
      <c r="I488">
        <v>2140.3200000000002</v>
      </c>
      <c r="J488">
        <v>127.85</v>
      </c>
      <c r="K488">
        <v>332.47</v>
      </c>
      <c r="L488" t="s">
        <v>17</v>
      </c>
      <c r="M488" t="s">
        <v>24</v>
      </c>
      <c r="N488" t="s">
        <v>55</v>
      </c>
      <c r="O488">
        <f>_xlfn.XLOOKUP(E488,[1]Products!$B$2:$B$11,[1]Products!$F$2:$F$11)</f>
        <v>40</v>
      </c>
      <c r="P488">
        <f t="shared" si="14"/>
        <v>1680</v>
      </c>
      <c r="Q488" s="3">
        <f t="shared" si="15"/>
        <v>0.15533658518352397</v>
      </c>
      <c r="R488">
        <f>MONTH(Table1[[#This Row],[Order_Date]])</f>
        <v>12</v>
      </c>
    </row>
    <row r="489" spans="1:18" x14ac:dyDescent="0.3">
      <c r="A489" t="s">
        <v>638</v>
      </c>
      <c r="B489" t="s">
        <v>677</v>
      </c>
      <c r="C489" t="s">
        <v>200</v>
      </c>
      <c r="D489" t="s">
        <v>52</v>
      </c>
      <c r="E489" t="s">
        <v>53</v>
      </c>
      <c r="F489" t="s">
        <v>54</v>
      </c>
      <c r="G489">
        <v>39</v>
      </c>
      <c r="H489" s="6">
        <v>37.46</v>
      </c>
      <c r="I489">
        <v>1460.94</v>
      </c>
      <c r="J489">
        <v>82.25</v>
      </c>
      <c r="K489">
        <v>403.69</v>
      </c>
      <c r="L489" t="s">
        <v>35</v>
      </c>
      <c r="M489" t="s">
        <v>18</v>
      </c>
      <c r="N489" t="s">
        <v>55</v>
      </c>
      <c r="O489">
        <f>_xlfn.XLOOKUP(E489,[1]Products!$B$2:$B$11,[1]Products!$F$2:$F$11)</f>
        <v>25</v>
      </c>
      <c r="P489">
        <f t="shared" si="14"/>
        <v>975</v>
      </c>
      <c r="Q489" s="3">
        <f t="shared" si="15"/>
        <v>0.27632209399427765</v>
      </c>
      <c r="R489">
        <f>MONTH(Table1[[#This Row],[Order_Date]])</f>
        <v>1</v>
      </c>
    </row>
    <row r="490" spans="1:18" x14ac:dyDescent="0.3">
      <c r="A490" t="s">
        <v>639</v>
      </c>
      <c r="B490" t="s">
        <v>666</v>
      </c>
      <c r="C490" t="s">
        <v>104</v>
      </c>
      <c r="D490" t="s">
        <v>102</v>
      </c>
      <c r="E490" t="s">
        <v>60</v>
      </c>
      <c r="F490" t="s">
        <v>34</v>
      </c>
      <c r="G490">
        <v>7</v>
      </c>
      <c r="H490" s="6">
        <v>20.2</v>
      </c>
      <c r="I490">
        <v>141.4</v>
      </c>
      <c r="J490">
        <v>4.3499999999999996</v>
      </c>
      <c r="K490">
        <v>47.8</v>
      </c>
      <c r="L490" t="s">
        <v>23</v>
      </c>
      <c r="M490" t="s">
        <v>29</v>
      </c>
      <c r="N490" t="s">
        <v>25</v>
      </c>
      <c r="O490">
        <f>_xlfn.XLOOKUP(E490,[1]Products!$B$2:$B$11,[1]Products!$F$2:$F$11)</f>
        <v>12.75</v>
      </c>
      <c r="P490">
        <f t="shared" si="14"/>
        <v>89.25</v>
      </c>
      <c r="Q490" s="3">
        <f t="shared" si="15"/>
        <v>0.33804809052333801</v>
      </c>
      <c r="R490">
        <f>MONTH(Table1[[#This Row],[Order_Date]])</f>
        <v>5</v>
      </c>
    </row>
    <row r="491" spans="1:18" x14ac:dyDescent="0.3">
      <c r="A491" t="s">
        <v>640</v>
      </c>
      <c r="B491" t="s">
        <v>667</v>
      </c>
      <c r="C491" t="s">
        <v>119</v>
      </c>
      <c r="D491" t="s">
        <v>39</v>
      </c>
      <c r="E491" t="s">
        <v>60</v>
      </c>
      <c r="F491" t="s">
        <v>34</v>
      </c>
      <c r="G491">
        <v>18</v>
      </c>
      <c r="H491" s="6">
        <v>18.63</v>
      </c>
      <c r="I491">
        <v>335.34</v>
      </c>
      <c r="J491">
        <v>26.18</v>
      </c>
      <c r="K491">
        <v>79.66</v>
      </c>
      <c r="L491" t="s">
        <v>23</v>
      </c>
      <c r="M491" t="s">
        <v>18</v>
      </c>
      <c r="N491" t="s">
        <v>19</v>
      </c>
      <c r="O491">
        <f>_xlfn.XLOOKUP(E491,[1]Products!$B$2:$B$11,[1]Products!$F$2:$F$11)</f>
        <v>12.75</v>
      </c>
      <c r="P491">
        <f t="shared" si="14"/>
        <v>229.5</v>
      </c>
      <c r="Q491" s="3">
        <f t="shared" si="15"/>
        <v>0.23754994930518281</v>
      </c>
      <c r="R491">
        <f>MONTH(Table1[[#This Row],[Order_Date]])</f>
        <v>9</v>
      </c>
    </row>
    <row r="492" spans="1:18" x14ac:dyDescent="0.3">
      <c r="A492" t="s">
        <v>641</v>
      </c>
      <c r="B492" t="s">
        <v>675</v>
      </c>
      <c r="C492" t="s">
        <v>287</v>
      </c>
      <c r="D492" t="s">
        <v>125</v>
      </c>
      <c r="E492" t="s">
        <v>48</v>
      </c>
      <c r="F492" t="s">
        <v>49</v>
      </c>
      <c r="G492">
        <v>12</v>
      </c>
      <c r="H492" s="6">
        <v>27.08</v>
      </c>
      <c r="I492">
        <v>324.95999999999998</v>
      </c>
      <c r="J492">
        <v>15.59</v>
      </c>
      <c r="K492">
        <v>39.369999999999997</v>
      </c>
      <c r="L492" t="s">
        <v>23</v>
      </c>
      <c r="M492" t="s">
        <v>29</v>
      </c>
      <c r="N492" t="s">
        <v>126</v>
      </c>
      <c r="O492">
        <f>_xlfn.XLOOKUP(E492,[1]Products!$B$2:$B$11,[1]Products!$F$2:$F$11)</f>
        <v>22.5</v>
      </c>
      <c r="P492">
        <f t="shared" si="14"/>
        <v>270</v>
      </c>
      <c r="Q492" s="3">
        <f t="shared" si="15"/>
        <v>0.12115337272279665</v>
      </c>
      <c r="R492">
        <f>MONTH(Table1[[#This Row],[Order_Date]])</f>
        <v>5</v>
      </c>
    </row>
    <row r="493" spans="1:18" x14ac:dyDescent="0.3">
      <c r="A493" t="s">
        <v>642</v>
      </c>
      <c r="B493" t="s">
        <v>669</v>
      </c>
      <c r="C493" t="s">
        <v>311</v>
      </c>
      <c r="D493" t="s">
        <v>102</v>
      </c>
      <c r="E493" t="s">
        <v>53</v>
      </c>
      <c r="F493" t="s">
        <v>54</v>
      </c>
      <c r="G493">
        <v>50</v>
      </c>
      <c r="H493" s="6">
        <v>32.21</v>
      </c>
      <c r="I493">
        <v>1610.5</v>
      </c>
      <c r="J493">
        <v>32.68</v>
      </c>
      <c r="K493">
        <v>327.82</v>
      </c>
      <c r="L493" t="s">
        <v>23</v>
      </c>
      <c r="M493" t="s">
        <v>29</v>
      </c>
      <c r="N493" t="s">
        <v>25</v>
      </c>
      <c r="O493">
        <f>_xlfn.XLOOKUP(E493,[1]Products!$B$2:$B$11,[1]Products!$F$2:$F$11)</f>
        <v>25</v>
      </c>
      <c r="P493">
        <f t="shared" si="14"/>
        <v>1250</v>
      </c>
      <c r="Q493" s="3">
        <f t="shared" si="15"/>
        <v>0.20355169202111145</v>
      </c>
      <c r="R493">
        <f>MONTH(Table1[[#This Row],[Order_Date]])</f>
        <v>4</v>
      </c>
    </row>
    <row r="494" spans="1:18" x14ac:dyDescent="0.3">
      <c r="A494" t="s">
        <v>643</v>
      </c>
      <c r="B494" t="s">
        <v>674</v>
      </c>
      <c r="C494" t="s">
        <v>406</v>
      </c>
      <c r="D494" t="s">
        <v>82</v>
      </c>
      <c r="E494" t="s">
        <v>60</v>
      </c>
      <c r="F494" t="s">
        <v>34</v>
      </c>
      <c r="G494">
        <v>49</v>
      </c>
      <c r="H494" s="6">
        <v>20.59</v>
      </c>
      <c r="I494">
        <v>1008.91</v>
      </c>
      <c r="J494">
        <v>78.03</v>
      </c>
      <c r="K494">
        <v>306.13</v>
      </c>
      <c r="L494" t="s">
        <v>23</v>
      </c>
      <c r="M494" t="s">
        <v>29</v>
      </c>
      <c r="N494" t="s">
        <v>83</v>
      </c>
      <c r="O494">
        <f>_xlfn.XLOOKUP(E494,[1]Products!$B$2:$B$11,[1]Products!$F$2:$F$11)</f>
        <v>12.75</v>
      </c>
      <c r="P494">
        <f t="shared" si="14"/>
        <v>624.75</v>
      </c>
      <c r="Q494" s="3">
        <f t="shared" si="15"/>
        <v>0.30342647015095497</v>
      </c>
      <c r="R494">
        <f>MONTH(Table1[[#This Row],[Order_Date]])</f>
        <v>3</v>
      </c>
    </row>
    <row r="495" spans="1:18" x14ac:dyDescent="0.3">
      <c r="A495" t="s">
        <v>644</v>
      </c>
      <c r="B495" t="s">
        <v>663</v>
      </c>
      <c r="C495" t="s">
        <v>81</v>
      </c>
      <c r="D495" t="s">
        <v>28</v>
      </c>
      <c r="E495" t="s">
        <v>45</v>
      </c>
      <c r="F495" t="s">
        <v>34</v>
      </c>
      <c r="G495">
        <v>22</v>
      </c>
      <c r="H495" s="6">
        <v>28.63</v>
      </c>
      <c r="I495">
        <v>629.86</v>
      </c>
      <c r="J495">
        <v>29.08</v>
      </c>
      <c r="K495">
        <v>160.78</v>
      </c>
      <c r="L495" t="s">
        <v>23</v>
      </c>
      <c r="M495" t="s">
        <v>24</v>
      </c>
      <c r="N495" t="s">
        <v>25</v>
      </c>
      <c r="O495">
        <f>_xlfn.XLOOKUP(E495,[1]Products!$B$2:$B$11,[1]Products!$F$2:$F$11)</f>
        <v>20</v>
      </c>
      <c r="P495">
        <f t="shared" si="14"/>
        <v>440</v>
      </c>
      <c r="Q495" s="3">
        <f t="shared" si="15"/>
        <v>0.25526307433397899</v>
      </c>
      <c r="R495">
        <f>MONTH(Table1[[#This Row],[Order_Date]])</f>
        <v>4</v>
      </c>
    </row>
    <row r="496" spans="1:18" x14ac:dyDescent="0.3">
      <c r="A496" t="s">
        <v>645</v>
      </c>
      <c r="B496" t="s">
        <v>662</v>
      </c>
      <c r="C496" t="s">
        <v>179</v>
      </c>
      <c r="D496" t="s">
        <v>52</v>
      </c>
      <c r="E496" t="s">
        <v>40</v>
      </c>
      <c r="F496" t="s">
        <v>41</v>
      </c>
      <c r="G496">
        <v>11</v>
      </c>
      <c r="H496" s="6">
        <v>56.12</v>
      </c>
      <c r="I496">
        <v>617.32000000000005</v>
      </c>
      <c r="J496">
        <v>38.26</v>
      </c>
      <c r="K496">
        <v>139.06</v>
      </c>
      <c r="L496" t="s">
        <v>23</v>
      </c>
      <c r="M496" t="s">
        <v>24</v>
      </c>
      <c r="N496" t="s">
        <v>55</v>
      </c>
      <c r="O496">
        <f>_xlfn.XLOOKUP(E496,[1]Products!$B$2:$B$11,[1]Products!$F$2:$F$11)</f>
        <v>40</v>
      </c>
      <c r="P496">
        <f t="shared" si="14"/>
        <v>440</v>
      </c>
      <c r="Q496" s="3">
        <f t="shared" si="15"/>
        <v>0.22526404457979651</v>
      </c>
      <c r="R496">
        <f>MONTH(Table1[[#This Row],[Order_Date]])</f>
        <v>2</v>
      </c>
    </row>
    <row r="497" spans="1:18" x14ac:dyDescent="0.3">
      <c r="A497" t="s">
        <v>646</v>
      </c>
      <c r="B497" t="s">
        <v>663</v>
      </c>
      <c r="C497" t="s">
        <v>38</v>
      </c>
      <c r="D497" t="s">
        <v>652</v>
      </c>
      <c r="E497" t="s">
        <v>53</v>
      </c>
      <c r="F497" t="s">
        <v>54</v>
      </c>
      <c r="G497">
        <v>2</v>
      </c>
      <c r="H497" s="6">
        <v>30.88</v>
      </c>
      <c r="I497">
        <v>61.76</v>
      </c>
      <c r="J497">
        <v>4.42</v>
      </c>
      <c r="K497">
        <v>7.34</v>
      </c>
      <c r="L497" t="s">
        <v>35</v>
      </c>
      <c r="M497" t="s">
        <v>24</v>
      </c>
      <c r="N497" t="s">
        <v>19</v>
      </c>
      <c r="O497">
        <f>_xlfn.XLOOKUP(E497,[1]Products!$B$2:$B$11,[1]Products!$F$2:$F$11)</f>
        <v>25</v>
      </c>
      <c r="P497">
        <f t="shared" si="14"/>
        <v>50</v>
      </c>
      <c r="Q497" s="3">
        <f t="shared" si="15"/>
        <v>0.11884715025906736</v>
      </c>
      <c r="R497">
        <f>MONTH(Table1[[#This Row],[Order_Date]])</f>
        <v>4</v>
      </c>
    </row>
    <row r="498" spans="1:18" x14ac:dyDescent="0.3">
      <c r="A498" t="s">
        <v>647</v>
      </c>
      <c r="B498" t="s">
        <v>673</v>
      </c>
      <c r="C498" t="s">
        <v>293</v>
      </c>
      <c r="D498" t="s">
        <v>125</v>
      </c>
      <c r="E498" t="s">
        <v>40</v>
      </c>
      <c r="F498" t="s">
        <v>41</v>
      </c>
      <c r="G498">
        <v>34</v>
      </c>
      <c r="H498" s="6">
        <v>63.8</v>
      </c>
      <c r="I498">
        <v>2169.1999999999998</v>
      </c>
      <c r="J498">
        <v>69.650000000000006</v>
      </c>
      <c r="K498">
        <v>739.55</v>
      </c>
      <c r="L498" t="s">
        <v>23</v>
      </c>
      <c r="M498" t="s">
        <v>29</v>
      </c>
      <c r="N498" t="s">
        <v>126</v>
      </c>
      <c r="O498">
        <f>_xlfn.XLOOKUP(E498,[1]Products!$B$2:$B$11,[1]Products!$F$2:$F$11)</f>
        <v>40</v>
      </c>
      <c r="P498">
        <f t="shared" si="14"/>
        <v>1360</v>
      </c>
      <c r="Q498" s="3">
        <f t="shared" si="15"/>
        <v>0.34093214088143092</v>
      </c>
      <c r="R498">
        <f>MONTH(Table1[[#This Row],[Order_Date]])</f>
        <v>7</v>
      </c>
    </row>
    <row r="499" spans="1:18" x14ac:dyDescent="0.3">
      <c r="A499" t="s">
        <v>648</v>
      </c>
      <c r="B499" t="s">
        <v>670</v>
      </c>
      <c r="C499" t="s">
        <v>172</v>
      </c>
      <c r="D499" t="s">
        <v>44</v>
      </c>
      <c r="E499" t="s">
        <v>79</v>
      </c>
      <c r="F499" t="s">
        <v>49</v>
      </c>
      <c r="G499">
        <v>50</v>
      </c>
      <c r="H499" s="6">
        <v>44.61</v>
      </c>
      <c r="I499">
        <v>2230.5</v>
      </c>
      <c r="J499">
        <v>91.32</v>
      </c>
      <c r="K499">
        <v>739.18</v>
      </c>
      <c r="L499" t="s">
        <v>35</v>
      </c>
      <c r="M499" t="s">
        <v>18</v>
      </c>
      <c r="N499" t="s">
        <v>19</v>
      </c>
      <c r="O499">
        <f>_xlfn.XLOOKUP(E499,[1]Products!$B$2:$B$11,[1]Products!$F$2:$F$11)</f>
        <v>28</v>
      </c>
      <c r="P499">
        <f t="shared" si="14"/>
        <v>1400</v>
      </c>
      <c r="Q499" s="3">
        <f t="shared" si="15"/>
        <v>0.33139654785922434</v>
      </c>
      <c r="R499">
        <f>MONTH(Table1[[#This Row],[Order_Date]])</f>
        <v>12</v>
      </c>
    </row>
    <row r="500" spans="1:18" x14ac:dyDescent="0.3">
      <c r="A500" t="s">
        <v>649</v>
      </c>
      <c r="B500" t="s">
        <v>667</v>
      </c>
      <c r="C500" t="s">
        <v>68</v>
      </c>
      <c r="D500" t="s">
        <v>654</v>
      </c>
      <c r="E500" t="s">
        <v>60</v>
      </c>
      <c r="F500" t="s">
        <v>34</v>
      </c>
      <c r="G500">
        <v>14</v>
      </c>
      <c r="H500" s="6">
        <v>18.61</v>
      </c>
      <c r="I500">
        <v>260.54000000000002</v>
      </c>
      <c r="J500">
        <v>5.39</v>
      </c>
      <c r="K500">
        <v>76.650000000000006</v>
      </c>
      <c r="L500" t="s">
        <v>23</v>
      </c>
      <c r="M500" t="s">
        <v>29</v>
      </c>
      <c r="N500" t="s">
        <v>55</v>
      </c>
      <c r="O500">
        <f>_xlfn.XLOOKUP(E500,[1]Products!$B$2:$B$11,[1]Products!$F$2:$F$11)</f>
        <v>12.75</v>
      </c>
      <c r="P500">
        <f t="shared" si="14"/>
        <v>178.5</v>
      </c>
      <c r="Q500" s="3">
        <f t="shared" si="15"/>
        <v>0.29419666845781839</v>
      </c>
      <c r="R500">
        <f>MONTH(Table1[[#This Row],[Order_Date]])</f>
        <v>9</v>
      </c>
    </row>
    <row r="501" spans="1:18" x14ac:dyDescent="0.3">
      <c r="A501" t="s">
        <v>650</v>
      </c>
      <c r="B501" t="s">
        <v>673</v>
      </c>
      <c r="C501" t="s">
        <v>282</v>
      </c>
      <c r="D501" t="s">
        <v>653</v>
      </c>
      <c r="E501" t="s">
        <v>57</v>
      </c>
      <c r="F501" t="s">
        <v>49</v>
      </c>
      <c r="G501">
        <v>7</v>
      </c>
      <c r="H501" s="6">
        <v>24.61</v>
      </c>
      <c r="I501">
        <v>172.27</v>
      </c>
      <c r="J501">
        <v>9.64</v>
      </c>
      <c r="K501">
        <v>54.13</v>
      </c>
      <c r="L501" t="s">
        <v>35</v>
      </c>
      <c r="M501" t="s">
        <v>29</v>
      </c>
      <c r="N501" t="s">
        <v>25</v>
      </c>
      <c r="O501">
        <f>_xlfn.XLOOKUP(E501,[1]Products!$B$2:$B$11,[1]Products!$F$2:$F$11)</f>
        <v>15.5</v>
      </c>
      <c r="P501">
        <f t="shared" si="14"/>
        <v>108.5</v>
      </c>
      <c r="Q501" s="3">
        <f t="shared" si="15"/>
        <v>0.31421605619086318</v>
      </c>
      <c r="R501">
        <f>MONTH(Table1[[#This Row],[Order_Date]])</f>
        <v>7</v>
      </c>
    </row>
  </sheetData>
  <phoneticPr fontId="3" type="noConversion"/>
  <conditionalFormatting sqref="K1:K501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2"/>
  <sheetViews>
    <sheetView workbookViewId="0">
      <selection activeCell="C2" sqref="C2"/>
    </sheetView>
  </sheetViews>
  <sheetFormatPr defaultRowHeight="14.4" x14ac:dyDescent="0.3"/>
  <cols>
    <col min="2" max="2" width="9.6640625" bestFit="1" customWidth="1"/>
  </cols>
  <sheetData>
    <row r="1" spans="1:3" x14ac:dyDescent="0.3">
      <c r="A1" s="4" t="s">
        <v>658</v>
      </c>
      <c r="B1" s="4" t="s">
        <v>659</v>
      </c>
      <c r="C1" s="4" t="s">
        <v>660</v>
      </c>
    </row>
    <row r="2" spans="1:3" x14ac:dyDescent="0.3">
      <c r="A2" t="str">
        <f>TRIM(MID(Raw_Data!C2,FIND(",",Raw_Data!C2)+1,LEN(Raw_Data!C2)))</f>
        <v>Emily</v>
      </c>
      <c r="B2" t="str">
        <f>LEFT(Raw_Data!C2,FIND(",",Raw_Data!C2)-1)</f>
        <v>Smith</v>
      </c>
      <c r="C2" t="str">
        <f>LEFT(A2,2) &amp; LEFT(B2,2) &amp; ROW()</f>
        <v>EmSm2</v>
      </c>
    </row>
    <row r="3" spans="1:3" x14ac:dyDescent="0.3">
      <c r="A3" t="str">
        <f>TRIM(MID(Raw_Data!C3,FIND(",",Raw_Data!C3)+1,LEN(Raw_Data!C3)))</f>
        <v>Laura</v>
      </c>
      <c r="B3" t="str">
        <f>LEFT(Raw_Data!C3,FIND(",",Raw_Data!C3)-1)</f>
        <v>Brown</v>
      </c>
      <c r="C3" t="str">
        <f t="shared" ref="C3:C66" si="0">LEFT(A3,2) &amp; LEFT(B3,2) &amp; ROW()</f>
        <v>LaBr3</v>
      </c>
    </row>
    <row r="4" spans="1:3" x14ac:dyDescent="0.3">
      <c r="A4" t="str">
        <f>TRIM(MID(Raw_Data!C4,FIND(",",Raw_Data!C4)+1,LEN(Raw_Data!C4)))</f>
        <v>John</v>
      </c>
      <c r="B4" t="str">
        <f>LEFT(Raw_Data!C4,FIND(",",Raw_Data!C4)-1)</f>
        <v>Davis</v>
      </c>
      <c r="C4" t="str">
        <f t="shared" si="0"/>
        <v>JoDa4</v>
      </c>
    </row>
    <row r="5" spans="1:3" x14ac:dyDescent="0.3">
      <c r="A5" t="str">
        <f>TRIM(MID(Raw_Data!C5,FIND(",",Raw_Data!C5)+1,LEN(Raw_Data!C5)))</f>
        <v>Daniel</v>
      </c>
      <c r="B5" t="str">
        <f>LEFT(Raw_Data!C5,FIND(",",Raw_Data!C5)-1)</f>
        <v>Miller</v>
      </c>
      <c r="C5" t="str">
        <f t="shared" si="0"/>
        <v>DaMi5</v>
      </c>
    </row>
    <row r="6" spans="1:3" x14ac:dyDescent="0.3">
      <c r="A6" t="str">
        <f>TRIM(MID(Raw_Data!C6,FIND(",",Raw_Data!C6)+1,LEN(Raw_Data!C6)))</f>
        <v>Emma</v>
      </c>
      <c r="B6" t="str">
        <f>LEFT(Raw_Data!C6,FIND(",",Raw_Data!C6)-1)</f>
        <v>Johnson</v>
      </c>
      <c r="C6" t="str">
        <f t="shared" si="0"/>
        <v>EmJo6</v>
      </c>
    </row>
    <row r="7" spans="1:3" x14ac:dyDescent="0.3">
      <c r="A7" t="str">
        <f>TRIM(MID(Raw_Data!C7,FIND(",",Raw_Data!C7)+1,LEN(Raw_Data!C7)))</f>
        <v>Michael</v>
      </c>
      <c r="B7" t="str">
        <f>LEFT(Raw_Data!C7,FIND(",",Raw_Data!C7)-1)</f>
        <v>Johnson</v>
      </c>
      <c r="C7" t="str">
        <f t="shared" si="0"/>
        <v>MiJo7</v>
      </c>
    </row>
    <row r="8" spans="1:3" x14ac:dyDescent="0.3">
      <c r="A8" t="str">
        <f>TRIM(MID(Raw_Data!C8,FIND(",",Raw_Data!C8)+1,LEN(Raw_Data!C8)))</f>
        <v>Emma</v>
      </c>
      <c r="B8" t="str">
        <f>LEFT(Raw_Data!C8,FIND(",",Raw_Data!C8)-1)</f>
        <v>Hernandez</v>
      </c>
      <c r="C8" t="str">
        <f t="shared" si="0"/>
        <v>EmHe8</v>
      </c>
    </row>
    <row r="9" spans="1:3" x14ac:dyDescent="0.3">
      <c r="A9" t="str">
        <f>TRIM(MID(Raw_Data!C9,FIND(",",Raw_Data!C9)+1,LEN(Raw_Data!C9)))</f>
        <v>John</v>
      </c>
      <c r="B9" t="str">
        <f>LEFT(Raw_Data!C9,FIND(",",Raw_Data!C9)-1)</f>
        <v>Miller</v>
      </c>
      <c r="C9" t="str">
        <f t="shared" si="0"/>
        <v>JoMi9</v>
      </c>
    </row>
    <row r="10" spans="1:3" x14ac:dyDescent="0.3">
      <c r="A10" t="str">
        <f>TRIM(MID(Raw_Data!C10,FIND(",",Raw_Data!C10)+1,LEN(Raw_Data!C10)))</f>
        <v>John</v>
      </c>
      <c r="B10" t="str">
        <f>LEFT(Raw_Data!C10,FIND(",",Raw_Data!C10)-1)</f>
        <v>Davis</v>
      </c>
      <c r="C10" t="str">
        <f t="shared" si="0"/>
        <v>JoDa10</v>
      </c>
    </row>
    <row r="11" spans="1:3" x14ac:dyDescent="0.3">
      <c r="A11" t="str">
        <f>TRIM(MID(Raw_Data!C11,FIND(",",Raw_Data!C11)+1,LEN(Raw_Data!C11)))</f>
        <v>Laura</v>
      </c>
      <c r="B11" t="str">
        <f>LEFT(Raw_Data!C11,FIND(",",Raw_Data!C11)-1)</f>
        <v>Martinez</v>
      </c>
      <c r="C11" t="str">
        <f t="shared" si="0"/>
        <v>LaMa11</v>
      </c>
    </row>
    <row r="12" spans="1:3" x14ac:dyDescent="0.3">
      <c r="A12" t="str">
        <f>TRIM(MID(Raw_Data!C12,FIND(",",Raw_Data!C12)+1,LEN(Raw_Data!C12)))</f>
        <v>James</v>
      </c>
      <c r="B12" t="str">
        <f>LEFT(Raw_Data!C12,FIND(",",Raw_Data!C12)-1)</f>
        <v>Martinez</v>
      </c>
      <c r="C12" t="str">
        <f t="shared" si="0"/>
        <v>JaMa12</v>
      </c>
    </row>
    <row r="13" spans="1:3" x14ac:dyDescent="0.3">
      <c r="A13" t="str">
        <f>TRIM(MID(Raw_Data!C13,FIND(",",Raw_Data!C13)+1,LEN(Raw_Data!C13)))</f>
        <v>James</v>
      </c>
      <c r="B13" t="str">
        <f>LEFT(Raw_Data!C13,FIND(",",Raw_Data!C13)-1)</f>
        <v>Davis</v>
      </c>
      <c r="C13" t="str">
        <f t="shared" si="0"/>
        <v>JaDa13</v>
      </c>
    </row>
    <row r="14" spans="1:3" x14ac:dyDescent="0.3">
      <c r="A14" t="str">
        <f>TRIM(MID(Raw_Data!C14,FIND(",",Raw_Data!C14)+1,LEN(Raw_Data!C14)))</f>
        <v>James</v>
      </c>
      <c r="B14" t="str">
        <f>LEFT(Raw_Data!C14,FIND(",",Raw_Data!C14)-1)</f>
        <v>Martinez</v>
      </c>
      <c r="C14" t="str">
        <f t="shared" si="0"/>
        <v>JaMa14</v>
      </c>
    </row>
    <row r="15" spans="1:3" x14ac:dyDescent="0.3">
      <c r="A15" t="str">
        <f>TRIM(MID(Raw_Data!C15,FIND(",",Raw_Data!C15)+1,LEN(Raw_Data!C15)))</f>
        <v>Emma</v>
      </c>
      <c r="B15" t="str">
        <f>LEFT(Raw_Data!C15,FIND(",",Raw_Data!C15)-1)</f>
        <v>Smith</v>
      </c>
      <c r="C15" t="str">
        <f t="shared" si="0"/>
        <v>EmSm15</v>
      </c>
    </row>
    <row r="16" spans="1:3" x14ac:dyDescent="0.3">
      <c r="A16" t="str">
        <f>TRIM(MID(Raw_Data!C16,FIND(",",Raw_Data!C16)+1,LEN(Raw_Data!C16)))</f>
        <v>Sarah</v>
      </c>
      <c r="B16" t="str">
        <f>LEFT(Raw_Data!C16,FIND(",",Raw_Data!C16)-1)</f>
        <v>Davis</v>
      </c>
      <c r="C16" t="str">
        <f t="shared" si="0"/>
        <v>SaDa16</v>
      </c>
    </row>
    <row r="17" spans="1:3" x14ac:dyDescent="0.3">
      <c r="A17" t="str">
        <f>TRIM(MID(Raw_Data!C17,FIND(",",Raw_Data!C17)+1,LEN(Raw_Data!C17)))</f>
        <v>David</v>
      </c>
      <c r="B17" t="str">
        <f>LEFT(Raw_Data!C17,FIND(",",Raw_Data!C17)-1)</f>
        <v>Williams</v>
      </c>
      <c r="C17" t="str">
        <f t="shared" si="0"/>
        <v>DaWi17</v>
      </c>
    </row>
    <row r="18" spans="1:3" x14ac:dyDescent="0.3">
      <c r="A18" t="str">
        <f>TRIM(MID(Raw_Data!C18,FIND(",",Raw_Data!C18)+1,LEN(Raw_Data!C18)))</f>
        <v>James</v>
      </c>
      <c r="B18" t="str">
        <f>LEFT(Raw_Data!C18,FIND(",",Raw_Data!C18)-1)</f>
        <v>Martinez</v>
      </c>
      <c r="C18" t="str">
        <f t="shared" si="0"/>
        <v>JaMa18</v>
      </c>
    </row>
    <row r="19" spans="1:3" x14ac:dyDescent="0.3">
      <c r="A19" t="str">
        <f>TRIM(MID(Raw_Data!C19,FIND(",",Raw_Data!C19)+1,LEN(Raw_Data!C19)))</f>
        <v>Michael</v>
      </c>
      <c r="B19" t="str">
        <f>LEFT(Raw_Data!C19,FIND(",",Raw_Data!C19)-1)</f>
        <v>Johnson</v>
      </c>
      <c r="C19" t="str">
        <f t="shared" si="0"/>
        <v>MiJo19</v>
      </c>
    </row>
    <row r="20" spans="1:3" x14ac:dyDescent="0.3">
      <c r="A20" t="str">
        <f>TRIM(MID(Raw_Data!C20,FIND(",",Raw_Data!C20)+1,LEN(Raw_Data!C20)))</f>
        <v>Sarah</v>
      </c>
      <c r="B20" t="str">
        <f>LEFT(Raw_Data!C20,FIND(",",Raw_Data!C20)-1)</f>
        <v>Smith</v>
      </c>
      <c r="C20" t="str">
        <f t="shared" si="0"/>
        <v>SaSm20</v>
      </c>
    </row>
    <row r="21" spans="1:3" x14ac:dyDescent="0.3">
      <c r="A21" t="str">
        <f>TRIM(MID(Raw_Data!C21,FIND(",",Raw_Data!C21)+1,LEN(Raw_Data!C21)))</f>
        <v>Emma</v>
      </c>
      <c r="B21" t="str">
        <f>LEFT(Raw_Data!C21,FIND(",",Raw_Data!C21)-1)</f>
        <v>Johnson</v>
      </c>
      <c r="C21" t="str">
        <f t="shared" si="0"/>
        <v>EmJo21</v>
      </c>
    </row>
    <row r="22" spans="1:3" x14ac:dyDescent="0.3">
      <c r="A22" t="str">
        <f>TRIM(MID(Raw_Data!C22,FIND(",",Raw_Data!C22)+1,LEN(Raw_Data!C22)))</f>
        <v>Michael</v>
      </c>
      <c r="B22" t="str">
        <f>LEFT(Raw_Data!C22,FIND(",",Raw_Data!C22)-1)</f>
        <v>Miller</v>
      </c>
      <c r="C22" t="str">
        <f t="shared" si="0"/>
        <v>MiMi22</v>
      </c>
    </row>
    <row r="23" spans="1:3" x14ac:dyDescent="0.3">
      <c r="A23" t="str">
        <f>TRIM(MID(Raw_Data!C23,FIND(",",Raw_Data!C23)+1,LEN(Raw_Data!C23)))</f>
        <v>David</v>
      </c>
      <c r="B23" t="str">
        <f>LEFT(Raw_Data!C23,FIND(",",Raw_Data!C23)-1)</f>
        <v>Davis</v>
      </c>
      <c r="C23" t="str">
        <f t="shared" si="0"/>
        <v>DaDa23</v>
      </c>
    </row>
    <row r="24" spans="1:3" x14ac:dyDescent="0.3">
      <c r="A24" t="str">
        <f>TRIM(MID(Raw_Data!C24,FIND(",",Raw_Data!C24)+1,LEN(Raw_Data!C24)))</f>
        <v>Sarah</v>
      </c>
      <c r="B24" t="str">
        <f>LEFT(Raw_Data!C24,FIND(",",Raw_Data!C24)-1)</f>
        <v>Johnson</v>
      </c>
      <c r="C24" t="str">
        <f t="shared" si="0"/>
        <v>SaJo24</v>
      </c>
    </row>
    <row r="25" spans="1:3" x14ac:dyDescent="0.3">
      <c r="A25" t="str">
        <f>TRIM(MID(Raw_Data!C25,FIND(",",Raw_Data!C25)+1,LEN(Raw_Data!C25)))</f>
        <v>Sophia</v>
      </c>
      <c r="B25" t="str">
        <f>LEFT(Raw_Data!C25,FIND(",",Raw_Data!C25)-1)</f>
        <v>Hernandez</v>
      </c>
      <c r="C25" t="str">
        <f t="shared" si="0"/>
        <v>SoHe25</v>
      </c>
    </row>
    <row r="26" spans="1:3" x14ac:dyDescent="0.3">
      <c r="A26" t="str">
        <f>TRIM(MID(Raw_Data!C26,FIND(",",Raw_Data!C26)+1,LEN(Raw_Data!C26)))</f>
        <v>Daniel</v>
      </c>
      <c r="B26" t="str">
        <f>LEFT(Raw_Data!C26,FIND(",",Raw_Data!C26)-1)</f>
        <v>Williams</v>
      </c>
      <c r="C26" t="str">
        <f t="shared" si="0"/>
        <v>DaWi26</v>
      </c>
    </row>
    <row r="27" spans="1:3" x14ac:dyDescent="0.3">
      <c r="A27" t="str">
        <f>TRIM(MID(Raw_Data!C27,FIND(",",Raw_Data!C27)+1,LEN(Raw_Data!C27)))</f>
        <v>Michael</v>
      </c>
      <c r="B27" t="str">
        <f>LEFT(Raw_Data!C27,FIND(",",Raw_Data!C27)-1)</f>
        <v>Martinez</v>
      </c>
      <c r="C27" t="str">
        <f t="shared" si="0"/>
        <v>MiMa27</v>
      </c>
    </row>
    <row r="28" spans="1:3" x14ac:dyDescent="0.3">
      <c r="A28" t="str">
        <f>TRIM(MID(Raw_Data!C28,FIND(",",Raw_Data!C28)+1,LEN(Raw_Data!C28)))</f>
        <v>Daniel</v>
      </c>
      <c r="B28" t="str">
        <f>LEFT(Raw_Data!C28,FIND(",",Raw_Data!C28)-1)</f>
        <v>Miller</v>
      </c>
      <c r="C28" t="str">
        <f t="shared" si="0"/>
        <v>DaMi28</v>
      </c>
    </row>
    <row r="29" spans="1:3" x14ac:dyDescent="0.3">
      <c r="A29" t="str">
        <f>TRIM(MID(Raw_Data!C29,FIND(",",Raw_Data!C29)+1,LEN(Raw_Data!C29)))</f>
        <v>Laura</v>
      </c>
      <c r="B29" t="str">
        <f>LEFT(Raw_Data!C29,FIND(",",Raw_Data!C29)-1)</f>
        <v>Jones</v>
      </c>
      <c r="C29" t="str">
        <f t="shared" si="0"/>
        <v>LaJo29</v>
      </c>
    </row>
    <row r="30" spans="1:3" x14ac:dyDescent="0.3">
      <c r="A30" t="str">
        <f>TRIM(MID(Raw_Data!C30,FIND(",",Raw_Data!C30)+1,LEN(Raw_Data!C30)))</f>
        <v>Michael</v>
      </c>
      <c r="B30" t="str">
        <f>LEFT(Raw_Data!C30,FIND(",",Raw_Data!C30)-1)</f>
        <v>Brown</v>
      </c>
      <c r="C30" t="str">
        <f t="shared" si="0"/>
        <v>MiBr30</v>
      </c>
    </row>
    <row r="31" spans="1:3" x14ac:dyDescent="0.3">
      <c r="A31" t="str">
        <f>TRIM(MID(Raw_Data!C31,FIND(",",Raw_Data!C31)+1,LEN(Raw_Data!C31)))</f>
        <v>David</v>
      </c>
      <c r="B31" t="str">
        <f>LEFT(Raw_Data!C31,FIND(",",Raw_Data!C31)-1)</f>
        <v>Williams</v>
      </c>
      <c r="C31" t="str">
        <f t="shared" si="0"/>
        <v>DaWi31</v>
      </c>
    </row>
    <row r="32" spans="1:3" x14ac:dyDescent="0.3">
      <c r="A32" t="str">
        <f>TRIM(MID(Raw_Data!C32,FIND(",",Raw_Data!C32)+1,LEN(Raw_Data!C32)))</f>
        <v>Laura</v>
      </c>
      <c r="B32" t="str">
        <f>LEFT(Raw_Data!C32,FIND(",",Raw_Data!C32)-1)</f>
        <v>Miller</v>
      </c>
      <c r="C32" t="str">
        <f t="shared" si="0"/>
        <v>LaMi32</v>
      </c>
    </row>
    <row r="33" spans="1:3" x14ac:dyDescent="0.3">
      <c r="A33" t="str">
        <f>TRIM(MID(Raw_Data!C33,FIND(",",Raw_Data!C33)+1,LEN(Raw_Data!C33)))</f>
        <v>Sophia</v>
      </c>
      <c r="B33" t="str">
        <f>LEFT(Raw_Data!C33,FIND(",",Raw_Data!C33)-1)</f>
        <v>Garcia</v>
      </c>
      <c r="C33" t="str">
        <f t="shared" si="0"/>
        <v>SoGa33</v>
      </c>
    </row>
    <row r="34" spans="1:3" x14ac:dyDescent="0.3">
      <c r="A34" t="str">
        <f>TRIM(MID(Raw_Data!C34,FIND(",",Raw_Data!C34)+1,LEN(Raw_Data!C34)))</f>
        <v>Sophia</v>
      </c>
      <c r="B34" t="str">
        <f>LEFT(Raw_Data!C34,FIND(",",Raw_Data!C34)-1)</f>
        <v>Smith</v>
      </c>
      <c r="C34" t="str">
        <f t="shared" si="0"/>
        <v>SoSm34</v>
      </c>
    </row>
    <row r="35" spans="1:3" x14ac:dyDescent="0.3">
      <c r="A35" t="str">
        <f>TRIM(MID(Raw_Data!C35,FIND(",",Raw_Data!C35)+1,LEN(Raw_Data!C35)))</f>
        <v>Daniel</v>
      </c>
      <c r="B35" t="str">
        <f>LEFT(Raw_Data!C35,FIND(",",Raw_Data!C35)-1)</f>
        <v>Miller</v>
      </c>
      <c r="C35" t="str">
        <f t="shared" si="0"/>
        <v>DaMi35</v>
      </c>
    </row>
    <row r="36" spans="1:3" x14ac:dyDescent="0.3">
      <c r="A36" t="str">
        <f>TRIM(MID(Raw_Data!C36,FIND(",",Raw_Data!C36)+1,LEN(Raw_Data!C36)))</f>
        <v>John</v>
      </c>
      <c r="B36" t="str">
        <f>LEFT(Raw_Data!C36,FIND(",",Raw_Data!C36)-1)</f>
        <v>Hernandez</v>
      </c>
      <c r="C36" t="str">
        <f t="shared" si="0"/>
        <v>JoHe36</v>
      </c>
    </row>
    <row r="37" spans="1:3" x14ac:dyDescent="0.3">
      <c r="A37" t="str">
        <f>TRIM(MID(Raw_Data!C37,FIND(",",Raw_Data!C37)+1,LEN(Raw_Data!C37)))</f>
        <v>Laura</v>
      </c>
      <c r="B37" t="str">
        <f>LEFT(Raw_Data!C37,FIND(",",Raw_Data!C37)-1)</f>
        <v>Williams</v>
      </c>
      <c r="C37" t="str">
        <f t="shared" si="0"/>
        <v>LaWi37</v>
      </c>
    </row>
    <row r="38" spans="1:3" x14ac:dyDescent="0.3">
      <c r="A38" t="str">
        <f>TRIM(MID(Raw_Data!C38,FIND(",",Raw_Data!C38)+1,LEN(Raw_Data!C38)))</f>
        <v>David</v>
      </c>
      <c r="B38" t="str">
        <f>LEFT(Raw_Data!C38,FIND(",",Raw_Data!C38)-1)</f>
        <v>Miller</v>
      </c>
      <c r="C38" t="str">
        <f t="shared" si="0"/>
        <v>DaMi38</v>
      </c>
    </row>
    <row r="39" spans="1:3" x14ac:dyDescent="0.3">
      <c r="A39" t="str">
        <f>TRIM(MID(Raw_Data!C39,FIND(",",Raw_Data!C39)+1,LEN(Raw_Data!C39)))</f>
        <v>Michael</v>
      </c>
      <c r="B39" t="str">
        <f>LEFT(Raw_Data!C39,FIND(",",Raw_Data!C39)-1)</f>
        <v>Smith</v>
      </c>
      <c r="C39" t="str">
        <f t="shared" si="0"/>
        <v>MiSm39</v>
      </c>
    </row>
    <row r="40" spans="1:3" x14ac:dyDescent="0.3">
      <c r="A40" t="str">
        <f>TRIM(MID(Raw_Data!C40,FIND(",",Raw_Data!C40)+1,LEN(Raw_Data!C40)))</f>
        <v>Sarah</v>
      </c>
      <c r="B40" t="str">
        <f>LEFT(Raw_Data!C40,FIND(",",Raw_Data!C40)-1)</f>
        <v>Martinez</v>
      </c>
      <c r="C40" t="str">
        <f t="shared" si="0"/>
        <v>SaMa40</v>
      </c>
    </row>
    <row r="41" spans="1:3" x14ac:dyDescent="0.3">
      <c r="A41" t="str">
        <f>TRIM(MID(Raw_Data!C41,FIND(",",Raw_Data!C41)+1,LEN(Raw_Data!C41)))</f>
        <v>Emily</v>
      </c>
      <c r="B41" t="str">
        <f>LEFT(Raw_Data!C41,FIND(",",Raw_Data!C41)-1)</f>
        <v>Garcia</v>
      </c>
      <c r="C41" t="str">
        <f t="shared" si="0"/>
        <v>EmGa41</v>
      </c>
    </row>
    <row r="42" spans="1:3" x14ac:dyDescent="0.3">
      <c r="A42" t="str">
        <f>TRIM(MID(Raw_Data!C42,FIND(",",Raw_Data!C42)+1,LEN(Raw_Data!C42)))</f>
        <v>Emma</v>
      </c>
      <c r="B42" t="str">
        <f>LEFT(Raw_Data!C42,FIND(",",Raw_Data!C42)-1)</f>
        <v>Williams</v>
      </c>
      <c r="C42" t="str">
        <f t="shared" si="0"/>
        <v>EmWi42</v>
      </c>
    </row>
    <row r="43" spans="1:3" x14ac:dyDescent="0.3">
      <c r="A43" t="str">
        <f>TRIM(MID(Raw_Data!C43,FIND(",",Raw_Data!C43)+1,LEN(Raw_Data!C43)))</f>
        <v>Emma</v>
      </c>
      <c r="B43" t="str">
        <f>LEFT(Raw_Data!C43,FIND(",",Raw_Data!C43)-1)</f>
        <v>Smith</v>
      </c>
      <c r="C43" t="str">
        <f t="shared" si="0"/>
        <v>EmSm43</v>
      </c>
    </row>
    <row r="44" spans="1:3" x14ac:dyDescent="0.3">
      <c r="A44" t="str">
        <f>TRIM(MID(Raw_Data!C44,FIND(",",Raw_Data!C44)+1,LEN(Raw_Data!C44)))</f>
        <v>Sarah</v>
      </c>
      <c r="B44" t="str">
        <f>LEFT(Raw_Data!C44,FIND(",",Raw_Data!C44)-1)</f>
        <v>Davis</v>
      </c>
      <c r="C44" t="str">
        <f t="shared" si="0"/>
        <v>SaDa44</v>
      </c>
    </row>
    <row r="45" spans="1:3" x14ac:dyDescent="0.3">
      <c r="A45" t="str">
        <f>TRIM(MID(Raw_Data!C45,FIND(",",Raw_Data!C45)+1,LEN(Raw_Data!C45)))</f>
        <v>James</v>
      </c>
      <c r="B45" t="str">
        <f>LEFT(Raw_Data!C45,FIND(",",Raw_Data!C45)-1)</f>
        <v>Davis</v>
      </c>
      <c r="C45" t="str">
        <f t="shared" si="0"/>
        <v>JaDa45</v>
      </c>
    </row>
    <row r="46" spans="1:3" x14ac:dyDescent="0.3">
      <c r="A46" t="str">
        <f>TRIM(MID(Raw_Data!C46,FIND(",",Raw_Data!C46)+1,LEN(Raw_Data!C46)))</f>
        <v>Laura</v>
      </c>
      <c r="B46" t="str">
        <f>LEFT(Raw_Data!C46,FIND(",",Raw_Data!C46)-1)</f>
        <v>Williams</v>
      </c>
      <c r="C46" t="str">
        <f t="shared" si="0"/>
        <v>LaWi46</v>
      </c>
    </row>
    <row r="47" spans="1:3" x14ac:dyDescent="0.3">
      <c r="A47" t="str">
        <f>TRIM(MID(Raw_Data!C47,FIND(",",Raw_Data!C47)+1,LEN(Raw_Data!C47)))</f>
        <v>Emma</v>
      </c>
      <c r="B47" t="str">
        <f>LEFT(Raw_Data!C47,FIND(",",Raw_Data!C47)-1)</f>
        <v>Johnson</v>
      </c>
      <c r="C47" t="str">
        <f t="shared" si="0"/>
        <v>EmJo47</v>
      </c>
    </row>
    <row r="48" spans="1:3" x14ac:dyDescent="0.3">
      <c r="A48" t="str">
        <f>TRIM(MID(Raw_Data!C48,FIND(",",Raw_Data!C48)+1,LEN(Raw_Data!C48)))</f>
        <v>Sarah</v>
      </c>
      <c r="B48" t="str">
        <f>LEFT(Raw_Data!C48,FIND(",",Raw_Data!C48)-1)</f>
        <v>Johnson</v>
      </c>
      <c r="C48" t="str">
        <f t="shared" si="0"/>
        <v>SaJo48</v>
      </c>
    </row>
    <row r="49" spans="1:3" x14ac:dyDescent="0.3">
      <c r="A49" t="str">
        <f>TRIM(MID(Raw_Data!C49,FIND(",",Raw_Data!C49)+1,LEN(Raw_Data!C49)))</f>
        <v>Daniel</v>
      </c>
      <c r="B49" t="str">
        <f>LEFT(Raw_Data!C49,FIND(",",Raw_Data!C49)-1)</f>
        <v>Smith</v>
      </c>
      <c r="C49" t="str">
        <f t="shared" si="0"/>
        <v>DaSm49</v>
      </c>
    </row>
    <row r="50" spans="1:3" x14ac:dyDescent="0.3">
      <c r="A50" t="str">
        <f>TRIM(MID(Raw_Data!C50,FIND(",",Raw_Data!C50)+1,LEN(Raw_Data!C50)))</f>
        <v>David</v>
      </c>
      <c r="B50" t="str">
        <f>LEFT(Raw_Data!C50,FIND(",",Raw_Data!C50)-1)</f>
        <v>Jones</v>
      </c>
      <c r="C50" t="str">
        <f t="shared" si="0"/>
        <v>DaJo50</v>
      </c>
    </row>
    <row r="51" spans="1:3" x14ac:dyDescent="0.3">
      <c r="A51" t="str">
        <f>TRIM(MID(Raw_Data!C51,FIND(",",Raw_Data!C51)+1,LEN(Raw_Data!C51)))</f>
        <v>Sarah</v>
      </c>
      <c r="B51" t="str">
        <f>LEFT(Raw_Data!C51,FIND(",",Raw_Data!C51)-1)</f>
        <v>Brown</v>
      </c>
      <c r="C51" t="str">
        <f t="shared" si="0"/>
        <v>SaBr51</v>
      </c>
    </row>
    <row r="52" spans="1:3" x14ac:dyDescent="0.3">
      <c r="A52" t="str">
        <f>TRIM(MID(Raw_Data!C52,FIND(",",Raw_Data!C52)+1,LEN(Raw_Data!C52)))</f>
        <v>Michael</v>
      </c>
      <c r="B52" t="str">
        <f>LEFT(Raw_Data!C52,FIND(",",Raw_Data!C52)-1)</f>
        <v>Smith</v>
      </c>
      <c r="C52" t="str">
        <f t="shared" si="0"/>
        <v>MiSm52</v>
      </c>
    </row>
    <row r="53" spans="1:3" x14ac:dyDescent="0.3">
      <c r="A53" t="str">
        <f>TRIM(MID(Raw_Data!C53,FIND(",",Raw_Data!C53)+1,LEN(Raw_Data!C53)))</f>
        <v>Emma</v>
      </c>
      <c r="B53" t="str">
        <f>LEFT(Raw_Data!C53,FIND(",",Raw_Data!C53)-1)</f>
        <v>Martinez</v>
      </c>
      <c r="C53" t="str">
        <f t="shared" si="0"/>
        <v>EmMa53</v>
      </c>
    </row>
    <row r="54" spans="1:3" x14ac:dyDescent="0.3">
      <c r="A54" t="str">
        <f>TRIM(MID(Raw_Data!C54,FIND(",",Raw_Data!C54)+1,LEN(Raw_Data!C54)))</f>
        <v>James</v>
      </c>
      <c r="B54" t="str">
        <f>LEFT(Raw_Data!C54,FIND(",",Raw_Data!C54)-1)</f>
        <v>Davis</v>
      </c>
      <c r="C54" t="str">
        <f t="shared" si="0"/>
        <v>JaDa54</v>
      </c>
    </row>
    <row r="55" spans="1:3" x14ac:dyDescent="0.3">
      <c r="A55" t="str">
        <f>TRIM(MID(Raw_Data!C55,FIND(",",Raw_Data!C55)+1,LEN(Raw_Data!C55)))</f>
        <v>Daniel</v>
      </c>
      <c r="B55" t="str">
        <f>LEFT(Raw_Data!C55,FIND(",",Raw_Data!C55)-1)</f>
        <v>Johnson</v>
      </c>
      <c r="C55" t="str">
        <f t="shared" si="0"/>
        <v>DaJo55</v>
      </c>
    </row>
    <row r="56" spans="1:3" x14ac:dyDescent="0.3">
      <c r="A56" t="str">
        <f>TRIM(MID(Raw_Data!C56,FIND(",",Raw_Data!C56)+1,LEN(Raw_Data!C56)))</f>
        <v>Sophia</v>
      </c>
      <c r="B56" t="str">
        <f>LEFT(Raw_Data!C56,FIND(",",Raw_Data!C56)-1)</f>
        <v>Jones</v>
      </c>
      <c r="C56" t="str">
        <f t="shared" si="0"/>
        <v>SoJo56</v>
      </c>
    </row>
    <row r="57" spans="1:3" x14ac:dyDescent="0.3">
      <c r="A57" t="str">
        <f>TRIM(MID(Raw_Data!C57,FIND(",",Raw_Data!C57)+1,LEN(Raw_Data!C57)))</f>
        <v>Sarah</v>
      </c>
      <c r="B57" t="str">
        <f>LEFT(Raw_Data!C57,FIND(",",Raw_Data!C57)-1)</f>
        <v>Garcia</v>
      </c>
      <c r="C57" t="str">
        <f t="shared" si="0"/>
        <v>SaGa57</v>
      </c>
    </row>
    <row r="58" spans="1:3" x14ac:dyDescent="0.3">
      <c r="A58" t="str">
        <f>TRIM(MID(Raw_Data!C58,FIND(",",Raw_Data!C58)+1,LEN(Raw_Data!C58)))</f>
        <v>James</v>
      </c>
      <c r="B58" t="str">
        <f>LEFT(Raw_Data!C58,FIND(",",Raw_Data!C58)-1)</f>
        <v>Davis</v>
      </c>
      <c r="C58" t="str">
        <f t="shared" si="0"/>
        <v>JaDa58</v>
      </c>
    </row>
    <row r="59" spans="1:3" x14ac:dyDescent="0.3">
      <c r="A59" t="str">
        <f>TRIM(MID(Raw_Data!C59,FIND(",",Raw_Data!C59)+1,LEN(Raw_Data!C59)))</f>
        <v>Sarah</v>
      </c>
      <c r="B59" t="str">
        <f>LEFT(Raw_Data!C59,FIND(",",Raw_Data!C59)-1)</f>
        <v>Garcia</v>
      </c>
      <c r="C59" t="str">
        <f t="shared" si="0"/>
        <v>SaGa59</v>
      </c>
    </row>
    <row r="60" spans="1:3" x14ac:dyDescent="0.3">
      <c r="A60" t="str">
        <f>TRIM(MID(Raw_Data!C60,FIND(",",Raw_Data!C60)+1,LEN(Raw_Data!C60)))</f>
        <v>Michael</v>
      </c>
      <c r="B60" t="str">
        <f>LEFT(Raw_Data!C60,FIND(",",Raw_Data!C60)-1)</f>
        <v>Williams</v>
      </c>
      <c r="C60" t="str">
        <f t="shared" si="0"/>
        <v>MiWi60</v>
      </c>
    </row>
    <row r="61" spans="1:3" x14ac:dyDescent="0.3">
      <c r="A61" t="str">
        <f>TRIM(MID(Raw_Data!C61,FIND(",",Raw_Data!C61)+1,LEN(Raw_Data!C61)))</f>
        <v>James</v>
      </c>
      <c r="B61" t="str">
        <f>LEFT(Raw_Data!C61,FIND(",",Raw_Data!C61)-1)</f>
        <v>Hernandez</v>
      </c>
      <c r="C61" t="str">
        <f t="shared" si="0"/>
        <v>JaHe61</v>
      </c>
    </row>
    <row r="62" spans="1:3" x14ac:dyDescent="0.3">
      <c r="A62" t="str">
        <f>TRIM(MID(Raw_Data!C62,FIND(",",Raw_Data!C62)+1,LEN(Raw_Data!C62)))</f>
        <v>Sarah</v>
      </c>
      <c r="B62" t="str">
        <f>LEFT(Raw_Data!C62,FIND(",",Raw_Data!C62)-1)</f>
        <v>Williams</v>
      </c>
      <c r="C62" t="str">
        <f t="shared" si="0"/>
        <v>SaWi62</v>
      </c>
    </row>
    <row r="63" spans="1:3" x14ac:dyDescent="0.3">
      <c r="A63" t="str">
        <f>TRIM(MID(Raw_Data!C63,FIND(",",Raw_Data!C63)+1,LEN(Raw_Data!C63)))</f>
        <v>Sarah</v>
      </c>
      <c r="B63" t="str">
        <f>LEFT(Raw_Data!C63,FIND(",",Raw_Data!C63)-1)</f>
        <v>Johnson</v>
      </c>
      <c r="C63" t="str">
        <f t="shared" si="0"/>
        <v>SaJo63</v>
      </c>
    </row>
    <row r="64" spans="1:3" x14ac:dyDescent="0.3">
      <c r="A64" t="str">
        <f>TRIM(MID(Raw_Data!C64,FIND(",",Raw_Data!C64)+1,LEN(Raw_Data!C64)))</f>
        <v>Emily</v>
      </c>
      <c r="B64" t="str">
        <f>LEFT(Raw_Data!C64,FIND(",",Raw_Data!C64)-1)</f>
        <v>Williams</v>
      </c>
      <c r="C64" t="str">
        <f t="shared" si="0"/>
        <v>EmWi64</v>
      </c>
    </row>
    <row r="65" spans="1:3" x14ac:dyDescent="0.3">
      <c r="A65" t="str">
        <f>TRIM(MID(Raw_Data!C65,FIND(",",Raw_Data!C65)+1,LEN(Raw_Data!C65)))</f>
        <v>Daniel</v>
      </c>
      <c r="B65" t="str">
        <f>LEFT(Raw_Data!C65,FIND(",",Raw_Data!C65)-1)</f>
        <v>Johnson</v>
      </c>
      <c r="C65" t="str">
        <f t="shared" si="0"/>
        <v>DaJo65</v>
      </c>
    </row>
    <row r="66" spans="1:3" x14ac:dyDescent="0.3">
      <c r="A66" t="str">
        <f>TRIM(MID(Raw_Data!C66,FIND(",",Raw_Data!C66)+1,LEN(Raw_Data!C66)))</f>
        <v>Sophia</v>
      </c>
      <c r="B66" t="str">
        <f>LEFT(Raw_Data!C66,FIND(",",Raw_Data!C66)-1)</f>
        <v>Jones</v>
      </c>
      <c r="C66" t="str">
        <f t="shared" si="0"/>
        <v>SoJo66</v>
      </c>
    </row>
    <row r="67" spans="1:3" x14ac:dyDescent="0.3">
      <c r="A67" t="str">
        <f>TRIM(MID(Raw_Data!C67,FIND(",",Raw_Data!C67)+1,LEN(Raw_Data!C67)))</f>
        <v>Emma</v>
      </c>
      <c r="B67" t="str">
        <f>LEFT(Raw_Data!C67,FIND(",",Raw_Data!C67)-1)</f>
        <v>Hernandez</v>
      </c>
      <c r="C67" t="str">
        <f t="shared" ref="C67:C130" si="1">LEFT(A67,2) &amp; LEFT(B67,2) &amp; ROW()</f>
        <v>EmHe67</v>
      </c>
    </row>
    <row r="68" spans="1:3" x14ac:dyDescent="0.3">
      <c r="A68" t="str">
        <f>TRIM(MID(Raw_Data!C68,FIND(",",Raw_Data!C68)+1,LEN(Raw_Data!C68)))</f>
        <v>Daniel</v>
      </c>
      <c r="B68" t="str">
        <f>LEFT(Raw_Data!C68,FIND(",",Raw_Data!C68)-1)</f>
        <v>Brown</v>
      </c>
      <c r="C68" t="str">
        <f t="shared" si="1"/>
        <v>DaBr68</v>
      </c>
    </row>
    <row r="69" spans="1:3" x14ac:dyDescent="0.3">
      <c r="A69" t="str">
        <f>TRIM(MID(Raw_Data!C69,FIND(",",Raw_Data!C69)+1,LEN(Raw_Data!C69)))</f>
        <v>Daniel</v>
      </c>
      <c r="B69" t="str">
        <f>LEFT(Raw_Data!C69,FIND(",",Raw_Data!C69)-1)</f>
        <v>Martinez</v>
      </c>
      <c r="C69" t="str">
        <f t="shared" si="1"/>
        <v>DaMa69</v>
      </c>
    </row>
    <row r="70" spans="1:3" x14ac:dyDescent="0.3">
      <c r="A70" t="str">
        <f>TRIM(MID(Raw_Data!C70,FIND(",",Raw_Data!C70)+1,LEN(Raw_Data!C70)))</f>
        <v>Michael</v>
      </c>
      <c r="B70" t="str">
        <f>LEFT(Raw_Data!C70,FIND(",",Raw_Data!C70)-1)</f>
        <v>Jones</v>
      </c>
      <c r="C70" t="str">
        <f t="shared" si="1"/>
        <v>MiJo70</v>
      </c>
    </row>
    <row r="71" spans="1:3" x14ac:dyDescent="0.3">
      <c r="A71" t="str">
        <f>TRIM(MID(Raw_Data!C71,FIND(",",Raw_Data!C71)+1,LEN(Raw_Data!C71)))</f>
        <v>Sophia</v>
      </c>
      <c r="B71" t="str">
        <f>LEFT(Raw_Data!C71,FIND(",",Raw_Data!C71)-1)</f>
        <v>Hernandez</v>
      </c>
      <c r="C71" t="str">
        <f t="shared" si="1"/>
        <v>SoHe71</v>
      </c>
    </row>
    <row r="72" spans="1:3" x14ac:dyDescent="0.3">
      <c r="A72" t="str">
        <f>TRIM(MID(Raw_Data!C72,FIND(",",Raw_Data!C72)+1,LEN(Raw_Data!C72)))</f>
        <v>Michael</v>
      </c>
      <c r="B72" t="str">
        <f>LEFT(Raw_Data!C72,FIND(",",Raw_Data!C72)-1)</f>
        <v>Garcia</v>
      </c>
      <c r="C72" t="str">
        <f t="shared" si="1"/>
        <v>MiGa72</v>
      </c>
    </row>
    <row r="73" spans="1:3" x14ac:dyDescent="0.3">
      <c r="A73" t="str">
        <f>TRIM(MID(Raw_Data!C73,FIND(",",Raw_Data!C73)+1,LEN(Raw_Data!C73)))</f>
        <v>Sarah</v>
      </c>
      <c r="B73" t="str">
        <f>LEFT(Raw_Data!C73,FIND(",",Raw_Data!C73)-1)</f>
        <v>Johnson</v>
      </c>
      <c r="C73" t="str">
        <f t="shared" si="1"/>
        <v>SaJo73</v>
      </c>
    </row>
    <row r="74" spans="1:3" x14ac:dyDescent="0.3">
      <c r="A74" t="str">
        <f>TRIM(MID(Raw_Data!C74,FIND(",",Raw_Data!C74)+1,LEN(Raw_Data!C74)))</f>
        <v>David</v>
      </c>
      <c r="B74" t="str">
        <f>LEFT(Raw_Data!C74,FIND(",",Raw_Data!C74)-1)</f>
        <v>Smith</v>
      </c>
      <c r="C74" t="str">
        <f t="shared" si="1"/>
        <v>DaSm74</v>
      </c>
    </row>
    <row r="75" spans="1:3" x14ac:dyDescent="0.3">
      <c r="A75" t="str">
        <f>TRIM(MID(Raw_Data!C75,FIND(",",Raw_Data!C75)+1,LEN(Raw_Data!C75)))</f>
        <v>Sophia</v>
      </c>
      <c r="B75" t="str">
        <f>LEFT(Raw_Data!C75,FIND(",",Raw_Data!C75)-1)</f>
        <v>Miller</v>
      </c>
      <c r="C75" t="str">
        <f t="shared" si="1"/>
        <v>SoMi75</v>
      </c>
    </row>
    <row r="76" spans="1:3" x14ac:dyDescent="0.3">
      <c r="A76" t="str">
        <f>TRIM(MID(Raw_Data!C76,FIND(",",Raw_Data!C76)+1,LEN(Raw_Data!C76)))</f>
        <v>Laura</v>
      </c>
      <c r="B76" t="str">
        <f>LEFT(Raw_Data!C76,FIND(",",Raw_Data!C76)-1)</f>
        <v>Garcia</v>
      </c>
      <c r="C76" t="str">
        <f t="shared" si="1"/>
        <v>LaGa76</v>
      </c>
    </row>
    <row r="77" spans="1:3" x14ac:dyDescent="0.3">
      <c r="A77" t="str">
        <f>TRIM(MID(Raw_Data!C77,FIND(",",Raw_Data!C77)+1,LEN(Raw_Data!C77)))</f>
        <v>Michael</v>
      </c>
      <c r="B77" t="str">
        <f>LEFT(Raw_Data!C77,FIND(",",Raw_Data!C77)-1)</f>
        <v>Davis</v>
      </c>
      <c r="C77" t="str">
        <f t="shared" si="1"/>
        <v>MiDa77</v>
      </c>
    </row>
    <row r="78" spans="1:3" x14ac:dyDescent="0.3">
      <c r="A78" t="str">
        <f>TRIM(MID(Raw_Data!C78,FIND(",",Raw_Data!C78)+1,LEN(Raw_Data!C78)))</f>
        <v>Michael</v>
      </c>
      <c r="B78" t="str">
        <f>LEFT(Raw_Data!C78,FIND(",",Raw_Data!C78)-1)</f>
        <v>Davis</v>
      </c>
      <c r="C78" t="str">
        <f t="shared" si="1"/>
        <v>MiDa78</v>
      </c>
    </row>
    <row r="79" spans="1:3" x14ac:dyDescent="0.3">
      <c r="A79" t="str">
        <f>TRIM(MID(Raw_Data!C79,FIND(",",Raw_Data!C79)+1,LEN(Raw_Data!C79)))</f>
        <v>Laura</v>
      </c>
      <c r="B79" t="str">
        <f>LEFT(Raw_Data!C79,FIND(",",Raw_Data!C79)-1)</f>
        <v>Garcia</v>
      </c>
      <c r="C79" t="str">
        <f t="shared" si="1"/>
        <v>LaGa79</v>
      </c>
    </row>
    <row r="80" spans="1:3" x14ac:dyDescent="0.3">
      <c r="A80" t="str">
        <f>TRIM(MID(Raw_Data!C80,FIND(",",Raw_Data!C80)+1,LEN(Raw_Data!C80)))</f>
        <v>Sophia</v>
      </c>
      <c r="B80" t="str">
        <f>LEFT(Raw_Data!C80,FIND(",",Raw_Data!C80)-1)</f>
        <v>Miller</v>
      </c>
      <c r="C80" t="str">
        <f t="shared" si="1"/>
        <v>SoMi80</v>
      </c>
    </row>
    <row r="81" spans="1:3" x14ac:dyDescent="0.3">
      <c r="A81" t="str">
        <f>TRIM(MID(Raw_Data!C81,FIND(",",Raw_Data!C81)+1,LEN(Raw_Data!C81)))</f>
        <v>Laura</v>
      </c>
      <c r="B81" t="str">
        <f>LEFT(Raw_Data!C81,FIND(",",Raw_Data!C81)-1)</f>
        <v>Brown</v>
      </c>
      <c r="C81" t="str">
        <f t="shared" si="1"/>
        <v>LaBr81</v>
      </c>
    </row>
    <row r="82" spans="1:3" x14ac:dyDescent="0.3">
      <c r="A82" t="str">
        <f>TRIM(MID(Raw_Data!C82,FIND(",",Raw_Data!C82)+1,LEN(Raw_Data!C82)))</f>
        <v>Emma</v>
      </c>
      <c r="B82" t="str">
        <f>LEFT(Raw_Data!C82,FIND(",",Raw_Data!C82)-1)</f>
        <v>Davis</v>
      </c>
      <c r="C82" t="str">
        <f t="shared" si="1"/>
        <v>EmDa82</v>
      </c>
    </row>
    <row r="83" spans="1:3" x14ac:dyDescent="0.3">
      <c r="A83" t="str">
        <f>TRIM(MID(Raw_Data!C83,FIND(",",Raw_Data!C83)+1,LEN(Raw_Data!C83)))</f>
        <v>Michael</v>
      </c>
      <c r="B83" t="str">
        <f>LEFT(Raw_Data!C83,FIND(",",Raw_Data!C83)-1)</f>
        <v>Smith</v>
      </c>
      <c r="C83" t="str">
        <f t="shared" si="1"/>
        <v>MiSm83</v>
      </c>
    </row>
    <row r="84" spans="1:3" x14ac:dyDescent="0.3">
      <c r="A84" t="str">
        <f>TRIM(MID(Raw_Data!C84,FIND(",",Raw_Data!C84)+1,LEN(Raw_Data!C84)))</f>
        <v>David</v>
      </c>
      <c r="B84" t="str">
        <f>LEFT(Raw_Data!C84,FIND(",",Raw_Data!C84)-1)</f>
        <v>Davis</v>
      </c>
      <c r="C84" t="str">
        <f t="shared" si="1"/>
        <v>DaDa84</v>
      </c>
    </row>
    <row r="85" spans="1:3" x14ac:dyDescent="0.3">
      <c r="A85" t="str">
        <f>TRIM(MID(Raw_Data!C85,FIND(",",Raw_Data!C85)+1,LEN(Raw_Data!C85)))</f>
        <v>Laura</v>
      </c>
      <c r="B85" t="str">
        <f>LEFT(Raw_Data!C85,FIND(",",Raw_Data!C85)-1)</f>
        <v>Hernandez</v>
      </c>
      <c r="C85" t="str">
        <f t="shared" si="1"/>
        <v>LaHe85</v>
      </c>
    </row>
    <row r="86" spans="1:3" x14ac:dyDescent="0.3">
      <c r="A86" t="str">
        <f>TRIM(MID(Raw_Data!C86,FIND(",",Raw_Data!C86)+1,LEN(Raw_Data!C86)))</f>
        <v>Laura</v>
      </c>
      <c r="B86" t="str">
        <f>LEFT(Raw_Data!C86,FIND(",",Raw_Data!C86)-1)</f>
        <v>Hernandez</v>
      </c>
      <c r="C86" t="str">
        <f t="shared" si="1"/>
        <v>LaHe86</v>
      </c>
    </row>
    <row r="87" spans="1:3" x14ac:dyDescent="0.3">
      <c r="A87" t="str">
        <f>TRIM(MID(Raw_Data!C87,FIND(",",Raw_Data!C87)+1,LEN(Raw_Data!C87)))</f>
        <v>Daniel</v>
      </c>
      <c r="B87" t="str">
        <f>LEFT(Raw_Data!C87,FIND(",",Raw_Data!C87)-1)</f>
        <v>Smith</v>
      </c>
      <c r="C87" t="str">
        <f t="shared" si="1"/>
        <v>DaSm87</v>
      </c>
    </row>
    <row r="88" spans="1:3" x14ac:dyDescent="0.3">
      <c r="A88" t="str">
        <f>TRIM(MID(Raw_Data!C88,FIND(",",Raw_Data!C88)+1,LEN(Raw_Data!C88)))</f>
        <v>Sophia</v>
      </c>
      <c r="B88" t="str">
        <f>LEFT(Raw_Data!C88,FIND(",",Raw_Data!C88)-1)</f>
        <v>Garcia</v>
      </c>
      <c r="C88" t="str">
        <f t="shared" si="1"/>
        <v>SoGa88</v>
      </c>
    </row>
    <row r="89" spans="1:3" x14ac:dyDescent="0.3">
      <c r="A89" t="str">
        <f>TRIM(MID(Raw_Data!C89,FIND(",",Raw_Data!C89)+1,LEN(Raw_Data!C89)))</f>
        <v>Sarah</v>
      </c>
      <c r="B89" t="str">
        <f>LEFT(Raw_Data!C89,FIND(",",Raw_Data!C89)-1)</f>
        <v>Brown</v>
      </c>
      <c r="C89" t="str">
        <f t="shared" si="1"/>
        <v>SaBr89</v>
      </c>
    </row>
    <row r="90" spans="1:3" x14ac:dyDescent="0.3">
      <c r="A90" t="str">
        <f>TRIM(MID(Raw_Data!C90,FIND(",",Raw_Data!C90)+1,LEN(Raw_Data!C90)))</f>
        <v>Emily</v>
      </c>
      <c r="B90" t="str">
        <f>LEFT(Raw_Data!C90,FIND(",",Raw_Data!C90)-1)</f>
        <v>Davis</v>
      </c>
      <c r="C90" t="str">
        <f t="shared" si="1"/>
        <v>EmDa90</v>
      </c>
    </row>
    <row r="91" spans="1:3" x14ac:dyDescent="0.3">
      <c r="A91" t="str">
        <f>TRIM(MID(Raw_Data!C91,FIND(",",Raw_Data!C91)+1,LEN(Raw_Data!C91)))</f>
        <v>Emma</v>
      </c>
      <c r="B91" t="str">
        <f>LEFT(Raw_Data!C91,FIND(",",Raw_Data!C91)-1)</f>
        <v>Johnson</v>
      </c>
      <c r="C91" t="str">
        <f t="shared" si="1"/>
        <v>EmJo91</v>
      </c>
    </row>
    <row r="92" spans="1:3" x14ac:dyDescent="0.3">
      <c r="A92" t="str">
        <f>TRIM(MID(Raw_Data!C92,FIND(",",Raw_Data!C92)+1,LEN(Raw_Data!C92)))</f>
        <v>James</v>
      </c>
      <c r="B92" t="str">
        <f>LEFT(Raw_Data!C92,FIND(",",Raw_Data!C92)-1)</f>
        <v>Johnson</v>
      </c>
      <c r="C92" t="str">
        <f t="shared" si="1"/>
        <v>JaJo92</v>
      </c>
    </row>
    <row r="93" spans="1:3" x14ac:dyDescent="0.3">
      <c r="A93" t="str">
        <f>TRIM(MID(Raw_Data!C93,FIND(",",Raw_Data!C93)+1,LEN(Raw_Data!C93)))</f>
        <v>Sophia</v>
      </c>
      <c r="B93" t="str">
        <f>LEFT(Raw_Data!C93,FIND(",",Raw_Data!C93)-1)</f>
        <v>Martinez</v>
      </c>
      <c r="C93" t="str">
        <f t="shared" si="1"/>
        <v>SoMa93</v>
      </c>
    </row>
    <row r="94" spans="1:3" x14ac:dyDescent="0.3">
      <c r="A94" t="str">
        <f>TRIM(MID(Raw_Data!C94,FIND(",",Raw_Data!C94)+1,LEN(Raw_Data!C94)))</f>
        <v>Emily</v>
      </c>
      <c r="B94" t="str">
        <f>LEFT(Raw_Data!C94,FIND(",",Raw_Data!C94)-1)</f>
        <v>Davis</v>
      </c>
      <c r="C94" t="str">
        <f t="shared" si="1"/>
        <v>EmDa94</v>
      </c>
    </row>
    <row r="95" spans="1:3" x14ac:dyDescent="0.3">
      <c r="A95" t="str">
        <f>TRIM(MID(Raw_Data!C95,FIND(",",Raw_Data!C95)+1,LEN(Raw_Data!C95)))</f>
        <v>Sarah</v>
      </c>
      <c r="B95" t="str">
        <f>LEFT(Raw_Data!C95,FIND(",",Raw_Data!C95)-1)</f>
        <v>Miller</v>
      </c>
      <c r="C95" t="str">
        <f t="shared" si="1"/>
        <v>SaMi95</v>
      </c>
    </row>
    <row r="96" spans="1:3" x14ac:dyDescent="0.3">
      <c r="A96" t="str">
        <f>TRIM(MID(Raw_Data!C96,FIND(",",Raw_Data!C96)+1,LEN(Raw_Data!C96)))</f>
        <v>James</v>
      </c>
      <c r="B96" t="str">
        <f>LEFT(Raw_Data!C96,FIND(",",Raw_Data!C96)-1)</f>
        <v>Williams</v>
      </c>
      <c r="C96" t="str">
        <f t="shared" si="1"/>
        <v>JaWi96</v>
      </c>
    </row>
    <row r="97" spans="1:3" x14ac:dyDescent="0.3">
      <c r="A97" t="str">
        <f>TRIM(MID(Raw_Data!C97,FIND(",",Raw_Data!C97)+1,LEN(Raw_Data!C97)))</f>
        <v>Emma</v>
      </c>
      <c r="B97" t="str">
        <f>LEFT(Raw_Data!C97,FIND(",",Raw_Data!C97)-1)</f>
        <v>Garcia</v>
      </c>
      <c r="C97" t="str">
        <f t="shared" si="1"/>
        <v>EmGa97</v>
      </c>
    </row>
    <row r="98" spans="1:3" x14ac:dyDescent="0.3">
      <c r="A98" t="str">
        <f>TRIM(MID(Raw_Data!C98,FIND(",",Raw_Data!C98)+1,LEN(Raw_Data!C98)))</f>
        <v>David</v>
      </c>
      <c r="B98" t="str">
        <f>LEFT(Raw_Data!C98,FIND(",",Raw_Data!C98)-1)</f>
        <v>Davis</v>
      </c>
      <c r="C98" t="str">
        <f t="shared" si="1"/>
        <v>DaDa98</v>
      </c>
    </row>
    <row r="99" spans="1:3" x14ac:dyDescent="0.3">
      <c r="A99" t="str">
        <f>TRIM(MID(Raw_Data!C99,FIND(",",Raw_Data!C99)+1,LEN(Raw_Data!C99)))</f>
        <v>Michael</v>
      </c>
      <c r="B99" t="str">
        <f>LEFT(Raw_Data!C99,FIND(",",Raw_Data!C99)-1)</f>
        <v>Smith</v>
      </c>
      <c r="C99" t="str">
        <f t="shared" si="1"/>
        <v>MiSm99</v>
      </c>
    </row>
    <row r="100" spans="1:3" x14ac:dyDescent="0.3">
      <c r="A100" t="str">
        <f>TRIM(MID(Raw_Data!C100,FIND(",",Raw_Data!C100)+1,LEN(Raw_Data!C100)))</f>
        <v>Emma</v>
      </c>
      <c r="B100" t="str">
        <f>LEFT(Raw_Data!C100,FIND(",",Raw_Data!C100)-1)</f>
        <v>Davis</v>
      </c>
      <c r="C100" t="str">
        <f t="shared" si="1"/>
        <v>EmDa100</v>
      </c>
    </row>
    <row r="101" spans="1:3" x14ac:dyDescent="0.3">
      <c r="A101" t="str">
        <f>TRIM(MID(Raw_Data!C101,FIND(",",Raw_Data!C101)+1,LEN(Raw_Data!C101)))</f>
        <v>Daniel</v>
      </c>
      <c r="B101" t="str">
        <f>LEFT(Raw_Data!C101,FIND(",",Raw_Data!C101)-1)</f>
        <v>Martinez</v>
      </c>
      <c r="C101" t="str">
        <f t="shared" si="1"/>
        <v>DaMa101</v>
      </c>
    </row>
    <row r="102" spans="1:3" x14ac:dyDescent="0.3">
      <c r="A102" t="str">
        <f>TRIM(MID(Raw_Data!C102,FIND(",",Raw_Data!C102)+1,LEN(Raw_Data!C102)))</f>
        <v>Laura</v>
      </c>
      <c r="B102" t="str">
        <f>LEFT(Raw_Data!C102,FIND(",",Raw_Data!C102)-1)</f>
        <v>Hernandez</v>
      </c>
      <c r="C102" t="str">
        <f t="shared" si="1"/>
        <v>LaHe102</v>
      </c>
    </row>
    <row r="103" spans="1:3" x14ac:dyDescent="0.3">
      <c r="A103" t="str">
        <f>TRIM(MID(Raw_Data!C103,FIND(",",Raw_Data!C103)+1,LEN(Raw_Data!C103)))</f>
        <v>Laura</v>
      </c>
      <c r="B103" t="str">
        <f>LEFT(Raw_Data!C103,FIND(",",Raw_Data!C103)-1)</f>
        <v>Jones</v>
      </c>
      <c r="C103" t="str">
        <f t="shared" si="1"/>
        <v>LaJo103</v>
      </c>
    </row>
    <row r="104" spans="1:3" x14ac:dyDescent="0.3">
      <c r="A104" t="str">
        <f>TRIM(MID(Raw_Data!C104,FIND(",",Raw_Data!C104)+1,LEN(Raw_Data!C104)))</f>
        <v>Emma</v>
      </c>
      <c r="B104" t="str">
        <f>LEFT(Raw_Data!C104,FIND(",",Raw_Data!C104)-1)</f>
        <v>Davis</v>
      </c>
      <c r="C104" t="str">
        <f t="shared" si="1"/>
        <v>EmDa104</v>
      </c>
    </row>
    <row r="105" spans="1:3" x14ac:dyDescent="0.3">
      <c r="A105" t="str">
        <f>TRIM(MID(Raw_Data!C105,FIND(",",Raw_Data!C105)+1,LEN(Raw_Data!C105)))</f>
        <v>Emily</v>
      </c>
      <c r="B105" t="str">
        <f>LEFT(Raw_Data!C105,FIND(",",Raw_Data!C105)-1)</f>
        <v>Garcia</v>
      </c>
      <c r="C105" t="str">
        <f t="shared" si="1"/>
        <v>EmGa105</v>
      </c>
    </row>
    <row r="106" spans="1:3" x14ac:dyDescent="0.3">
      <c r="A106" t="str">
        <f>TRIM(MID(Raw_Data!C106,FIND(",",Raw_Data!C106)+1,LEN(Raw_Data!C106)))</f>
        <v>David</v>
      </c>
      <c r="B106" t="str">
        <f>LEFT(Raw_Data!C106,FIND(",",Raw_Data!C106)-1)</f>
        <v>Johnson</v>
      </c>
      <c r="C106" t="str">
        <f t="shared" si="1"/>
        <v>DaJo106</v>
      </c>
    </row>
    <row r="107" spans="1:3" x14ac:dyDescent="0.3">
      <c r="A107" t="str">
        <f>TRIM(MID(Raw_Data!C107,FIND(",",Raw_Data!C107)+1,LEN(Raw_Data!C107)))</f>
        <v>Laura</v>
      </c>
      <c r="B107" t="str">
        <f>LEFT(Raw_Data!C107,FIND(",",Raw_Data!C107)-1)</f>
        <v>Martinez</v>
      </c>
      <c r="C107" t="str">
        <f t="shared" si="1"/>
        <v>LaMa107</v>
      </c>
    </row>
    <row r="108" spans="1:3" x14ac:dyDescent="0.3">
      <c r="A108" t="str">
        <f>TRIM(MID(Raw_Data!C108,FIND(",",Raw_Data!C108)+1,LEN(Raw_Data!C108)))</f>
        <v>Emily</v>
      </c>
      <c r="B108" t="str">
        <f>LEFT(Raw_Data!C108,FIND(",",Raw_Data!C108)-1)</f>
        <v>Smith</v>
      </c>
      <c r="C108" t="str">
        <f t="shared" si="1"/>
        <v>EmSm108</v>
      </c>
    </row>
    <row r="109" spans="1:3" x14ac:dyDescent="0.3">
      <c r="A109" t="str">
        <f>TRIM(MID(Raw_Data!C109,FIND(",",Raw_Data!C109)+1,LEN(Raw_Data!C109)))</f>
        <v>Sophia</v>
      </c>
      <c r="B109" t="str">
        <f>LEFT(Raw_Data!C109,FIND(",",Raw_Data!C109)-1)</f>
        <v>Hernandez</v>
      </c>
      <c r="C109" t="str">
        <f t="shared" si="1"/>
        <v>SoHe109</v>
      </c>
    </row>
    <row r="110" spans="1:3" x14ac:dyDescent="0.3">
      <c r="A110" t="str">
        <f>TRIM(MID(Raw_Data!C110,FIND(",",Raw_Data!C110)+1,LEN(Raw_Data!C110)))</f>
        <v>Emily</v>
      </c>
      <c r="B110" t="str">
        <f>LEFT(Raw_Data!C110,FIND(",",Raw_Data!C110)-1)</f>
        <v>Miller</v>
      </c>
      <c r="C110" t="str">
        <f t="shared" si="1"/>
        <v>EmMi110</v>
      </c>
    </row>
    <row r="111" spans="1:3" x14ac:dyDescent="0.3">
      <c r="A111" t="str">
        <f>TRIM(MID(Raw_Data!C111,FIND(",",Raw_Data!C111)+1,LEN(Raw_Data!C111)))</f>
        <v>Emma</v>
      </c>
      <c r="B111" t="str">
        <f>LEFT(Raw_Data!C111,FIND(",",Raw_Data!C111)-1)</f>
        <v>Davis</v>
      </c>
      <c r="C111" t="str">
        <f t="shared" si="1"/>
        <v>EmDa111</v>
      </c>
    </row>
    <row r="112" spans="1:3" x14ac:dyDescent="0.3">
      <c r="A112" t="str">
        <f>TRIM(MID(Raw_Data!C112,FIND(",",Raw_Data!C112)+1,LEN(Raw_Data!C112)))</f>
        <v>Michael</v>
      </c>
      <c r="B112" t="str">
        <f>LEFT(Raw_Data!C112,FIND(",",Raw_Data!C112)-1)</f>
        <v>Jones</v>
      </c>
      <c r="C112" t="str">
        <f t="shared" si="1"/>
        <v>MiJo112</v>
      </c>
    </row>
    <row r="113" spans="1:3" x14ac:dyDescent="0.3">
      <c r="A113" t="str">
        <f>TRIM(MID(Raw_Data!C113,FIND(",",Raw_Data!C113)+1,LEN(Raw_Data!C113)))</f>
        <v>Sophia</v>
      </c>
      <c r="B113" t="str">
        <f>LEFT(Raw_Data!C113,FIND(",",Raw_Data!C113)-1)</f>
        <v>Smith</v>
      </c>
      <c r="C113" t="str">
        <f t="shared" si="1"/>
        <v>SoSm113</v>
      </c>
    </row>
    <row r="114" spans="1:3" x14ac:dyDescent="0.3">
      <c r="A114" t="str">
        <f>TRIM(MID(Raw_Data!C114,FIND(",",Raw_Data!C114)+1,LEN(Raw_Data!C114)))</f>
        <v>Emily</v>
      </c>
      <c r="B114" t="str">
        <f>LEFT(Raw_Data!C114,FIND(",",Raw_Data!C114)-1)</f>
        <v>Martinez</v>
      </c>
      <c r="C114" t="str">
        <f t="shared" si="1"/>
        <v>EmMa114</v>
      </c>
    </row>
    <row r="115" spans="1:3" x14ac:dyDescent="0.3">
      <c r="A115" t="str">
        <f>TRIM(MID(Raw_Data!C115,FIND(",",Raw_Data!C115)+1,LEN(Raw_Data!C115)))</f>
        <v>Daniel</v>
      </c>
      <c r="B115" t="str">
        <f>LEFT(Raw_Data!C115,FIND(",",Raw_Data!C115)-1)</f>
        <v>Hernandez</v>
      </c>
      <c r="C115" t="str">
        <f t="shared" si="1"/>
        <v>DaHe115</v>
      </c>
    </row>
    <row r="116" spans="1:3" x14ac:dyDescent="0.3">
      <c r="A116" t="str">
        <f>TRIM(MID(Raw_Data!C116,FIND(",",Raw_Data!C116)+1,LEN(Raw_Data!C116)))</f>
        <v>John</v>
      </c>
      <c r="B116" t="str">
        <f>LEFT(Raw_Data!C116,FIND(",",Raw_Data!C116)-1)</f>
        <v>Hernandez</v>
      </c>
      <c r="C116" t="str">
        <f t="shared" si="1"/>
        <v>JoHe116</v>
      </c>
    </row>
    <row r="117" spans="1:3" x14ac:dyDescent="0.3">
      <c r="A117" t="str">
        <f>TRIM(MID(Raw_Data!C117,FIND(",",Raw_Data!C117)+1,LEN(Raw_Data!C117)))</f>
        <v>John</v>
      </c>
      <c r="B117" t="str">
        <f>LEFT(Raw_Data!C117,FIND(",",Raw_Data!C117)-1)</f>
        <v>Miller</v>
      </c>
      <c r="C117" t="str">
        <f t="shared" si="1"/>
        <v>JoMi117</v>
      </c>
    </row>
    <row r="118" spans="1:3" x14ac:dyDescent="0.3">
      <c r="A118" t="str">
        <f>TRIM(MID(Raw_Data!C118,FIND(",",Raw_Data!C118)+1,LEN(Raw_Data!C118)))</f>
        <v>Emma</v>
      </c>
      <c r="B118" t="str">
        <f>LEFT(Raw_Data!C118,FIND(",",Raw_Data!C118)-1)</f>
        <v>Garcia</v>
      </c>
      <c r="C118" t="str">
        <f t="shared" si="1"/>
        <v>EmGa118</v>
      </c>
    </row>
    <row r="119" spans="1:3" x14ac:dyDescent="0.3">
      <c r="A119" t="str">
        <f>TRIM(MID(Raw_Data!C119,FIND(",",Raw_Data!C119)+1,LEN(Raw_Data!C119)))</f>
        <v>Sarah</v>
      </c>
      <c r="B119" t="str">
        <f>LEFT(Raw_Data!C119,FIND(",",Raw_Data!C119)-1)</f>
        <v>Brown</v>
      </c>
      <c r="C119" t="str">
        <f t="shared" si="1"/>
        <v>SaBr119</v>
      </c>
    </row>
    <row r="120" spans="1:3" x14ac:dyDescent="0.3">
      <c r="A120" t="str">
        <f>TRIM(MID(Raw_Data!C120,FIND(",",Raw_Data!C120)+1,LEN(Raw_Data!C120)))</f>
        <v>Emma</v>
      </c>
      <c r="B120" t="str">
        <f>LEFT(Raw_Data!C120,FIND(",",Raw_Data!C120)-1)</f>
        <v>Martinez</v>
      </c>
      <c r="C120" t="str">
        <f t="shared" si="1"/>
        <v>EmMa120</v>
      </c>
    </row>
    <row r="121" spans="1:3" x14ac:dyDescent="0.3">
      <c r="A121" t="str">
        <f>TRIM(MID(Raw_Data!C121,FIND(",",Raw_Data!C121)+1,LEN(Raw_Data!C121)))</f>
        <v>David</v>
      </c>
      <c r="B121" t="str">
        <f>LEFT(Raw_Data!C121,FIND(",",Raw_Data!C121)-1)</f>
        <v>Hernandez</v>
      </c>
      <c r="C121" t="str">
        <f t="shared" si="1"/>
        <v>DaHe121</v>
      </c>
    </row>
    <row r="122" spans="1:3" x14ac:dyDescent="0.3">
      <c r="A122" t="str">
        <f>TRIM(MID(Raw_Data!C122,FIND(",",Raw_Data!C122)+1,LEN(Raw_Data!C122)))</f>
        <v>Michael</v>
      </c>
      <c r="B122" t="str">
        <f>LEFT(Raw_Data!C122,FIND(",",Raw_Data!C122)-1)</f>
        <v>Johnson</v>
      </c>
      <c r="C122" t="str">
        <f t="shared" si="1"/>
        <v>MiJo122</v>
      </c>
    </row>
    <row r="123" spans="1:3" x14ac:dyDescent="0.3">
      <c r="A123" t="str">
        <f>TRIM(MID(Raw_Data!C123,FIND(",",Raw_Data!C123)+1,LEN(Raw_Data!C123)))</f>
        <v>Laura</v>
      </c>
      <c r="B123" t="str">
        <f>LEFT(Raw_Data!C123,FIND(",",Raw_Data!C123)-1)</f>
        <v>Hernandez</v>
      </c>
      <c r="C123" t="str">
        <f t="shared" si="1"/>
        <v>LaHe123</v>
      </c>
    </row>
    <row r="124" spans="1:3" x14ac:dyDescent="0.3">
      <c r="A124" t="str">
        <f>TRIM(MID(Raw_Data!C124,FIND(",",Raw_Data!C124)+1,LEN(Raw_Data!C124)))</f>
        <v>Sarah</v>
      </c>
      <c r="B124" t="str">
        <f>LEFT(Raw_Data!C124,FIND(",",Raw_Data!C124)-1)</f>
        <v>Smith</v>
      </c>
      <c r="C124" t="str">
        <f t="shared" si="1"/>
        <v>SaSm124</v>
      </c>
    </row>
    <row r="125" spans="1:3" x14ac:dyDescent="0.3">
      <c r="A125" t="str">
        <f>TRIM(MID(Raw_Data!C125,FIND(",",Raw_Data!C125)+1,LEN(Raw_Data!C125)))</f>
        <v>Emily</v>
      </c>
      <c r="B125" t="str">
        <f>LEFT(Raw_Data!C125,FIND(",",Raw_Data!C125)-1)</f>
        <v>Davis</v>
      </c>
      <c r="C125" t="str">
        <f t="shared" si="1"/>
        <v>EmDa125</v>
      </c>
    </row>
    <row r="126" spans="1:3" x14ac:dyDescent="0.3">
      <c r="A126" t="str">
        <f>TRIM(MID(Raw_Data!C126,FIND(",",Raw_Data!C126)+1,LEN(Raw_Data!C126)))</f>
        <v>John</v>
      </c>
      <c r="B126" t="str">
        <f>LEFT(Raw_Data!C126,FIND(",",Raw_Data!C126)-1)</f>
        <v>Martinez</v>
      </c>
      <c r="C126" t="str">
        <f t="shared" si="1"/>
        <v>JoMa126</v>
      </c>
    </row>
    <row r="127" spans="1:3" x14ac:dyDescent="0.3">
      <c r="A127" t="str">
        <f>TRIM(MID(Raw_Data!C127,FIND(",",Raw_Data!C127)+1,LEN(Raw_Data!C127)))</f>
        <v>Michael</v>
      </c>
      <c r="B127" t="str">
        <f>LEFT(Raw_Data!C127,FIND(",",Raw_Data!C127)-1)</f>
        <v>Davis</v>
      </c>
      <c r="C127" t="str">
        <f t="shared" si="1"/>
        <v>MiDa127</v>
      </c>
    </row>
    <row r="128" spans="1:3" x14ac:dyDescent="0.3">
      <c r="A128" t="str">
        <f>TRIM(MID(Raw_Data!C128,FIND(",",Raw_Data!C128)+1,LEN(Raw_Data!C128)))</f>
        <v>David</v>
      </c>
      <c r="B128" t="str">
        <f>LEFT(Raw_Data!C128,FIND(",",Raw_Data!C128)-1)</f>
        <v>Garcia</v>
      </c>
      <c r="C128" t="str">
        <f t="shared" si="1"/>
        <v>DaGa128</v>
      </c>
    </row>
    <row r="129" spans="1:3" x14ac:dyDescent="0.3">
      <c r="A129" t="str">
        <f>TRIM(MID(Raw_Data!C129,FIND(",",Raw_Data!C129)+1,LEN(Raw_Data!C129)))</f>
        <v>Daniel</v>
      </c>
      <c r="B129" t="str">
        <f>LEFT(Raw_Data!C129,FIND(",",Raw_Data!C129)-1)</f>
        <v>Miller</v>
      </c>
      <c r="C129" t="str">
        <f t="shared" si="1"/>
        <v>DaMi129</v>
      </c>
    </row>
    <row r="130" spans="1:3" x14ac:dyDescent="0.3">
      <c r="A130" t="str">
        <f>TRIM(MID(Raw_Data!C130,FIND(",",Raw_Data!C130)+1,LEN(Raw_Data!C130)))</f>
        <v>Sarah</v>
      </c>
      <c r="B130" t="str">
        <f>LEFT(Raw_Data!C130,FIND(",",Raw_Data!C130)-1)</f>
        <v>Miller</v>
      </c>
      <c r="C130" t="str">
        <f t="shared" si="1"/>
        <v>SaMi130</v>
      </c>
    </row>
    <row r="131" spans="1:3" x14ac:dyDescent="0.3">
      <c r="A131" t="str">
        <f>TRIM(MID(Raw_Data!C131,FIND(",",Raw_Data!C131)+1,LEN(Raw_Data!C131)))</f>
        <v>Laura</v>
      </c>
      <c r="B131" t="str">
        <f>LEFT(Raw_Data!C131,FIND(",",Raw_Data!C131)-1)</f>
        <v>Hernandez</v>
      </c>
      <c r="C131" t="str">
        <f t="shared" ref="C131:C194" si="2">LEFT(A131,2) &amp; LEFT(B131,2) &amp; ROW()</f>
        <v>LaHe131</v>
      </c>
    </row>
    <row r="132" spans="1:3" x14ac:dyDescent="0.3">
      <c r="A132" t="str">
        <f>TRIM(MID(Raw_Data!C132,FIND(",",Raw_Data!C132)+1,LEN(Raw_Data!C132)))</f>
        <v>Emily</v>
      </c>
      <c r="B132" t="str">
        <f>LEFT(Raw_Data!C132,FIND(",",Raw_Data!C132)-1)</f>
        <v>Smith</v>
      </c>
      <c r="C132" t="str">
        <f t="shared" si="2"/>
        <v>EmSm132</v>
      </c>
    </row>
    <row r="133" spans="1:3" x14ac:dyDescent="0.3">
      <c r="A133" t="str">
        <f>TRIM(MID(Raw_Data!C133,FIND(",",Raw_Data!C133)+1,LEN(Raw_Data!C133)))</f>
        <v>James</v>
      </c>
      <c r="B133" t="str">
        <f>LEFT(Raw_Data!C133,FIND(",",Raw_Data!C133)-1)</f>
        <v>Hernandez</v>
      </c>
      <c r="C133" t="str">
        <f t="shared" si="2"/>
        <v>JaHe133</v>
      </c>
    </row>
    <row r="134" spans="1:3" x14ac:dyDescent="0.3">
      <c r="A134" t="str">
        <f>TRIM(MID(Raw_Data!C134,FIND(",",Raw_Data!C134)+1,LEN(Raw_Data!C134)))</f>
        <v>John</v>
      </c>
      <c r="B134" t="str">
        <f>LEFT(Raw_Data!C134,FIND(",",Raw_Data!C134)-1)</f>
        <v>Davis</v>
      </c>
      <c r="C134" t="str">
        <f t="shared" si="2"/>
        <v>JoDa134</v>
      </c>
    </row>
    <row r="135" spans="1:3" x14ac:dyDescent="0.3">
      <c r="A135" t="str">
        <f>TRIM(MID(Raw_Data!C135,FIND(",",Raw_Data!C135)+1,LEN(Raw_Data!C135)))</f>
        <v>James</v>
      </c>
      <c r="B135" t="str">
        <f>LEFT(Raw_Data!C135,FIND(",",Raw_Data!C135)-1)</f>
        <v>Smith</v>
      </c>
      <c r="C135" t="str">
        <f t="shared" si="2"/>
        <v>JaSm135</v>
      </c>
    </row>
    <row r="136" spans="1:3" x14ac:dyDescent="0.3">
      <c r="A136" t="str">
        <f>TRIM(MID(Raw_Data!C136,FIND(",",Raw_Data!C136)+1,LEN(Raw_Data!C136)))</f>
        <v>David</v>
      </c>
      <c r="B136" t="str">
        <f>LEFT(Raw_Data!C136,FIND(",",Raw_Data!C136)-1)</f>
        <v>Miller</v>
      </c>
      <c r="C136" t="str">
        <f t="shared" si="2"/>
        <v>DaMi136</v>
      </c>
    </row>
    <row r="137" spans="1:3" x14ac:dyDescent="0.3">
      <c r="A137" t="str">
        <f>TRIM(MID(Raw_Data!C137,FIND(",",Raw_Data!C137)+1,LEN(Raw_Data!C137)))</f>
        <v>Emily</v>
      </c>
      <c r="B137" t="str">
        <f>LEFT(Raw_Data!C137,FIND(",",Raw_Data!C137)-1)</f>
        <v>Miller</v>
      </c>
      <c r="C137" t="str">
        <f t="shared" si="2"/>
        <v>EmMi137</v>
      </c>
    </row>
    <row r="138" spans="1:3" x14ac:dyDescent="0.3">
      <c r="A138" t="str">
        <f>TRIM(MID(Raw_Data!C138,FIND(",",Raw_Data!C138)+1,LEN(Raw_Data!C138)))</f>
        <v>Emily</v>
      </c>
      <c r="B138" t="str">
        <f>LEFT(Raw_Data!C138,FIND(",",Raw_Data!C138)-1)</f>
        <v>Brown</v>
      </c>
      <c r="C138" t="str">
        <f t="shared" si="2"/>
        <v>EmBr138</v>
      </c>
    </row>
    <row r="139" spans="1:3" x14ac:dyDescent="0.3">
      <c r="A139" t="str">
        <f>TRIM(MID(Raw_Data!C139,FIND(",",Raw_Data!C139)+1,LEN(Raw_Data!C139)))</f>
        <v>Michael</v>
      </c>
      <c r="B139" t="str">
        <f>LEFT(Raw_Data!C139,FIND(",",Raw_Data!C139)-1)</f>
        <v>Smith</v>
      </c>
      <c r="C139" t="str">
        <f t="shared" si="2"/>
        <v>MiSm139</v>
      </c>
    </row>
    <row r="140" spans="1:3" x14ac:dyDescent="0.3">
      <c r="A140" t="str">
        <f>TRIM(MID(Raw_Data!C140,FIND(",",Raw_Data!C140)+1,LEN(Raw_Data!C140)))</f>
        <v>Emily</v>
      </c>
      <c r="B140" t="str">
        <f>LEFT(Raw_Data!C140,FIND(",",Raw_Data!C140)-1)</f>
        <v>Martinez</v>
      </c>
      <c r="C140" t="str">
        <f t="shared" si="2"/>
        <v>EmMa140</v>
      </c>
    </row>
    <row r="141" spans="1:3" x14ac:dyDescent="0.3">
      <c r="A141" t="str">
        <f>TRIM(MID(Raw_Data!C141,FIND(",",Raw_Data!C141)+1,LEN(Raw_Data!C141)))</f>
        <v>Michael</v>
      </c>
      <c r="B141" t="str">
        <f>LEFT(Raw_Data!C141,FIND(",",Raw_Data!C141)-1)</f>
        <v>Jones</v>
      </c>
      <c r="C141" t="str">
        <f t="shared" si="2"/>
        <v>MiJo141</v>
      </c>
    </row>
    <row r="142" spans="1:3" x14ac:dyDescent="0.3">
      <c r="A142" t="str">
        <f>TRIM(MID(Raw_Data!C142,FIND(",",Raw_Data!C142)+1,LEN(Raw_Data!C142)))</f>
        <v>Daniel</v>
      </c>
      <c r="B142" t="str">
        <f>LEFT(Raw_Data!C142,FIND(",",Raw_Data!C142)-1)</f>
        <v>Martinez</v>
      </c>
      <c r="C142" t="str">
        <f t="shared" si="2"/>
        <v>DaMa142</v>
      </c>
    </row>
    <row r="143" spans="1:3" x14ac:dyDescent="0.3">
      <c r="A143" t="str">
        <f>TRIM(MID(Raw_Data!C143,FIND(",",Raw_Data!C143)+1,LEN(Raw_Data!C143)))</f>
        <v>Daniel</v>
      </c>
      <c r="B143" t="str">
        <f>LEFT(Raw_Data!C143,FIND(",",Raw_Data!C143)-1)</f>
        <v>Johnson</v>
      </c>
      <c r="C143" t="str">
        <f t="shared" si="2"/>
        <v>DaJo143</v>
      </c>
    </row>
    <row r="144" spans="1:3" x14ac:dyDescent="0.3">
      <c r="A144" t="str">
        <f>TRIM(MID(Raw_Data!C144,FIND(",",Raw_Data!C144)+1,LEN(Raw_Data!C144)))</f>
        <v>James</v>
      </c>
      <c r="B144" t="str">
        <f>LEFT(Raw_Data!C144,FIND(",",Raw_Data!C144)-1)</f>
        <v>Brown</v>
      </c>
      <c r="C144" t="str">
        <f t="shared" si="2"/>
        <v>JaBr144</v>
      </c>
    </row>
    <row r="145" spans="1:3" x14ac:dyDescent="0.3">
      <c r="A145" t="str">
        <f>TRIM(MID(Raw_Data!C145,FIND(",",Raw_Data!C145)+1,LEN(Raw_Data!C145)))</f>
        <v>Daniel</v>
      </c>
      <c r="B145" t="str">
        <f>LEFT(Raw_Data!C145,FIND(",",Raw_Data!C145)-1)</f>
        <v>Hernandez</v>
      </c>
      <c r="C145" t="str">
        <f t="shared" si="2"/>
        <v>DaHe145</v>
      </c>
    </row>
    <row r="146" spans="1:3" x14ac:dyDescent="0.3">
      <c r="A146" t="str">
        <f>TRIM(MID(Raw_Data!C146,FIND(",",Raw_Data!C146)+1,LEN(Raw_Data!C146)))</f>
        <v>Laura</v>
      </c>
      <c r="B146" t="str">
        <f>LEFT(Raw_Data!C146,FIND(",",Raw_Data!C146)-1)</f>
        <v>Jones</v>
      </c>
      <c r="C146" t="str">
        <f t="shared" si="2"/>
        <v>LaJo146</v>
      </c>
    </row>
    <row r="147" spans="1:3" x14ac:dyDescent="0.3">
      <c r="A147" t="str">
        <f>TRIM(MID(Raw_Data!C147,FIND(",",Raw_Data!C147)+1,LEN(Raw_Data!C147)))</f>
        <v>Laura</v>
      </c>
      <c r="B147" t="str">
        <f>LEFT(Raw_Data!C147,FIND(",",Raw_Data!C147)-1)</f>
        <v>Miller</v>
      </c>
      <c r="C147" t="str">
        <f t="shared" si="2"/>
        <v>LaMi147</v>
      </c>
    </row>
    <row r="148" spans="1:3" x14ac:dyDescent="0.3">
      <c r="A148" t="str">
        <f>TRIM(MID(Raw_Data!C148,FIND(",",Raw_Data!C148)+1,LEN(Raw_Data!C148)))</f>
        <v>David</v>
      </c>
      <c r="B148" t="str">
        <f>LEFT(Raw_Data!C148,FIND(",",Raw_Data!C148)-1)</f>
        <v>Jones</v>
      </c>
      <c r="C148" t="str">
        <f t="shared" si="2"/>
        <v>DaJo148</v>
      </c>
    </row>
    <row r="149" spans="1:3" x14ac:dyDescent="0.3">
      <c r="A149" t="str">
        <f>TRIM(MID(Raw_Data!C149,FIND(",",Raw_Data!C149)+1,LEN(Raw_Data!C149)))</f>
        <v>Sophia</v>
      </c>
      <c r="B149" t="str">
        <f>LEFT(Raw_Data!C149,FIND(",",Raw_Data!C149)-1)</f>
        <v>Johnson</v>
      </c>
      <c r="C149" t="str">
        <f t="shared" si="2"/>
        <v>SoJo149</v>
      </c>
    </row>
    <row r="150" spans="1:3" x14ac:dyDescent="0.3">
      <c r="A150" t="str">
        <f>TRIM(MID(Raw_Data!C150,FIND(",",Raw_Data!C150)+1,LEN(Raw_Data!C150)))</f>
        <v>Sophia</v>
      </c>
      <c r="B150" t="str">
        <f>LEFT(Raw_Data!C150,FIND(",",Raw_Data!C150)-1)</f>
        <v>Davis</v>
      </c>
      <c r="C150" t="str">
        <f t="shared" si="2"/>
        <v>SoDa150</v>
      </c>
    </row>
    <row r="151" spans="1:3" x14ac:dyDescent="0.3">
      <c r="A151" t="str">
        <f>TRIM(MID(Raw_Data!C151,FIND(",",Raw_Data!C151)+1,LEN(Raw_Data!C151)))</f>
        <v>Daniel</v>
      </c>
      <c r="B151" t="str">
        <f>LEFT(Raw_Data!C151,FIND(",",Raw_Data!C151)-1)</f>
        <v>Jones</v>
      </c>
      <c r="C151" t="str">
        <f t="shared" si="2"/>
        <v>DaJo151</v>
      </c>
    </row>
    <row r="152" spans="1:3" x14ac:dyDescent="0.3">
      <c r="A152" t="str">
        <f>TRIM(MID(Raw_Data!C152,FIND(",",Raw_Data!C152)+1,LEN(Raw_Data!C152)))</f>
        <v>Michael</v>
      </c>
      <c r="B152" t="str">
        <f>LEFT(Raw_Data!C152,FIND(",",Raw_Data!C152)-1)</f>
        <v>Miller</v>
      </c>
      <c r="C152" t="str">
        <f t="shared" si="2"/>
        <v>MiMi152</v>
      </c>
    </row>
    <row r="153" spans="1:3" x14ac:dyDescent="0.3">
      <c r="A153" t="str">
        <f>TRIM(MID(Raw_Data!C153,FIND(",",Raw_Data!C153)+1,LEN(Raw_Data!C153)))</f>
        <v>Laura</v>
      </c>
      <c r="B153" t="str">
        <f>LEFT(Raw_Data!C153,FIND(",",Raw_Data!C153)-1)</f>
        <v>Davis</v>
      </c>
      <c r="C153" t="str">
        <f t="shared" si="2"/>
        <v>LaDa153</v>
      </c>
    </row>
    <row r="154" spans="1:3" x14ac:dyDescent="0.3">
      <c r="A154" t="str">
        <f>TRIM(MID(Raw_Data!C154,FIND(",",Raw_Data!C154)+1,LEN(Raw_Data!C154)))</f>
        <v>Laura</v>
      </c>
      <c r="B154" t="str">
        <f>LEFT(Raw_Data!C154,FIND(",",Raw_Data!C154)-1)</f>
        <v>Williams</v>
      </c>
      <c r="C154" t="str">
        <f t="shared" si="2"/>
        <v>LaWi154</v>
      </c>
    </row>
    <row r="155" spans="1:3" x14ac:dyDescent="0.3">
      <c r="A155" t="str">
        <f>TRIM(MID(Raw_Data!C155,FIND(",",Raw_Data!C155)+1,LEN(Raw_Data!C155)))</f>
        <v>James</v>
      </c>
      <c r="B155" t="str">
        <f>LEFT(Raw_Data!C155,FIND(",",Raw_Data!C155)-1)</f>
        <v>Brown</v>
      </c>
      <c r="C155" t="str">
        <f t="shared" si="2"/>
        <v>JaBr155</v>
      </c>
    </row>
    <row r="156" spans="1:3" x14ac:dyDescent="0.3">
      <c r="A156" t="str">
        <f>TRIM(MID(Raw_Data!C156,FIND(",",Raw_Data!C156)+1,LEN(Raw_Data!C156)))</f>
        <v>Daniel</v>
      </c>
      <c r="B156" t="str">
        <f>LEFT(Raw_Data!C156,FIND(",",Raw_Data!C156)-1)</f>
        <v>Miller</v>
      </c>
      <c r="C156" t="str">
        <f t="shared" si="2"/>
        <v>DaMi156</v>
      </c>
    </row>
    <row r="157" spans="1:3" x14ac:dyDescent="0.3">
      <c r="A157" t="str">
        <f>TRIM(MID(Raw_Data!C157,FIND(",",Raw_Data!C157)+1,LEN(Raw_Data!C157)))</f>
        <v>Michael</v>
      </c>
      <c r="B157" t="str">
        <f>LEFT(Raw_Data!C157,FIND(",",Raw_Data!C157)-1)</f>
        <v>Hernandez</v>
      </c>
      <c r="C157" t="str">
        <f t="shared" si="2"/>
        <v>MiHe157</v>
      </c>
    </row>
    <row r="158" spans="1:3" x14ac:dyDescent="0.3">
      <c r="A158" t="str">
        <f>TRIM(MID(Raw_Data!C158,FIND(",",Raw_Data!C158)+1,LEN(Raw_Data!C158)))</f>
        <v>Michael</v>
      </c>
      <c r="B158" t="str">
        <f>LEFT(Raw_Data!C158,FIND(",",Raw_Data!C158)-1)</f>
        <v>Smith</v>
      </c>
      <c r="C158" t="str">
        <f t="shared" si="2"/>
        <v>MiSm158</v>
      </c>
    </row>
    <row r="159" spans="1:3" x14ac:dyDescent="0.3">
      <c r="A159" t="str">
        <f>TRIM(MID(Raw_Data!C159,FIND(",",Raw_Data!C159)+1,LEN(Raw_Data!C159)))</f>
        <v>Sarah</v>
      </c>
      <c r="B159" t="str">
        <f>LEFT(Raw_Data!C159,FIND(",",Raw_Data!C159)-1)</f>
        <v>Brown</v>
      </c>
      <c r="C159" t="str">
        <f t="shared" si="2"/>
        <v>SaBr159</v>
      </c>
    </row>
    <row r="160" spans="1:3" x14ac:dyDescent="0.3">
      <c r="A160" t="str">
        <f>TRIM(MID(Raw_Data!C160,FIND(",",Raw_Data!C160)+1,LEN(Raw_Data!C160)))</f>
        <v>Daniel</v>
      </c>
      <c r="B160" t="str">
        <f>LEFT(Raw_Data!C160,FIND(",",Raw_Data!C160)-1)</f>
        <v>Williams</v>
      </c>
      <c r="C160" t="str">
        <f t="shared" si="2"/>
        <v>DaWi160</v>
      </c>
    </row>
    <row r="161" spans="1:3" x14ac:dyDescent="0.3">
      <c r="A161" t="str">
        <f>TRIM(MID(Raw_Data!C161,FIND(",",Raw_Data!C161)+1,LEN(Raw_Data!C161)))</f>
        <v>John</v>
      </c>
      <c r="B161" t="str">
        <f>LEFT(Raw_Data!C161,FIND(",",Raw_Data!C161)-1)</f>
        <v>Brown</v>
      </c>
      <c r="C161" t="str">
        <f t="shared" si="2"/>
        <v>JoBr161</v>
      </c>
    </row>
    <row r="162" spans="1:3" x14ac:dyDescent="0.3">
      <c r="A162" t="str">
        <f>TRIM(MID(Raw_Data!C162,FIND(",",Raw_Data!C162)+1,LEN(Raw_Data!C162)))</f>
        <v>David</v>
      </c>
      <c r="B162" t="str">
        <f>LEFT(Raw_Data!C162,FIND(",",Raw_Data!C162)-1)</f>
        <v>Martinez</v>
      </c>
      <c r="C162" t="str">
        <f t="shared" si="2"/>
        <v>DaMa162</v>
      </c>
    </row>
    <row r="163" spans="1:3" x14ac:dyDescent="0.3">
      <c r="A163" t="str">
        <f>TRIM(MID(Raw_Data!C163,FIND(",",Raw_Data!C163)+1,LEN(Raw_Data!C163)))</f>
        <v>Laura</v>
      </c>
      <c r="B163" t="str">
        <f>LEFT(Raw_Data!C163,FIND(",",Raw_Data!C163)-1)</f>
        <v>Martinez</v>
      </c>
      <c r="C163" t="str">
        <f t="shared" si="2"/>
        <v>LaMa163</v>
      </c>
    </row>
    <row r="164" spans="1:3" x14ac:dyDescent="0.3">
      <c r="A164" t="str">
        <f>TRIM(MID(Raw_Data!C164,FIND(",",Raw_Data!C164)+1,LEN(Raw_Data!C164)))</f>
        <v>Laura</v>
      </c>
      <c r="B164" t="str">
        <f>LEFT(Raw_Data!C164,FIND(",",Raw_Data!C164)-1)</f>
        <v>Martinez</v>
      </c>
      <c r="C164" t="str">
        <f t="shared" si="2"/>
        <v>LaMa164</v>
      </c>
    </row>
    <row r="165" spans="1:3" x14ac:dyDescent="0.3">
      <c r="A165" t="str">
        <f>TRIM(MID(Raw_Data!C165,FIND(",",Raw_Data!C165)+1,LEN(Raw_Data!C165)))</f>
        <v>Emily</v>
      </c>
      <c r="B165" t="str">
        <f>LEFT(Raw_Data!C165,FIND(",",Raw_Data!C165)-1)</f>
        <v>Johnson</v>
      </c>
      <c r="C165" t="str">
        <f t="shared" si="2"/>
        <v>EmJo165</v>
      </c>
    </row>
    <row r="166" spans="1:3" x14ac:dyDescent="0.3">
      <c r="A166" t="str">
        <f>TRIM(MID(Raw_Data!C166,FIND(",",Raw_Data!C166)+1,LEN(Raw_Data!C166)))</f>
        <v>Emma</v>
      </c>
      <c r="B166" t="str">
        <f>LEFT(Raw_Data!C166,FIND(",",Raw_Data!C166)-1)</f>
        <v>Garcia</v>
      </c>
      <c r="C166" t="str">
        <f t="shared" si="2"/>
        <v>EmGa166</v>
      </c>
    </row>
    <row r="167" spans="1:3" x14ac:dyDescent="0.3">
      <c r="A167" t="str">
        <f>TRIM(MID(Raw_Data!C167,FIND(",",Raw_Data!C167)+1,LEN(Raw_Data!C167)))</f>
        <v>John</v>
      </c>
      <c r="B167" t="str">
        <f>LEFT(Raw_Data!C167,FIND(",",Raw_Data!C167)-1)</f>
        <v>Garcia</v>
      </c>
      <c r="C167" t="str">
        <f t="shared" si="2"/>
        <v>JoGa167</v>
      </c>
    </row>
    <row r="168" spans="1:3" x14ac:dyDescent="0.3">
      <c r="A168" t="str">
        <f>TRIM(MID(Raw_Data!C168,FIND(",",Raw_Data!C168)+1,LEN(Raw_Data!C168)))</f>
        <v>Sophia</v>
      </c>
      <c r="B168" t="str">
        <f>LEFT(Raw_Data!C168,FIND(",",Raw_Data!C168)-1)</f>
        <v>Smith</v>
      </c>
      <c r="C168" t="str">
        <f t="shared" si="2"/>
        <v>SoSm168</v>
      </c>
    </row>
    <row r="169" spans="1:3" x14ac:dyDescent="0.3">
      <c r="A169" t="str">
        <f>TRIM(MID(Raw_Data!C169,FIND(",",Raw_Data!C169)+1,LEN(Raw_Data!C169)))</f>
        <v>Emily</v>
      </c>
      <c r="B169" t="str">
        <f>LEFT(Raw_Data!C169,FIND(",",Raw_Data!C169)-1)</f>
        <v>Jones</v>
      </c>
      <c r="C169" t="str">
        <f t="shared" si="2"/>
        <v>EmJo169</v>
      </c>
    </row>
    <row r="170" spans="1:3" x14ac:dyDescent="0.3">
      <c r="A170" t="str">
        <f>TRIM(MID(Raw_Data!C170,FIND(",",Raw_Data!C170)+1,LEN(Raw_Data!C170)))</f>
        <v>Laura</v>
      </c>
      <c r="B170" t="str">
        <f>LEFT(Raw_Data!C170,FIND(",",Raw_Data!C170)-1)</f>
        <v>Williams</v>
      </c>
      <c r="C170" t="str">
        <f t="shared" si="2"/>
        <v>LaWi170</v>
      </c>
    </row>
    <row r="171" spans="1:3" x14ac:dyDescent="0.3">
      <c r="A171" t="str">
        <f>TRIM(MID(Raw_Data!C171,FIND(",",Raw_Data!C171)+1,LEN(Raw_Data!C171)))</f>
        <v>James</v>
      </c>
      <c r="B171" t="str">
        <f>LEFT(Raw_Data!C171,FIND(",",Raw_Data!C171)-1)</f>
        <v>Miller</v>
      </c>
      <c r="C171" t="str">
        <f t="shared" si="2"/>
        <v>JaMi171</v>
      </c>
    </row>
    <row r="172" spans="1:3" x14ac:dyDescent="0.3">
      <c r="A172" t="str">
        <f>TRIM(MID(Raw_Data!C172,FIND(",",Raw_Data!C172)+1,LEN(Raw_Data!C172)))</f>
        <v>Emma</v>
      </c>
      <c r="B172" t="str">
        <f>LEFT(Raw_Data!C172,FIND(",",Raw_Data!C172)-1)</f>
        <v>Hernandez</v>
      </c>
      <c r="C172" t="str">
        <f t="shared" si="2"/>
        <v>EmHe172</v>
      </c>
    </row>
    <row r="173" spans="1:3" x14ac:dyDescent="0.3">
      <c r="A173" t="str">
        <f>TRIM(MID(Raw_Data!C173,FIND(",",Raw_Data!C173)+1,LEN(Raw_Data!C173)))</f>
        <v>James</v>
      </c>
      <c r="B173" t="str">
        <f>LEFT(Raw_Data!C173,FIND(",",Raw_Data!C173)-1)</f>
        <v>Miller</v>
      </c>
      <c r="C173" t="str">
        <f t="shared" si="2"/>
        <v>JaMi173</v>
      </c>
    </row>
    <row r="174" spans="1:3" x14ac:dyDescent="0.3">
      <c r="A174" t="str">
        <f>TRIM(MID(Raw_Data!C174,FIND(",",Raw_Data!C174)+1,LEN(Raw_Data!C174)))</f>
        <v>Michael</v>
      </c>
      <c r="B174" t="str">
        <f>LEFT(Raw_Data!C174,FIND(",",Raw_Data!C174)-1)</f>
        <v>Williams</v>
      </c>
      <c r="C174" t="str">
        <f t="shared" si="2"/>
        <v>MiWi174</v>
      </c>
    </row>
    <row r="175" spans="1:3" x14ac:dyDescent="0.3">
      <c r="A175" t="str">
        <f>TRIM(MID(Raw_Data!C175,FIND(",",Raw_Data!C175)+1,LEN(Raw_Data!C175)))</f>
        <v>Laura</v>
      </c>
      <c r="B175" t="str">
        <f>LEFT(Raw_Data!C175,FIND(",",Raw_Data!C175)-1)</f>
        <v>Hernandez</v>
      </c>
      <c r="C175" t="str">
        <f t="shared" si="2"/>
        <v>LaHe175</v>
      </c>
    </row>
    <row r="176" spans="1:3" x14ac:dyDescent="0.3">
      <c r="A176" t="str">
        <f>TRIM(MID(Raw_Data!C176,FIND(",",Raw_Data!C176)+1,LEN(Raw_Data!C176)))</f>
        <v>James</v>
      </c>
      <c r="B176" t="str">
        <f>LEFT(Raw_Data!C176,FIND(",",Raw_Data!C176)-1)</f>
        <v>Williams</v>
      </c>
      <c r="C176" t="str">
        <f t="shared" si="2"/>
        <v>JaWi176</v>
      </c>
    </row>
    <row r="177" spans="1:3" x14ac:dyDescent="0.3">
      <c r="A177" t="str">
        <f>TRIM(MID(Raw_Data!C177,FIND(",",Raw_Data!C177)+1,LEN(Raw_Data!C177)))</f>
        <v>Laura</v>
      </c>
      <c r="B177" t="str">
        <f>LEFT(Raw_Data!C177,FIND(",",Raw_Data!C177)-1)</f>
        <v>Miller</v>
      </c>
      <c r="C177" t="str">
        <f t="shared" si="2"/>
        <v>LaMi177</v>
      </c>
    </row>
    <row r="178" spans="1:3" x14ac:dyDescent="0.3">
      <c r="A178" t="str">
        <f>TRIM(MID(Raw_Data!C178,FIND(",",Raw_Data!C178)+1,LEN(Raw_Data!C178)))</f>
        <v>John</v>
      </c>
      <c r="B178" t="str">
        <f>LEFT(Raw_Data!C178,FIND(",",Raw_Data!C178)-1)</f>
        <v>Martinez</v>
      </c>
      <c r="C178" t="str">
        <f t="shared" si="2"/>
        <v>JoMa178</v>
      </c>
    </row>
    <row r="179" spans="1:3" x14ac:dyDescent="0.3">
      <c r="A179" t="str">
        <f>TRIM(MID(Raw_Data!C179,FIND(",",Raw_Data!C179)+1,LEN(Raw_Data!C179)))</f>
        <v>Sarah</v>
      </c>
      <c r="B179" t="str">
        <f>LEFT(Raw_Data!C179,FIND(",",Raw_Data!C179)-1)</f>
        <v>Hernandez</v>
      </c>
      <c r="C179" t="str">
        <f t="shared" si="2"/>
        <v>SaHe179</v>
      </c>
    </row>
    <row r="180" spans="1:3" x14ac:dyDescent="0.3">
      <c r="A180" t="str">
        <f>TRIM(MID(Raw_Data!C180,FIND(",",Raw_Data!C180)+1,LEN(Raw_Data!C180)))</f>
        <v>Emma</v>
      </c>
      <c r="B180" t="str">
        <f>LEFT(Raw_Data!C180,FIND(",",Raw_Data!C180)-1)</f>
        <v>Johnson</v>
      </c>
      <c r="C180" t="str">
        <f t="shared" si="2"/>
        <v>EmJo180</v>
      </c>
    </row>
    <row r="181" spans="1:3" x14ac:dyDescent="0.3">
      <c r="A181" t="str">
        <f>TRIM(MID(Raw_Data!C181,FIND(",",Raw_Data!C181)+1,LEN(Raw_Data!C181)))</f>
        <v>Sarah</v>
      </c>
      <c r="B181" t="str">
        <f>LEFT(Raw_Data!C181,FIND(",",Raw_Data!C181)-1)</f>
        <v>Martinez</v>
      </c>
      <c r="C181" t="str">
        <f t="shared" si="2"/>
        <v>SaMa181</v>
      </c>
    </row>
    <row r="182" spans="1:3" x14ac:dyDescent="0.3">
      <c r="A182" t="str">
        <f>TRIM(MID(Raw_Data!C182,FIND(",",Raw_Data!C182)+1,LEN(Raw_Data!C182)))</f>
        <v>Daniel</v>
      </c>
      <c r="B182" t="str">
        <f>LEFT(Raw_Data!C182,FIND(",",Raw_Data!C182)-1)</f>
        <v>Davis</v>
      </c>
      <c r="C182" t="str">
        <f t="shared" si="2"/>
        <v>DaDa182</v>
      </c>
    </row>
    <row r="183" spans="1:3" x14ac:dyDescent="0.3">
      <c r="A183" t="str">
        <f>TRIM(MID(Raw_Data!C183,FIND(",",Raw_Data!C183)+1,LEN(Raw_Data!C183)))</f>
        <v>Laura</v>
      </c>
      <c r="B183" t="str">
        <f>LEFT(Raw_Data!C183,FIND(",",Raw_Data!C183)-1)</f>
        <v>Hernandez</v>
      </c>
      <c r="C183" t="str">
        <f t="shared" si="2"/>
        <v>LaHe183</v>
      </c>
    </row>
    <row r="184" spans="1:3" x14ac:dyDescent="0.3">
      <c r="A184" t="str">
        <f>TRIM(MID(Raw_Data!C184,FIND(",",Raw_Data!C184)+1,LEN(Raw_Data!C184)))</f>
        <v>Laura</v>
      </c>
      <c r="B184" t="str">
        <f>LEFT(Raw_Data!C184,FIND(",",Raw_Data!C184)-1)</f>
        <v>Jones</v>
      </c>
      <c r="C184" t="str">
        <f t="shared" si="2"/>
        <v>LaJo184</v>
      </c>
    </row>
    <row r="185" spans="1:3" x14ac:dyDescent="0.3">
      <c r="A185" t="str">
        <f>TRIM(MID(Raw_Data!C185,FIND(",",Raw_Data!C185)+1,LEN(Raw_Data!C185)))</f>
        <v>Emma</v>
      </c>
      <c r="B185" t="str">
        <f>LEFT(Raw_Data!C185,FIND(",",Raw_Data!C185)-1)</f>
        <v>Miller</v>
      </c>
      <c r="C185" t="str">
        <f t="shared" si="2"/>
        <v>EmMi185</v>
      </c>
    </row>
    <row r="186" spans="1:3" x14ac:dyDescent="0.3">
      <c r="A186" t="str">
        <f>TRIM(MID(Raw_Data!C186,FIND(",",Raw_Data!C186)+1,LEN(Raw_Data!C186)))</f>
        <v>John</v>
      </c>
      <c r="B186" t="str">
        <f>LEFT(Raw_Data!C186,FIND(",",Raw_Data!C186)-1)</f>
        <v>Martinez</v>
      </c>
      <c r="C186" t="str">
        <f t="shared" si="2"/>
        <v>JoMa186</v>
      </c>
    </row>
    <row r="187" spans="1:3" x14ac:dyDescent="0.3">
      <c r="A187" t="str">
        <f>TRIM(MID(Raw_Data!C187,FIND(",",Raw_Data!C187)+1,LEN(Raw_Data!C187)))</f>
        <v>Emily</v>
      </c>
      <c r="B187" t="str">
        <f>LEFT(Raw_Data!C187,FIND(",",Raw_Data!C187)-1)</f>
        <v>Smith</v>
      </c>
      <c r="C187" t="str">
        <f t="shared" si="2"/>
        <v>EmSm187</v>
      </c>
    </row>
    <row r="188" spans="1:3" x14ac:dyDescent="0.3">
      <c r="A188" t="str">
        <f>TRIM(MID(Raw_Data!C188,FIND(",",Raw_Data!C188)+1,LEN(Raw_Data!C188)))</f>
        <v>David</v>
      </c>
      <c r="B188" t="str">
        <f>LEFT(Raw_Data!C188,FIND(",",Raw_Data!C188)-1)</f>
        <v>Miller</v>
      </c>
      <c r="C188" t="str">
        <f t="shared" si="2"/>
        <v>DaMi188</v>
      </c>
    </row>
    <row r="189" spans="1:3" x14ac:dyDescent="0.3">
      <c r="A189" t="str">
        <f>TRIM(MID(Raw_Data!C189,FIND(",",Raw_Data!C189)+1,LEN(Raw_Data!C189)))</f>
        <v>David</v>
      </c>
      <c r="B189" t="str">
        <f>LEFT(Raw_Data!C189,FIND(",",Raw_Data!C189)-1)</f>
        <v>Johnson</v>
      </c>
      <c r="C189" t="str">
        <f t="shared" si="2"/>
        <v>DaJo189</v>
      </c>
    </row>
    <row r="190" spans="1:3" x14ac:dyDescent="0.3">
      <c r="A190" t="str">
        <f>TRIM(MID(Raw_Data!C190,FIND(",",Raw_Data!C190)+1,LEN(Raw_Data!C190)))</f>
        <v>Sophia</v>
      </c>
      <c r="B190" t="str">
        <f>LEFT(Raw_Data!C190,FIND(",",Raw_Data!C190)-1)</f>
        <v>Davis</v>
      </c>
      <c r="C190" t="str">
        <f t="shared" si="2"/>
        <v>SoDa190</v>
      </c>
    </row>
    <row r="191" spans="1:3" x14ac:dyDescent="0.3">
      <c r="A191" t="str">
        <f>TRIM(MID(Raw_Data!C191,FIND(",",Raw_Data!C191)+1,LEN(Raw_Data!C191)))</f>
        <v>Daniel</v>
      </c>
      <c r="B191" t="str">
        <f>LEFT(Raw_Data!C191,FIND(",",Raw_Data!C191)-1)</f>
        <v>Garcia</v>
      </c>
      <c r="C191" t="str">
        <f t="shared" si="2"/>
        <v>DaGa191</v>
      </c>
    </row>
    <row r="192" spans="1:3" x14ac:dyDescent="0.3">
      <c r="A192" t="str">
        <f>TRIM(MID(Raw_Data!C192,FIND(",",Raw_Data!C192)+1,LEN(Raw_Data!C192)))</f>
        <v>Michael</v>
      </c>
      <c r="B192" t="str">
        <f>LEFT(Raw_Data!C192,FIND(",",Raw_Data!C192)-1)</f>
        <v>Garcia</v>
      </c>
      <c r="C192" t="str">
        <f t="shared" si="2"/>
        <v>MiGa192</v>
      </c>
    </row>
    <row r="193" spans="1:3" x14ac:dyDescent="0.3">
      <c r="A193" t="str">
        <f>TRIM(MID(Raw_Data!C193,FIND(",",Raw_Data!C193)+1,LEN(Raw_Data!C193)))</f>
        <v>Sarah</v>
      </c>
      <c r="B193" t="str">
        <f>LEFT(Raw_Data!C193,FIND(",",Raw_Data!C193)-1)</f>
        <v>Smith</v>
      </c>
      <c r="C193" t="str">
        <f t="shared" si="2"/>
        <v>SaSm193</v>
      </c>
    </row>
    <row r="194" spans="1:3" x14ac:dyDescent="0.3">
      <c r="A194" t="str">
        <f>TRIM(MID(Raw_Data!C194,FIND(",",Raw_Data!C194)+1,LEN(Raw_Data!C194)))</f>
        <v>Sarah</v>
      </c>
      <c r="B194" t="str">
        <f>LEFT(Raw_Data!C194,FIND(",",Raw_Data!C194)-1)</f>
        <v>Johnson</v>
      </c>
      <c r="C194" t="str">
        <f t="shared" si="2"/>
        <v>SaJo194</v>
      </c>
    </row>
    <row r="195" spans="1:3" x14ac:dyDescent="0.3">
      <c r="A195" t="str">
        <f>TRIM(MID(Raw_Data!C195,FIND(",",Raw_Data!C195)+1,LEN(Raw_Data!C195)))</f>
        <v>Daniel</v>
      </c>
      <c r="B195" t="str">
        <f>LEFT(Raw_Data!C195,FIND(",",Raw_Data!C195)-1)</f>
        <v>Jones</v>
      </c>
      <c r="C195" t="str">
        <f t="shared" ref="C195:C242" si="3">LEFT(A195,2) &amp; LEFT(B195,2) &amp; ROW()</f>
        <v>DaJo195</v>
      </c>
    </row>
    <row r="196" spans="1:3" x14ac:dyDescent="0.3">
      <c r="A196" t="str">
        <f>TRIM(MID(Raw_Data!C196,FIND(",",Raw_Data!C196)+1,LEN(Raw_Data!C196)))</f>
        <v>Sarah</v>
      </c>
      <c r="B196" t="str">
        <f>LEFT(Raw_Data!C196,FIND(",",Raw_Data!C196)-1)</f>
        <v>Miller</v>
      </c>
      <c r="C196" t="str">
        <f t="shared" si="3"/>
        <v>SaMi196</v>
      </c>
    </row>
    <row r="197" spans="1:3" x14ac:dyDescent="0.3">
      <c r="A197" t="str">
        <f>TRIM(MID(Raw_Data!C197,FIND(",",Raw_Data!C197)+1,LEN(Raw_Data!C197)))</f>
        <v>Laura</v>
      </c>
      <c r="B197" t="str">
        <f>LEFT(Raw_Data!C197,FIND(",",Raw_Data!C197)-1)</f>
        <v>Martinez</v>
      </c>
      <c r="C197" t="str">
        <f t="shared" si="3"/>
        <v>LaMa197</v>
      </c>
    </row>
    <row r="198" spans="1:3" x14ac:dyDescent="0.3">
      <c r="A198" t="str">
        <f>TRIM(MID(Raw_Data!C198,FIND(",",Raw_Data!C198)+1,LEN(Raw_Data!C198)))</f>
        <v>David</v>
      </c>
      <c r="B198" t="str">
        <f>LEFT(Raw_Data!C198,FIND(",",Raw_Data!C198)-1)</f>
        <v>Johnson</v>
      </c>
      <c r="C198" t="str">
        <f t="shared" si="3"/>
        <v>DaJo198</v>
      </c>
    </row>
    <row r="199" spans="1:3" x14ac:dyDescent="0.3">
      <c r="A199" t="str">
        <f>TRIM(MID(Raw_Data!C199,FIND(",",Raw_Data!C199)+1,LEN(Raw_Data!C199)))</f>
        <v>Emily</v>
      </c>
      <c r="B199" t="str">
        <f>LEFT(Raw_Data!C199,FIND(",",Raw_Data!C199)-1)</f>
        <v>Jones</v>
      </c>
      <c r="C199" t="str">
        <f t="shared" si="3"/>
        <v>EmJo199</v>
      </c>
    </row>
    <row r="200" spans="1:3" x14ac:dyDescent="0.3">
      <c r="A200" t="str">
        <f>TRIM(MID(Raw_Data!C200,FIND(",",Raw_Data!C200)+1,LEN(Raw_Data!C200)))</f>
        <v>Michael</v>
      </c>
      <c r="B200" t="str">
        <f>LEFT(Raw_Data!C200,FIND(",",Raw_Data!C200)-1)</f>
        <v>Smith</v>
      </c>
      <c r="C200" t="str">
        <f t="shared" si="3"/>
        <v>MiSm200</v>
      </c>
    </row>
    <row r="201" spans="1:3" x14ac:dyDescent="0.3">
      <c r="A201" t="str">
        <f>TRIM(MID(Raw_Data!C201,FIND(",",Raw_Data!C201)+1,LEN(Raw_Data!C201)))</f>
        <v>Sarah</v>
      </c>
      <c r="B201" t="str">
        <f>LEFT(Raw_Data!C201,FIND(",",Raw_Data!C201)-1)</f>
        <v>Martinez</v>
      </c>
      <c r="C201" t="str">
        <f t="shared" si="3"/>
        <v>SaMa201</v>
      </c>
    </row>
    <row r="202" spans="1:3" x14ac:dyDescent="0.3">
      <c r="A202" t="str">
        <f>TRIM(MID(Raw_Data!C202,FIND(",",Raw_Data!C202)+1,LEN(Raw_Data!C202)))</f>
        <v>Sarah</v>
      </c>
      <c r="B202" t="str">
        <f>LEFT(Raw_Data!C202,FIND(",",Raw_Data!C202)-1)</f>
        <v>Jones</v>
      </c>
      <c r="C202" t="str">
        <f t="shared" si="3"/>
        <v>SaJo202</v>
      </c>
    </row>
    <row r="203" spans="1:3" x14ac:dyDescent="0.3">
      <c r="A203" t="str">
        <f>TRIM(MID(Raw_Data!C203,FIND(",",Raw_Data!C203)+1,LEN(Raw_Data!C203)))</f>
        <v>Daniel</v>
      </c>
      <c r="B203" t="str">
        <f>LEFT(Raw_Data!C203,FIND(",",Raw_Data!C203)-1)</f>
        <v>Brown</v>
      </c>
      <c r="C203" t="str">
        <f t="shared" si="3"/>
        <v>DaBr203</v>
      </c>
    </row>
    <row r="204" spans="1:3" x14ac:dyDescent="0.3">
      <c r="A204" t="str">
        <f>TRIM(MID(Raw_Data!C204,FIND(",",Raw_Data!C204)+1,LEN(Raw_Data!C204)))</f>
        <v>Sarah</v>
      </c>
      <c r="B204" t="str">
        <f>LEFT(Raw_Data!C204,FIND(",",Raw_Data!C204)-1)</f>
        <v>Miller</v>
      </c>
      <c r="C204" t="str">
        <f t="shared" si="3"/>
        <v>SaMi204</v>
      </c>
    </row>
    <row r="205" spans="1:3" x14ac:dyDescent="0.3">
      <c r="A205" t="str">
        <f>TRIM(MID(Raw_Data!C205,FIND(",",Raw_Data!C205)+1,LEN(Raw_Data!C205)))</f>
        <v>James</v>
      </c>
      <c r="B205" t="str">
        <f>LEFT(Raw_Data!C205,FIND(",",Raw_Data!C205)-1)</f>
        <v>Brown</v>
      </c>
      <c r="C205" t="str">
        <f t="shared" si="3"/>
        <v>JaBr205</v>
      </c>
    </row>
    <row r="206" spans="1:3" x14ac:dyDescent="0.3">
      <c r="A206" t="str">
        <f>TRIM(MID(Raw_Data!C206,FIND(",",Raw_Data!C206)+1,LEN(Raw_Data!C206)))</f>
        <v>Daniel</v>
      </c>
      <c r="B206" t="str">
        <f>LEFT(Raw_Data!C206,FIND(",",Raw_Data!C206)-1)</f>
        <v>Johnson</v>
      </c>
      <c r="C206" t="str">
        <f t="shared" si="3"/>
        <v>DaJo206</v>
      </c>
    </row>
    <row r="207" spans="1:3" x14ac:dyDescent="0.3">
      <c r="A207" t="str">
        <f>TRIM(MID(Raw_Data!C207,FIND(",",Raw_Data!C207)+1,LEN(Raw_Data!C207)))</f>
        <v>Emma</v>
      </c>
      <c r="B207" t="str">
        <f>LEFT(Raw_Data!C207,FIND(",",Raw_Data!C207)-1)</f>
        <v>Davis</v>
      </c>
      <c r="C207" t="str">
        <f t="shared" si="3"/>
        <v>EmDa207</v>
      </c>
    </row>
    <row r="208" spans="1:3" x14ac:dyDescent="0.3">
      <c r="A208" t="str">
        <f>TRIM(MID(Raw_Data!C208,FIND(",",Raw_Data!C208)+1,LEN(Raw_Data!C208)))</f>
        <v>Emily</v>
      </c>
      <c r="B208" t="str">
        <f>LEFT(Raw_Data!C208,FIND(",",Raw_Data!C208)-1)</f>
        <v>Brown</v>
      </c>
      <c r="C208" t="str">
        <f t="shared" si="3"/>
        <v>EmBr208</v>
      </c>
    </row>
    <row r="209" spans="1:3" x14ac:dyDescent="0.3">
      <c r="A209" t="str">
        <f>TRIM(MID(Raw_Data!C209,FIND(",",Raw_Data!C209)+1,LEN(Raw_Data!C209)))</f>
        <v>Laura</v>
      </c>
      <c r="B209" t="str">
        <f>LEFT(Raw_Data!C209,FIND(",",Raw_Data!C209)-1)</f>
        <v>Jones</v>
      </c>
      <c r="C209" t="str">
        <f t="shared" si="3"/>
        <v>LaJo209</v>
      </c>
    </row>
    <row r="210" spans="1:3" x14ac:dyDescent="0.3">
      <c r="A210" t="str">
        <f>TRIM(MID(Raw_Data!C210,FIND(",",Raw_Data!C210)+1,LEN(Raw_Data!C210)))</f>
        <v>Emma</v>
      </c>
      <c r="B210" t="str">
        <f>LEFT(Raw_Data!C210,FIND(",",Raw_Data!C210)-1)</f>
        <v>Smith</v>
      </c>
      <c r="C210" t="str">
        <f t="shared" si="3"/>
        <v>EmSm210</v>
      </c>
    </row>
    <row r="211" spans="1:3" x14ac:dyDescent="0.3">
      <c r="A211" t="str">
        <f>TRIM(MID(Raw_Data!C211,FIND(",",Raw_Data!C211)+1,LEN(Raw_Data!C211)))</f>
        <v>Sophia</v>
      </c>
      <c r="B211" t="str">
        <f>LEFT(Raw_Data!C211,FIND(",",Raw_Data!C211)-1)</f>
        <v>Garcia</v>
      </c>
      <c r="C211" t="str">
        <f t="shared" si="3"/>
        <v>SoGa211</v>
      </c>
    </row>
    <row r="212" spans="1:3" x14ac:dyDescent="0.3">
      <c r="A212" t="str">
        <f>TRIM(MID(Raw_Data!C212,FIND(",",Raw_Data!C212)+1,LEN(Raw_Data!C212)))</f>
        <v>Sophia</v>
      </c>
      <c r="B212" t="str">
        <f>LEFT(Raw_Data!C212,FIND(",",Raw_Data!C212)-1)</f>
        <v>Hernandez</v>
      </c>
      <c r="C212" t="str">
        <f t="shared" si="3"/>
        <v>SoHe212</v>
      </c>
    </row>
    <row r="213" spans="1:3" x14ac:dyDescent="0.3">
      <c r="A213" t="str">
        <f>TRIM(MID(Raw_Data!C213,FIND(",",Raw_Data!C213)+1,LEN(Raw_Data!C213)))</f>
        <v>David</v>
      </c>
      <c r="B213" t="str">
        <f>LEFT(Raw_Data!C213,FIND(",",Raw_Data!C213)-1)</f>
        <v>Brown</v>
      </c>
      <c r="C213" t="str">
        <f t="shared" si="3"/>
        <v>DaBr213</v>
      </c>
    </row>
    <row r="214" spans="1:3" x14ac:dyDescent="0.3">
      <c r="A214" t="str">
        <f>TRIM(MID(Raw_Data!C214,FIND(",",Raw_Data!C214)+1,LEN(Raw_Data!C214)))</f>
        <v>Sarah</v>
      </c>
      <c r="B214" t="str">
        <f>LEFT(Raw_Data!C214,FIND(",",Raw_Data!C214)-1)</f>
        <v>Garcia</v>
      </c>
      <c r="C214" t="str">
        <f t="shared" si="3"/>
        <v>SaGa214</v>
      </c>
    </row>
    <row r="215" spans="1:3" x14ac:dyDescent="0.3">
      <c r="A215" t="str">
        <f>TRIM(MID(Raw_Data!C215,FIND(",",Raw_Data!C215)+1,LEN(Raw_Data!C215)))</f>
        <v>Emily</v>
      </c>
      <c r="B215" t="str">
        <f>LEFT(Raw_Data!C215,FIND(",",Raw_Data!C215)-1)</f>
        <v>Martinez</v>
      </c>
      <c r="C215" t="str">
        <f t="shared" si="3"/>
        <v>EmMa215</v>
      </c>
    </row>
    <row r="216" spans="1:3" x14ac:dyDescent="0.3">
      <c r="A216" t="str">
        <f>TRIM(MID(Raw_Data!C216,FIND(",",Raw_Data!C216)+1,LEN(Raw_Data!C216)))</f>
        <v>David</v>
      </c>
      <c r="B216" t="str">
        <f>LEFT(Raw_Data!C216,FIND(",",Raw_Data!C216)-1)</f>
        <v>Brown</v>
      </c>
      <c r="C216" t="str">
        <f t="shared" si="3"/>
        <v>DaBr216</v>
      </c>
    </row>
    <row r="217" spans="1:3" x14ac:dyDescent="0.3">
      <c r="A217" t="str">
        <f>TRIM(MID(Raw_Data!C217,FIND(",",Raw_Data!C217)+1,LEN(Raw_Data!C217)))</f>
        <v>Sophia</v>
      </c>
      <c r="B217" t="str">
        <f>LEFT(Raw_Data!C217,FIND(",",Raw_Data!C217)-1)</f>
        <v>Garcia</v>
      </c>
      <c r="C217" t="str">
        <f t="shared" si="3"/>
        <v>SoGa217</v>
      </c>
    </row>
    <row r="218" spans="1:3" x14ac:dyDescent="0.3">
      <c r="A218" t="str">
        <f>TRIM(MID(Raw_Data!C218,FIND(",",Raw_Data!C218)+1,LEN(Raw_Data!C218)))</f>
        <v>John</v>
      </c>
      <c r="B218" t="str">
        <f>LEFT(Raw_Data!C218,FIND(",",Raw_Data!C218)-1)</f>
        <v>Johnson</v>
      </c>
      <c r="C218" t="str">
        <f t="shared" si="3"/>
        <v>JoJo218</v>
      </c>
    </row>
    <row r="219" spans="1:3" x14ac:dyDescent="0.3">
      <c r="A219" t="str">
        <f>TRIM(MID(Raw_Data!C219,FIND(",",Raw_Data!C219)+1,LEN(Raw_Data!C219)))</f>
        <v>Emma</v>
      </c>
      <c r="B219" t="str">
        <f>LEFT(Raw_Data!C219,FIND(",",Raw_Data!C219)-1)</f>
        <v>Miller</v>
      </c>
      <c r="C219" t="str">
        <f t="shared" si="3"/>
        <v>EmMi219</v>
      </c>
    </row>
    <row r="220" spans="1:3" x14ac:dyDescent="0.3">
      <c r="A220" t="str">
        <f>TRIM(MID(Raw_Data!C220,FIND(",",Raw_Data!C220)+1,LEN(Raw_Data!C220)))</f>
        <v>John</v>
      </c>
      <c r="B220" t="str">
        <f>LEFT(Raw_Data!C220,FIND(",",Raw_Data!C220)-1)</f>
        <v>Hernandez</v>
      </c>
      <c r="C220" t="str">
        <f t="shared" si="3"/>
        <v>JoHe220</v>
      </c>
    </row>
    <row r="221" spans="1:3" x14ac:dyDescent="0.3">
      <c r="A221" t="str">
        <f>TRIM(MID(Raw_Data!C221,FIND(",",Raw_Data!C221)+1,LEN(Raw_Data!C221)))</f>
        <v>Sophia</v>
      </c>
      <c r="B221" t="str">
        <f>LEFT(Raw_Data!C221,FIND(",",Raw_Data!C221)-1)</f>
        <v>Brown</v>
      </c>
      <c r="C221" t="str">
        <f t="shared" si="3"/>
        <v>SoBr221</v>
      </c>
    </row>
    <row r="222" spans="1:3" x14ac:dyDescent="0.3">
      <c r="A222" t="str">
        <f>TRIM(MID(Raw_Data!C222,FIND(",",Raw_Data!C222)+1,LEN(Raw_Data!C222)))</f>
        <v>James</v>
      </c>
      <c r="B222" t="str">
        <f>LEFT(Raw_Data!C222,FIND(",",Raw_Data!C222)-1)</f>
        <v>Martinez</v>
      </c>
      <c r="C222" t="str">
        <f t="shared" si="3"/>
        <v>JaMa222</v>
      </c>
    </row>
    <row r="223" spans="1:3" x14ac:dyDescent="0.3">
      <c r="A223" t="str">
        <f>TRIM(MID(Raw_Data!C223,FIND(",",Raw_Data!C223)+1,LEN(Raw_Data!C223)))</f>
        <v>James</v>
      </c>
      <c r="B223" t="str">
        <f>LEFT(Raw_Data!C223,FIND(",",Raw_Data!C223)-1)</f>
        <v>Smith</v>
      </c>
      <c r="C223" t="str">
        <f t="shared" si="3"/>
        <v>JaSm223</v>
      </c>
    </row>
    <row r="224" spans="1:3" x14ac:dyDescent="0.3">
      <c r="A224" t="str">
        <f>TRIM(MID(Raw_Data!C224,FIND(",",Raw_Data!C224)+1,LEN(Raw_Data!C224)))</f>
        <v>David</v>
      </c>
      <c r="B224" t="str">
        <f>LEFT(Raw_Data!C224,FIND(",",Raw_Data!C224)-1)</f>
        <v>Miller</v>
      </c>
      <c r="C224" t="str">
        <f t="shared" si="3"/>
        <v>DaMi224</v>
      </c>
    </row>
    <row r="225" spans="1:3" x14ac:dyDescent="0.3">
      <c r="A225" t="str">
        <f>TRIM(MID(Raw_Data!C225,FIND(",",Raw_Data!C225)+1,LEN(Raw_Data!C225)))</f>
        <v>John</v>
      </c>
      <c r="B225" t="str">
        <f>LEFT(Raw_Data!C225,FIND(",",Raw_Data!C225)-1)</f>
        <v>Johnson</v>
      </c>
      <c r="C225" t="str">
        <f t="shared" si="3"/>
        <v>JoJo225</v>
      </c>
    </row>
    <row r="226" spans="1:3" x14ac:dyDescent="0.3">
      <c r="A226" t="str">
        <f>TRIM(MID(Raw_Data!C226,FIND(",",Raw_Data!C226)+1,LEN(Raw_Data!C226)))</f>
        <v>Michael</v>
      </c>
      <c r="B226" t="str">
        <f>LEFT(Raw_Data!C226,FIND(",",Raw_Data!C226)-1)</f>
        <v>Johnson</v>
      </c>
      <c r="C226" t="str">
        <f t="shared" si="3"/>
        <v>MiJo226</v>
      </c>
    </row>
    <row r="227" spans="1:3" x14ac:dyDescent="0.3">
      <c r="A227" t="str">
        <f>TRIM(MID(Raw_Data!C227,FIND(",",Raw_Data!C227)+1,LEN(Raw_Data!C227)))</f>
        <v>Emma</v>
      </c>
      <c r="B227" t="str">
        <f>LEFT(Raw_Data!C227,FIND(",",Raw_Data!C227)-1)</f>
        <v>Jones</v>
      </c>
      <c r="C227" t="str">
        <f t="shared" si="3"/>
        <v>EmJo227</v>
      </c>
    </row>
    <row r="228" spans="1:3" x14ac:dyDescent="0.3">
      <c r="A228" t="str">
        <f>TRIM(MID(Raw_Data!C228,FIND(",",Raw_Data!C228)+1,LEN(Raw_Data!C228)))</f>
        <v>Sarah</v>
      </c>
      <c r="B228" t="str">
        <f>LEFT(Raw_Data!C228,FIND(",",Raw_Data!C228)-1)</f>
        <v>Miller</v>
      </c>
      <c r="C228" t="str">
        <f t="shared" si="3"/>
        <v>SaMi228</v>
      </c>
    </row>
    <row r="229" spans="1:3" x14ac:dyDescent="0.3">
      <c r="A229" t="str">
        <f>TRIM(MID(Raw_Data!C229,FIND(",",Raw_Data!C229)+1,LEN(Raw_Data!C229)))</f>
        <v>John</v>
      </c>
      <c r="B229" t="str">
        <f>LEFT(Raw_Data!C229,FIND(",",Raw_Data!C229)-1)</f>
        <v>Davis</v>
      </c>
      <c r="C229" t="str">
        <f t="shared" si="3"/>
        <v>JoDa229</v>
      </c>
    </row>
    <row r="230" spans="1:3" x14ac:dyDescent="0.3">
      <c r="A230" t="str">
        <f>TRIM(MID(Raw_Data!C230,FIND(",",Raw_Data!C230)+1,LEN(Raw_Data!C230)))</f>
        <v>Daniel</v>
      </c>
      <c r="B230" t="str">
        <f>LEFT(Raw_Data!C230,FIND(",",Raw_Data!C230)-1)</f>
        <v>Miller</v>
      </c>
      <c r="C230" t="str">
        <f t="shared" si="3"/>
        <v>DaMi230</v>
      </c>
    </row>
    <row r="231" spans="1:3" x14ac:dyDescent="0.3">
      <c r="A231" t="str">
        <f>TRIM(MID(Raw_Data!C231,FIND(",",Raw_Data!C231)+1,LEN(Raw_Data!C231)))</f>
        <v>Emily</v>
      </c>
      <c r="B231" t="str">
        <f>LEFT(Raw_Data!C231,FIND(",",Raw_Data!C231)-1)</f>
        <v>Jones</v>
      </c>
      <c r="C231" t="str">
        <f t="shared" si="3"/>
        <v>EmJo231</v>
      </c>
    </row>
    <row r="232" spans="1:3" x14ac:dyDescent="0.3">
      <c r="A232" t="str">
        <f>TRIM(MID(Raw_Data!C232,FIND(",",Raw_Data!C232)+1,LEN(Raw_Data!C232)))</f>
        <v>Daniel</v>
      </c>
      <c r="B232" t="str">
        <f>LEFT(Raw_Data!C232,FIND(",",Raw_Data!C232)-1)</f>
        <v>Smith</v>
      </c>
      <c r="C232" t="str">
        <f t="shared" si="3"/>
        <v>DaSm232</v>
      </c>
    </row>
    <row r="233" spans="1:3" x14ac:dyDescent="0.3">
      <c r="A233" t="str">
        <f>TRIM(MID(Raw_Data!C233,FIND(",",Raw_Data!C233)+1,LEN(Raw_Data!C233)))</f>
        <v>Daniel</v>
      </c>
      <c r="B233" t="str">
        <f>LEFT(Raw_Data!C233,FIND(",",Raw_Data!C233)-1)</f>
        <v>Hernandez</v>
      </c>
      <c r="C233" t="str">
        <f t="shared" si="3"/>
        <v>DaHe233</v>
      </c>
    </row>
    <row r="234" spans="1:3" x14ac:dyDescent="0.3">
      <c r="A234" t="str">
        <f>TRIM(MID(Raw_Data!C234,FIND(",",Raw_Data!C234)+1,LEN(Raw_Data!C234)))</f>
        <v>Sarah</v>
      </c>
      <c r="B234" t="str">
        <f>LEFT(Raw_Data!C234,FIND(",",Raw_Data!C234)-1)</f>
        <v>Martinez</v>
      </c>
      <c r="C234" t="str">
        <f t="shared" si="3"/>
        <v>SaMa234</v>
      </c>
    </row>
    <row r="235" spans="1:3" x14ac:dyDescent="0.3">
      <c r="A235" t="str">
        <f>TRIM(MID(Raw_Data!C235,FIND(",",Raw_Data!C235)+1,LEN(Raw_Data!C235)))</f>
        <v>Sophia</v>
      </c>
      <c r="B235" t="str">
        <f>LEFT(Raw_Data!C235,FIND(",",Raw_Data!C235)-1)</f>
        <v>Miller</v>
      </c>
      <c r="C235" t="str">
        <f t="shared" si="3"/>
        <v>SoMi235</v>
      </c>
    </row>
    <row r="236" spans="1:3" x14ac:dyDescent="0.3">
      <c r="A236" t="str">
        <f>TRIM(MID(Raw_Data!C236,FIND(",",Raw_Data!C236)+1,LEN(Raw_Data!C236)))</f>
        <v>Daniel</v>
      </c>
      <c r="B236" t="str">
        <f>LEFT(Raw_Data!C236,FIND(",",Raw_Data!C236)-1)</f>
        <v>Hernandez</v>
      </c>
      <c r="C236" t="str">
        <f t="shared" si="3"/>
        <v>DaHe236</v>
      </c>
    </row>
    <row r="237" spans="1:3" x14ac:dyDescent="0.3">
      <c r="A237" t="str">
        <f>TRIM(MID(Raw_Data!C237,FIND(",",Raw_Data!C237)+1,LEN(Raw_Data!C237)))</f>
        <v>Laura</v>
      </c>
      <c r="B237" t="str">
        <f>LEFT(Raw_Data!C237,FIND(",",Raw_Data!C237)-1)</f>
        <v>Williams</v>
      </c>
      <c r="C237" t="str">
        <f t="shared" si="3"/>
        <v>LaWi237</v>
      </c>
    </row>
    <row r="238" spans="1:3" x14ac:dyDescent="0.3">
      <c r="A238" t="str">
        <f>TRIM(MID(Raw_Data!C238,FIND(",",Raw_Data!C238)+1,LEN(Raw_Data!C238)))</f>
        <v>Daniel</v>
      </c>
      <c r="B238" t="str">
        <f>LEFT(Raw_Data!C238,FIND(",",Raw_Data!C238)-1)</f>
        <v>Jones</v>
      </c>
      <c r="C238" t="str">
        <f t="shared" si="3"/>
        <v>DaJo238</v>
      </c>
    </row>
    <row r="239" spans="1:3" x14ac:dyDescent="0.3">
      <c r="A239" t="str">
        <f>TRIM(MID(Raw_Data!C239,FIND(",",Raw_Data!C239)+1,LEN(Raw_Data!C239)))</f>
        <v>Sarah</v>
      </c>
      <c r="B239" t="str">
        <f>LEFT(Raw_Data!C239,FIND(",",Raw_Data!C239)-1)</f>
        <v>Miller</v>
      </c>
      <c r="C239" t="str">
        <f t="shared" si="3"/>
        <v>SaMi239</v>
      </c>
    </row>
    <row r="240" spans="1:3" x14ac:dyDescent="0.3">
      <c r="A240" t="str">
        <f>TRIM(MID(Raw_Data!C240,FIND(",",Raw_Data!C240)+1,LEN(Raw_Data!C240)))</f>
        <v>David</v>
      </c>
      <c r="B240" t="str">
        <f>LEFT(Raw_Data!C240,FIND(",",Raw_Data!C240)-1)</f>
        <v>Williams</v>
      </c>
      <c r="C240" t="str">
        <f t="shared" si="3"/>
        <v>DaWi240</v>
      </c>
    </row>
    <row r="241" spans="1:3" x14ac:dyDescent="0.3">
      <c r="A241" t="str">
        <f>TRIM(MID(Raw_Data!C241,FIND(",",Raw_Data!C241)+1,LEN(Raw_Data!C241)))</f>
        <v>Sophia</v>
      </c>
      <c r="B241" t="str">
        <f>LEFT(Raw_Data!C241,FIND(",",Raw_Data!C241)-1)</f>
        <v>Johnson</v>
      </c>
      <c r="C241" t="str">
        <f t="shared" si="3"/>
        <v>SoJo241</v>
      </c>
    </row>
    <row r="242" spans="1:3" x14ac:dyDescent="0.3">
      <c r="A242" t="str">
        <f>TRIM(MID(Raw_Data!C242,FIND(",",Raw_Data!C242)+1,LEN(Raw_Data!C242)))</f>
        <v>John</v>
      </c>
      <c r="B242" t="str">
        <f>LEFT(Raw_Data!C242,FIND(",",Raw_Data!C242)-1)</f>
        <v>Brown</v>
      </c>
      <c r="C242" t="str">
        <f t="shared" si="3"/>
        <v>JoBr242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Raw_Data</vt:lpstr>
      <vt:lpstr>Clean_Data</vt:lpstr>
      <vt:lpstr>Summary_Tables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more</cp:lastModifiedBy>
  <dcterms:created xsi:type="dcterms:W3CDTF">2025-11-08T20:33:01Z</dcterms:created>
  <dcterms:modified xsi:type="dcterms:W3CDTF">2026-04-18T20:20:47Z</dcterms:modified>
</cp:coreProperties>
</file>