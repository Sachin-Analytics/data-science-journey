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trlProps/ctrlProp1.xml" ContentType="application/vnd.ms-excel.controlproperties+xml"/>
  <Override PartName="/xl/tables/table4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Imarticus\Excel\Excel Exam\"/>
    </mc:Choice>
  </mc:AlternateContent>
  <xr:revisionPtr revIDLastSave="0" documentId="13_ncr:1_{95E3F3E1-D3F1-47F2-9AC5-D152B3B512AE}" xr6:coauthVersionLast="47" xr6:coauthVersionMax="47" xr10:uidLastSave="{00000000-0000-0000-0000-000000000000}"/>
  <bookViews>
    <workbookView xWindow="-108" yWindow="-108" windowWidth="23256" windowHeight="12456" firstSheet="10" activeTab="19" xr2:uid="{9A9B7548-DEB2-4E71-9A18-23B4EEF465CF}"/>
  </bookViews>
  <sheets>
    <sheet name="Sheet3" sheetId="13" r:id="rId1"/>
    <sheet name="Global_trade" sheetId="1" r:id="rId2"/>
    <sheet name="Product_Master" sheetId="3" r:id="rId3"/>
    <sheet name="Performance" sheetId="2" r:id="rId4"/>
    <sheet name="Region" sheetId="4" r:id="rId5"/>
    <sheet name="Q2" sheetId="5" r:id="rId6"/>
    <sheet name="Q1" sheetId="6" r:id="rId7"/>
    <sheet name="Q3" sheetId="7" r:id="rId8"/>
    <sheet name="Q4" sheetId="8" r:id="rId9"/>
    <sheet name="Q5" sheetId="9" r:id="rId10"/>
    <sheet name="Q6" sheetId="10" r:id="rId11"/>
    <sheet name="Q7-Data" sheetId="11" r:id="rId12"/>
    <sheet name="Sheet7" sheetId="24" r:id="rId13"/>
    <sheet name="Q8" sheetId="14" r:id="rId14"/>
    <sheet name="Sheet8" sheetId="28" r:id="rId15"/>
    <sheet name="Sheet1" sheetId="15" r:id="rId16"/>
    <sheet name="Sheet2" sheetId="16" r:id="rId17"/>
    <sheet name="Q10 Data" sheetId="17" r:id="rId18"/>
    <sheet name="pivot_Q10" sheetId="18" r:id="rId19"/>
    <sheet name="Q10" sheetId="19" r:id="rId20"/>
    <sheet name="Sheet4" sheetId="25" r:id="rId21"/>
    <sheet name="Sheet5" sheetId="26" r:id="rId22"/>
  </sheets>
  <definedNames>
    <definedName name="_xlnm._FilterDatabase" localSheetId="1" hidden="1">Global_trade!$A$1:$N$501</definedName>
    <definedName name="_xlnm._FilterDatabase" localSheetId="6" hidden="1">'Q1'!$E$1:$E$501</definedName>
  </definedNames>
  <calcPr calcId="191029"/>
  <pivotCaches>
    <pivotCache cacheId="0" r:id="rId23"/>
    <pivotCache cacheId="1" r:id="rId24"/>
    <pivotCache cacheId="2" r:id="rId2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" l="1"/>
  <c r="E2" i="10" l="1"/>
  <c r="O3" i="17" l="1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02" i="17"/>
  <c r="O203" i="17"/>
  <c r="O204" i="17"/>
  <c r="O205" i="17"/>
  <c r="O206" i="17"/>
  <c r="O207" i="17"/>
  <c r="O208" i="17"/>
  <c r="O209" i="17"/>
  <c r="O210" i="17"/>
  <c r="O211" i="17"/>
  <c r="O212" i="17"/>
  <c r="O213" i="17"/>
  <c r="O214" i="17"/>
  <c r="O215" i="17"/>
  <c r="O216" i="17"/>
  <c r="O217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236" i="17"/>
  <c r="O237" i="17"/>
  <c r="O238" i="17"/>
  <c r="O239" i="17"/>
  <c r="O240" i="17"/>
  <c r="O241" i="17"/>
  <c r="O242" i="17"/>
  <c r="O243" i="17"/>
  <c r="O244" i="17"/>
  <c r="O245" i="17"/>
  <c r="O246" i="17"/>
  <c r="O247" i="17"/>
  <c r="O248" i="17"/>
  <c r="O249" i="17"/>
  <c r="O250" i="17"/>
  <c r="O251" i="17"/>
  <c r="O252" i="17"/>
  <c r="O253" i="17"/>
  <c r="O254" i="17"/>
  <c r="O255" i="17"/>
  <c r="O256" i="17"/>
  <c r="O257" i="17"/>
  <c r="O258" i="17"/>
  <c r="O259" i="17"/>
  <c r="O260" i="17"/>
  <c r="O261" i="17"/>
  <c r="O262" i="17"/>
  <c r="O263" i="17"/>
  <c r="O264" i="17"/>
  <c r="O265" i="17"/>
  <c r="O266" i="17"/>
  <c r="O267" i="17"/>
  <c r="O268" i="17"/>
  <c r="O269" i="17"/>
  <c r="O270" i="17"/>
  <c r="O271" i="17"/>
  <c r="O272" i="17"/>
  <c r="O273" i="17"/>
  <c r="O274" i="17"/>
  <c r="O275" i="17"/>
  <c r="O276" i="17"/>
  <c r="O277" i="17"/>
  <c r="O278" i="17"/>
  <c r="O279" i="17"/>
  <c r="O280" i="17"/>
  <c r="O281" i="17"/>
  <c r="O282" i="17"/>
  <c r="O283" i="17"/>
  <c r="O284" i="17"/>
  <c r="O285" i="17"/>
  <c r="O286" i="17"/>
  <c r="O287" i="17"/>
  <c r="O288" i="17"/>
  <c r="O289" i="17"/>
  <c r="O290" i="17"/>
  <c r="O291" i="17"/>
  <c r="O292" i="17"/>
  <c r="O293" i="17"/>
  <c r="O294" i="17"/>
  <c r="O295" i="17"/>
  <c r="O296" i="17"/>
  <c r="O297" i="17"/>
  <c r="O298" i="17"/>
  <c r="O299" i="17"/>
  <c r="O300" i="17"/>
  <c r="O301" i="17"/>
  <c r="O302" i="17"/>
  <c r="O303" i="17"/>
  <c r="O304" i="17"/>
  <c r="O305" i="17"/>
  <c r="O306" i="17"/>
  <c r="O307" i="17"/>
  <c r="O308" i="17"/>
  <c r="O309" i="17"/>
  <c r="O310" i="17"/>
  <c r="O311" i="17"/>
  <c r="O312" i="17"/>
  <c r="O313" i="17"/>
  <c r="O314" i="17"/>
  <c r="O315" i="17"/>
  <c r="O316" i="17"/>
  <c r="O317" i="17"/>
  <c r="O318" i="17"/>
  <c r="O319" i="17"/>
  <c r="O320" i="17"/>
  <c r="O321" i="17"/>
  <c r="O322" i="17"/>
  <c r="O323" i="17"/>
  <c r="O324" i="17"/>
  <c r="O325" i="17"/>
  <c r="O326" i="17"/>
  <c r="O327" i="17"/>
  <c r="O328" i="17"/>
  <c r="O329" i="17"/>
  <c r="O330" i="17"/>
  <c r="O331" i="17"/>
  <c r="O332" i="17"/>
  <c r="O333" i="17"/>
  <c r="O334" i="17"/>
  <c r="O335" i="17"/>
  <c r="O336" i="17"/>
  <c r="O337" i="17"/>
  <c r="O338" i="17"/>
  <c r="O339" i="17"/>
  <c r="O340" i="17"/>
  <c r="O341" i="17"/>
  <c r="O342" i="17"/>
  <c r="O343" i="17"/>
  <c r="O344" i="17"/>
  <c r="O345" i="17"/>
  <c r="O346" i="17"/>
  <c r="O347" i="17"/>
  <c r="O348" i="17"/>
  <c r="O349" i="17"/>
  <c r="O350" i="17"/>
  <c r="O351" i="17"/>
  <c r="O352" i="17"/>
  <c r="O353" i="17"/>
  <c r="O354" i="17"/>
  <c r="O355" i="17"/>
  <c r="O356" i="17"/>
  <c r="O357" i="17"/>
  <c r="O358" i="17"/>
  <c r="O359" i="17"/>
  <c r="O360" i="17"/>
  <c r="O361" i="17"/>
  <c r="O362" i="17"/>
  <c r="O363" i="17"/>
  <c r="O364" i="17"/>
  <c r="O365" i="17"/>
  <c r="O366" i="17"/>
  <c r="O367" i="17"/>
  <c r="O368" i="17"/>
  <c r="O369" i="17"/>
  <c r="O370" i="17"/>
  <c r="O371" i="17"/>
  <c r="O372" i="17"/>
  <c r="O373" i="17"/>
  <c r="O374" i="17"/>
  <c r="O375" i="17"/>
  <c r="O376" i="17"/>
  <c r="O377" i="17"/>
  <c r="O378" i="17"/>
  <c r="O379" i="17"/>
  <c r="O380" i="17"/>
  <c r="O381" i="17"/>
  <c r="O382" i="17"/>
  <c r="O383" i="17"/>
  <c r="O384" i="17"/>
  <c r="O385" i="17"/>
  <c r="O386" i="17"/>
  <c r="O387" i="17"/>
  <c r="O388" i="17"/>
  <c r="O389" i="17"/>
  <c r="O390" i="17"/>
  <c r="O391" i="17"/>
  <c r="O392" i="17"/>
  <c r="O393" i="17"/>
  <c r="O394" i="17"/>
  <c r="O395" i="17"/>
  <c r="O396" i="17"/>
  <c r="O397" i="17"/>
  <c r="O398" i="17"/>
  <c r="O399" i="17"/>
  <c r="O400" i="17"/>
  <c r="O401" i="17"/>
  <c r="O402" i="17"/>
  <c r="O403" i="17"/>
  <c r="O404" i="17"/>
  <c r="O405" i="17"/>
  <c r="O406" i="17"/>
  <c r="O407" i="17"/>
  <c r="O408" i="17"/>
  <c r="O409" i="17"/>
  <c r="O410" i="17"/>
  <c r="O411" i="17"/>
  <c r="O412" i="17"/>
  <c r="O413" i="17"/>
  <c r="O414" i="17"/>
  <c r="O415" i="17"/>
  <c r="O416" i="17"/>
  <c r="O417" i="17"/>
  <c r="O418" i="17"/>
  <c r="O419" i="17"/>
  <c r="O420" i="17"/>
  <c r="O421" i="17"/>
  <c r="O422" i="17"/>
  <c r="O423" i="17"/>
  <c r="O424" i="17"/>
  <c r="O425" i="17"/>
  <c r="O426" i="17"/>
  <c r="O427" i="17"/>
  <c r="O428" i="17"/>
  <c r="O429" i="17"/>
  <c r="O430" i="17"/>
  <c r="O431" i="17"/>
  <c r="O432" i="17"/>
  <c r="O433" i="17"/>
  <c r="O434" i="17"/>
  <c r="O435" i="17"/>
  <c r="O436" i="17"/>
  <c r="O437" i="17"/>
  <c r="O438" i="17"/>
  <c r="O439" i="17"/>
  <c r="O440" i="17"/>
  <c r="O441" i="17"/>
  <c r="O442" i="17"/>
  <c r="O443" i="17"/>
  <c r="O444" i="17"/>
  <c r="O445" i="17"/>
  <c r="O446" i="17"/>
  <c r="O447" i="17"/>
  <c r="O448" i="17"/>
  <c r="O449" i="17"/>
  <c r="O450" i="17"/>
  <c r="O451" i="17"/>
  <c r="O452" i="17"/>
  <c r="O453" i="17"/>
  <c r="O454" i="17"/>
  <c r="O455" i="17"/>
  <c r="O456" i="17"/>
  <c r="O457" i="17"/>
  <c r="O458" i="17"/>
  <c r="O459" i="17"/>
  <c r="O460" i="17"/>
  <c r="O461" i="17"/>
  <c r="O462" i="17"/>
  <c r="O463" i="17"/>
  <c r="O464" i="17"/>
  <c r="O465" i="17"/>
  <c r="O466" i="17"/>
  <c r="O467" i="17"/>
  <c r="O468" i="17"/>
  <c r="O469" i="17"/>
  <c r="O470" i="17"/>
  <c r="O471" i="17"/>
  <c r="O472" i="17"/>
  <c r="O473" i="17"/>
  <c r="O474" i="17"/>
  <c r="O475" i="17"/>
  <c r="O476" i="17"/>
  <c r="O477" i="17"/>
  <c r="O478" i="17"/>
  <c r="O479" i="17"/>
  <c r="O480" i="17"/>
  <c r="O481" i="17"/>
  <c r="O482" i="17"/>
  <c r="O483" i="17"/>
  <c r="O484" i="17"/>
  <c r="O485" i="17"/>
  <c r="O486" i="17"/>
  <c r="O487" i="17"/>
  <c r="O488" i="17"/>
  <c r="O489" i="17"/>
  <c r="O490" i="17"/>
  <c r="O491" i="17"/>
  <c r="O492" i="17"/>
  <c r="O493" i="17"/>
  <c r="O494" i="17"/>
  <c r="O495" i="17"/>
  <c r="O496" i="17"/>
  <c r="O497" i="17"/>
  <c r="O498" i="17"/>
  <c r="O499" i="17"/>
  <c r="O500" i="17"/>
  <c r="O501" i="17"/>
  <c r="O2" i="17"/>
  <c r="P2" i="17"/>
  <c r="Q2" i="17"/>
  <c r="R2" i="17"/>
  <c r="S2" i="17"/>
  <c r="P3" i="17"/>
  <c r="P4" i="17"/>
  <c r="P5" i="17"/>
  <c r="P6" i="17"/>
  <c r="P7" i="17"/>
  <c r="P8" i="17"/>
  <c r="P9" i="17"/>
  <c r="P10" i="17"/>
  <c r="P11" i="17"/>
  <c r="P12" i="17"/>
  <c r="P13" i="17"/>
  <c r="P14" i="17"/>
  <c r="P15" i="17"/>
  <c r="P16" i="17"/>
  <c r="P17" i="17"/>
  <c r="P18" i="17"/>
  <c r="P19" i="17"/>
  <c r="P20" i="17"/>
  <c r="P21" i="17"/>
  <c r="P22" i="17"/>
  <c r="P23" i="17"/>
  <c r="P24" i="17"/>
  <c r="P25" i="17"/>
  <c r="P26" i="17"/>
  <c r="P27" i="17"/>
  <c r="P28" i="17"/>
  <c r="P29" i="17"/>
  <c r="P30" i="17"/>
  <c r="P31" i="17"/>
  <c r="P32" i="17"/>
  <c r="P33" i="17"/>
  <c r="P34" i="17"/>
  <c r="P35" i="17"/>
  <c r="P36" i="17"/>
  <c r="P37" i="17"/>
  <c r="P38" i="17"/>
  <c r="P39" i="17"/>
  <c r="P40" i="17"/>
  <c r="P41" i="17"/>
  <c r="P42" i="17"/>
  <c r="P43" i="17"/>
  <c r="P44" i="17"/>
  <c r="P45" i="17"/>
  <c r="P46" i="17"/>
  <c r="P47" i="17"/>
  <c r="P48" i="17"/>
  <c r="P49" i="17"/>
  <c r="P50" i="17"/>
  <c r="P51" i="17"/>
  <c r="P52" i="17"/>
  <c r="P53" i="17"/>
  <c r="P54" i="17"/>
  <c r="P55" i="17"/>
  <c r="P56" i="17"/>
  <c r="P57" i="17"/>
  <c r="P58" i="17"/>
  <c r="P59" i="17"/>
  <c r="P60" i="17"/>
  <c r="P61" i="17"/>
  <c r="P62" i="17"/>
  <c r="P63" i="17"/>
  <c r="P64" i="17"/>
  <c r="P65" i="17"/>
  <c r="P66" i="17"/>
  <c r="P67" i="17"/>
  <c r="P68" i="17"/>
  <c r="P69" i="17"/>
  <c r="P70" i="17"/>
  <c r="P71" i="17"/>
  <c r="P72" i="17"/>
  <c r="P73" i="17"/>
  <c r="P74" i="17"/>
  <c r="P75" i="17"/>
  <c r="P76" i="17"/>
  <c r="P77" i="17"/>
  <c r="P78" i="17"/>
  <c r="P79" i="17"/>
  <c r="P80" i="17"/>
  <c r="P81" i="17"/>
  <c r="P82" i="17"/>
  <c r="P83" i="17"/>
  <c r="P84" i="17"/>
  <c r="P85" i="17"/>
  <c r="P86" i="17"/>
  <c r="P87" i="17"/>
  <c r="P88" i="17"/>
  <c r="P89" i="17"/>
  <c r="P90" i="17"/>
  <c r="P91" i="17"/>
  <c r="P92" i="17"/>
  <c r="P93" i="17"/>
  <c r="P94" i="17"/>
  <c r="P95" i="17"/>
  <c r="P96" i="17"/>
  <c r="P97" i="17"/>
  <c r="P98" i="17"/>
  <c r="P99" i="17"/>
  <c r="P100" i="17"/>
  <c r="P101" i="17"/>
  <c r="P102" i="17"/>
  <c r="P103" i="17"/>
  <c r="P104" i="17"/>
  <c r="P105" i="17"/>
  <c r="P106" i="17"/>
  <c r="P107" i="17"/>
  <c r="P108" i="17"/>
  <c r="P109" i="17"/>
  <c r="P110" i="17"/>
  <c r="P111" i="17"/>
  <c r="P112" i="17"/>
  <c r="P113" i="17"/>
  <c r="P114" i="17"/>
  <c r="P115" i="17"/>
  <c r="P116" i="17"/>
  <c r="P117" i="17"/>
  <c r="P118" i="17"/>
  <c r="P119" i="17"/>
  <c r="P120" i="17"/>
  <c r="P121" i="17"/>
  <c r="P122" i="17"/>
  <c r="P123" i="17"/>
  <c r="P124" i="17"/>
  <c r="P125" i="17"/>
  <c r="P126" i="17"/>
  <c r="P127" i="17"/>
  <c r="P128" i="17"/>
  <c r="P129" i="17"/>
  <c r="P130" i="17"/>
  <c r="P131" i="17"/>
  <c r="P132" i="17"/>
  <c r="P133" i="17"/>
  <c r="P134" i="17"/>
  <c r="P135" i="17"/>
  <c r="P136" i="17"/>
  <c r="P137" i="17"/>
  <c r="P138" i="17"/>
  <c r="P139" i="17"/>
  <c r="P140" i="17"/>
  <c r="P141" i="17"/>
  <c r="P142" i="17"/>
  <c r="P143" i="17"/>
  <c r="P144" i="17"/>
  <c r="P145" i="17"/>
  <c r="P146" i="17"/>
  <c r="P147" i="17"/>
  <c r="P148" i="17"/>
  <c r="P149" i="17"/>
  <c r="P150" i="17"/>
  <c r="P151" i="17"/>
  <c r="P152" i="17"/>
  <c r="P153" i="17"/>
  <c r="P154" i="17"/>
  <c r="P155" i="17"/>
  <c r="P156" i="17"/>
  <c r="P157" i="17"/>
  <c r="P158" i="17"/>
  <c r="P159" i="17"/>
  <c r="P160" i="17"/>
  <c r="P161" i="17"/>
  <c r="P162" i="17"/>
  <c r="P163" i="17"/>
  <c r="P164" i="17"/>
  <c r="P165" i="17"/>
  <c r="P166" i="17"/>
  <c r="P167" i="17"/>
  <c r="P168" i="17"/>
  <c r="P169" i="17"/>
  <c r="P170" i="17"/>
  <c r="P171" i="17"/>
  <c r="P172" i="17"/>
  <c r="P173" i="17"/>
  <c r="P174" i="17"/>
  <c r="P175" i="17"/>
  <c r="P176" i="17"/>
  <c r="P177" i="17"/>
  <c r="P178" i="17"/>
  <c r="P179" i="17"/>
  <c r="P180" i="17"/>
  <c r="P181" i="17"/>
  <c r="P182" i="17"/>
  <c r="P183" i="17"/>
  <c r="P184" i="17"/>
  <c r="P185" i="17"/>
  <c r="P186" i="17"/>
  <c r="P187" i="17"/>
  <c r="P188" i="17"/>
  <c r="P189" i="17"/>
  <c r="P190" i="17"/>
  <c r="P191" i="17"/>
  <c r="P192" i="17"/>
  <c r="P193" i="17"/>
  <c r="P194" i="17"/>
  <c r="P195" i="17"/>
  <c r="P196" i="17"/>
  <c r="P197" i="17"/>
  <c r="P198" i="17"/>
  <c r="P199" i="17"/>
  <c r="P200" i="17"/>
  <c r="P201" i="17"/>
  <c r="P202" i="17"/>
  <c r="P203" i="17"/>
  <c r="P204" i="17"/>
  <c r="P205" i="17"/>
  <c r="P206" i="17"/>
  <c r="P207" i="17"/>
  <c r="P208" i="17"/>
  <c r="P209" i="17"/>
  <c r="P210" i="17"/>
  <c r="P211" i="17"/>
  <c r="P212" i="17"/>
  <c r="P213" i="17"/>
  <c r="P214" i="17"/>
  <c r="P215" i="17"/>
  <c r="P216" i="17"/>
  <c r="P217" i="17"/>
  <c r="P218" i="17"/>
  <c r="P219" i="17"/>
  <c r="P220" i="17"/>
  <c r="P221" i="17"/>
  <c r="P222" i="17"/>
  <c r="P223" i="17"/>
  <c r="P224" i="17"/>
  <c r="P225" i="17"/>
  <c r="P226" i="17"/>
  <c r="P227" i="17"/>
  <c r="P228" i="17"/>
  <c r="P229" i="17"/>
  <c r="P230" i="17"/>
  <c r="P231" i="17"/>
  <c r="P232" i="17"/>
  <c r="P233" i="17"/>
  <c r="P234" i="17"/>
  <c r="P235" i="17"/>
  <c r="P236" i="17"/>
  <c r="P237" i="17"/>
  <c r="P238" i="17"/>
  <c r="P239" i="17"/>
  <c r="P240" i="17"/>
  <c r="P241" i="17"/>
  <c r="P242" i="17"/>
  <c r="P243" i="17"/>
  <c r="P244" i="17"/>
  <c r="P245" i="17"/>
  <c r="P246" i="17"/>
  <c r="P247" i="17"/>
  <c r="P248" i="17"/>
  <c r="P249" i="17"/>
  <c r="P250" i="17"/>
  <c r="P251" i="17"/>
  <c r="P252" i="17"/>
  <c r="P253" i="17"/>
  <c r="P254" i="17"/>
  <c r="P255" i="17"/>
  <c r="P256" i="17"/>
  <c r="P257" i="17"/>
  <c r="P258" i="17"/>
  <c r="P259" i="17"/>
  <c r="P260" i="17"/>
  <c r="P261" i="17"/>
  <c r="P262" i="17"/>
  <c r="P263" i="17"/>
  <c r="P264" i="17"/>
  <c r="P265" i="17"/>
  <c r="P266" i="17"/>
  <c r="P267" i="17"/>
  <c r="P268" i="17"/>
  <c r="P269" i="17"/>
  <c r="P270" i="17"/>
  <c r="P271" i="17"/>
  <c r="P272" i="17"/>
  <c r="P273" i="17"/>
  <c r="P274" i="17"/>
  <c r="P275" i="17"/>
  <c r="P276" i="17"/>
  <c r="P277" i="17"/>
  <c r="P278" i="17"/>
  <c r="P279" i="17"/>
  <c r="P280" i="17"/>
  <c r="P281" i="17"/>
  <c r="P282" i="17"/>
  <c r="P283" i="17"/>
  <c r="P284" i="17"/>
  <c r="P285" i="17"/>
  <c r="P286" i="17"/>
  <c r="P287" i="17"/>
  <c r="P288" i="17"/>
  <c r="P289" i="17"/>
  <c r="P290" i="17"/>
  <c r="P291" i="17"/>
  <c r="P292" i="17"/>
  <c r="P293" i="17"/>
  <c r="P294" i="17"/>
  <c r="P295" i="17"/>
  <c r="P296" i="17"/>
  <c r="P297" i="17"/>
  <c r="P298" i="17"/>
  <c r="P299" i="17"/>
  <c r="P300" i="17"/>
  <c r="P301" i="17"/>
  <c r="P302" i="17"/>
  <c r="P303" i="17"/>
  <c r="P304" i="17"/>
  <c r="P305" i="17"/>
  <c r="P306" i="17"/>
  <c r="P307" i="17"/>
  <c r="P308" i="17"/>
  <c r="P309" i="17"/>
  <c r="P310" i="17"/>
  <c r="P311" i="17"/>
  <c r="P312" i="17"/>
  <c r="P313" i="17"/>
  <c r="P314" i="17"/>
  <c r="P315" i="17"/>
  <c r="P316" i="17"/>
  <c r="P317" i="17"/>
  <c r="P318" i="17"/>
  <c r="P319" i="17"/>
  <c r="P320" i="17"/>
  <c r="P321" i="17"/>
  <c r="P322" i="17"/>
  <c r="P323" i="17"/>
  <c r="P324" i="17"/>
  <c r="P325" i="17"/>
  <c r="P326" i="17"/>
  <c r="P327" i="17"/>
  <c r="P328" i="17"/>
  <c r="P329" i="17"/>
  <c r="P330" i="17"/>
  <c r="P331" i="17"/>
  <c r="P332" i="17"/>
  <c r="P333" i="17"/>
  <c r="P334" i="17"/>
  <c r="P335" i="17"/>
  <c r="P336" i="17"/>
  <c r="P337" i="17"/>
  <c r="P338" i="17"/>
  <c r="P339" i="17"/>
  <c r="P340" i="17"/>
  <c r="P341" i="17"/>
  <c r="P342" i="17"/>
  <c r="P343" i="17"/>
  <c r="P344" i="17"/>
  <c r="P345" i="17"/>
  <c r="P346" i="17"/>
  <c r="P347" i="17"/>
  <c r="P348" i="17"/>
  <c r="P349" i="17"/>
  <c r="P350" i="17"/>
  <c r="P351" i="17"/>
  <c r="P352" i="17"/>
  <c r="P353" i="17"/>
  <c r="P354" i="17"/>
  <c r="P355" i="17"/>
  <c r="P356" i="17"/>
  <c r="P357" i="17"/>
  <c r="P358" i="17"/>
  <c r="P359" i="17"/>
  <c r="P360" i="17"/>
  <c r="P361" i="17"/>
  <c r="P362" i="17"/>
  <c r="P363" i="17"/>
  <c r="P364" i="17"/>
  <c r="P365" i="17"/>
  <c r="P366" i="17"/>
  <c r="P367" i="17"/>
  <c r="P368" i="17"/>
  <c r="P369" i="17"/>
  <c r="P370" i="17"/>
  <c r="P371" i="17"/>
  <c r="P372" i="17"/>
  <c r="P373" i="17"/>
  <c r="P374" i="17"/>
  <c r="P375" i="17"/>
  <c r="P376" i="17"/>
  <c r="P377" i="17"/>
  <c r="P378" i="17"/>
  <c r="P379" i="17"/>
  <c r="P380" i="17"/>
  <c r="P381" i="17"/>
  <c r="P382" i="17"/>
  <c r="P383" i="17"/>
  <c r="P384" i="17"/>
  <c r="P385" i="17"/>
  <c r="P386" i="17"/>
  <c r="P387" i="17"/>
  <c r="P388" i="17"/>
  <c r="P389" i="17"/>
  <c r="P390" i="17"/>
  <c r="P391" i="17"/>
  <c r="P392" i="17"/>
  <c r="P393" i="17"/>
  <c r="P394" i="17"/>
  <c r="P395" i="17"/>
  <c r="P396" i="17"/>
  <c r="P397" i="17"/>
  <c r="P398" i="17"/>
  <c r="P399" i="17"/>
  <c r="P400" i="17"/>
  <c r="P401" i="17"/>
  <c r="P402" i="17"/>
  <c r="P403" i="17"/>
  <c r="P404" i="17"/>
  <c r="P405" i="17"/>
  <c r="P406" i="17"/>
  <c r="P407" i="17"/>
  <c r="P408" i="17"/>
  <c r="P409" i="17"/>
  <c r="P410" i="17"/>
  <c r="P411" i="17"/>
  <c r="P412" i="17"/>
  <c r="P413" i="17"/>
  <c r="P414" i="17"/>
  <c r="P415" i="17"/>
  <c r="P416" i="17"/>
  <c r="P417" i="17"/>
  <c r="P418" i="17"/>
  <c r="P419" i="17"/>
  <c r="P420" i="17"/>
  <c r="P421" i="17"/>
  <c r="P422" i="17"/>
  <c r="P423" i="17"/>
  <c r="P424" i="17"/>
  <c r="P425" i="17"/>
  <c r="P426" i="17"/>
  <c r="P427" i="17"/>
  <c r="P428" i="17"/>
  <c r="P429" i="17"/>
  <c r="P430" i="17"/>
  <c r="P431" i="17"/>
  <c r="P432" i="17"/>
  <c r="P433" i="17"/>
  <c r="P434" i="17"/>
  <c r="P435" i="17"/>
  <c r="P436" i="17"/>
  <c r="P437" i="17"/>
  <c r="P438" i="17"/>
  <c r="P439" i="17"/>
  <c r="P440" i="17"/>
  <c r="P441" i="17"/>
  <c r="P442" i="17"/>
  <c r="P443" i="17"/>
  <c r="P444" i="17"/>
  <c r="P445" i="17"/>
  <c r="P446" i="17"/>
  <c r="P447" i="17"/>
  <c r="P448" i="17"/>
  <c r="P449" i="17"/>
  <c r="P450" i="17"/>
  <c r="P451" i="17"/>
  <c r="P452" i="17"/>
  <c r="P453" i="17"/>
  <c r="P454" i="17"/>
  <c r="P455" i="17"/>
  <c r="P456" i="17"/>
  <c r="P457" i="17"/>
  <c r="P458" i="17"/>
  <c r="P459" i="17"/>
  <c r="P460" i="17"/>
  <c r="P461" i="17"/>
  <c r="P462" i="17"/>
  <c r="P463" i="17"/>
  <c r="P464" i="17"/>
  <c r="P465" i="17"/>
  <c r="P466" i="17"/>
  <c r="P467" i="17"/>
  <c r="P468" i="17"/>
  <c r="P469" i="17"/>
  <c r="P470" i="17"/>
  <c r="P471" i="17"/>
  <c r="P472" i="17"/>
  <c r="P473" i="17"/>
  <c r="P474" i="17"/>
  <c r="P475" i="17"/>
  <c r="P476" i="17"/>
  <c r="P477" i="17"/>
  <c r="P478" i="17"/>
  <c r="P479" i="17"/>
  <c r="P480" i="17"/>
  <c r="P481" i="17"/>
  <c r="P482" i="17"/>
  <c r="P483" i="17"/>
  <c r="P484" i="17"/>
  <c r="P485" i="17"/>
  <c r="P486" i="17"/>
  <c r="P487" i="17"/>
  <c r="P488" i="17"/>
  <c r="P489" i="17"/>
  <c r="P490" i="17"/>
  <c r="P491" i="17"/>
  <c r="P492" i="17"/>
  <c r="P493" i="17"/>
  <c r="P494" i="17"/>
  <c r="P495" i="17"/>
  <c r="P496" i="17"/>
  <c r="P497" i="17"/>
  <c r="P498" i="17"/>
  <c r="P499" i="17"/>
  <c r="P500" i="17"/>
  <c r="P501" i="17"/>
  <c r="Q3" i="17"/>
  <c r="Q4" i="17"/>
  <c r="Q5" i="17"/>
  <c r="Q6" i="17"/>
  <c r="Q7" i="17"/>
  <c r="Q8" i="17"/>
  <c r="Q9" i="17"/>
  <c r="Q10" i="17"/>
  <c r="Q11" i="17"/>
  <c r="Q12" i="17"/>
  <c r="Q13" i="17"/>
  <c r="Q14" i="17"/>
  <c r="Q15" i="17"/>
  <c r="Q16" i="17"/>
  <c r="Q17" i="17"/>
  <c r="Q18" i="17"/>
  <c r="Q19" i="17"/>
  <c r="Q20" i="17"/>
  <c r="Q21" i="17"/>
  <c r="Q22" i="17"/>
  <c r="Q23" i="17"/>
  <c r="Q24" i="17"/>
  <c r="Q25" i="17"/>
  <c r="Q26" i="17"/>
  <c r="Q27" i="17"/>
  <c r="Q28" i="17"/>
  <c r="Q29" i="17"/>
  <c r="Q30" i="17"/>
  <c r="Q31" i="17"/>
  <c r="Q32" i="17"/>
  <c r="Q33" i="17"/>
  <c r="Q34" i="17"/>
  <c r="Q35" i="17"/>
  <c r="Q36" i="17"/>
  <c r="Q37" i="17"/>
  <c r="Q38" i="17"/>
  <c r="Q39" i="17"/>
  <c r="Q40" i="17"/>
  <c r="Q41" i="17"/>
  <c r="Q42" i="17"/>
  <c r="Q43" i="17"/>
  <c r="Q44" i="17"/>
  <c r="Q45" i="17"/>
  <c r="Q46" i="17"/>
  <c r="Q47" i="17"/>
  <c r="Q48" i="17"/>
  <c r="Q49" i="17"/>
  <c r="Q50" i="17"/>
  <c r="Q51" i="17"/>
  <c r="Q52" i="17"/>
  <c r="Q53" i="17"/>
  <c r="Q54" i="17"/>
  <c r="Q55" i="17"/>
  <c r="Q56" i="17"/>
  <c r="Q57" i="17"/>
  <c r="Q58" i="17"/>
  <c r="Q59" i="17"/>
  <c r="Q60" i="17"/>
  <c r="Q61" i="17"/>
  <c r="Q62" i="17"/>
  <c r="Q63" i="17"/>
  <c r="Q64" i="17"/>
  <c r="Q65" i="17"/>
  <c r="Q66" i="17"/>
  <c r="Q67" i="17"/>
  <c r="Q68" i="17"/>
  <c r="Q69" i="17"/>
  <c r="Q70" i="17"/>
  <c r="Q71" i="17"/>
  <c r="Q72" i="17"/>
  <c r="Q73" i="17"/>
  <c r="Q74" i="17"/>
  <c r="Q75" i="17"/>
  <c r="Q76" i="17"/>
  <c r="Q77" i="17"/>
  <c r="Q78" i="17"/>
  <c r="Q79" i="17"/>
  <c r="Q80" i="17"/>
  <c r="Q81" i="17"/>
  <c r="Q82" i="17"/>
  <c r="Q83" i="17"/>
  <c r="Q84" i="17"/>
  <c r="Q85" i="17"/>
  <c r="Q86" i="17"/>
  <c r="Q87" i="17"/>
  <c r="Q88" i="17"/>
  <c r="Q89" i="17"/>
  <c r="Q90" i="17"/>
  <c r="Q91" i="17"/>
  <c r="Q92" i="17"/>
  <c r="Q93" i="17"/>
  <c r="Q94" i="17"/>
  <c r="Q95" i="17"/>
  <c r="Q96" i="17"/>
  <c r="Q97" i="17"/>
  <c r="Q98" i="17"/>
  <c r="Q99" i="17"/>
  <c r="Q100" i="17"/>
  <c r="Q101" i="17"/>
  <c r="Q102" i="17"/>
  <c r="Q103" i="17"/>
  <c r="Q104" i="17"/>
  <c r="Q105" i="17"/>
  <c r="Q106" i="17"/>
  <c r="Q107" i="17"/>
  <c r="Q108" i="17"/>
  <c r="Q109" i="17"/>
  <c r="Q110" i="17"/>
  <c r="Q111" i="17"/>
  <c r="Q112" i="17"/>
  <c r="Q113" i="17"/>
  <c r="Q114" i="17"/>
  <c r="Q115" i="17"/>
  <c r="Q116" i="17"/>
  <c r="Q117" i="17"/>
  <c r="Q118" i="17"/>
  <c r="Q119" i="17"/>
  <c r="Q120" i="17"/>
  <c r="Q121" i="17"/>
  <c r="Q122" i="17"/>
  <c r="Q123" i="17"/>
  <c r="Q124" i="17"/>
  <c r="Q125" i="17"/>
  <c r="Q126" i="17"/>
  <c r="Q127" i="17"/>
  <c r="Q128" i="17"/>
  <c r="Q129" i="17"/>
  <c r="Q130" i="17"/>
  <c r="Q131" i="17"/>
  <c r="Q132" i="17"/>
  <c r="Q133" i="17"/>
  <c r="Q134" i="17"/>
  <c r="Q135" i="17"/>
  <c r="Q136" i="17"/>
  <c r="Q137" i="17"/>
  <c r="Q138" i="17"/>
  <c r="Q139" i="17"/>
  <c r="Q140" i="17"/>
  <c r="Q141" i="17"/>
  <c r="Q142" i="17"/>
  <c r="Q143" i="17"/>
  <c r="Q144" i="17"/>
  <c r="Q145" i="17"/>
  <c r="Q146" i="17"/>
  <c r="Q147" i="17"/>
  <c r="Q148" i="17"/>
  <c r="Q149" i="17"/>
  <c r="Q150" i="17"/>
  <c r="Q151" i="17"/>
  <c r="Q152" i="17"/>
  <c r="Q153" i="17"/>
  <c r="Q154" i="17"/>
  <c r="Q155" i="17"/>
  <c r="Q156" i="17"/>
  <c r="Q157" i="17"/>
  <c r="Q158" i="17"/>
  <c r="Q159" i="17"/>
  <c r="Q160" i="17"/>
  <c r="Q161" i="17"/>
  <c r="Q162" i="17"/>
  <c r="Q163" i="17"/>
  <c r="Q164" i="17"/>
  <c r="Q165" i="17"/>
  <c r="Q166" i="17"/>
  <c r="Q167" i="17"/>
  <c r="Q168" i="17"/>
  <c r="Q169" i="17"/>
  <c r="Q170" i="17"/>
  <c r="Q171" i="17"/>
  <c r="Q172" i="17"/>
  <c r="Q173" i="17"/>
  <c r="Q174" i="17"/>
  <c r="Q175" i="17"/>
  <c r="Q176" i="17"/>
  <c r="Q177" i="17"/>
  <c r="Q178" i="17"/>
  <c r="Q179" i="17"/>
  <c r="Q180" i="17"/>
  <c r="Q181" i="17"/>
  <c r="Q182" i="17"/>
  <c r="Q183" i="17"/>
  <c r="Q184" i="17"/>
  <c r="Q185" i="17"/>
  <c r="Q186" i="17"/>
  <c r="Q187" i="17"/>
  <c r="Q188" i="17"/>
  <c r="Q189" i="17"/>
  <c r="Q190" i="17"/>
  <c r="Q191" i="17"/>
  <c r="Q192" i="17"/>
  <c r="Q193" i="17"/>
  <c r="Q194" i="17"/>
  <c r="Q195" i="17"/>
  <c r="Q196" i="17"/>
  <c r="Q197" i="17"/>
  <c r="Q198" i="17"/>
  <c r="Q199" i="17"/>
  <c r="Q200" i="17"/>
  <c r="Q201" i="17"/>
  <c r="Q202" i="17"/>
  <c r="Q203" i="17"/>
  <c r="Q204" i="17"/>
  <c r="Q205" i="17"/>
  <c r="Q206" i="17"/>
  <c r="Q207" i="17"/>
  <c r="Q208" i="17"/>
  <c r="Q209" i="17"/>
  <c r="Q210" i="17"/>
  <c r="Q211" i="17"/>
  <c r="Q212" i="17"/>
  <c r="Q213" i="17"/>
  <c r="Q214" i="17"/>
  <c r="Q215" i="17"/>
  <c r="Q216" i="17"/>
  <c r="Q217" i="17"/>
  <c r="Q218" i="17"/>
  <c r="Q219" i="17"/>
  <c r="Q220" i="17"/>
  <c r="Q221" i="17"/>
  <c r="Q222" i="17"/>
  <c r="Q223" i="17"/>
  <c r="Q224" i="17"/>
  <c r="Q225" i="17"/>
  <c r="Q226" i="17"/>
  <c r="Q227" i="17"/>
  <c r="Q228" i="17"/>
  <c r="Q229" i="17"/>
  <c r="Q230" i="17"/>
  <c r="Q231" i="17"/>
  <c r="Q232" i="17"/>
  <c r="Q233" i="17"/>
  <c r="Q234" i="17"/>
  <c r="Q235" i="17"/>
  <c r="Q236" i="17"/>
  <c r="Q237" i="17"/>
  <c r="Q238" i="17"/>
  <c r="Q239" i="17"/>
  <c r="Q240" i="17"/>
  <c r="Q241" i="17"/>
  <c r="Q242" i="17"/>
  <c r="Q243" i="17"/>
  <c r="Q244" i="17"/>
  <c r="Q245" i="17"/>
  <c r="Q246" i="17"/>
  <c r="Q247" i="17"/>
  <c r="Q248" i="17"/>
  <c r="Q249" i="17"/>
  <c r="Q250" i="17"/>
  <c r="Q251" i="17"/>
  <c r="Q252" i="17"/>
  <c r="Q253" i="17"/>
  <c r="Q254" i="17"/>
  <c r="Q255" i="17"/>
  <c r="Q256" i="17"/>
  <c r="Q257" i="17"/>
  <c r="Q258" i="17"/>
  <c r="Q259" i="17"/>
  <c r="Q260" i="17"/>
  <c r="Q261" i="17"/>
  <c r="Q262" i="17"/>
  <c r="Q263" i="17"/>
  <c r="Q264" i="17"/>
  <c r="Q265" i="17"/>
  <c r="Q266" i="17"/>
  <c r="Q267" i="17"/>
  <c r="Q268" i="17"/>
  <c r="Q269" i="17"/>
  <c r="Q270" i="17"/>
  <c r="Q271" i="17"/>
  <c r="Q272" i="17"/>
  <c r="Q273" i="17"/>
  <c r="Q274" i="17"/>
  <c r="Q275" i="17"/>
  <c r="Q276" i="17"/>
  <c r="Q277" i="17"/>
  <c r="Q278" i="17"/>
  <c r="Q279" i="17"/>
  <c r="Q280" i="17"/>
  <c r="Q281" i="17"/>
  <c r="Q282" i="17"/>
  <c r="Q283" i="17"/>
  <c r="Q284" i="17"/>
  <c r="Q285" i="17"/>
  <c r="Q286" i="17"/>
  <c r="Q287" i="17"/>
  <c r="Q288" i="17"/>
  <c r="Q289" i="17"/>
  <c r="Q290" i="17"/>
  <c r="Q291" i="17"/>
  <c r="Q292" i="17"/>
  <c r="Q293" i="17"/>
  <c r="Q294" i="17"/>
  <c r="Q295" i="17"/>
  <c r="Q296" i="17"/>
  <c r="Q297" i="17"/>
  <c r="Q298" i="17"/>
  <c r="Q299" i="17"/>
  <c r="Q300" i="17"/>
  <c r="Q301" i="17"/>
  <c r="Q302" i="17"/>
  <c r="Q303" i="17"/>
  <c r="Q304" i="17"/>
  <c r="Q305" i="17"/>
  <c r="Q306" i="17"/>
  <c r="Q307" i="17"/>
  <c r="Q308" i="17"/>
  <c r="Q309" i="17"/>
  <c r="Q310" i="17"/>
  <c r="Q311" i="17"/>
  <c r="Q312" i="17"/>
  <c r="Q313" i="17"/>
  <c r="Q314" i="17"/>
  <c r="Q315" i="17"/>
  <c r="Q316" i="17"/>
  <c r="Q317" i="17"/>
  <c r="Q318" i="17"/>
  <c r="Q319" i="17"/>
  <c r="Q320" i="17"/>
  <c r="Q321" i="17"/>
  <c r="Q322" i="17"/>
  <c r="Q323" i="17"/>
  <c r="Q324" i="17"/>
  <c r="Q325" i="17"/>
  <c r="Q326" i="17"/>
  <c r="Q327" i="17"/>
  <c r="Q328" i="17"/>
  <c r="Q329" i="17"/>
  <c r="Q330" i="17"/>
  <c r="Q331" i="17"/>
  <c r="Q332" i="17"/>
  <c r="Q333" i="17"/>
  <c r="Q334" i="17"/>
  <c r="Q335" i="17"/>
  <c r="Q336" i="17"/>
  <c r="Q337" i="17"/>
  <c r="Q338" i="17"/>
  <c r="Q339" i="17"/>
  <c r="Q340" i="17"/>
  <c r="Q341" i="17"/>
  <c r="Q342" i="17"/>
  <c r="Q343" i="17"/>
  <c r="Q344" i="17"/>
  <c r="Q345" i="17"/>
  <c r="Q346" i="17"/>
  <c r="Q347" i="17"/>
  <c r="Q348" i="17"/>
  <c r="Q349" i="17"/>
  <c r="Q350" i="17"/>
  <c r="Q351" i="17"/>
  <c r="Q352" i="17"/>
  <c r="Q353" i="17"/>
  <c r="Q354" i="17"/>
  <c r="Q355" i="17"/>
  <c r="Q356" i="17"/>
  <c r="Q357" i="17"/>
  <c r="Q358" i="17"/>
  <c r="Q359" i="17"/>
  <c r="Q360" i="17"/>
  <c r="Q361" i="17"/>
  <c r="Q362" i="17"/>
  <c r="Q363" i="17"/>
  <c r="Q364" i="17"/>
  <c r="Q365" i="17"/>
  <c r="Q366" i="17"/>
  <c r="Q367" i="17"/>
  <c r="Q368" i="17"/>
  <c r="Q369" i="17"/>
  <c r="Q370" i="17"/>
  <c r="Q371" i="17"/>
  <c r="Q372" i="17"/>
  <c r="Q373" i="17"/>
  <c r="Q374" i="17"/>
  <c r="Q375" i="17"/>
  <c r="Q376" i="17"/>
  <c r="Q377" i="17"/>
  <c r="Q378" i="17"/>
  <c r="Q379" i="17"/>
  <c r="Q380" i="17"/>
  <c r="Q381" i="17"/>
  <c r="Q382" i="17"/>
  <c r="Q383" i="17"/>
  <c r="Q384" i="17"/>
  <c r="Q385" i="17"/>
  <c r="Q386" i="17"/>
  <c r="Q387" i="17"/>
  <c r="Q388" i="17"/>
  <c r="Q389" i="17"/>
  <c r="Q390" i="17"/>
  <c r="Q391" i="17"/>
  <c r="Q392" i="17"/>
  <c r="Q393" i="17"/>
  <c r="Q394" i="17"/>
  <c r="Q395" i="17"/>
  <c r="Q396" i="17"/>
  <c r="Q397" i="17"/>
  <c r="Q398" i="17"/>
  <c r="Q399" i="17"/>
  <c r="Q400" i="17"/>
  <c r="Q401" i="17"/>
  <c r="Q402" i="17"/>
  <c r="Q403" i="17"/>
  <c r="Q404" i="17"/>
  <c r="Q405" i="17"/>
  <c r="Q406" i="17"/>
  <c r="Q407" i="17"/>
  <c r="Q408" i="17"/>
  <c r="Q409" i="17"/>
  <c r="Q410" i="17"/>
  <c r="Q411" i="17"/>
  <c r="Q412" i="17"/>
  <c r="Q413" i="17"/>
  <c r="Q414" i="17"/>
  <c r="Q415" i="17"/>
  <c r="Q416" i="17"/>
  <c r="Q417" i="17"/>
  <c r="Q418" i="17"/>
  <c r="Q419" i="17"/>
  <c r="Q420" i="17"/>
  <c r="Q421" i="17"/>
  <c r="Q422" i="17"/>
  <c r="Q423" i="17"/>
  <c r="Q424" i="17"/>
  <c r="Q425" i="17"/>
  <c r="Q426" i="17"/>
  <c r="Q427" i="17"/>
  <c r="Q428" i="17"/>
  <c r="Q429" i="17"/>
  <c r="Q430" i="17"/>
  <c r="Q431" i="17"/>
  <c r="Q432" i="17"/>
  <c r="Q433" i="17"/>
  <c r="Q434" i="17"/>
  <c r="Q435" i="17"/>
  <c r="Q436" i="17"/>
  <c r="Q437" i="17"/>
  <c r="Q438" i="17"/>
  <c r="Q439" i="17"/>
  <c r="Q440" i="17"/>
  <c r="Q441" i="17"/>
  <c r="Q442" i="17"/>
  <c r="Q443" i="17"/>
  <c r="Q444" i="17"/>
  <c r="Q445" i="17"/>
  <c r="Q446" i="17"/>
  <c r="Q447" i="17"/>
  <c r="Q448" i="17"/>
  <c r="Q449" i="17"/>
  <c r="Q450" i="17"/>
  <c r="Q451" i="17"/>
  <c r="Q452" i="17"/>
  <c r="Q453" i="17"/>
  <c r="Q454" i="17"/>
  <c r="Q455" i="17"/>
  <c r="Q456" i="17"/>
  <c r="Q457" i="17"/>
  <c r="Q458" i="17"/>
  <c r="Q459" i="17"/>
  <c r="Q460" i="17"/>
  <c r="Q461" i="17"/>
  <c r="Q462" i="17"/>
  <c r="Q463" i="17"/>
  <c r="Q464" i="17"/>
  <c r="Q465" i="17"/>
  <c r="Q466" i="17"/>
  <c r="Q467" i="17"/>
  <c r="Q468" i="17"/>
  <c r="Q469" i="17"/>
  <c r="Q470" i="17"/>
  <c r="Q471" i="17"/>
  <c r="Q472" i="17"/>
  <c r="Q473" i="17"/>
  <c r="Q474" i="17"/>
  <c r="Q475" i="17"/>
  <c r="Q476" i="17"/>
  <c r="Q477" i="17"/>
  <c r="Q478" i="17"/>
  <c r="Q479" i="17"/>
  <c r="Q480" i="17"/>
  <c r="Q481" i="17"/>
  <c r="Q482" i="17"/>
  <c r="Q483" i="17"/>
  <c r="Q484" i="17"/>
  <c r="Q485" i="17"/>
  <c r="Q486" i="17"/>
  <c r="Q487" i="17"/>
  <c r="Q488" i="17"/>
  <c r="Q489" i="17"/>
  <c r="Q490" i="17"/>
  <c r="Q491" i="17"/>
  <c r="Q492" i="17"/>
  <c r="Q493" i="17"/>
  <c r="Q494" i="17"/>
  <c r="Q495" i="17"/>
  <c r="Q496" i="17"/>
  <c r="Q497" i="17"/>
  <c r="Q498" i="17"/>
  <c r="Q499" i="17"/>
  <c r="Q500" i="17"/>
  <c r="Q501" i="17"/>
  <c r="R3" i="17"/>
  <c r="R4" i="17"/>
  <c r="R5" i="17"/>
  <c r="R6" i="17"/>
  <c r="R7" i="17"/>
  <c r="R8" i="17"/>
  <c r="R9" i="17"/>
  <c r="R10" i="17"/>
  <c r="R11" i="17"/>
  <c r="R12" i="17"/>
  <c r="R13" i="17"/>
  <c r="R14" i="17"/>
  <c r="R15" i="17"/>
  <c r="R16" i="17"/>
  <c r="R17" i="17"/>
  <c r="R18" i="17"/>
  <c r="R19" i="17"/>
  <c r="R20" i="17"/>
  <c r="R21" i="17"/>
  <c r="R22" i="17"/>
  <c r="R23" i="17"/>
  <c r="R24" i="17"/>
  <c r="R25" i="17"/>
  <c r="R26" i="17"/>
  <c r="R27" i="17"/>
  <c r="R28" i="17"/>
  <c r="R29" i="17"/>
  <c r="R30" i="17"/>
  <c r="R31" i="17"/>
  <c r="R32" i="17"/>
  <c r="R33" i="17"/>
  <c r="R34" i="17"/>
  <c r="R35" i="17"/>
  <c r="R36" i="17"/>
  <c r="R37" i="17"/>
  <c r="R38" i="17"/>
  <c r="R39" i="17"/>
  <c r="R40" i="17"/>
  <c r="R41" i="17"/>
  <c r="R42" i="17"/>
  <c r="R43" i="17"/>
  <c r="R44" i="17"/>
  <c r="R45" i="17"/>
  <c r="R46" i="17"/>
  <c r="R47" i="17"/>
  <c r="R48" i="17"/>
  <c r="R49" i="17"/>
  <c r="R50" i="17"/>
  <c r="R51" i="17"/>
  <c r="R52" i="17"/>
  <c r="R53" i="17"/>
  <c r="R54" i="17"/>
  <c r="R55" i="17"/>
  <c r="R56" i="17"/>
  <c r="R57" i="17"/>
  <c r="R58" i="17"/>
  <c r="R59" i="17"/>
  <c r="R60" i="17"/>
  <c r="R61" i="17"/>
  <c r="R62" i="17"/>
  <c r="R63" i="17"/>
  <c r="R64" i="17"/>
  <c r="R65" i="17"/>
  <c r="R66" i="17"/>
  <c r="R67" i="17"/>
  <c r="R68" i="17"/>
  <c r="R69" i="17"/>
  <c r="R70" i="17"/>
  <c r="R71" i="17"/>
  <c r="R72" i="17"/>
  <c r="R73" i="17"/>
  <c r="R74" i="17"/>
  <c r="R75" i="17"/>
  <c r="R76" i="17"/>
  <c r="R77" i="17"/>
  <c r="R78" i="17"/>
  <c r="R79" i="17"/>
  <c r="R80" i="17"/>
  <c r="R81" i="17"/>
  <c r="R82" i="17"/>
  <c r="R83" i="17"/>
  <c r="R84" i="17"/>
  <c r="R85" i="17"/>
  <c r="R86" i="17"/>
  <c r="R87" i="17"/>
  <c r="R88" i="17"/>
  <c r="R89" i="17"/>
  <c r="R90" i="17"/>
  <c r="R91" i="17"/>
  <c r="R92" i="17"/>
  <c r="R93" i="17"/>
  <c r="R94" i="17"/>
  <c r="R95" i="17"/>
  <c r="R96" i="17"/>
  <c r="R97" i="17"/>
  <c r="R98" i="17"/>
  <c r="R99" i="17"/>
  <c r="R100" i="17"/>
  <c r="R101" i="17"/>
  <c r="R102" i="17"/>
  <c r="R103" i="17"/>
  <c r="R104" i="17"/>
  <c r="R105" i="17"/>
  <c r="R106" i="17"/>
  <c r="R107" i="17"/>
  <c r="R108" i="17"/>
  <c r="R109" i="17"/>
  <c r="R110" i="17"/>
  <c r="R111" i="17"/>
  <c r="R112" i="17"/>
  <c r="R113" i="17"/>
  <c r="R114" i="17"/>
  <c r="R115" i="17"/>
  <c r="R116" i="17"/>
  <c r="R117" i="17"/>
  <c r="R118" i="17"/>
  <c r="R119" i="17"/>
  <c r="R120" i="17"/>
  <c r="R121" i="17"/>
  <c r="R122" i="17"/>
  <c r="R123" i="17"/>
  <c r="R124" i="17"/>
  <c r="R125" i="17"/>
  <c r="R126" i="17"/>
  <c r="R127" i="17"/>
  <c r="R128" i="17"/>
  <c r="R129" i="17"/>
  <c r="R130" i="17"/>
  <c r="R131" i="17"/>
  <c r="R132" i="17"/>
  <c r="R133" i="17"/>
  <c r="R134" i="17"/>
  <c r="R135" i="17"/>
  <c r="R136" i="17"/>
  <c r="R137" i="17"/>
  <c r="R138" i="17"/>
  <c r="R139" i="17"/>
  <c r="R140" i="17"/>
  <c r="R141" i="17"/>
  <c r="R142" i="17"/>
  <c r="R143" i="17"/>
  <c r="R144" i="17"/>
  <c r="R145" i="17"/>
  <c r="R146" i="17"/>
  <c r="R147" i="17"/>
  <c r="R148" i="17"/>
  <c r="R149" i="17"/>
  <c r="R150" i="17"/>
  <c r="R151" i="17"/>
  <c r="R152" i="17"/>
  <c r="R153" i="17"/>
  <c r="R154" i="17"/>
  <c r="R155" i="17"/>
  <c r="R156" i="17"/>
  <c r="R157" i="17"/>
  <c r="R158" i="17"/>
  <c r="R159" i="17"/>
  <c r="R160" i="17"/>
  <c r="R161" i="17"/>
  <c r="R162" i="17"/>
  <c r="R163" i="17"/>
  <c r="R164" i="17"/>
  <c r="R165" i="17"/>
  <c r="R166" i="17"/>
  <c r="R167" i="17"/>
  <c r="R168" i="17"/>
  <c r="R169" i="17"/>
  <c r="R170" i="17"/>
  <c r="R171" i="17"/>
  <c r="R172" i="17"/>
  <c r="R173" i="17"/>
  <c r="R174" i="17"/>
  <c r="R175" i="17"/>
  <c r="R176" i="17"/>
  <c r="R177" i="17"/>
  <c r="R178" i="17"/>
  <c r="R179" i="17"/>
  <c r="R180" i="17"/>
  <c r="R181" i="17"/>
  <c r="R182" i="17"/>
  <c r="R183" i="17"/>
  <c r="R184" i="17"/>
  <c r="R185" i="17"/>
  <c r="R186" i="17"/>
  <c r="R187" i="17"/>
  <c r="R188" i="17"/>
  <c r="R189" i="17"/>
  <c r="R190" i="17"/>
  <c r="R191" i="17"/>
  <c r="R192" i="17"/>
  <c r="R193" i="17"/>
  <c r="R194" i="17"/>
  <c r="R195" i="17"/>
  <c r="R196" i="17"/>
  <c r="R197" i="17"/>
  <c r="R198" i="17"/>
  <c r="R199" i="17"/>
  <c r="R200" i="17"/>
  <c r="R201" i="17"/>
  <c r="R202" i="17"/>
  <c r="R203" i="17"/>
  <c r="R204" i="17"/>
  <c r="R205" i="17"/>
  <c r="R206" i="17"/>
  <c r="R207" i="17"/>
  <c r="R208" i="17"/>
  <c r="R209" i="17"/>
  <c r="R210" i="17"/>
  <c r="R211" i="17"/>
  <c r="R212" i="17"/>
  <c r="R213" i="17"/>
  <c r="R214" i="17"/>
  <c r="R215" i="17"/>
  <c r="R216" i="17"/>
  <c r="R217" i="17"/>
  <c r="R218" i="17"/>
  <c r="R219" i="17"/>
  <c r="R220" i="17"/>
  <c r="R221" i="17"/>
  <c r="R222" i="17"/>
  <c r="R223" i="17"/>
  <c r="R224" i="17"/>
  <c r="R225" i="17"/>
  <c r="R226" i="17"/>
  <c r="R227" i="17"/>
  <c r="R228" i="17"/>
  <c r="R229" i="17"/>
  <c r="R230" i="17"/>
  <c r="R231" i="17"/>
  <c r="R232" i="17"/>
  <c r="R233" i="17"/>
  <c r="R234" i="17"/>
  <c r="R235" i="17"/>
  <c r="R236" i="17"/>
  <c r="R237" i="17"/>
  <c r="R238" i="17"/>
  <c r="R239" i="17"/>
  <c r="R240" i="17"/>
  <c r="R241" i="17"/>
  <c r="R242" i="17"/>
  <c r="R243" i="17"/>
  <c r="R244" i="17"/>
  <c r="R245" i="17"/>
  <c r="R246" i="17"/>
  <c r="R247" i="17"/>
  <c r="R248" i="17"/>
  <c r="R249" i="17"/>
  <c r="R250" i="17"/>
  <c r="R251" i="17"/>
  <c r="R252" i="17"/>
  <c r="R253" i="17"/>
  <c r="R254" i="17"/>
  <c r="R255" i="17"/>
  <c r="R256" i="17"/>
  <c r="R257" i="17"/>
  <c r="R258" i="17"/>
  <c r="R259" i="17"/>
  <c r="R260" i="17"/>
  <c r="R261" i="17"/>
  <c r="R262" i="17"/>
  <c r="R263" i="17"/>
  <c r="R264" i="17"/>
  <c r="R265" i="17"/>
  <c r="R266" i="17"/>
  <c r="R267" i="17"/>
  <c r="R268" i="17"/>
  <c r="R269" i="17"/>
  <c r="R270" i="17"/>
  <c r="R271" i="17"/>
  <c r="R272" i="17"/>
  <c r="R273" i="17"/>
  <c r="R274" i="17"/>
  <c r="R275" i="17"/>
  <c r="R276" i="17"/>
  <c r="R277" i="17"/>
  <c r="R278" i="17"/>
  <c r="R279" i="17"/>
  <c r="R280" i="17"/>
  <c r="R281" i="17"/>
  <c r="R282" i="17"/>
  <c r="R283" i="17"/>
  <c r="R284" i="17"/>
  <c r="R285" i="17"/>
  <c r="R286" i="17"/>
  <c r="R287" i="17"/>
  <c r="R288" i="17"/>
  <c r="R289" i="17"/>
  <c r="R290" i="17"/>
  <c r="R291" i="17"/>
  <c r="R292" i="17"/>
  <c r="R293" i="17"/>
  <c r="R294" i="17"/>
  <c r="R295" i="17"/>
  <c r="R296" i="17"/>
  <c r="R297" i="17"/>
  <c r="R298" i="17"/>
  <c r="R299" i="17"/>
  <c r="R300" i="17"/>
  <c r="R301" i="17"/>
  <c r="R302" i="17"/>
  <c r="R303" i="17"/>
  <c r="R304" i="17"/>
  <c r="R305" i="17"/>
  <c r="R306" i="17"/>
  <c r="R307" i="17"/>
  <c r="R308" i="17"/>
  <c r="R309" i="17"/>
  <c r="R310" i="17"/>
  <c r="R311" i="17"/>
  <c r="R312" i="17"/>
  <c r="R313" i="17"/>
  <c r="R314" i="17"/>
  <c r="R315" i="17"/>
  <c r="R316" i="17"/>
  <c r="R317" i="17"/>
  <c r="R318" i="17"/>
  <c r="R319" i="17"/>
  <c r="R320" i="17"/>
  <c r="R321" i="17"/>
  <c r="R322" i="17"/>
  <c r="R323" i="17"/>
  <c r="R324" i="17"/>
  <c r="R325" i="17"/>
  <c r="R326" i="17"/>
  <c r="R327" i="17"/>
  <c r="R328" i="17"/>
  <c r="R329" i="17"/>
  <c r="R330" i="17"/>
  <c r="R331" i="17"/>
  <c r="R332" i="17"/>
  <c r="R333" i="17"/>
  <c r="R334" i="17"/>
  <c r="R335" i="17"/>
  <c r="R336" i="17"/>
  <c r="R337" i="17"/>
  <c r="R338" i="17"/>
  <c r="R339" i="17"/>
  <c r="R340" i="17"/>
  <c r="R341" i="17"/>
  <c r="R342" i="17"/>
  <c r="R343" i="17"/>
  <c r="R344" i="17"/>
  <c r="R345" i="17"/>
  <c r="R346" i="17"/>
  <c r="R347" i="17"/>
  <c r="R348" i="17"/>
  <c r="R349" i="17"/>
  <c r="R350" i="17"/>
  <c r="R351" i="17"/>
  <c r="R352" i="17"/>
  <c r="R353" i="17"/>
  <c r="R354" i="17"/>
  <c r="R355" i="17"/>
  <c r="R356" i="17"/>
  <c r="R357" i="17"/>
  <c r="R358" i="17"/>
  <c r="R359" i="17"/>
  <c r="R360" i="17"/>
  <c r="R361" i="17"/>
  <c r="R362" i="17"/>
  <c r="R363" i="17"/>
  <c r="R364" i="17"/>
  <c r="R365" i="17"/>
  <c r="R366" i="17"/>
  <c r="R367" i="17"/>
  <c r="R368" i="17"/>
  <c r="R369" i="17"/>
  <c r="R370" i="17"/>
  <c r="R371" i="17"/>
  <c r="R372" i="17"/>
  <c r="R373" i="17"/>
  <c r="R374" i="17"/>
  <c r="R375" i="17"/>
  <c r="R376" i="17"/>
  <c r="R377" i="17"/>
  <c r="R378" i="17"/>
  <c r="R379" i="17"/>
  <c r="R380" i="17"/>
  <c r="R381" i="17"/>
  <c r="R382" i="17"/>
  <c r="R383" i="17"/>
  <c r="R384" i="17"/>
  <c r="R385" i="17"/>
  <c r="R386" i="17"/>
  <c r="R387" i="17"/>
  <c r="R388" i="17"/>
  <c r="R389" i="17"/>
  <c r="R390" i="17"/>
  <c r="R391" i="17"/>
  <c r="R392" i="17"/>
  <c r="R393" i="17"/>
  <c r="R394" i="17"/>
  <c r="R395" i="17"/>
  <c r="R396" i="17"/>
  <c r="R397" i="17"/>
  <c r="R398" i="17"/>
  <c r="R399" i="17"/>
  <c r="R400" i="17"/>
  <c r="R401" i="17"/>
  <c r="R402" i="17"/>
  <c r="R403" i="17"/>
  <c r="R404" i="17"/>
  <c r="R405" i="17"/>
  <c r="R406" i="17"/>
  <c r="R407" i="17"/>
  <c r="R408" i="17"/>
  <c r="R409" i="17"/>
  <c r="R410" i="17"/>
  <c r="R411" i="17"/>
  <c r="R412" i="17"/>
  <c r="R413" i="17"/>
  <c r="R414" i="17"/>
  <c r="R415" i="17"/>
  <c r="R416" i="17"/>
  <c r="R417" i="17"/>
  <c r="R418" i="17"/>
  <c r="R419" i="17"/>
  <c r="R420" i="17"/>
  <c r="R421" i="17"/>
  <c r="R422" i="17"/>
  <c r="R423" i="17"/>
  <c r="R424" i="17"/>
  <c r="R425" i="17"/>
  <c r="R426" i="17"/>
  <c r="R427" i="17"/>
  <c r="R428" i="17"/>
  <c r="R429" i="17"/>
  <c r="R430" i="17"/>
  <c r="R431" i="17"/>
  <c r="R432" i="17"/>
  <c r="R433" i="17"/>
  <c r="R434" i="17"/>
  <c r="R435" i="17"/>
  <c r="R436" i="17"/>
  <c r="R437" i="17"/>
  <c r="R438" i="17"/>
  <c r="R439" i="17"/>
  <c r="R440" i="17"/>
  <c r="R441" i="17"/>
  <c r="R442" i="17"/>
  <c r="R443" i="17"/>
  <c r="R444" i="17"/>
  <c r="R445" i="17"/>
  <c r="R446" i="17"/>
  <c r="R447" i="17"/>
  <c r="R448" i="17"/>
  <c r="R449" i="17"/>
  <c r="R450" i="17"/>
  <c r="R451" i="17"/>
  <c r="R452" i="17"/>
  <c r="R453" i="17"/>
  <c r="R454" i="17"/>
  <c r="R455" i="17"/>
  <c r="R456" i="17"/>
  <c r="R457" i="17"/>
  <c r="R458" i="17"/>
  <c r="R459" i="17"/>
  <c r="R460" i="17"/>
  <c r="R461" i="17"/>
  <c r="R462" i="17"/>
  <c r="R463" i="17"/>
  <c r="R464" i="17"/>
  <c r="R465" i="17"/>
  <c r="R466" i="17"/>
  <c r="R467" i="17"/>
  <c r="R468" i="17"/>
  <c r="R469" i="17"/>
  <c r="R470" i="17"/>
  <c r="R471" i="17"/>
  <c r="R472" i="17"/>
  <c r="R473" i="17"/>
  <c r="R474" i="17"/>
  <c r="R475" i="17"/>
  <c r="R476" i="17"/>
  <c r="R477" i="17"/>
  <c r="R478" i="17"/>
  <c r="R479" i="17"/>
  <c r="R480" i="17"/>
  <c r="R481" i="17"/>
  <c r="R482" i="17"/>
  <c r="R483" i="17"/>
  <c r="R484" i="17"/>
  <c r="R485" i="17"/>
  <c r="R486" i="17"/>
  <c r="R487" i="17"/>
  <c r="R488" i="17"/>
  <c r="R489" i="17"/>
  <c r="R490" i="17"/>
  <c r="R491" i="17"/>
  <c r="R492" i="17"/>
  <c r="R493" i="17"/>
  <c r="R494" i="17"/>
  <c r="R495" i="17"/>
  <c r="R496" i="17"/>
  <c r="R497" i="17"/>
  <c r="R498" i="17"/>
  <c r="R499" i="17"/>
  <c r="R500" i="17"/>
  <c r="R501" i="17"/>
  <c r="S3" i="17"/>
  <c r="S4" i="17"/>
  <c r="S5" i="17"/>
  <c r="S6" i="17"/>
  <c r="S7" i="17"/>
  <c r="S8" i="17"/>
  <c r="S9" i="17"/>
  <c r="S10" i="17"/>
  <c r="S11" i="17"/>
  <c r="S12" i="17"/>
  <c r="S13" i="17"/>
  <c r="S14" i="17"/>
  <c r="S15" i="17"/>
  <c r="S16" i="17"/>
  <c r="S17" i="17"/>
  <c r="S18" i="17"/>
  <c r="S19" i="17"/>
  <c r="S20" i="17"/>
  <c r="S21" i="17"/>
  <c r="S22" i="17"/>
  <c r="S23" i="17"/>
  <c r="S24" i="17"/>
  <c r="S25" i="17"/>
  <c r="S26" i="17"/>
  <c r="S27" i="17"/>
  <c r="S28" i="17"/>
  <c r="S29" i="17"/>
  <c r="S30" i="17"/>
  <c r="S31" i="17"/>
  <c r="S32" i="17"/>
  <c r="S33" i="17"/>
  <c r="S34" i="17"/>
  <c r="S35" i="17"/>
  <c r="S36" i="17"/>
  <c r="S37" i="17"/>
  <c r="S38" i="17"/>
  <c r="S39" i="17"/>
  <c r="S40" i="17"/>
  <c r="S41" i="17"/>
  <c r="S42" i="17"/>
  <c r="S43" i="17"/>
  <c r="S44" i="17"/>
  <c r="S45" i="17"/>
  <c r="S46" i="17"/>
  <c r="S47" i="17"/>
  <c r="S48" i="17"/>
  <c r="S49" i="17"/>
  <c r="S50" i="17"/>
  <c r="S51" i="17"/>
  <c r="S52" i="17"/>
  <c r="S53" i="17"/>
  <c r="S54" i="17"/>
  <c r="S55" i="17"/>
  <c r="S56" i="17"/>
  <c r="S57" i="17"/>
  <c r="S58" i="17"/>
  <c r="S59" i="17"/>
  <c r="S60" i="17"/>
  <c r="S61" i="17"/>
  <c r="S62" i="17"/>
  <c r="S63" i="17"/>
  <c r="S64" i="17"/>
  <c r="S65" i="17"/>
  <c r="S66" i="17"/>
  <c r="S67" i="17"/>
  <c r="S68" i="17"/>
  <c r="S69" i="17"/>
  <c r="S70" i="17"/>
  <c r="S71" i="17"/>
  <c r="S72" i="17"/>
  <c r="S73" i="17"/>
  <c r="S74" i="17"/>
  <c r="S75" i="17"/>
  <c r="S76" i="17"/>
  <c r="S77" i="17"/>
  <c r="S78" i="17"/>
  <c r="S79" i="17"/>
  <c r="S80" i="17"/>
  <c r="S81" i="17"/>
  <c r="S82" i="17"/>
  <c r="S83" i="17"/>
  <c r="S84" i="17"/>
  <c r="S85" i="17"/>
  <c r="S86" i="17"/>
  <c r="S87" i="17"/>
  <c r="S88" i="17"/>
  <c r="S89" i="17"/>
  <c r="S90" i="17"/>
  <c r="S91" i="17"/>
  <c r="S92" i="17"/>
  <c r="S93" i="17"/>
  <c r="S94" i="17"/>
  <c r="S95" i="17"/>
  <c r="S96" i="17"/>
  <c r="S97" i="17"/>
  <c r="S98" i="17"/>
  <c r="S99" i="17"/>
  <c r="S100" i="17"/>
  <c r="S101" i="17"/>
  <c r="S102" i="17"/>
  <c r="S103" i="17"/>
  <c r="S104" i="17"/>
  <c r="S105" i="17"/>
  <c r="S106" i="17"/>
  <c r="S107" i="17"/>
  <c r="S108" i="17"/>
  <c r="S109" i="17"/>
  <c r="S110" i="17"/>
  <c r="S111" i="17"/>
  <c r="S112" i="17"/>
  <c r="S113" i="17"/>
  <c r="S114" i="17"/>
  <c r="S115" i="17"/>
  <c r="S116" i="17"/>
  <c r="S117" i="17"/>
  <c r="S118" i="17"/>
  <c r="S119" i="17"/>
  <c r="S120" i="17"/>
  <c r="S121" i="17"/>
  <c r="S122" i="17"/>
  <c r="S123" i="17"/>
  <c r="S124" i="17"/>
  <c r="S125" i="17"/>
  <c r="S126" i="17"/>
  <c r="S127" i="17"/>
  <c r="S128" i="17"/>
  <c r="S129" i="17"/>
  <c r="S130" i="17"/>
  <c r="S131" i="17"/>
  <c r="S132" i="17"/>
  <c r="S133" i="17"/>
  <c r="S134" i="17"/>
  <c r="S135" i="17"/>
  <c r="S136" i="17"/>
  <c r="S137" i="17"/>
  <c r="S138" i="17"/>
  <c r="S139" i="17"/>
  <c r="S140" i="17"/>
  <c r="S141" i="17"/>
  <c r="S142" i="17"/>
  <c r="S143" i="17"/>
  <c r="S144" i="17"/>
  <c r="S145" i="17"/>
  <c r="S146" i="17"/>
  <c r="S147" i="17"/>
  <c r="S148" i="17"/>
  <c r="S149" i="17"/>
  <c r="S150" i="17"/>
  <c r="S151" i="17"/>
  <c r="S152" i="17"/>
  <c r="S153" i="17"/>
  <c r="S154" i="17"/>
  <c r="S155" i="17"/>
  <c r="S156" i="17"/>
  <c r="S157" i="17"/>
  <c r="S158" i="17"/>
  <c r="S159" i="17"/>
  <c r="S160" i="17"/>
  <c r="S161" i="17"/>
  <c r="S162" i="17"/>
  <c r="S163" i="17"/>
  <c r="S164" i="17"/>
  <c r="S165" i="17"/>
  <c r="S166" i="17"/>
  <c r="S167" i="17"/>
  <c r="S168" i="17"/>
  <c r="S169" i="17"/>
  <c r="S170" i="17"/>
  <c r="S171" i="17"/>
  <c r="S172" i="17"/>
  <c r="S173" i="17"/>
  <c r="S174" i="17"/>
  <c r="S175" i="17"/>
  <c r="S176" i="17"/>
  <c r="S177" i="17"/>
  <c r="S178" i="17"/>
  <c r="S179" i="17"/>
  <c r="S180" i="17"/>
  <c r="S181" i="17"/>
  <c r="S182" i="17"/>
  <c r="S183" i="17"/>
  <c r="S184" i="17"/>
  <c r="S185" i="17"/>
  <c r="S186" i="17"/>
  <c r="S187" i="17"/>
  <c r="S188" i="17"/>
  <c r="S189" i="17"/>
  <c r="S190" i="17"/>
  <c r="S191" i="17"/>
  <c r="S192" i="17"/>
  <c r="S193" i="17"/>
  <c r="S194" i="17"/>
  <c r="S195" i="17"/>
  <c r="S196" i="17"/>
  <c r="S197" i="17"/>
  <c r="S198" i="17"/>
  <c r="S199" i="17"/>
  <c r="S200" i="17"/>
  <c r="S201" i="17"/>
  <c r="S202" i="17"/>
  <c r="S203" i="17"/>
  <c r="S204" i="17"/>
  <c r="S205" i="17"/>
  <c r="S206" i="17"/>
  <c r="S207" i="17"/>
  <c r="S208" i="17"/>
  <c r="S209" i="17"/>
  <c r="S210" i="17"/>
  <c r="S211" i="17"/>
  <c r="S212" i="17"/>
  <c r="S213" i="17"/>
  <c r="S214" i="17"/>
  <c r="S215" i="17"/>
  <c r="S216" i="17"/>
  <c r="S217" i="17"/>
  <c r="S218" i="17"/>
  <c r="S219" i="17"/>
  <c r="S220" i="17"/>
  <c r="S221" i="17"/>
  <c r="S222" i="17"/>
  <c r="S223" i="17"/>
  <c r="S224" i="17"/>
  <c r="S225" i="17"/>
  <c r="S226" i="17"/>
  <c r="S227" i="17"/>
  <c r="S228" i="17"/>
  <c r="S229" i="17"/>
  <c r="S230" i="17"/>
  <c r="S231" i="17"/>
  <c r="S232" i="17"/>
  <c r="S233" i="17"/>
  <c r="S234" i="17"/>
  <c r="S235" i="17"/>
  <c r="S236" i="17"/>
  <c r="S237" i="17"/>
  <c r="S238" i="17"/>
  <c r="S239" i="17"/>
  <c r="S240" i="17"/>
  <c r="S241" i="17"/>
  <c r="S242" i="17"/>
  <c r="S243" i="17"/>
  <c r="S244" i="17"/>
  <c r="S245" i="17"/>
  <c r="S246" i="17"/>
  <c r="S247" i="17"/>
  <c r="S248" i="17"/>
  <c r="S249" i="17"/>
  <c r="S250" i="17"/>
  <c r="S251" i="17"/>
  <c r="S252" i="17"/>
  <c r="S253" i="17"/>
  <c r="S254" i="17"/>
  <c r="S255" i="17"/>
  <c r="S256" i="17"/>
  <c r="S257" i="17"/>
  <c r="S258" i="17"/>
  <c r="S259" i="17"/>
  <c r="S260" i="17"/>
  <c r="S261" i="17"/>
  <c r="S262" i="17"/>
  <c r="S263" i="17"/>
  <c r="S264" i="17"/>
  <c r="S265" i="17"/>
  <c r="S266" i="17"/>
  <c r="S267" i="17"/>
  <c r="S268" i="17"/>
  <c r="S269" i="17"/>
  <c r="S270" i="17"/>
  <c r="S271" i="17"/>
  <c r="S272" i="17"/>
  <c r="S273" i="17"/>
  <c r="S274" i="17"/>
  <c r="S275" i="17"/>
  <c r="S276" i="17"/>
  <c r="S277" i="17"/>
  <c r="S278" i="17"/>
  <c r="S279" i="17"/>
  <c r="S280" i="17"/>
  <c r="S281" i="17"/>
  <c r="S282" i="17"/>
  <c r="S283" i="17"/>
  <c r="S284" i="17"/>
  <c r="S285" i="17"/>
  <c r="S286" i="17"/>
  <c r="S287" i="17"/>
  <c r="S288" i="17"/>
  <c r="S289" i="17"/>
  <c r="S290" i="17"/>
  <c r="S291" i="17"/>
  <c r="S292" i="17"/>
  <c r="S293" i="17"/>
  <c r="S294" i="17"/>
  <c r="S295" i="17"/>
  <c r="S296" i="17"/>
  <c r="S297" i="17"/>
  <c r="S298" i="17"/>
  <c r="S299" i="17"/>
  <c r="S300" i="17"/>
  <c r="S301" i="17"/>
  <c r="S302" i="17"/>
  <c r="S303" i="17"/>
  <c r="S304" i="17"/>
  <c r="S305" i="17"/>
  <c r="S306" i="17"/>
  <c r="S307" i="17"/>
  <c r="S308" i="17"/>
  <c r="S309" i="17"/>
  <c r="S310" i="17"/>
  <c r="S311" i="17"/>
  <c r="S312" i="17"/>
  <c r="S313" i="17"/>
  <c r="S314" i="17"/>
  <c r="S315" i="17"/>
  <c r="S316" i="17"/>
  <c r="S317" i="17"/>
  <c r="S318" i="17"/>
  <c r="S319" i="17"/>
  <c r="S320" i="17"/>
  <c r="S321" i="17"/>
  <c r="S322" i="17"/>
  <c r="S323" i="17"/>
  <c r="S324" i="17"/>
  <c r="S325" i="17"/>
  <c r="S326" i="17"/>
  <c r="S327" i="17"/>
  <c r="S328" i="17"/>
  <c r="S329" i="17"/>
  <c r="S330" i="17"/>
  <c r="S331" i="17"/>
  <c r="S332" i="17"/>
  <c r="S333" i="17"/>
  <c r="S334" i="17"/>
  <c r="S335" i="17"/>
  <c r="S336" i="17"/>
  <c r="S337" i="17"/>
  <c r="S338" i="17"/>
  <c r="S339" i="17"/>
  <c r="S340" i="17"/>
  <c r="S341" i="17"/>
  <c r="S342" i="17"/>
  <c r="S343" i="17"/>
  <c r="S344" i="17"/>
  <c r="S345" i="17"/>
  <c r="S346" i="17"/>
  <c r="S347" i="17"/>
  <c r="S348" i="17"/>
  <c r="S349" i="17"/>
  <c r="S350" i="17"/>
  <c r="S351" i="17"/>
  <c r="S352" i="17"/>
  <c r="S353" i="17"/>
  <c r="S354" i="17"/>
  <c r="S355" i="17"/>
  <c r="S356" i="17"/>
  <c r="S357" i="17"/>
  <c r="S358" i="17"/>
  <c r="S359" i="17"/>
  <c r="S360" i="17"/>
  <c r="S361" i="17"/>
  <c r="S362" i="17"/>
  <c r="S363" i="17"/>
  <c r="S364" i="17"/>
  <c r="S365" i="17"/>
  <c r="S366" i="17"/>
  <c r="S367" i="17"/>
  <c r="S368" i="17"/>
  <c r="S369" i="17"/>
  <c r="S370" i="17"/>
  <c r="S371" i="17"/>
  <c r="S372" i="17"/>
  <c r="S373" i="17"/>
  <c r="S374" i="17"/>
  <c r="S375" i="17"/>
  <c r="S376" i="17"/>
  <c r="S377" i="17"/>
  <c r="S378" i="17"/>
  <c r="S379" i="17"/>
  <c r="S380" i="17"/>
  <c r="S381" i="17"/>
  <c r="S382" i="17"/>
  <c r="S383" i="17"/>
  <c r="S384" i="17"/>
  <c r="S385" i="17"/>
  <c r="S386" i="17"/>
  <c r="S387" i="17"/>
  <c r="S388" i="17"/>
  <c r="S389" i="17"/>
  <c r="S390" i="17"/>
  <c r="S391" i="17"/>
  <c r="S392" i="17"/>
  <c r="S393" i="17"/>
  <c r="S394" i="17"/>
  <c r="S395" i="17"/>
  <c r="S396" i="17"/>
  <c r="S397" i="17"/>
  <c r="S398" i="17"/>
  <c r="S399" i="17"/>
  <c r="S400" i="17"/>
  <c r="S401" i="17"/>
  <c r="S402" i="17"/>
  <c r="S403" i="17"/>
  <c r="S404" i="17"/>
  <c r="S405" i="17"/>
  <c r="S406" i="17"/>
  <c r="S407" i="17"/>
  <c r="S408" i="17"/>
  <c r="S409" i="17"/>
  <c r="S410" i="17"/>
  <c r="S411" i="17"/>
  <c r="S412" i="17"/>
  <c r="S413" i="17"/>
  <c r="S414" i="17"/>
  <c r="S415" i="17"/>
  <c r="S416" i="17"/>
  <c r="S417" i="17"/>
  <c r="S418" i="17"/>
  <c r="S419" i="17"/>
  <c r="S420" i="17"/>
  <c r="S421" i="17"/>
  <c r="S422" i="17"/>
  <c r="S423" i="17"/>
  <c r="S424" i="17"/>
  <c r="S425" i="17"/>
  <c r="S426" i="17"/>
  <c r="S427" i="17"/>
  <c r="S428" i="17"/>
  <c r="S429" i="17"/>
  <c r="S430" i="17"/>
  <c r="S431" i="17"/>
  <c r="S432" i="17"/>
  <c r="S433" i="17"/>
  <c r="S434" i="17"/>
  <c r="S435" i="17"/>
  <c r="S436" i="17"/>
  <c r="S437" i="17"/>
  <c r="S438" i="17"/>
  <c r="S439" i="17"/>
  <c r="S440" i="17"/>
  <c r="S441" i="17"/>
  <c r="S442" i="17"/>
  <c r="S443" i="17"/>
  <c r="S444" i="17"/>
  <c r="S445" i="17"/>
  <c r="S446" i="17"/>
  <c r="S447" i="17"/>
  <c r="S448" i="17"/>
  <c r="S449" i="17"/>
  <c r="S450" i="17"/>
  <c r="S451" i="17"/>
  <c r="S452" i="17"/>
  <c r="S453" i="17"/>
  <c r="S454" i="17"/>
  <c r="S455" i="17"/>
  <c r="S456" i="17"/>
  <c r="S457" i="17"/>
  <c r="S458" i="17"/>
  <c r="S459" i="17"/>
  <c r="S460" i="17"/>
  <c r="S461" i="17"/>
  <c r="S462" i="17"/>
  <c r="S463" i="17"/>
  <c r="S464" i="17"/>
  <c r="S465" i="17"/>
  <c r="S466" i="17"/>
  <c r="S467" i="17"/>
  <c r="S468" i="17"/>
  <c r="S469" i="17"/>
  <c r="S470" i="17"/>
  <c r="S471" i="17"/>
  <c r="S472" i="17"/>
  <c r="S473" i="17"/>
  <c r="S474" i="17"/>
  <c r="S475" i="17"/>
  <c r="S476" i="17"/>
  <c r="S477" i="17"/>
  <c r="S478" i="17"/>
  <c r="S479" i="17"/>
  <c r="S480" i="17"/>
  <c r="S481" i="17"/>
  <c r="S482" i="17"/>
  <c r="S483" i="17"/>
  <c r="S484" i="17"/>
  <c r="S485" i="17"/>
  <c r="S486" i="17"/>
  <c r="S487" i="17"/>
  <c r="S488" i="17"/>
  <c r="S489" i="17"/>
  <c r="S490" i="17"/>
  <c r="S491" i="17"/>
  <c r="S492" i="17"/>
  <c r="S493" i="17"/>
  <c r="S494" i="17"/>
  <c r="S495" i="17"/>
  <c r="S496" i="17"/>
  <c r="S497" i="17"/>
  <c r="S498" i="17"/>
  <c r="S499" i="17"/>
  <c r="S500" i="17"/>
  <c r="S501" i="17"/>
  <c r="Q501" i="16"/>
  <c r="O501" i="16"/>
  <c r="P501" i="16" s="1"/>
  <c r="Q500" i="16"/>
  <c r="O500" i="16"/>
  <c r="P500" i="16" s="1"/>
  <c r="Q499" i="16"/>
  <c r="O499" i="16"/>
  <c r="P499" i="16" s="1"/>
  <c r="Q498" i="16"/>
  <c r="O498" i="16"/>
  <c r="P498" i="16" s="1"/>
  <c r="Q497" i="16"/>
  <c r="O497" i="16"/>
  <c r="P497" i="16" s="1"/>
  <c r="Q496" i="16"/>
  <c r="O496" i="16"/>
  <c r="P496" i="16" s="1"/>
  <c r="Q495" i="16"/>
  <c r="O495" i="16"/>
  <c r="P495" i="16" s="1"/>
  <c r="Q494" i="16"/>
  <c r="O494" i="16"/>
  <c r="P494" i="16" s="1"/>
  <c r="Q493" i="16"/>
  <c r="O493" i="16"/>
  <c r="P493" i="16" s="1"/>
  <c r="Q492" i="16"/>
  <c r="O492" i="16"/>
  <c r="P492" i="16" s="1"/>
  <c r="Q491" i="16"/>
  <c r="O491" i="16"/>
  <c r="P491" i="16" s="1"/>
  <c r="Q490" i="16"/>
  <c r="O490" i="16"/>
  <c r="P490" i="16" s="1"/>
  <c r="Q489" i="16"/>
  <c r="O489" i="16"/>
  <c r="P489" i="16" s="1"/>
  <c r="Q488" i="16"/>
  <c r="O488" i="16"/>
  <c r="P488" i="16" s="1"/>
  <c r="Q487" i="16"/>
  <c r="O487" i="16"/>
  <c r="P487" i="16" s="1"/>
  <c r="Q486" i="16"/>
  <c r="O486" i="16"/>
  <c r="P486" i="16" s="1"/>
  <c r="Q485" i="16"/>
  <c r="O485" i="16"/>
  <c r="P485" i="16" s="1"/>
  <c r="Q484" i="16"/>
  <c r="P484" i="16"/>
  <c r="O484" i="16"/>
  <c r="Q483" i="16"/>
  <c r="O483" i="16"/>
  <c r="P483" i="16" s="1"/>
  <c r="Q482" i="16"/>
  <c r="O482" i="16"/>
  <c r="P482" i="16" s="1"/>
  <c r="Q481" i="16"/>
  <c r="O481" i="16"/>
  <c r="P481" i="16" s="1"/>
  <c r="Q480" i="16"/>
  <c r="P480" i="16"/>
  <c r="O480" i="16"/>
  <c r="Q479" i="16"/>
  <c r="O479" i="16"/>
  <c r="P479" i="16" s="1"/>
  <c r="Q478" i="16"/>
  <c r="O478" i="16"/>
  <c r="P478" i="16" s="1"/>
  <c r="Q477" i="16"/>
  <c r="O477" i="16"/>
  <c r="P477" i="16" s="1"/>
  <c r="Q476" i="16"/>
  <c r="O476" i="16"/>
  <c r="P476" i="16" s="1"/>
  <c r="Q475" i="16"/>
  <c r="O475" i="16"/>
  <c r="P475" i="16" s="1"/>
  <c r="Q474" i="16"/>
  <c r="O474" i="16"/>
  <c r="P474" i="16" s="1"/>
  <c r="Q473" i="16"/>
  <c r="O473" i="16"/>
  <c r="P473" i="16" s="1"/>
  <c r="Q472" i="16"/>
  <c r="O472" i="16"/>
  <c r="P472" i="16" s="1"/>
  <c r="Q471" i="16"/>
  <c r="P471" i="16"/>
  <c r="O471" i="16"/>
  <c r="Q470" i="16"/>
  <c r="O470" i="16"/>
  <c r="P470" i="16" s="1"/>
  <c r="Q469" i="16"/>
  <c r="O469" i="16"/>
  <c r="P469" i="16" s="1"/>
  <c r="Q468" i="16"/>
  <c r="O468" i="16"/>
  <c r="P468" i="16" s="1"/>
  <c r="Q467" i="16"/>
  <c r="O467" i="16"/>
  <c r="P467" i="16" s="1"/>
  <c r="Q466" i="16"/>
  <c r="O466" i="16"/>
  <c r="P466" i="16" s="1"/>
  <c r="Q465" i="16"/>
  <c r="O465" i="16"/>
  <c r="P465" i="16" s="1"/>
  <c r="Q464" i="16"/>
  <c r="O464" i="16"/>
  <c r="P464" i="16" s="1"/>
  <c r="Q463" i="16"/>
  <c r="O463" i="16"/>
  <c r="P463" i="16" s="1"/>
  <c r="Q462" i="16"/>
  <c r="O462" i="16"/>
  <c r="P462" i="16" s="1"/>
  <c r="Q461" i="16"/>
  <c r="O461" i="16"/>
  <c r="P461" i="16" s="1"/>
  <c r="Q460" i="16"/>
  <c r="O460" i="16"/>
  <c r="P460" i="16" s="1"/>
  <c r="Q459" i="16"/>
  <c r="O459" i="16"/>
  <c r="P459" i="16" s="1"/>
  <c r="Q458" i="16"/>
  <c r="P458" i="16"/>
  <c r="O458" i="16"/>
  <c r="Q457" i="16"/>
  <c r="O457" i="16"/>
  <c r="P457" i="16" s="1"/>
  <c r="Q456" i="16"/>
  <c r="O456" i="16"/>
  <c r="P456" i="16" s="1"/>
  <c r="Q455" i="16"/>
  <c r="O455" i="16"/>
  <c r="P455" i="16" s="1"/>
  <c r="Q454" i="16"/>
  <c r="O454" i="16"/>
  <c r="P454" i="16" s="1"/>
  <c r="Q453" i="16"/>
  <c r="O453" i="16"/>
  <c r="P453" i="16" s="1"/>
  <c r="Q452" i="16"/>
  <c r="O452" i="16"/>
  <c r="P452" i="16" s="1"/>
  <c r="Q451" i="16"/>
  <c r="O451" i="16"/>
  <c r="P451" i="16" s="1"/>
  <c r="Q450" i="16"/>
  <c r="O450" i="16"/>
  <c r="P450" i="16" s="1"/>
  <c r="Q449" i="16"/>
  <c r="O449" i="16"/>
  <c r="P449" i="16" s="1"/>
  <c r="Q448" i="16"/>
  <c r="O448" i="16"/>
  <c r="P448" i="16" s="1"/>
  <c r="Q447" i="16"/>
  <c r="O447" i="16"/>
  <c r="P447" i="16" s="1"/>
  <c r="Q446" i="16"/>
  <c r="O446" i="16"/>
  <c r="P446" i="16" s="1"/>
  <c r="Q445" i="16"/>
  <c r="O445" i="16"/>
  <c r="P445" i="16" s="1"/>
  <c r="Q444" i="16"/>
  <c r="O444" i="16"/>
  <c r="P444" i="16" s="1"/>
  <c r="Q443" i="16"/>
  <c r="O443" i="16"/>
  <c r="P443" i="16" s="1"/>
  <c r="Q442" i="16"/>
  <c r="O442" i="16"/>
  <c r="P442" i="16" s="1"/>
  <c r="Q441" i="16"/>
  <c r="O441" i="16"/>
  <c r="P441" i="16" s="1"/>
  <c r="Q440" i="16"/>
  <c r="O440" i="16"/>
  <c r="P440" i="16" s="1"/>
  <c r="Q439" i="16"/>
  <c r="O439" i="16"/>
  <c r="P439" i="16" s="1"/>
  <c r="Q438" i="16"/>
  <c r="O438" i="16"/>
  <c r="P438" i="16" s="1"/>
  <c r="Q437" i="16"/>
  <c r="O437" i="16"/>
  <c r="P437" i="16" s="1"/>
  <c r="Q436" i="16"/>
  <c r="P436" i="16"/>
  <c r="O436" i="16"/>
  <c r="Q435" i="16"/>
  <c r="O435" i="16"/>
  <c r="P435" i="16" s="1"/>
  <c r="Q434" i="16"/>
  <c r="O434" i="16"/>
  <c r="P434" i="16" s="1"/>
  <c r="Q433" i="16"/>
  <c r="O433" i="16"/>
  <c r="P433" i="16" s="1"/>
  <c r="Q432" i="16"/>
  <c r="O432" i="16"/>
  <c r="P432" i="16" s="1"/>
  <c r="Q431" i="16"/>
  <c r="O431" i="16"/>
  <c r="P431" i="16" s="1"/>
  <c r="Q430" i="16"/>
  <c r="O430" i="16"/>
  <c r="P430" i="16" s="1"/>
  <c r="Q429" i="16"/>
  <c r="O429" i="16"/>
  <c r="P429" i="16" s="1"/>
  <c r="Q428" i="16"/>
  <c r="P428" i="16"/>
  <c r="O428" i="16"/>
  <c r="Q427" i="16"/>
  <c r="O427" i="16"/>
  <c r="P427" i="16" s="1"/>
  <c r="Q426" i="16"/>
  <c r="O426" i="16"/>
  <c r="P426" i="16" s="1"/>
  <c r="Q425" i="16"/>
  <c r="O425" i="16"/>
  <c r="P425" i="16" s="1"/>
  <c r="Q424" i="16"/>
  <c r="O424" i="16"/>
  <c r="P424" i="16" s="1"/>
  <c r="Q423" i="16"/>
  <c r="P423" i="16"/>
  <c r="O423" i="16"/>
  <c r="Q422" i="16"/>
  <c r="O422" i="16"/>
  <c r="P422" i="16" s="1"/>
  <c r="Q421" i="16"/>
  <c r="O421" i="16"/>
  <c r="P421" i="16" s="1"/>
  <c r="Q420" i="16"/>
  <c r="O420" i="16"/>
  <c r="P420" i="16" s="1"/>
  <c r="Q419" i="16"/>
  <c r="O419" i="16"/>
  <c r="P419" i="16" s="1"/>
  <c r="Q418" i="16"/>
  <c r="O418" i="16"/>
  <c r="P418" i="16" s="1"/>
  <c r="Q417" i="16"/>
  <c r="O417" i="16"/>
  <c r="P417" i="16" s="1"/>
  <c r="Q416" i="16"/>
  <c r="O416" i="16"/>
  <c r="P416" i="16" s="1"/>
  <c r="Q415" i="16"/>
  <c r="O415" i="16"/>
  <c r="P415" i="16" s="1"/>
  <c r="Q414" i="16"/>
  <c r="O414" i="16"/>
  <c r="P414" i="16" s="1"/>
  <c r="Q413" i="16"/>
  <c r="O413" i="16"/>
  <c r="P413" i="16" s="1"/>
  <c r="Q412" i="16"/>
  <c r="O412" i="16"/>
  <c r="P412" i="16" s="1"/>
  <c r="Q411" i="16"/>
  <c r="O411" i="16"/>
  <c r="P411" i="16" s="1"/>
  <c r="Q410" i="16"/>
  <c r="P410" i="16"/>
  <c r="O410" i="16"/>
  <c r="Q409" i="16"/>
  <c r="O409" i="16"/>
  <c r="P409" i="16" s="1"/>
  <c r="Q408" i="16"/>
  <c r="O408" i="16"/>
  <c r="P408" i="16" s="1"/>
  <c r="Q407" i="16"/>
  <c r="O407" i="16"/>
  <c r="P407" i="16" s="1"/>
  <c r="Q406" i="16"/>
  <c r="O406" i="16"/>
  <c r="P406" i="16" s="1"/>
  <c r="Q405" i="16"/>
  <c r="O405" i="16"/>
  <c r="P405" i="16" s="1"/>
  <c r="Q404" i="16"/>
  <c r="O404" i="16"/>
  <c r="P404" i="16" s="1"/>
  <c r="Q403" i="16"/>
  <c r="O403" i="16"/>
  <c r="P403" i="16" s="1"/>
  <c r="Q402" i="16"/>
  <c r="O402" i="16"/>
  <c r="P402" i="16" s="1"/>
  <c r="Q401" i="16"/>
  <c r="O401" i="16"/>
  <c r="P401" i="16" s="1"/>
  <c r="Q400" i="16"/>
  <c r="O400" i="16"/>
  <c r="P400" i="16" s="1"/>
  <c r="Q399" i="16"/>
  <c r="O399" i="16"/>
  <c r="P399" i="16" s="1"/>
  <c r="Q398" i="16"/>
  <c r="O398" i="16"/>
  <c r="P398" i="16" s="1"/>
  <c r="Q397" i="16"/>
  <c r="O397" i="16"/>
  <c r="P397" i="16" s="1"/>
  <c r="Q396" i="16"/>
  <c r="O396" i="16"/>
  <c r="P396" i="16" s="1"/>
  <c r="Q395" i="16"/>
  <c r="O395" i="16"/>
  <c r="P395" i="16" s="1"/>
  <c r="Q394" i="16"/>
  <c r="O394" i="16"/>
  <c r="P394" i="16" s="1"/>
  <c r="Q393" i="16"/>
  <c r="O393" i="16"/>
  <c r="P393" i="16" s="1"/>
  <c r="Q392" i="16"/>
  <c r="O392" i="16"/>
  <c r="P392" i="16" s="1"/>
  <c r="Q391" i="16"/>
  <c r="O391" i="16"/>
  <c r="P391" i="16" s="1"/>
  <c r="Q390" i="16"/>
  <c r="O390" i="16"/>
  <c r="P390" i="16" s="1"/>
  <c r="Q389" i="16"/>
  <c r="O389" i="16"/>
  <c r="P389" i="16" s="1"/>
  <c r="Q388" i="16"/>
  <c r="P388" i="16"/>
  <c r="O388" i="16"/>
  <c r="Q387" i="16"/>
  <c r="O387" i="16"/>
  <c r="P387" i="16" s="1"/>
  <c r="Q386" i="16"/>
  <c r="O386" i="16"/>
  <c r="P386" i="16" s="1"/>
  <c r="Q385" i="16"/>
  <c r="O385" i="16"/>
  <c r="P385" i="16" s="1"/>
  <c r="Q384" i="16"/>
  <c r="O384" i="16"/>
  <c r="P384" i="16" s="1"/>
  <c r="Q383" i="16"/>
  <c r="O383" i="16"/>
  <c r="P383" i="16" s="1"/>
  <c r="Q382" i="16"/>
  <c r="O382" i="16"/>
  <c r="P382" i="16" s="1"/>
  <c r="Q381" i="16"/>
  <c r="O381" i="16"/>
  <c r="P381" i="16" s="1"/>
  <c r="Q380" i="16"/>
  <c r="O380" i="16"/>
  <c r="P380" i="16" s="1"/>
  <c r="Q379" i="16"/>
  <c r="O379" i="16"/>
  <c r="P379" i="16" s="1"/>
  <c r="Q378" i="16"/>
  <c r="O378" i="16"/>
  <c r="P378" i="16" s="1"/>
  <c r="Q377" i="16"/>
  <c r="O377" i="16"/>
  <c r="P377" i="16" s="1"/>
  <c r="Q376" i="16"/>
  <c r="P376" i="16"/>
  <c r="O376" i="16"/>
  <c r="Q375" i="16"/>
  <c r="P375" i="16"/>
  <c r="O375" i="16"/>
  <c r="Q374" i="16"/>
  <c r="O374" i="16"/>
  <c r="P374" i="16" s="1"/>
  <c r="Q373" i="16"/>
  <c r="O373" i="16"/>
  <c r="P373" i="16" s="1"/>
  <c r="Q372" i="16"/>
  <c r="O372" i="16"/>
  <c r="P372" i="16" s="1"/>
  <c r="Q371" i="16"/>
  <c r="O371" i="16"/>
  <c r="P371" i="16" s="1"/>
  <c r="Q370" i="16"/>
  <c r="O370" i="16"/>
  <c r="P370" i="16" s="1"/>
  <c r="Q369" i="16"/>
  <c r="O369" i="16"/>
  <c r="P369" i="16" s="1"/>
  <c r="Q368" i="16"/>
  <c r="O368" i="16"/>
  <c r="P368" i="16" s="1"/>
  <c r="Q367" i="16"/>
  <c r="O367" i="16"/>
  <c r="P367" i="16" s="1"/>
  <c r="Q366" i="16"/>
  <c r="O366" i="16"/>
  <c r="P366" i="16" s="1"/>
  <c r="Q365" i="16"/>
  <c r="O365" i="16"/>
  <c r="P365" i="16" s="1"/>
  <c r="Q364" i="16"/>
  <c r="O364" i="16"/>
  <c r="P364" i="16" s="1"/>
  <c r="Q363" i="16"/>
  <c r="O363" i="16"/>
  <c r="P363" i="16" s="1"/>
  <c r="Q362" i="16"/>
  <c r="P362" i="16"/>
  <c r="O362" i="16"/>
  <c r="Q361" i="16"/>
  <c r="O361" i="16"/>
  <c r="P361" i="16" s="1"/>
  <c r="Q360" i="16"/>
  <c r="O360" i="16"/>
  <c r="P360" i="16" s="1"/>
  <c r="Q359" i="16"/>
  <c r="O359" i="16"/>
  <c r="P359" i="16" s="1"/>
  <c r="Q358" i="16"/>
  <c r="O358" i="16"/>
  <c r="P358" i="16" s="1"/>
  <c r="Q357" i="16"/>
  <c r="O357" i="16"/>
  <c r="P357" i="16" s="1"/>
  <c r="Q356" i="16"/>
  <c r="O356" i="16"/>
  <c r="P356" i="16" s="1"/>
  <c r="Q355" i="16"/>
  <c r="O355" i="16"/>
  <c r="P355" i="16" s="1"/>
  <c r="Q354" i="16"/>
  <c r="O354" i="16"/>
  <c r="P354" i="16" s="1"/>
  <c r="Q353" i="16"/>
  <c r="O353" i="16"/>
  <c r="P353" i="16" s="1"/>
  <c r="Q352" i="16"/>
  <c r="O352" i="16"/>
  <c r="P352" i="16" s="1"/>
  <c r="Q351" i="16"/>
  <c r="O351" i="16"/>
  <c r="P351" i="16" s="1"/>
  <c r="Q350" i="16"/>
  <c r="O350" i="16"/>
  <c r="P350" i="16" s="1"/>
  <c r="Q349" i="16"/>
  <c r="O349" i="16"/>
  <c r="P349" i="16" s="1"/>
  <c r="Q348" i="16"/>
  <c r="O348" i="16"/>
  <c r="P348" i="16" s="1"/>
  <c r="Q347" i="16"/>
  <c r="O347" i="16"/>
  <c r="P347" i="16" s="1"/>
  <c r="Q346" i="16"/>
  <c r="O346" i="16"/>
  <c r="P346" i="16" s="1"/>
  <c r="Q345" i="16"/>
  <c r="O345" i="16"/>
  <c r="P345" i="16" s="1"/>
  <c r="Q344" i="16"/>
  <c r="O344" i="16"/>
  <c r="P344" i="16" s="1"/>
  <c r="Q343" i="16"/>
  <c r="O343" i="16"/>
  <c r="P343" i="16" s="1"/>
  <c r="Q342" i="16"/>
  <c r="O342" i="16"/>
  <c r="P342" i="16" s="1"/>
  <c r="Q341" i="16"/>
  <c r="O341" i="16"/>
  <c r="P341" i="16" s="1"/>
  <c r="Q340" i="16"/>
  <c r="P340" i="16"/>
  <c r="O340" i="16"/>
  <c r="Q339" i="16"/>
  <c r="O339" i="16"/>
  <c r="P339" i="16" s="1"/>
  <c r="Q338" i="16"/>
  <c r="O338" i="16"/>
  <c r="P338" i="16" s="1"/>
  <c r="Q337" i="16"/>
  <c r="O337" i="16"/>
  <c r="P337" i="16" s="1"/>
  <c r="Q336" i="16"/>
  <c r="O336" i="16"/>
  <c r="P336" i="16" s="1"/>
  <c r="Q335" i="16"/>
  <c r="O335" i="16"/>
  <c r="P335" i="16" s="1"/>
  <c r="Q334" i="16"/>
  <c r="O334" i="16"/>
  <c r="P334" i="16" s="1"/>
  <c r="Q333" i="16"/>
  <c r="O333" i="16"/>
  <c r="P333" i="16" s="1"/>
  <c r="Q332" i="16"/>
  <c r="O332" i="16"/>
  <c r="P332" i="16" s="1"/>
  <c r="Q331" i="16"/>
  <c r="O331" i="16"/>
  <c r="P331" i="16" s="1"/>
  <c r="Q330" i="16"/>
  <c r="O330" i="16"/>
  <c r="P330" i="16" s="1"/>
  <c r="Q329" i="16"/>
  <c r="O329" i="16"/>
  <c r="P329" i="16" s="1"/>
  <c r="Q328" i="16"/>
  <c r="O328" i="16"/>
  <c r="P328" i="16" s="1"/>
  <c r="Q327" i="16"/>
  <c r="P327" i="16"/>
  <c r="O327" i="16"/>
  <c r="Q326" i="16"/>
  <c r="O326" i="16"/>
  <c r="P326" i="16" s="1"/>
  <c r="Q325" i="16"/>
  <c r="O325" i="16"/>
  <c r="P325" i="16" s="1"/>
  <c r="Q324" i="16"/>
  <c r="O324" i="16"/>
  <c r="P324" i="16" s="1"/>
  <c r="Q323" i="16"/>
  <c r="O323" i="16"/>
  <c r="P323" i="16" s="1"/>
  <c r="Q322" i="16"/>
  <c r="O322" i="16"/>
  <c r="P322" i="16" s="1"/>
  <c r="Q321" i="16"/>
  <c r="O321" i="16"/>
  <c r="P321" i="16" s="1"/>
  <c r="Q320" i="16"/>
  <c r="O320" i="16"/>
  <c r="P320" i="16" s="1"/>
  <c r="Q319" i="16"/>
  <c r="O319" i="16"/>
  <c r="P319" i="16" s="1"/>
  <c r="Q318" i="16"/>
  <c r="O318" i="16"/>
  <c r="P318" i="16" s="1"/>
  <c r="Q317" i="16"/>
  <c r="O317" i="16"/>
  <c r="P317" i="16" s="1"/>
  <c r="Q316" i="16"/>
  <c r="O316" i="16"/>
  <c r="P316" i="16" s="1"/>
  <c r="Q315" i="16"/>
  <c r="O315" i="16"/>
  <c r="P315" i="16" s="1"/>
  <c r="Q314" i="16"/>
  <c r="P314" i="16"/>
  <c r="O314" i="16"/>
  <c r="Q313" i="16"/>
  <c r="O313" i="16"/>
  <c r="P313" i="16" s="1"/>
  <c r="Q312" i="16"/>
  <c r="O312" i="16"/>
  <c r="P312" i="16" s="1"/>
  <c r="Q311" i="16"/>
  <c r="O311" i="16"/>
  <c r="P311" i="16" s="1"/>
  <c r="Q310" i="16"/>
  <c r="O310" i="16"/>
  <c r="P310" i="16" s="1"/>
  <c r="Q309" i="16"/>
  <c r="O309" i="16"/>
  <c r="P309" i="16" s="1"/>
  <c r="Q308" i="16"/>
  <c r="O308" i="16"/>
  <c r="P308" i="16" s="1"/>
  <c r="Q307" i="16"/>
  <c r="O307" i="16"/>
  <c r="P307" i="16" s="1"/>
  <c r="Q306" i="16"/>
  <c r="O306" i="16"/>
  <c r="P306" i="16" s="1"/>
  <c r="Q305" i="16"/>
  <c r="O305" i="16"/>
  <c r="P305" i="16" s="1"/>
  <c r="Q304" i="16"/>
  <c r="O304" i="16"/>
  <c r="P304" i="16" s="1"/>
  <c r="Q303" i="16"/>
  <c r="O303" i="16"/>
  <c r="P303" i="16" s="1"/>
  <c r="Q302" i="16"/>
  <c r="O302" i="16"/>
  <c r="P302" i="16" s="1"/>
  <c r="Q301" i="16"/>
  <c r="O301" i="16"/>
  <c r="P301" i="16" s="1"/>
  <c r="Q300" i="16"/>
  <c r="O300" i="16"/>
  <c r="P300" i="16" s="1"/>
  <c r="Q299" i="16"/>
  <c r="O299" i="16"/>
  <c r="P299" i="16" s="1"/>
  <c r="Q298" i="16"/>
  <c r="O298" i="16"/>
  <c r="P298" i="16" s="1"/>
  <c r="Q297" i="16"/>
  <c r="O297" i="16"/>
  <c r="P297" i="16" s="1"/>
  <c r="Q296" i="16"/>
  <c r="O296" i="16"/>
  <c r="P296" i="16" s="1"/>
  <c r="Q295" i="16"/>
  <c r="O295" i="16"/>
  <c r="P295" i="16" s="1"/>
  <c r="Q294" i="16"/>
  <c r="O294" i="16"/>
  <c r="P294" i="16" s="1"/>
  <c r="Q293" i="16"/>
  <c r="O293" i="16"/>
  <c r="P293" i="16" s="1"/>
  <c r="Q292" i="16"/>
  <c r="P292" i="16"/>
  <c r="O292" i="16"/>
  <c r="Q291" i="16"/>
  <c r="O291" i="16"/>
  <c r="P291" i="16" s="1"/>
  <c r="Q290" i="16"/>
  <c r="O290" i="16"/>
  <c r="P290" i="16" s="1"/>
  <c r="Q289" i="16"/>
  <c r="O289" i="16"/>
  <c r="P289" i="16" s="1"/>
  <c r="Q288" i="16"/>
  <c r="P288" i="16"/>
  <c r="O288" i="16"/>
  <c r="Q287" i="16"/>
  <c r="O287" i="16"/>
  <c r="P287" i="16" s="1"/>
  <c r="Q286" i="16"/>
  <c r="O286" i="16"/>
  <c r="P286" i="16" s="1"/>
  <c r="Q285" i="16"/>
  <c r="O285" i="16"/>
  <c r="P285" i="16" s="1"/>
  <c r="Q284" i="16"/>
  <c r="O284" i="16"/>
  <c r="P284" i="16" s="1"/>
  <c r="Q283" i="16"/>
  <c r="O283" i="16"/>
  <c r="P283" i="16" s="1"/>
  <c r="Q282" i="16"/>
  <c r="O282" i="16"/>
  <c r="P282" i="16" s="1"/>
  <c r="Q281" i="16"/>
  <c r="O281" i="16"/>
  <c r="P281" i="16" s="1"/>
  <c r="Q280" i="16"/>
  <c r="O280" i="16"/>
  <c r="P280" i="16" s="1"/>
  <c r="Q279" i="16"/>
  <c r="P279" i="16"/>
  <c r="O279" i="16"/>
  <c r="Q278" i="16"/>
  <c r="O278" i="16"/>
  <c r="P278" i="16" s="1"/>
  <c r="Q277" i="16"/>
  <c r="O277" i="16"/>
  <c r="P277" i="16" s="1"/>
  <c r="Q276" i="16"/>
  <c r="O276" i="16"/>
  <c r="P276" i="16" s="1"/>
  <c r="Q275" i="16"/>
  <c r="O275" i="16"/>
  <c r="P275" i="16" s="1"/>
  <c r="Q274" i="16"/>
  <c r="O274" i="16"/>
  <c r="P274" i="16" s="1"/>
  <c r="Q273" i="16"/>
  <c r="O273" i="16"/>
  <c r="P273" i="16" s="1"/>
  <c r="Q272" i="16"/>
  <c r="O272" i="16"/>
  <c r="P272" i="16" s="1"/>
  <c r="Q271" i="16"/>
  <c r="O271" i="16"/>
  <c r="P271" i="16" s="1"/>
  <c r="Q270" i="16"/>
  <c r="O270" i="16"/>
  <c r="P270" i="16" s="1"/>
  <c r="Q269" i="16"/>
  <c r="O269" i="16"/>
  <c r="P269" i="16" s="1"/>
  <c r="Q268" i="16"/>
  <c r="O268" i="16"/>
  <c r="P268" i="16" s="1"/>
  <c r="Q267" i="16"/>
  <c r="O267" i="16"/>
  <c r="P267" i="16" s="1"/>
  <c r="Q266" i="16"/>
  <c r="P266" i="16"/>
  <c r="O266" i="16"/>
  <c r="Q265" i="16"/>
  <c r="O265" i="16"/>
  <c r="P265" i="16" s="1"/>
  <c r="Q264" i="16"/>
  <c r="O264" i="16"/>
  <c r="P264" i="16" s="1"/>
  <c r="Q263" i="16"/>
  <c r="P263" i="16"/>
  <c r="O263" i="16"/>
  <c r="Q262" i="16"/>
  <c r="O262" i="16"/>
  <c r="P262" i="16" s="1"/>
  <c r="Q261" i="16"/>
  <c r="O261" i="16"/>
  <c r="P261" i="16" s="1"/>
  <c r="Q260" i="16"/>
  <c r="O260" i="16"/>
  <c r="P260" i="16" s="1"/>
  <c r="Q259" i="16"/>
  <c r="O259" i="16"/>
  <c r="P259" i="16" s="1"/>
  <c r="Q258" i="16"/>
  <c r="O258" i="16"/>
  <c r="P258" i="16" s="1"/>
  <c r="Q257" i="16"/>
  <c r="O257" i="16"/>
  <c r="P257" i="16" s="1"/>
  <c r="Q256" i="16"/>
  <c r="O256" i="16"/>
  <c r="P256" i="16" s="1"/>
  <c r="Q255" i="16"/>
  <c r="O255" i="16"/>
  <c r="P255" i="16" s="1"/>
  <c r="Q254" i="16"/>
  <c r="O254" i="16"/>
  <c r="P254" i="16" s="1"/>
  <c r="Q253" i="16"/>
  <c r="O253" i="16"/>
  <c r="P253" i="16" s="1"/>
  <c r="Q252" i="16"/>
  <c r="O252" i="16"/>
  <c r="P252" i="16" s="1"/>
  <c r="Q251" i="16"/>
  <c r="O251" i="16"/>
  <c r="P251" i="16" s="1"/>
  <c r="Q250" i="16"/>
  <c r="O250" i="16"/>
  <c r="P250" i="16" s="1"/>
  <c r="Q249" i="16"/>
  <c r="O249" i="16"/>
  <c r="P249" i="16" s="1"/>
  <c r="Q248" i="16"/>
  <c r="O248" i="16"/>
  <c r="P248" i="16" s="1"/>
  <c r="Q247" i="16"/>
  <c r="O247" i="16"/>
  <c r="P247" i="16" s="1"/>
  <c r="Q246" i="16"/>
  <c r="O246" i="16"/>
  <c r="P246" i="16" s="1"/>
  <c r="Q245" i="16"/>
  <c r="O245" i="16"/>
  <c r="P245" i="16" s="1"/>
  <c r="Q244" i="16"/>
  <c r="P244" i="16"/>
  <c r="O244" i="16"/>
  <c r="Q243" i="16"/>
  <c r="O243" i="16"/>
  <c r="P243" i="16" s="1"/>
  <c r="Q242" i="16"/>
  <c r="O242" i="16"/>
  <c r="P242" i="16" s="1"/>
  <c r="Q241" i="16"/>
  <c r="O241" i="16"/>
  <c r="P241" i="16" s="1"/>
  <c r="Q240" i="16"/>
  <c r="O240" i="16"/>
  <c r="P240" i="16" s="1"/>
  <c r="Q239" i="16"/>
  <c r="O239" i="16"/>
  <c r="P239" i="16" s="1"/>
  <c r="Q238" i="16"/>
  <c r="O238" i="16"/>
  <c r="P238" i="16" s="1"/>
  <c r="Q237" i="16"/>
  <c r="O237" i="16"/>
  <c r="P237" i="16" s="1"/>
  <c r="Q236" i="16"/>
  <c r="O236" i="16"/>
  <c r="P236" i="16" s="1"/>
  <c r="Q235" i="16"/>
  <c r="O235" i="16"/>
  <c r="P235" i="16" s="1"/>
  <c r="Q234" i="16"/>
  <c r="O234" i="16"/>
  <c r="P234" i="16" s="1"/>
  <c r="Q233" i="16"/>
  <c r="O233" i="16"/>
  <c r="P233" i="16" s="1"/>
  <c r="Q232" i="16"/>
  <c r="P232" i="16"/>
  <c r="O232" i="16"/>
  <c r="Q231" i="16"/>
  <c r="P231" i="16"/>
  <c r="O231" i="16"/>
  <c r="Q230" i="16"/>
  <c r="O230" i="16"/>
  <c r="P230" i="16" s="1"/>
  <c r="Q229" i="16"/>
  <c r="O229" i="16"/>
  <c r="P229" i="16" s="1"/>
  <c r="Q228" i="16"/>
  <c r="O228" i="16"/>
  <c r="P228" i="16" s="1"/>
  <c r="Q227" i="16"/>
  <c r="O227" i="16"/>
  <c r="P227" i="16" s="1"/>
  <c r="Q226" i="16"/>
  <c r="O226" i="16"/>
  <c r="P226" i="16" s="1"/>
  <c r="Q225" i="16"/>
  <c r="O225" i="16"/>
  <c r="P225" i="16" s="1"/>
  <c r="Q224" i="16"/>
  <c r="O224" i="16"/>
  <c r="P224" i="16" s="1"/>
  <c r="Q223" i="16"/>
  <c r="O223" i="16"/>
  <c r="P223" i="16" s="1"/>
  <c r="Q222" i="16"/>
  <c r="O222" i="16"/>
  <c r="P222" i="16" s="1"/>
  <c r="Q221" i="16"/>
  <c r="O221" i="16"/>
  <c r="P221" i="16" s="1"/>
  <c r="Q220" i="16"/>
  <c r="O220" i="16"/>
  <c r="P220" i="16" s="1"/>
  <c r="Q219" i="16"/>
  <c r="O219" i="16"/>
  <c r="P219" i="16" s="1"/>
  <c r="Q218" i="16"/>
  <c r="P218" i="16"/>
  <c r="O218" i="16"/>
  <c r="Q217" i="16"/>
  <c r="O217" i="16"/>
  <c r="P217" i="16" s="1"/>
  <c r="Q216" i="16"/>
  <c r="O216" i="16"/>
  <c r="P216" i="16" s="1"/>
  <c r="Q215" i="16"/>
  <c r="O215" i="16"/>
  <c r="P215" i="16" s="1"/>
  <c r="Q214" i="16"/>
  <c r="O214" i="16"/>
  <c r="P214" i="16" s="1"/>
  <c r="Q213" i="16"/>
  <c r="O213" i="16"/>
  <c r="P213" i="16" s="1"/>
  <c r="Q212" i="16"/>
  <c r="O212" i="16"/>
  <c r="P212" i="16" s="1"/>
  <c r="Q211" i="16"/>
  <c r="O211" i="16"/>
  <c r="P211" i="16" s="1"/>
  <c r="Q210" i="16"/>
  <c r="O210" i="16"/>
  <c r="P210" i="16" s="1"/>
  <c r="Q209" i="16"/>
  <c r="O209" i="16"/>
  <c r="P209" i="16" s="1"/>
  <c r="Q208" i="16"/>
  <c r="O208" i="16"/>
  <c r="P208" i="16" s="1"/>
  <c r="Q207" i="16"/>
  <c r="O207" i="16"/>
  <c r="P207" i="16" s="1"/>
  <c r="Q206" i="16"/>
  <c r="O206" i="16"/>
  <c r="P206" i="16" s="1"/>
  <c r="Q205" i="16"/>
  <c r="O205" i="16"/>
  <c r="P205" i="16" s="1"/>
  <c r="Q204" i="16"/>
  <c r="O204" i="16"/>
  <c r="P204" i="16" s="1"/>
  <c r="Q203" i="16"/>
  <c r="O203" i="16"/>
  <c r="P203" i="16" s="1"/>
  <c r="Q202" i="16"/>
  <c r="O202" i="16"/>
  <c r="P202" i="16" s="1"/>
  <c r="Q201" i="16"/>
  <c r="O201" i="16"/>
  <c r="P201" i="16" s="1"/>
  <c r="Q200" i="16"/>
  <c r="O200" i="16"/>
  <c r="P200" i="16" s="1"/>
  <c r="Q199" i="16"/>
  <c r="O199" i="16"/>
  <c r="P199" i="16" s="1"/>
  <c r="Q198" i="16"/>
  <c r="O198" i="16"/>
  <c r="P198" i="16" s="1"/>
  <c r="Q197" i="16"/>
  <c r="O197" i="16"/>
  <c r="P197" i="16" s="1"/>
  <c r="Q196" i="16"/>
  <c r="P196" i="16"/>
  <c r="O196" i="16"/>
  <c r="Q195" i="16"/>
  <c r="O195" i="16"/>
  <c r="P195" i="16" s="1"/>
  <c r="Q194" i="16"/>
  <c r="O194" i="16"/>
  <c r="P194" i="16" s="1"/>
  <c r="Q193" i="16"/>
  <c r="O193" i="16"/>
  <c r="P193" i="16" s="1"/>
  <c r="Q192" i="16"/>
  <c r="P192" i="16"/>
  <c r="O192" i="16"/>
  <c r="Q191" i="16"/>
  <c r="O191" i="16"/>
  <c r="P191" i="16" s="1"/>
  <c r="Q190" i="16"/>
  <c r="O190" i="16"/>
  <c r="P190" i="16" s="1"/>
  <c r="Q189" i="16"/>
  <c r="O189" i="16"/>
  <c r="P189" i="16" s="1"/>
  <c r="Q188" i="16"/>
  <c r="O188" i="16"/>
  <c r="P188" i="16" s="1"/>
  <c r="Q187" i="16"/>
  <c r="O187" i="16"/>
  <c r="P187" i="16" s="1"/>
  <c r="Q186" i="16"/>
  <c r="O186" i="16"/>
  <c r="P186" i="16" s="1"/>
  <c r="Q185" i="16"/>
  <c r="O185" i="16"/>
  <c r="P185" i="16" s="1"/>
  <c r="Q184" i="16"/>
  <c r="O184" i="16"/>
  <c r="P184" i="16" s="1"/>
  <c r="Q183" i="16"/>
  <c r="P183" i="16"/>
  <c r="O183" i="16"/>
  <c r="Q182" i="16"/>
  <c r="O182" i="16"/>
  <c r="P182" i="16" s="1"/>
  <c r="Q181" i="16"/>
  <c r="O181" i="16"/>
  <c r="P181" i="16" s="1"/>
  <c r="Q180" i="16"/>
  <c r="O180" i="16"/>
  <c r="P180" i="16" s="1"/>
  <c r="Q179" i="16"/>
  <c r="O179" i="16"/>
  <c r="P179" i="16" s="1"/>
  <c r="Q178" i="16"/>
  <c r="O178" i="16"/>
  <c r="P178" i="16" s="1"/>
  <c r="Q177" i="16"/>
  <c r="O177" i="16"/>
  <c r="P177" i="16" s="1"/>
  <c r="Q176" i="16"/>
  <c r="O176" i="16"/>
  <c r="P176" i="16" s="1"/>
  <c r="Q175" i="16"/>
  <c r="O175" i="16"/>
  <c r="P175" i="16" s="1"/>
  <c r="Q174" i="16"/>
  <c r="O174" i="16"/>
  <c r="P174" i="16" s="1"/>
  <c r="Q173" i="16"/>
  <c r="O173" i="16"/>
  <c r="P173" i="16" s="1"/>
  <c r="Q172" i="16"/>
  <c r="O172" i="16"/>
  <c r="P172" i="16" s="1"/>
  <c r="Q171" i="16"/>
  <c r="O171" i="16"/>
  <c r="P171" i="16" s="1"/>
  <c r="Q170" i="16"/>
  <c r="P170" i="16"/>
  <c r="O170" i="16"/>
  <c r="Q169" i="16"/>
  <c r="O169" i="16"/>
  <c r="P169" i="16" s="1"/>
  <c r="Q168" i="16"/>
  <c r="O168" i="16"/>
  <c r="P168" i="16" s="1"/>
  <c r="Q167" i="16"/>
  <c r="P167" i="16"/>
  <c r="O167" i="16"/>
  <c r="Q166" i="16"/>
  <c r="O166" i="16"/>
  <c r="P166" i="16" s="1"/>
  <c r="Q165" i="16"/>
  <c r="O165" i="16"/>
  <c r="P165" i="16" s="1"/>
  <c r="Q164" i="16"/>
  <c r="O164" i="16"/>
  <c r="P164" i="16" s="1"/>
  <c r="Q163" i="16"/>
  <c r="O163" i="16"/>
  <c r="P163" i="16" s="1"/>
  <c r="Q162" i="16"/>
  <c r="O162" i="16"/>
  <c r="P162" i="16" s="1"/>
  <c r="Q161" i="16"/>
  <c r="O161" i="16"/>
  <c r="P161" i="16" s="1"/>
  <c r="Q160" i="16"/>
  <c r="O160" i="16"/>
  <c r="P160" i="16" s="1"/>
  <c r="Q159" i="16"/>
  <c r="O159" i="16"/>
  <c r="P159" i="16" s="1"/>
  <c r="Q158" i="16"/>
  <c r="O158" i="16"/>
  <c r="P158" i="16" s="1"/>
  <c r="Q157" i="16"/>
  <c r="O157" i="16"/>
  <c r="P157" i="16" s="1"/>
  <c r="Q156" i="16"/>
  <c r="O156" i="16"/>
  <c r="P156" i="16" s="1"/>
  <c r="Q155" i="16"/>
  <c r="O155" i="16"/>
  <c r="P155" i="16" s="1"/>
  <c r="Q154" i="16"/>
  <c r="O154" i="16"/>
  <c r="P154" i="16" s="1"/>
  <c r="Q153" i="16"/>
  <c r="O153" i="16"/>
  <c r="P153" i="16" s="1"/>
  <c r="Q152" i="16"/>
  <c r="O152" i="16"/>
  <c r="P152" i="16" s="1"/>
  <c r="Q151" i="16"/>
  <c r="O151" i="16"/>
  <c r="P151" i="16" s="1"/>
  <c r="Q150" i="16"/>
  <c r="O150" i="16"/>
  <c r="P150" i="16" s="1"/>
  <c r="Q149" i="16"/>
  <c r="O149" i="16"/>
  <c r="P149" i="16" s="1"/>
  <c r="Q148" i="16"/>
  <c r="O148" i="16"/>
  <c r="P148" i="16" s="1"/>
  <c r="Q147" i="16"/>
  <c r="O147" i="16"/>
  <c r="P147" i="16" s="1"/>
  <c r="Q146" i="16"/>
  <c r="O146" i="16"/>
  <c r="P146" i="16" s="1"/>
  <c r="Q145" i="16"/>
  <c r="O145" i="16"/>
  <c r="P145" i="16" s="1"/>
  <c r="Q144" i="16"/>
  <c r="O144" i="16"/>
  <c r="P144" i="16" s="1"/>
  <c r="Q143" i="16"/>
  <c r="P143" i="16"/>
  <c r="O143" i="16"/>
  <c r="Q142" i="16"/>
  <c r="O142" i="16"/>
  <c r="P142" i="16" s="1"/>
  <c r="Q141" i="16"/>
  <c r="O141" i="16"/>
  <c r="P141" i="16" s="1"/>
  <c r="Q140" i="16"/>
  <c r="O140" i="16"/>
  <c r="P140" i="16" s="1"/>
  <c r="Q139" i="16"/>
  <c r="O139" i="16"/>
  <c r="P139" i="16" s="1"/>
  <c r="Q138" i="16"/>
  <c r="O138" i="16"/>
  <c r="P138" i="16" s="1"/>
  <c r="Q137" i="16"/>
  <c r="O137" i="16"/>
  <c r="P137" i="16" s="1"/>
  <c r="Q136" i="16"/>
  <c r="O136" i="16"/>
  <c r="P136" i="16" s="1"/>
  <c r="Q135" i="16"/>
  <c r="O135" i="16"/>
  <c r="P135" i="16" s="1"/>
  <c r="Q134" i="16"/>
  <c r="O134" i="16"/>
  <c r="P134" i="16" s="1"/>
  <c r="Q133" i="16"/>
  <c r="O133" i="16"/>
  <c r="P133" i="16" s="1"/>
  <c r="Q132" i="16"/>
  <c r="O132" i="16"/>
  <c r="P132" i="16" s="1"/>
  <c r="Q131" i="16"/>
  <c r="O131" i="16"/>
  <c r="P131" i="16" s="1"/>
  <c r="Q130" i="16"/>
  <c r="O130" i="16"/>
  <c r="P130" i="16" s="1"/>
  <c r="Q129" i="16"/>
  <c r="O129" i="16"/>
  <c r="P129" i="16" s="1"/>
  <c r="Q128" i="16"/>
  <c r="O128" i="16"/>
  <c r="P128" i="16" s="1"/>
  <c r="Q127" i="16"/>
  <c r="O127" i="16"/>
  <c r="P127" i="16" s="1"/>
  <c r="Q126" i="16"/>
  <c r="O126" i="16"/>
  <c r="P126" i="16" s="1"/>
  <c r="Q125" i="16"/>
  <c r="O125" i="16"/>
  <c r="P125" i="16" s="1"/>
  <c r="Q124" i="16"/>
  <c r="O124" i="16"/>
  <c r="P124" i="16" s="1"/>
  <c r="Q123" i="16"/>
  <c r="O123" i="16"/>
  <c r="P123" i="16" s="1"/>
  <c r="Q122" i="16"/>
  <c r="O122" i="16"/>
  <c r="P122" i="16" s="1"/>
  <c r="Q121" i="16"/>
  <c r="O121" i="16"/>
  <c r="P121" i="16" s="1"/>
  <c r="Q120" i="16"/>
  <c r="O120" i="16"/>
  <c r="P120" i="16" s="1"/>
  <c r="Q119" i="16"/>
  <c r="P119" i="16"/>
  <c r="O119" i="16"/>
  <c r="Q118" i="16"/>
  <c r="O118" i="16"/>
  <c r="P118" i="16" s="1"/>
  <c r="Q117" i="16"/>
  <c r="O117" i="16"/>
  <c r="P117" i="16" s="1"/>
  <c r="Q116" i="16"/>
  <c r="O116" i="16"/>
  <c r="P116" i="16" s="1"/>
  <c r="Q115" i="16"/>
  <c r="O115" i="16"/>
  <c r="P115" i="16" s="1"/>
  <c r="Q114" i="16"/>
  <c r="O114" i="16"/>
  <c r="P114" i="16" s="1"/>
  <c r="Q113" i="16"/>
  <c r="O113" i="16"/>
  <c r="P113" i="16" s="1"/>
  <c r="Q112" i="16"/>
  <c r="O112" i="16"/>
  <c r="P112" i="16" s="1"/>
  <c r="Q111" i="16"/>
  <c r="O111" i="16"/>
  <c r="P111" i="16" s="1"/>
  <c r="Q110" i="16"/>
  <c r="O110" i="16"/>
  <c r="P110" i="16" s="1"/>
  <c r="Q109" i="16"/>
  <c r="O109" i="16"/>
  <c r="P109" i="16" s="1"/>
  <c r="Q108" i="16"/>
  <c r="O108" i="16"/>
  <c r="P108" i="16" s="1"/>
  <c r="Q107" i="16"/>
  <c r="O107" i="16"/>
  <c r="P107" i="16" s="1"/>
  <c r="Q106" i="16"/>
  <c r="O106" i="16"/>
  <c r="P106" i="16" s="1"/>
  <c r="Q105" i="16"/>
  <c r="O105" i="16"/>
  <c r="P105" i="16" s="1"/>
  <c r="Q104" i="16"/>
  <c r="O104" i="16"/>
  <c r="P104" i="16" s="1"/>
  <c r="Q103" i="16"/>
  <c r="O103" i="16"/>
  <c r="P103" i="16" s="1"/>
  <c r="Q102" i="16"/>
  <c r="O102" i="16"/>
  <c r="P102" i="16" s="1"/>
  <c r="Q101" i="16"/>
  <c r="O101" i="16"/>
  <c r="P101" i="16" s="1"/>
  <c r="Q100" i="16"/>
  <c r="O100" i="16"/>
  <c r="P100" i="16" s="1"/>
  <c r="Q99" i="16"/>
  <c r="O99" i="16"/>
  <c r="P99" i="16" s="1"/>
  <c r="Q98" i="16"/>
  <c r="O98" i="16"/>
  <c r="P98" i="16" s="1"/>
  <c r="Q97" i="16"/>
  <c r="O97" i="16"/>
  <c r="P97" i="16" s="1"/>
  <c r="Q96" i="16"/>
  <c r="O96" i="16"/>
  <c r="P96" i="16" s="1"/>
  <c r="Q95" i="16"/>
  <c r="P95" i="16"/>
  <c r="O95" i="16"/>
  <c r="Q94" i="16"/>
  <c r="O94" i="16"/>
  <c r="P94" i="16" s="1"/>
  <c r="Q93" i="16"/>
  <c r="O93" i="16"/>
  <c r="P93" i="16" s="1"/>
  <c r="Q92" i="16"/>
  <c r="O92" i="16"/>
  <c r="P92" i="16" s="1"/>
  <c r="Q91" i="16"/>
  <c r="O91" i="16"/>
  <c r="P91" i="16" s="1"/>
  <c r="Q90" i="16"/>
  <c r="O90" i="16"/>
  <c r="P90" i="16" s="1"/>
  <c r="Q89" i="16"/>
  <c r="O89" i="16"/>
  <c r="P89" i="16" s="1"/>
  <c r="Q88" i="16"/>
  <c r="O88" i="16"/>
  <c r="P88" i="16" s="1"/>
  <c r="Q87" i="16"/>
  <c r="O87" i="16"/>
  <c r="P87" i="16" s="1"/>
  <c r="Q86" i="16"/>
  <c r="O86" i="16"/>
  <c r="P86" i="16" s="1"/>
  <c r="Q85" i="16"/>
  <c r="O85" i="16"/>
  <c r="P85" i="16" s="1"/>
  <c r="Q84" i="16"/>
  <c r="O84" i="16"/>
  <c r="P84" i="16" s="1"/>
  <c r="Q83" i="16"/>
  <c r="O83" i="16"/>
  <c r="P83" i="16" s="1"/>
  <c r="Q82" i="16"/>
  <c r="O82" i="16"/>
  <c r="P82" i="16" s="1"/>
  <c r="Q81" i="16"/>
  <c r="O81" i="16"/>
  <c r="P81" i="16" s="1"/>
  <c r="Q80" i="16"/>
  <c r="O80" i="16"/>
  <c r="P80" i="16" s="1"/>
  <c r="Q79" i="16"/>
  <c r="O79" i="16"/>
  <c r="P79" i="16" s="1"/>
  <c r="Q78" i="16"/>
  <c r="O78" i="16"/>
  <c r="P78" i="16" s="1"/>
  <c r="Q77" i="16"/>
  <c r="O77" i="16"/>
  <c r="P77" i="16" s="1"/>
  <c r="Q76" i="16"/>
  <c r="O76" i="16"/>
  <c r="P76" i="16" s="1"/>
  <c r="Q75" i="16"/>
  <c r="O75" i="16"/>
  <c r="P75" i="16" s="1"/>
  <c r="Q74" i="16"/>
  <c r="O74" i="16"/>
  <c r="P74" i="16" s="1"/>
  <c r="Q73" i="16"/>
  <c r="O73" i="16"/>
  <c r="P73" i="16" s="1"/>
  <c r="Q72" i="16"/>
  <c r="O72" i="16"/>
  <c r="P72" i="16" s="1"/>
  <c r="Q71" i="16"/>
  <c r="P71" i="16"/>
  <c r="O71" i="16"/>
  <c r="Q70" i="16"/>
  <c r="O70" i="16"/>
  <c r="P70" i="16" s="1"/>
  <c r="Q69" i="16"/>
  <c r="O69" i="16"/>
  <c r="P69" i="16" s="1"/>
  <c r="Q68" i="16"/>
  <c r="O68" i="16"/>
  <c r="P68" i="16" s="1"/>
  <c r="Q67" i="16"/>
  <c r="O67" i="16"/>
  <c r="P67" i="16" s="1"/>
  <c r="Q66" i="16"/>
  <c r="O66" i="16"/>
  <c r="P66" i="16" s="1"/>
  <c r="Q65" i="16"/>
  <c r="O65" i="16"/>
  <c r="P65" i="16" s="1"/>
  <c r="Q64" i="16"/>
  <c r="O64" i="16"/>
  <c r="P64" i="16" s="1"/>
  <c r="Q63" i="16"/>
  <c r="O63" i="16"/>
  <c r="P63" i="16" s="1"/>
  <c r="Q62" i="16"/>
  <c r="O62" i="16"/>
  <c r="P62" i="16" s="1"/>
  <c r="Q61" i="16"/>
  <c r="O61" i="16"/>
  <c r="P61" i="16" s="1"/>
  <c r="Q60" i="16"/>
  <c r="O60" i="16"/>
  <c r="P60" i="16" s="1"/>
  <c r="Q59" i="16"/>
  <c r="O59" i="16"/>
  <c r="P59" i="16" s="1"/>
  <c r="Q58" i="16"/>
  <c r="O58" i="16"/>
  <c r="P58" i="16" s="1"/>
  <c r="Q57" i="16"/>
  <c r="O57" i="16"/>
  <c r="P57" i="16" s="1"/>
  <c r="Q56" i="16"/>
  <c r="O56" i="16"/>
  <c r="P56" i="16" s="1"/>
  <c r="Q55" i="16"/>
  <c r="O55" i="16"/>
  <c r="P55" i="16" s="1"/>
  <c r="Q54" i="16"/>
  <c r="O54" i="16"/>
  <c r="P54" i="16" s="1"/>
  <c r="Q53" i="16"/>
  <c r="O53" i="16"/>
  <c r="P53" i="16" s="1"/>
  <c r="Q52" i="16"/>
  <c r="O52" i="16"/>
  <c r="P52" i="16" s="1"/>
  <c r="Q51" i="16"/>
  <c r="O51" i="16"/>
  <c r="P51" i="16" s="1"/>
  <c r="Q50" i="16"/>
  <c r="O50" i="16"/>
  <c r="P50" i="16" s="1"/>
  <c r="Q49" i="16"/>
  <c r="O49" i="16"/>
  <c r="P49" i="16" s="1"/>
  <c r="Q48" i="16"/>
  <c r="O48" i="16"/>
  <c r="P48" i="16" s="1"/>
  <c r="Q47" i="16"/>
  <c r="P47" i="16"/>
  <c r="O47" i="16"/>
  <c r="Q46" i="16"/>
  <c r="O46" i="16"/>
  <c r="P46" i="16" s="1"/>
  <c r="Q45" i="16"/>
  <c r="O45" i="16"/>
  <c r="P45" i="16" s="1"/>
  <c r="Q44" i="16"/>
  <c r="O44" i="16"/>
  <c r="P44" i="16" s="1"/>
  <c r="Q43" i="16"/>
  <c r="O43" i="16"/>
  <c r="P43" i="16" s="1"/>
  <c r="Q42" i="16"/>
  <c r="O42" i="16"/>
  <c r="P42" i="16" s="1"/>
  <c r="Q41" i="16"/>
  <c r="O41" i="16"/>
  <c r="P41" i="16" s="1"/>
  <c r="Q40" i="16"/>
  <c r="O40" i="16"/>
  <c r="P40" i="16" s="1"/>
  <c r="Q39" i="16"/>
  <c r="O39" i="16"/>
  <c r="P39" i="16" s="1"/>
  <c r="Q38" i="16"/>
  <c r="O38" i="16"/>
  <c r="P38" i="16" s="1"/>
  <c r="Q37" i="16"/>
  <c r="O37" i="16"/>
  <c r="P37" i="16" s="1"/>
  <c r="Q36" i="16"/>
  <c r="O36" i="16"/>
  <c r="P36" i="16" s="1"/>
  <c r="Q35" i="16"/>
  <c r="O35" i="16"/>
  <c r="P35" i="16" s="1"/>
  <c r="Q34" i="16"/>
  <c r="O34" i="16"/>
  <c r="P34" i="16" s="1"/>
  <c r="Q33" i="16"/>
  <c r="O33" i="16"/>
  <c r="P33" i="16" s="1"/>
  <c r="Q32" i="16"/>
  <c r="O32" i="16"/>
  <c r="P32" i="16" s="1"/>
  <c r="Q31" i="16"/>
  <c r="O31" i="16"/>
  <c r="P31" i="16" s="1"/>
  <c r="Q30" i="16"/>
  <c r="O30" i="16"/>
  <c r="P30" i="16" s="1"/>
  <c r="Q29" i="16"/>
  <c r="O29" i="16"/>
  <c r="P29" i="16" s="1"/>
  <c r="Q28" i="16"/>
  <c r="O28" i="16"/>
  <c r="P28" i="16" s="1"/>
  <c r="Q27" i="16"/>
  <c r="O27" i="16"/>
  <c r="P27" i="16" s="1"/>
  <c r="Q26" i="16"/>
  <c r="O26" i="16"/>
  <c r="P26" i="16" s="1"/>
  <c r="Q25" i="16"/>
  <c r="O25" i="16"/>
  <c r="P25" i="16" s="1"/>
  <c r="Q24" i="16"/>
  <c r="O24" i="16"/>
  <c r="P24" i="16" s="1"/>
  <c r="Q23" i="16"/>
  <c r="P23" i="16"/>
  <c r="O23" i="16"/>
  <c r="Q22" i="16"/>
  <c r="O22" i="16"/>
  <c r="P22" i="16" s="1"/>
  <c r="Q21" i="16"/>
  <c r="O21" i="16"/>
  <c r="P21" i="16" s="1"/>
  <c r="Q20" i="16"/>
  <c r="O20" i="16"/>
  <c r="P20" i="16" s="1"/>
  <c r="Q19" i="16"/>
  <c r="O19" i="16"/>
  <c r="P19" i="16" s="1"/>
  <c r="Q18" i="16"/>
  <c r="O18" i="16"/>
  <c r="P18" i="16" s="1"/>
  <c r="Q17" i="16"/>
  <c r="O17" i="16"/>
  <c r="P17" i="16" s="1"/>
  <c r="Q16" i="16"/>
  <c r="O16" i="16"/>
  <c r="P16" i="16" s="1"/>
  <c r="Q15" i="16"/>
  <c r="O15" i="16"/>
  <c r="P15" i="16" s="1"/>
  <c r="Q14" i="16"/>
  <c r="O14" i="16"/>
  <c r="P14" i="16" s="1"/>
  <c r="Q13" i="16"/>
  <c r="O13" i="16"/>
  <c r="P13" i="16" s="1"/>
  <c r="Q12" i="16"/>
  <c r="O12" i="16"/>
  <c r="P12" i="16" s="1"/>
  <c r="Q11" i="16"/>
  <c r="O11" i="16"/>
  <c r="P11" i="16" s="1"/>
  <c r="Q10" i="16"/>
  <c r="O10" i="16"/>
  <c r="P10" i="16" s="1"/>
  <c r="Q9" i="16"/>
  <c r="O9" i="16"/>
  <c r="P9" i="16" s="1"/>
  <c r="Q8" i="16"/>
  <c r="O8" i="16"/>
  <c r="P8" i="16" s="1"/>
  <c r="Q7" i="16"/>
  <c r="O7" i="16"/>
  <c r="P7" i="16" s="1"/>
  <c r="Q6" i="16"/>
  <c r="O6" i="16"/>
  <c r="P6" i="16" s="1"/>
  <c r="Q5" i="16"/>
  <c r="O5" i="16"/>
  <c r="P5" i="16" s="1"/>
  <c r="Q4" i="16"/>
  <c r="O4" i="16"/>
  <c r="P4" i="16" s="1"/>
  <c r="Q3" i="16"/>
  <c r="O3" i="16"/>
  <c r="P3" i="16" s="1"/>
  <c r="Q2" i="16"/>
  <c r="O2" i="16"/>
  <c r="P2" i="16" s="1"/>
  <c r="Q501" i="15"/>
  <c r="O501" i="15"/>
  <c r="P501" i="15" s="1"/>
  <c r="Q500" i="15"/>
  <c r="O500" i="15"/>
  <c r="P500" i="15" s="1"/>
  <c r="Q499" i="15"/>
  <c r="O499" i="15"/>
  <c r="P499" i="15" s="1"/>
  <c r="Q498" i="15"/>
  <c r="O498" i="15"/>
  <c r="P498" i="15" s="1"/>
  <c r="Q497" i="15"/>
  <c r="O497" i="15"/>
  <c r="P497" i="15" s="1"/>
  <c r="Q496" i="15"/>
  <c r="O496" i="15"/>
  <c r="P496" i="15" s="1"/>
  <c r="Q495" i="15"/>
  <c r="O495" i="15"/>
  <c r="P495" i="15" s="1"/>
  <c r="Q494" i="15"/>
  <c r="O494" i="15"/>
  <c r="P494" i="15" s="1"/>
  <c r="Q493" i="15"/>
  <c r="O493" i="15"/>
  <c r="P493" i="15" s="1"/>
  <c r="Q492" i="15"/>
  <c r="O492" i="15"/>
  <c r="P492" i="15" s="1"/>
  <c r="Q491" i="15"/>
  <c r="O491" i="15"/>
  <c r="P491" i="15" s="1"/>
  <c r="Q490" i="15"/>
  <c r="O490" i="15"/>
  <c r="P490" i="15" s="1"/>
  <c r="Q489" i="15"/>
  <c r="O489" i="15"/>
  <c r="P489" i="15" s="1"/>
  <c r="Q488" i="15"/>
  <c r="O488" i="15"/>
  <c r="P488" i="15" s="1"/>
  <c r="Q487" i="15"/>
  <c r="O487" i="15"/>
  <c r="P487" i="15" s="1"/>
  <c r="Q486" i="15"/>
  <c r="P486" i="15"/>
  <c r="O486" i="15"/>
  <c r="Q485" i="15"/>
  <c r="O485" i="15"/>
  <c r="P485" i="15" s="1"/>
  <c r="Q484" i="15"/>
  <c r="P484" i="15"/>
  <c r="O484" i="15"/>
  <c r="Q483" i="15"/>
  <c r="O483" i="15"/>
  <c r="P483" i="15" s="1"/>
  <c r="Q482" i="15"/>
  <c r="O482" i="15"/>
  <c r="P482" i="15" s="1"/>
  <c r="Q481" i="15"/>
  <c r="O481" i="15"/>
  <c r="P481" i="15" s="1"/>
  <c r="Q480" i="15"/>
  <c r="O480" i="15"/>
  <c r="P480" i="15" s="1"/>
  <c r="Q479" i="15"/>
  <c r="O479" i="15"/>
  <c r="P479" i="15" s="1"/>
  <c r="Q478" i="15"/>
  <c r="O478" i="15"/>
  <c r="P478" i="15" s="1"/>
  <c r="Q477" i="15"/>
  <c r="O477" i="15"/>
  <c r="P477" i="15" s="1"/>
  <c r="Q476" i="15"/>
  <c r="P476" i="15"/>
  <c r="O476" i="15"/>
  <c r="Q475" i="15"/>
  <c r="O475" i="15"/>
  <c r="P475" i="15" s="1"/>
  <c r="Q474" i="15"/>
  <c r="O474" i="15"/>
  <c r="P474" i="15" s="1"/>
  <c r="Q473" i="15"/>
  <c r="O473" i="15"/>
  <c r="P473" i="15" s="1"/>
  <c r="Q472" i="15"/>
  <c r="O472" i="15"/>
  <c r="P472" i="15" s="1"/>
  <c r="Q471" i="15"/>
  <c r="P471" i="15"/>
  <c r="O471" i="15"/>
  <c r="Q470" i="15"/>
  <c r="O470" i="15"/>
  <c r="P470" i="15" s="1"/>
  <c r="Q469" i="15"/>
  <c r="O469" i="15"/>
  <c r="P469" i="15" s="1"/>
  <c r="Q468" i="15"/>
  <c r="O468" i="15"/>
  <c r="P468" i="15" s="1"/>
  <c r="Q467" i="15"/>
  <c r="O467" i="15"/>
  <c r="P467" i="15" s="1"/>
  <c r="Q466" i="15"/>
  <c r="O466" i="15"/>
  <c r="P466" i="15" s="1"/>
  <c r="Q465" i="15"/>
  <c r="O465" i="15"/>
  <c r="P465" i="15" s="1"/>
  <c r="Q464" i="15"/>
  <c r="O464" i="15"/>
  <c r="P464" i="15" s="1"/>
  <c r="Q463" i="15"/>
  <c r="O463" i="15"/>
  <c r="P463" i="15" s="1"/>
  <c r="Q462" i="15"/>
  <c r="O462" i="15"/>
  <c r="P462" i="15" s="1"/>
  <c r="Q461" i="15"/>
  <c r="O461" i="15"/>
  <c r="P461" i="15" s="1"/>
  <c r="Q460" i="15"/>
  <c r="O460" i="15"/>
  <c r="P460" i="15" s="1"/>
  <c r="Q459" i="15"/>
  <c r="O459" i="15"/>
  <c r="P459" i="15" s="1"/>
  <c r="Q458" i="15"/>
  <c r="P458" i="15"/>
  <c r="O458" i="15"/>
  <c r="Q457" i="15"/>
  <c r="O457" i="15"/>
  <c r="P457" i="15" s="1"/>
  <c r="Q456" i="15"/>
  <c r="O456" i="15"/>
  <c r="P456" i="15" s="1"/>
  <c r="Q455" i="15"/>
  <c r="O455" i="15"/>
  <c r="P455" i="15" s="1"/>
  <c r="Q454" i="15"/>
  <c r="O454" i="15"/>
  <c r="P454" i="15" s="1"/>
  <c r="Q453" i="15"/>
  <c r="O453" i="15"/>
  <c r="P453" i="15" s="1"/>
  <c r="Q452" i="15"/>
  <c r="O452" i="15"/>
  <c r="P452" i="15" s="1"/>
  <c r="Q451" i="15"/>
  <c r="O451" i="15"/>
  <c r="P451" i="15" s="1"/>
  <c r="Q450" i="15"/>
  <c r="O450" i="15"/>
  <c r="P450" i="15" s="1"/>
  <c r="Q449" i="15"/>
  <c r="O449" i="15"/>
  <c r="P449" i="15" s="1"/>
  <c r="Q448" i="15"/>
  <c r="O448" i="15"/>
  <c r="P448" i="15" s="1"/>
  <c r="Q447" i="15"/>
  <c r="P447" i="15"/>
  <c r="O447" i="15"/>
  <c r="Q446" i="15"/>
  <c r="O446" i="15"/>
  <c r="P446" i="15" s="1"/>
  <c r="Q445" i="15"/>
  <c r="O445" i="15"/>
  <c r="P445" i="15" s="1"/>
  <c r="Q444" i="15"/>
  <c r="O444" i="15"/>
  <c r="P444" i="15" s="1"/>
  <c r="Q443" i="15"/>
  <c r="O443" i="15"/>
  <c r="P443" i="15" s="1"/>
  <c r="Q442" i="15"/>
  <c r="P442" i="15"/>
  <c r="O442" i="15"/>
  <c r="Q441" i="15"/>
  <c r="O441" i="15"/>
  <c r="P441" i="15" s="1"/>
  <c r="Q440" i="15"/>
  <c r="O440" i="15"/>
  <c r="P440" i="15" s="1"/>
  <c r="Q439" i="15"/>
  <c r="O439" i="15"/>
  <c r="P439" i="15" s="1"/>
  <c r="Q438" i="15"/>
  <c r="O438" i="15"/>
  <c r="P438" i="15" s="1"/>
  <c r="Q437" i="15"/>
  <c r="O437" i="15"/>
  <c r="P437" i="15" s="1"/>
  <c r="Q436" i="15"/>
  <c r="P436" i="15"/>
  <c r="O436" i="15"/>
  <c r="Q435" i="15"/>
  <c r="O435" i="15"/>
  <c r="P435" i="15" s="1"/>
  <c r="Q434" i="15"/>
  <c r="O434" i="15"/>
  <c r="P434" i="15" s="1"/>
  <c r="Q433" i="15"/>
  <c r="O433" i="15"/>
  <c r="P433" i="15" s="1"/>
  <c r="Q432" i="15"/>
  <c r="P432" i="15"/>
  <c r="O432" i="15"/>
  <c r="Q431" i="15"/>
  <c r="O431" i="15"/>
  <c r="P431" i="15" s="1"/>
  <c r="Q430" i="15"/>
  <c r="O430" i="15"/>
  <c r="P430" i="15" s="1"/>
  <c r="Q429" i="15"/>
  <c r="O429" i="15"/>
  <c r="P429" i="15" s="1"/>
  <c r="Q428" i="15"/>
  <c r="O428" i="15"/>
  <c r="P428" i="15" s="1"/>
  <c r="Q427" i="15"/>
  <c r="O427" i="15"/>
  <c r="P427" i="15" s="1"/>
  <c r="Q426" i="15"/>
  <c r="O426" i="15"/>
  <c r="P426" i="15" s="1"/>
  <c r="Q425" i="15"/>
  <c r="O425" i="15"/>
  <c r="P425" i="15" s="1"/>
  <c r="Q424" i="15"/>
  <c r="O424" i="15"/>
  <c r="P424" i="15" s="1"/>
  <c r="Q423" i="15"/>
  <c r="P423" i="15"/>
  <c r="O423" i="15"/>
  <c r="Q422" i="15"/>
  <c r="O422" i="15"/>
  <c r="P422" i="15" s="1"/>
  <c r="Q421" i="15"/>
  <c r="O421" i="15"/>
  <c r="P421" i="15" s="1"/>
  <c r="Q420" i="15"/>
  <c r="O420" i="15"/>
  <c r="P420" i="15" s="1"/>
  <c r="Q419" i="15"/>
  <c r="O419" i="15"/>
  <c r="P419" i="15" s="1"/>
  <c r="Q418" i="15"/>
  <c r="O418" i="15"/>
  <c r="P418" i="15" s="1"/>
  <c r="Q417" i="15"/>
  <c r="O417" i="15"/>
  <c r="P417" i="15" s="1"/>
  <c r="Q416" i="15"/>
  <c r="O416" i="15"/>
  <c r="P416" i="15" s="1"/>
  <c r="Q415" i="15"/>
  <c r="O415" i="15"/>
  <c r="P415" i="15" s="1"/>
  <c r="Q414" i="15"/>
  <c r="O414" i="15"/>
  <c r="P414" i="15" s="1"/>
  <c r="Q413" i="15"/>
  <c r="O413" i="15"/>
  <c r="P413" i="15" s="1"/>
  <c r="Q412" i="15"/>
  <c r="P412" i="15"/>
  <c r="O412" i="15"/>
  <c r="Q411" i="15"/>
  <c r="O411" i="15"/>
  <c r="P411" i="15" s="1"/>
  <c r="Q410" i="15"/>
  <c r="P410" i="15"/>
  <c r="O410" i="15"/>
  <c r="Q409" i="15"/>
  <c r="O409" i="15"/>
  <c r="P409" i="15" s="1"/>
  <c r="Q408" i="15"/>
  <c r="O408" i="15"/>
  <c r="P408" i="15" s="1"/>
  <c r="Q407" i="15"/>
  <c r="O407" i="15"/>
  <c r="P407" i="15" s="1"/>
  <c r="Q406" i="15"/>
  <c r="O406" i="15"/>
  <c r="P406" i="15" s="1"/>
  <c r="Q405" i="15"/>
  <c r="O405" i="15"/>
  <c r="P405" i="15" s="1"/>
  <c r="Q404" i="15"/>
  <c r="O404" i="15"/>
  <c r="P404" i="15" s="1"/>
  <c r="Q403" i="15"/>
  <c r="P403" i="15"/>
  <c r="O403" i="15"/>
  <c r="Q402" i="15"/>
  <c r="O402" i="15"/>
  <c r="P402" i="15" s="1"/>
  <c r="Q401" i="15"/>
  <c r="O401" i="15"/>
  <c r="P401" i="15" s="1"/>
  <c r="Q400" i="15"/>
  <c r="O400" i="15"/>
  <c r="P400" i="15" s="1"/>
  <c r="Q399" i="15"/>
  <c r="O399" i="15"/>
  <c r="P399" i="15" s="1"/>
  <c r="Q398" i="15"/>
  <c r="P398" i="15"/>
  <c r="O398" i="15"/>
  <c r="Q397" i="15"/>
  <c r="O397" i="15"/>
  <c r="P397" i="15" s="1"/>
  <c r="Q396" i="15"/>
  <c r="O396" i="15"/>
  <c r="P396" i="15" s="1"/>
  <c r="Q395" i="15"/>
  <c r="O395" i="15"/>
  <c r="P395" i="15" s="1"/>
  <c r="Q394" i="15"/>
  <c r="O394" i="15"/>
  <c r="P394" i="15" s="1"/>
  <c r="Q393" i="15"/>
  <c r="O393" i="15"/>
  <c r="P393" i="15" s="1"/>
  <c r="Q392" i="15"/>
  <c r="O392" i="15"/>
  <c r="P392" i="15" s="1"/>
  <c r="Q391" i="15"/>
  <c r="O391" i="15"/>
  <c r="P391" i="15" s="1"/>
  <c r="Q390" i="15"/>
  <c r="O390" i="15"/>
  <c r="P390" i="15" s="1"/>
  <c r="Q389" i="15"/>
  <c r="O389" i="15"/>
  <c r="P389" i="15" s="1"/>
  <c r="Q388" i="15"/>
  <c r="P388" i="15"/>
  <c r="O388" i="15"/>
  <c r="Q387" i="15"/>
  <c r="O387" i="15"/>
  <c r="P387" i="15" s="1"/>
  <c r="Q386" i="15"/>
  <c r="O386" i="15"/>
  <c r="P386" i="15" s="1"/>
  <c r="Q385" i="15"/>
  <c r="O385" i="15"/>
  <c r="P385" i="15" s="1"/>
  <c r="Q384" i="15"/>
  <c r="O384" i="15"/>
  <c r="P384" i="15" s="1"/>
  <c r="Q383" i="15"/>
  <c r="O383" i="15"/>
  <c r="P383" i="15" s="1"/>
  <c r="Q382" i="15"/>
  <c r="O382" i="15"/>
  <c r="P382" i="15" s="1"/>
  <c r="Q381" i="15"/>
  <c r="O381" i="15"/>
  <c r="P381" i="15" s="1"/>
  <c r="Q380" i="15"/>
  <c r="O380" i="15"/>
  <c r="P380" i="15" s="1"/>
  <c r="Q379" i="15"/>
  <c r="O379" i="15"/>
  <c r="P379" i="15" s="1"/>
  <c r="Q378" i="15"/>
  <c r="O378" i="15"/>
  <c r="P378" i="15" s="1"/>
  <c r="Q377" i="15"/>
  <c r="O377" i="15"/>
  <c r="P377" i="15" s="1"/>
  <c r="Q376" i="15"/>
  <c r="O376" i="15"/>
  <c r="P376" i="15" s="1"/>
  <c r="Q375" i="15"/>
  <c r="P375" i="15"/>
  <c r="O375" i="15"/>
  <c r="Q374" i="15"/>
  <c r="O374" i="15"/>
  <c r="P374" i="15" s="1"/>
  <c r="Q373" i="15"/>
  <c r="O373" i="15"/>
  <c r="P373" i="15" s="1"/>
  <c r="Q372" i="15"/>
  <c r="O372" i="15"/>
  <c r="P372" i="15" s="1"/>
  <c r="Q371" i="15"/>
  <c r="O371" i="15"/>
  <c r="P371" i="15" s="1"/>
  <c r="Q370" i="15"/>
  <c r="O370" i="15"/>
  <c r="P370" i="15" s="1"/>
  <c r="Q369" i="15"/>
  <c r="O369" i="15"/>
  <c r="P369" i="15" s="1"/>
  <c r="Q368" i="15"/>
  <c r="P368" i="15"/>
  <c r="O368" i="15"/>
  <c r="Q367" i="15"/>
  <c r="O367" i="15"/>
  <c r="P367" i="15" s="1"/>
  <c r="Q366" i="15"/>
  <c r="O366" i="15"/>
  <c r="P366" i="15" s="1"/>
  <c r="Q365" i="15"/>
  <c r="O365" i="15"/>
  <c r="P365" i="15" s="1"/>
  <c r="Q364" i="15"/>
  <c r="O364" i="15"/>
  <c r="P364" i="15" s="1"/>
  <c r="Q363" i="15"/>
  <c r="P363" i="15"/>
  <c r="O363" i="15"/>
  <c r="Q362" i="15"/>
  <c r="P362" i="15"/>
  <c r="O362" i="15"/>
  <c r="Q361" i="15"/>
  <c r="O361" i="15"/>
  <c r="P361" i="15" s="1"/>
  <c r="Q360" i="15"/>
  <c r="O360" i="15"/>
  <c r="P360" i="15" s="1"/>
  <c r="Q359" i="15"/>
  <c r="O359" i="15"/>
  <c r="P359" i="15" s="1"/>
  <c r="Q358" i="15"/>
  <c r="O358" i="15"/>
  <c r="P358" i="15" s="1"/>
  <c r="Q357" i="15"/>
  <c r="O357" i="15"/>
  <c r="P357" i="15" s="1"/>
  <c r="Q356" i="15"/>
  <c r="O356" i="15"/>
  <c r="P356" i="15" s="1"/>
  <c r="Q355" i="15"/>
  <c r="O355" i="15"/>
  <c r="P355" i="15" s="1"/>
  <c r="Q354" i="15"/>
  <c r="P354" i="15"/>
  <c r="O354" i="15"/>
  <c r="Q353" i="15"/>
  <c r="O353" i="15"/>
  <c r="P353" i="15" s="1"/>
  <c r="Q352" i="15"/>
  <c r="O352" i="15"/>
  <c r="P352" i="15" s="1"/>
  <c r="Q351" i="15"/>
  <c r="O351" i="15"/>
  <c r="P351" i="15" s="1"/>
  <c r="Q350" i="15"/>
  <c r="O350" i="15"/>
  <c r="P350" i="15" s="1"/>
  <c r="Q349" i="15"/>
  <c r="O349" i="15"/>
  <c r="P349" i="15" s="1"/>
  <c r="Q348" i="15"/>
  <c r="O348" i="15"/>
  <c r="P348" i="15" s="1"/>
  <c r="Q347" i="15"/>
  <c r="O347" i="15"/>
  <c r="P347" i="15" s="1"/>
  <c r="Q346" i="15"/>
  <c r="O346" i="15"/>
  <c r="P346" i="15" s="1"/>
  <c r="Q345" i="15"/>
  <c r="O345" i="15"/>
  <c r="P345" i="15" s="1"/>
  <c r="Q344" i="15"/>
  <c r="O344" i="15"/>
  <c r="P344" i="15" s="1"/>
  <c r="Q343" i="15"/>
  <c r="O343" i="15"/>
  <c r="P343" i="15" s="1"/>
  <c r="Q342" i="15"/>
  <c r="O342" i="15"/>
  <c r="P342" i="15" s="1"/>
  <c r="Q341" i="15"/>
  <c r="O341" i="15"/>
  <c r="P341" i="15" s="1"/>
  <c r="Q340" i="15"/>
  <c r="P340" i="15"/>
  <c r="O340" i="15"/>
  <c r="Q339" i="15"/>
  <c r="O339" i="15"/>
  <c r="P339" i="15" s="1"/>
  <c r="Q338" i="15"/>
  <c r="O338" i="15"/>
  <c r="P338" i="15" s="1"/>
  <c r="Q337" i="15"/>
  <c r="O337" i="15"/>
  <c r="P337" i="15" s="1"/>
  <c r="Q336" i="15"/>
  <c r="O336" i="15"/>
  <c r="P336" i="15" s="1"/>
  <c r="Q335" i="15"/>
  <c r="O335" i="15"/>
  <c r="P335" i="15" s="1"/>
  <c r="Q334" i="15"/>
  <c r="O334" i="15"/>
  <c r="P334" i="15" s="1"/>
  <c r="Q333" i="15"/>
  <c r="O333" i="15"/>
  <c r="P333" i="15" s="1"/>
  <c r="Q332" i="15"/>
  <c r="O332" i="15"/>
  <c r="P332" i="15" s="1"/>
  <c r="Q331" i="15"/>
  <c r="O331" i="15"/>
  <c r="P331" i="15" s="1"/>
  <c r="Q330" i="15"/>
  <c r="O330" i="15"/>
  <c r="P330" i="15" s="1"/>
  <c r="Q329" i="15"/>
  <c r="O329" i="15"/>
  <c r="P329" i="15" s="1"/>
  <c r="Q328" i="15"/>
  <c r="P328" i="15"/>
  <c r="O328" i="15"/>
  <c r="Q327" i="15"/>
  <c r="P327" i="15"/>
  <c r="O327" i="15"/>
  <c r="Q326" i="15"/>
  <c r="O326" i="15"/>
  <c r="P326" i="15" s="1"/>
  <c r="Q325" i="15"/>
  <c r="O325" i="15"/>
  <c r="P325" i="15" s="1"/>
  <c r="Q324" i="15"/>
  <c r="O324" i="15"/>
  <c r="P324" i="15" s="1"/>
  <c r="Q323" i="15"/>
  <c r="O323" i="15"/>
  <c r="P323" i="15" s="1"/>
  <c r="Q322" i="15"/>
  <c r="O322" i="15"/>
  <c r="P322" i="15" s="1"/>
  <c r="Q321" i="15"/>
  <c r="O321" i="15"/>
  <c r="P321" i="15" s="1"/>
  <c r="Q320" i="15"/>
  <c r="O320" i="15"/>
  <c r="P320" i="15" s="1"/>
  <c r="Q319" i="15"/>
  <c r="P319" i="15"/>
  <c r="O319" i="15"/>
  <c r="Q318" i="15"/>
  <c r="O318" i="15"/>
  <c r="P318" i="15" s="1"/>
  <c r="Q317" i="15"/>
  <c r="O317" i="15"/>
  <c r="P317" i="15" s="1"/>
  <c r="Q316" i="15"/>
  <c r="O316" i="15"/>
  <c r="P316" i="15" s="1"/>
  <c r="Q315" i="15"/>
  <c r="O315" i="15"/>
  <c r="P315" i="15" s="1"/>
  <c r="Q314" i="15"/>
  <c r="P314" i="15"/>
  <c r="O314" i="15"/>
  <c r="Q313" i="15"/>
  <c r="O313" i="15"/>
  <c r="P313" i="15" s="1"/>
  <c r="Q312" i="15"/>
  <c r="O312" i="15"/>
  <c r="P312" i="15" s="1"/>
  <c r="Q311" i="15"/>
  <c r="O311" i="15"/>
  <c r="P311" i="15" s="1"/>
  <c r="Q310" i="15"/>
  <c r="O310" i="15"/>
  <c r="P310" i="15" s="1"/>
  <c r="Q309" i="15"/>
  <c r="O309" i="15"/>
  <c r="P309" i="15" s="1"/>
  <c r="Q308" i="15"/>
  <c r="O308" i="15"/>
  <c r="P308" i="15" s="1"/>
  <c r="Q307" i="15"/>
  <c r="O307" i="15"/>
  <c r="P307" i="15" s="1"/>
  <c r="Q306" i="15"/>
  <c r="O306" i="15"/>
  <c r="P306" i="15" s="1"/>
  <c r="Q305" i="15"/>
  <c r="O305" i="15"/>
  <c r="P305" i="15" s="1"/>
  <c r="Q304" i="15"/>
  <c r="O304" i="15"/>
  <c r="P304" i="15" s="1"/>
  <c r="Q303" i="15"/>
  <c r="O303" i="15"/>
  <c r="P303" i="15" s="1"/>
  <c r="Q302" i="15"/>
  <c r="O302" i="15"/>
  <c r="P302" i="15" s="1"/>
  <c r="Q301" i="15"/>
  <c r="O301" i="15"/>
  <c r="P301" i="15" s="1"/>
  <c r="Q300" i="15"/>
  <c r="O300" i="15"/>
  <c r="P300" i="15" s="1"/>
  <c r="Q299" i="15"/>
  <c r="O299" i="15"/>
  <c r="P299" i="15" s="1"/>
  <c r="Q298" i="15"/>
  <c r="O298" i="15"/>
  <c r="P298" i="15" s="1"/>
  <c r="Q297" i="15"/>
  <c r="O297" i="15"/>
  <c r="P297" i="15" s="1"/>
  <c r="Q296" i="15"/>
  <c r="O296" i="15"/>
  <c r="P296" i="15" s="1"/>
  <c r="Q295" i="15"/>
  <c r="O295" i="15"/>
  <c r="P295" i="15" s="1"/>
  <c r="Q294" i="15"/>
  <c r="P294" i="15"/>
  <c r="O294" i="15"/>
  <c r="Q293" i="15"/>
  <c r="O293" i="15"/>
  <c r="P293" i="15" s="1"/>
  <c r="Q292" i="15"/>
  <c r="P292" i="15"/>
  <c r="O292" i="15"/>
  <c r="Q291" i="15"/>
  <c r="O291" i="15"/>
  <c r="P291" i="15" s="1"/>
  <c r="Q290" i="15"/>
  <c r="O290" i="15"/>
  <c r="P290" i="15" s="1"/>
  <c r="Q289" i="15"/>
  <c r="O289" i="15"/>
  <c r="P289" i="15" s="1"/>
  <c r="Q288" i="15"/>
  <c r="O288" i="15"/>
  <c r="P288" i="15" s="1"/>
  <c r="Q287" i="15"/>
  <c r="O287" i="15"/>
  <c r="P287" i="15" s="1"/>
  <c r="Q286" i="15"/>
  <c r="O286" i="15"/>
  <c r="P286" i="15" s="1"/>
  <c r="Q285" i="15"/>
  <c r="O285" i="15"/>
  <c r="P285" i="15" s="1"/>
  <c r="Q284" i="15"/>
  <c r="P284" i="15"/>
  <c r="O284" i="15"/>
  <c r="Q283" i="15"/>
  <c r="O283" i="15"/>
  <c r="P283" i="15" s="1"/>
  <c r="Q282" i="15"/>
  <c r="O282" i="15"/>
  <c r="P282" i="15" s="1"/>
  <c r="Q281" i="15"/>
  <c r="O281" i="15"/>
  <c r="P281" i="15" s="1"/>
  <c r="Q280" i="15"/>
  <c r="O280" i="15"/>
  <c r="P280" i="15" s="1"/>
  <c r="Q279" i="15"/>
  <c r="P279" i="15"/>
  <c r="O279" i="15"/>
  <c r="Q278" i="15"/>
  <c r="O278" i="15"/>
  <c r="P278" i="15" s="1"/>
  <c r="Q277" i="15"/>
  <c r="O277" i="15"/>
  <c r="P277" i="15" s="1"/>
  <c r="Q276" i="15"/>
  <c r="O276" i="15"/>
  <c r="P276" i="15" s="1"/>
  <c r="Q275" i="15"/>
  <c r="O275" i="15"/>
  <c r="P275" i="15" s="1"/>
  <c r="Q274" i="15"/>
  <c r="O274" i="15"/>
  <c r="P274" i="15" s="1"/>
  <c r="Q273" i="15"/>
  <c r="O273" i="15"/>
  <c r="P273" i="15" s="1"/>
  <c r="Q272" i="15"/>
  <c r="O272" i="15"/>
  <c r="P272" i="15" s="1"/>
  <c r="Q271" i="15"/>
  <c r="O271" i="15"/>
  <c r="P271" i="15" s="1"/>
  <c r="Q270" i="15"/>
  <c r="O270" i="15"/>
  <c r="P270" i="15" s="1"/>
  <c r="Q269" i="15"/>
  <c r="O269" i="15"/>
  <c r="P269" i="15" s="1"/>
  <c r="Q268" i="15"/>
  <c r="O268" i="15"/>
  <c r="P268" i="15" s="1"/>
  <c r="Q267" i="15"/>
  <c r="O267" i="15"/>
  <c r="P267" i="15" s="1"/>
  <c r="Q266" i="15"/>
  <c r="P266" i="15"/>
  <c r="O266" i="15"/>
  <c r="Q265" i="15"/>
  <c r="O265" i="15"/>
  <c r="P265" i="15" s="1"/>
  <c r="Q264" i="15"/>
  <c r="O264" i="15"/>
  <c r="P264" i="15" s="1"/>
  <c r="Q263" i="15"/>
  <c r="O263" i="15"/>
  <c r="P263" i="15" s="1"/>
  <c r="Q262" i="15"/>
  <c r="O262" i="15"/>
  <c r="P262" i="15" s="1"/>
  <c r="Q261" i="15"/>
  <c r="O261" i="15"/>
  <c r="P261" i="15" s="1"/>
  <c r="Q260" i="15"/>
  <c r="O260" i="15"/>
  <c r="P260" i="15" s="1"/>
  <c r="Q259" i="15"/>
  <c r="O259" i="15"/>
  <c r="P259" i="15" s="1"/>
  <c r="Q258" i="15"/>
  <c r="O258" i="15"/>
  <c r="P258" i="15" s="1"/>
  <c r="Q257" i="15"/>
  <c r="O257" i="15"/>
  <c r="P257" i="15" s="1"/>
  <c r="Q256" i="15"/>
  <c r="O256" i="15"/>
  <c r="P256" i="15" s="1"/>
  <c r="Q255" i="15"/>
  <c r="P255" i="15"/>
  <c r="O255" i="15"/>
  <c r="Q254" i="15"/>
  <c r="O254" i="15"/>
  <c r="P254" i="15" s="1"/>
  <c r="Q253" i="15"/>
  <c r="O253" i="15"/>
  <c r="P253" i="15" s="1"/>
  <c r="Q252" i="15"/>
  <c r="O252" i="15"/>
  <c r="P252" i="15" s="1"/>
  <c r="Q251" i="15"/>
  <c r="O251" i="15"/>
  <c r="P251" i="15" s="1"/>
  <c r="Q250" i="15"/>
  <c r="P250" i="15"/>
  <c r="O250" i="15"/>
  <c r="Q249" i="15"/>
  <c r="O249" i="15"/>
  <c r="P249" i="15" s="1"/>
  <c r="Q248" i="15"/>
  <c r="O248" i="15"/>
  <c r="P248" i="15" s="1"/>
  <c r="Q247" i="15"/>
  <c r="O247" i="15"/>
  <c r="P247" i="15" s="1"/>
  <c r="Q246" i="15"/>
  <c r="O246" i="15"/>
  <c r="P246" i="15" s="1"/>
  <c r="Q245" i="15"/>
  <c r="O245" i="15"/>
  <c r="P245" i="15" s="1"/>
  <c r="Q244" i="15"/>
  <c r="P244" i="15"/>
  <c r="O244" i="15"/>
  <c r="Q243" i="15"/>
  <c r="O243" i="15"/>
  <c r="P243" i="15" s="1"/>
  <c r="Q242" i="15"/>
  <c r="O242" i="15"/>
  <c r="P242" i="15" s="1"/>
  <c r="Q241" i="15"/>
  <c r="O241" i="15"/>
  <c r="P241" i="15" s="1"/>
  <c r="Q240" i="15"/>
  <c r="P240" i="15"/>
  <c r="O240" i="15"/>
  <c r="Q239" i="15"/>
  <c r="O239" i="15"/>
  <c r="P239" i="15" s="1"/>
  <c r="Q238" i="15"/>
  <c r="O238" i="15"/>
  <c r="P238" i="15" s="1"/>
  <c r="Q237" i="15"/>
  <c r="O237" i="15"/>
  <c r="P237" i="15" s="1"/>
  <c r="Q236" i="15"/>
  <c r="O236" i="15"/>
  <c r="P236" i="15" s="1"/>
  <c r="Q235" i="15"/>
  <c r="O235" i="15"/>
  <c r="P235" i="15" s="1"/>
  <c r="Q234" i="15"/>
  <c r="O234" i="15"/>
  <c r="P234" i="15" s="1"/>
  <c r="Q233" i="15"/>
  <c r="O233" i="15"/>
  <c r="P233" i="15" s="1"/>
  <c r="Q232" i="15"/>
  <c r="O232" i="15"/>
  <c r="P232" i="15" s="1"/>
  <c r="Q231" i="15"/>
  <c r="P231" i="15"/>
  <c r="O231" i="15"/>
  <c r="Q230" i="15"/>
  <c r="O230" i="15"/>
  <c r="P230" i="15" s="1"/>
  <c r="Q229" i="15"/>
  <c r="O229" i="15"/>
  <c r="P229" i="15" s="1"/>
  <c r="Q228" i="15"/>
  <c r="O228" i="15"/>
  <c r="P228" i="15" s="1"/>
  <c r="Q227" i="15"/>
  <c r="O227" i="15"/>
  <c r="P227" i="15" s="1"/>
  <c r="Q226" i="15"/>
  <c r="O226" i="15"/>
  <c r="P226" i="15" s="1"/>
  <c r="Q225" i="15"/>
  <c r="O225" i="15"/>
  <c r="P225" i="15" s="1"/>
  <c r="Q224" i="15"/>
  <c r="O224" i="15"/>
  <c r="P224" i="15" s="1"/>
  <c r="Q223" i="15"/>
  <c r="O223" i="15"/>
  <c r="P223" i="15" s="1"/>
  <c r="Q222" i="15"/>
  <c r="O222" i="15"/>
  <c r="P222" i="15" s="1"/>
  <c r="Q221" i="15"/>
  <c r="O221" i="15"/>
  <c r="P221" i="15" s="1"/>
  <c r="Q220" i="15"/>
  <c r="P220" i="15"/>
  <c r="O220" i="15"/>
  <c r="Q219" i="15"/>
  <c r="O219" i="15"/>
  <c r="P219" i="15" s="1"/>
  <c r="Q218" i="15"/>
  <c r="P218" i="15"/>
  <c r="O218" i="15"/>
  <c r="Q217" i="15"/>
  <c r="O217" i="15"/>
  <c r="P217" i="15" s="1"/>
  <c r="Q216" i="15"/>
  <c r="O216" i="15"/>
  <c r="P216" i="15" s="1"/>
  <c r="Q215" i="15"/>
  <c r="O215" i="15"/>
  <c r="P215" i="15" s="1"/>
  <c r="Q214" i="15"/>
  <c r="O214" i="15"/>
  <c r="P214" i="15" s="1"/>
  <c r="Q213" i="15"/>
  <c r="O213" i="15"/>
  <c r="P213" i="15" s="1"/>
  <c r="Q212" i="15"/>
  <c r="O212" i="15"/>
  <c r="P212" i="15" s="1"/>
  <c r="Q211" i="15"/>
  <c r="P211" i="15"/>
  <c r="O211" i="15"/>
  <c r="Q210" i="15"/>
  <c r="O210" i="15"/>
  <c r="P210" i="15" s="1"/>
  <c r="Q209" i="15"/>
  <c r="O209" i="15"/>
  <c r="P209" i="15" s="1"/>
  <c r="Q208" i="15"/>
  <c r="O208" i="15"/>
  <c r="P208" i="15" s="1"/>
  <c r="Q207" i="15"/>
  <c r="O207" i="15"/>
  <c r="P207" i="15" s="1"/>
  <c r="Q206" i="15"/>
  <c r="P206" i="15"/>
  <c r="O206" i="15"/>
  <c r="Q205" i="15"/>
  <c r="O205" i="15"/>
  <c r="P205" i="15" s="1"/>
  <c r="Q204" i="15"/>
  <c r="O204" i="15"/>
  <c r="P204" i="15" s="1"/>
  <c r="Q203" i="15"/>
  <c r="O203" i="15"/>
  <c r="P203" i="15" s="1"/>
  <c r="Q202" i="15"/>
  <c r="O202" i="15"/>
  <c r="P202" i="15" s="1"/>
  <c r="Q201" i="15"/>
  <c r="O201" i="15"/>
  <c r="P201" i="15" s="1"/>
  <c r="Q200" i="15"/>
  <c r="O200" i="15"/>
  <c r="P200" i="15" s="1"/>
  <c r="Q199" i="15"/>
  <c r="O199" i="15"/>
  <c r="P199" i="15" s="1"/>
  <c r="Q198" i="15"/>
  <c r="O198" i="15"/>
  <c r="P198" i="15" s="1"/>
  <c r="Q197" i="15"/>
  <c r="O197" i="15"/>
  <c r="P197" i="15" s="1"/>
  <c r="Q196" i="15"/>
  <c r="P196" i="15"/>
  <c r="O196" i="15"/>
  <c r="Q195" i="15"/>
  <c r="O195" i="15"/>
  <c r="P195" i="15" s="1"/>
  <c r="Q194" i="15"/>
  <c r="O194" i="15"/>
  <c r="P194" i="15" s="1"/>
  <c r="Q193" i="15"/>
  <c r="O193" i="15"/>
  <c r="P193" i="15" s="1"/>
  <c r="Q192" i="15"/>
  <c r="O192" i="15"/>
  <c r="P192" i="15" s="1"/>
  <c r="Q191" i="15"/>
  <c r="O191" i="15"/>
  <c r="P191" i="15" s="1"/>
  <c r="Q190" i="15"/>
  <c r="O190" i="15"/>
  <c r="P190" i="15" s="1"/>
  <c r="Q189" i="15"/>
  <c r="O189" i="15"/>
  <c r="P189" i="15" s="1"/>
  <c r="Q188" i="15"/>
  <c r="O188" i="15"/>
  <c r="P188" i="15" s="1"/>
  <c r="Q187" i="15"/>
  <c r="O187" i="15"/>
  <c r="P187" i="15" s="1"/>
  <c r="Q186" i="15"/>
  <c r="O186" i="15"/>
  <c r="P186" i="15" s="1"/>
  <c r="Q185" i="15"/>
  <c r="O185" i="15"/>
  <c r="P185" i="15" s="1"/>
  <c r="Q184" i="15"/>
  <c r="O184" i="15"/>
  <c r="P184" i="15" s="1"/>
  <c r="Q183" i="15"/>
  <c r="P183" i="15"/>
  <c r="O183" i="15"/>
  <c r="Q182" i="15"/>
  <c r="O182" i="15"/>
  <c r="P182" i="15" s="1"/>
  <c r="Q181" i="15"/>
  <c r="O181" i="15"/>
  <c r="P181" i="15" s="1"/>
  <c r="Q180" i="15"/>
  <c r="O180" i="15"/>
  <c r="P180" i="15" s="1"/>
  <c r="Q179" i="15"/>
  <c r="O179" i="15"/>
  <c r="P179" i="15" s="1"/>
  <c r="Q178" i="15"/>
  <c r="O178" i="15"/>
  <c r="P178" i="15" s="1"/>
  <c r="Q177" i="15"/>
  <c r="O177" i="15"/>
  <c r="P177" i="15" s="1"/>
  <c r="Q176" i="15"/>
  <c r="P176" i="15"/>
  <c r="O176" i="15"/>
  <c r="Q175" i="15"/>
  <c r="O175" i="15"/>
  <c r="P175" i="15" s="1"/>
  <c r="Q174" i="15"/>
  <c r="O174" i="15"/>
  <c r="P174" i="15" s="1"/>
  <c r="Q173" i="15"/>
  <c r="O173" i="15"/>
  <c r="P173" i="15" s="1"/>
  <c r="Q172" i="15"/>
  <c r="O172" i="15"/>
  <c r="P172" i="15" s="1"/>
  <c r="Q171" i="15"/>
  <c r="O171" i="15"/>
  <c r="P171" i="15" s="1"/>
  <c r="Q170" i="15"/>
  <c r="P170" i="15"/>
  <c r="O170" i="15"/>
  <c r="Q169" i="15"/>
  <c r="O169" i="15"/>
  <c r="P169" i="15" s="1"/>
  <c r="Q168" i="15"/>
  <c r="O168" i="15"/>
  <c r="P168" i="15" s="1"/>
  <c r="Q167" i="15"/>
  <c r="P167" i="15"/>
  <c r="O167" i="15"/>
  <c r="Q166" i="15"/>
  <c r="O166" i="15"/>
  <c r="P166" i="15" s="1"/>
  <c r="Q165" i="15"/>
  <c r="O165" i="15"/>
  <c r="P165" i="15" s="1"/>
  <c r="Q164" i="15"/>
  <c r="O164" i="15"/>
  <c r="P164" i="15" s="1"/>
  <c r="Q163" i="15"/>
  <c r="O163" i="15"/>
  <c r="P163" i="15" s="1"/>
  <c r="Q162" i="15"/>
  <c r="O162" i="15"/>
  <c r="P162" i="15" s="1"/>
  <c r="Q161" i="15"/>
  <c r="O161" i="15"/>
  <c r="P161" i="15" s="1"/>
  <c r="Q160" i="15"/>
  <c r="O160" i="15"/>
  <c r="P160" i="15" s="1"/>
  <c r="Q159" i="15"/>
  <c r="O159" i="15"/>
  <c r="P159" i="15" s="1"/>
  <c r="Q158" i="15"/>
  <c r="P158" i="15"/>
  <c r="O158" i="15"/>
  <c r="Q157" i="15"/>
  <c r="O157" i="15"/>
  <c r="P157" i="15" s="1"/>
  <c r="Q156" i="15"/>
  <c r="O156" i="15"/>
  <c r="P156" i="15" s="1"/>
  <c r="Q155" i="15"/>
  <c r="O155" i="15"/>
  <c r="P155" i="15" s="1"/>
  <c r="Q154" i="15"/>
  <c r="O154" i="15"/>
  <c r="P154" i="15" s="1"/>
  <c r="Q153" i="15"/>
  <c r="O153" i="15"/>
  <c r="P153" i="15" s="1"/>
  <c r="Q152" i="15"/>
  <c r="O152" i="15"/>
  <c r="P152" i="15" s="1"/>
  <c r="Q151" i="15"/>
  <c r="O151" i="15"/>
  <c r="P151" i="15" s="1"/>
  <c r="Q150" i="15"/>
  <c r="O150" i="15"/>
  <c r="P150" i="15" s="1"/>
  <c r="Q149" i="15"/>
  <c r="O149" i="15"/>
  <c r="P149" i="15" s="1"/>
  <c r="Q148" i="15"/>
  <c r="O148" i="15"/>
  <c r="P148" i="15" s="1"/>
  <c r="Q147" i="15"/>
  <c r="O147" i="15"/>
  <c r="P147" i="15" s="1"/>
  <c r="Q146" i="15"/>
  <c r="O146" i="15"/>
  <c r="P146" i="15" s="1"/>
  <c r="Q145" i="15"/>
  <c r="O145" i="15"/>
  <c r="P145" i="15" s="1"/>
  <c r="Q144" i="15"/>
  <c r="O144" i="15"/>
  <c r="P144" i="15" s="1"/>
  <c r="Q143" i="15"/>
  <c r="P143" i="15"/>
  <c r="O143" i="15"/>
  <c r="Q142" i="15"/>
  <c r="O142" i="15"/>
  <c r="P142" i="15" s="1"/>
  <c r="Q141" i="15"/>
  <c r="O141" i="15"/>
  <c r="P141" i="15" s="1"/>
  <c r="Q140" i="15"/>
  <c r="O140" i="15"/>
  <c r="P140" i="15" s="1"/>
  <c r="Q139" i="15"/>
  <c r="O139" i="15"/>
  <c r="P139" i="15" s="1"/>
  <c r="Q138" i="15"/>
  <c r="O138" i="15"/>
  <c r="P138" i="15" s="1"/>
  <c r="Q137" i="15"/>
  <c r="O137" i="15"/>
  <c r="P137" i="15" s="1"/>
  <c r="Q136" i="15"/>
  <c r="O136" i="15"/>
  <c r="P136" i="15" s="1"/>
  <c r="Q135" i="15"/>
  <c r="O135" i="15"/>
  <c r="P135" i="15" s="1"/>
  <c r="Q134" i="15"/>
  <c r="P134" i="15"/>
  <c r="O134" i="15"/>
  <c r="Q133" i="15"/>
  <c r="O133" i="15"/>
  <c r="P133" i="15" s="1"/>
  <c r="Q132" i="15"/>
  <c r="O132" i="15"/>
  <c r="P132" i="15" s="1"/>
  <c r="Q131" i="15"/>
  <c r="O131" i="15"/>
  <c r="P131" i="15" s="1"/>
  <c r="Q130" i="15"/>
  <c r="O130" i="15"/>
  <c r="P130" i="15" s="1"/>
  <c r="Q129" i="15"/>
  <c r="O129" i="15"/>
  <c r="P129" i="15" s="1"/>
  <c r="Q128" i="15"/>
  <c r="O128" i="15"/>
  <c r="P128" i="15" s="1"/>
  <c r="Q127" i="15"/>
  <c r="O127" i="15"/>
  <c r="P127" i="15" s="1"/>
  <c r="Q126" i="15"/>
  <c r="O126" i="15"/>
  <c r="P126" i="15" s="1"/>
  <c r="Q125" i="15"/>
  <c r="O125" i="15"/>
  <c r="P125" i="15" s="1"/>
  <c r="Q124" i="15"/>
  <c r="O124" i="15"/>
  <c r="P124" i="15" s="1"/>
  <c r="Q123" i="15"/>
  <c r="O123" i="15"/>
  <c r="P123" i="15" s="1"/>
  <c r="Q122" i="15"/>
  <c r="O122" i="15"/>
  <c r="P122" i="15" s="1"/>
  <c r="Q121" i="15"/>
  <c r="O121" i="15"/>
  <c r="P121" i="15" s="1"/>
  <c r="Q120" i="15"/>
  <c r="O120" i="15"/>
  <c r="P120" i="15" s="1"/>
  <c r="Q119" i="15"/>
  <c r="P119" i="15"/>
  <c r="O119" i="15"/>
  <c r="Q118" i="15"/>
  <c r="O118" i="15"/>
  <c r="P118" i="15" s="1"/>
  <c r="Q117" i="15"/>
  <c r="O117" i="15"/>
  <c r="P117" i="15" s="1"/>
  <c r="Q116" i="15"/>
  <c r="O116" i="15"/>
  <c r="P116" i="15" s="1"/>
  <c r="Q115" i="15"/>
  <c r="O115" i="15"/>
  <c r="P115" i="15" s="1"/>
  <c r="Q114" i="15"/>
  <c r="O114" i="15"/>
  <c r="P114" i="15" s="1"/>
  <c r="Q113" i="15"/>
  <c r="O113" i="15"/>
  <c r="P113" i="15" s="1"/>
  <c r="Q112" i="15"/>
  <c r="O112" i="15"/>
  <c r="P112" i="15" s="1"/>
  <c r="Q111" i="15"/>
  <c r="O111" i="15"/>
  <c r="P111" i="15" s="1"/>
  <c r="Q110" i="15"/>
  <c r="P110" i="15"/>
  <c r="O110" i="15"/>
  <c r="Q109" i="15"/>
  <c r="O109" i="15"/>
  <c r="P109" i="15" s="1"/>
  <c r="Q108" i="15"/>
  <c r="O108" i="15"/>
  <c r="P108" i="15" s="1"/>
  <c r="Q107" i="15"/>
  <c r="O107" i="15"/>
  <c r="P107" i="15" s="1"/>
  <c r="Q106" i="15"/>
  <c r="O106" i="15"/>
  <c r="P106" i="15" s="1"/>
  <c r="Q105" i="15"/>
  <c r="O105" i="15"/>
  <c r="P105" i="15" s="1"/>
  <c r="Q104" i="15"/>
  <c r="O104" i="15"/>
  <c r="P104" i="15" s="1"/>
  <c r="Q103" i="15"/>
  <c r="O103" i="15"/>
  <c r="P103" i="15" s="1"/>
  <c r="Q102" i="15"/>
  <c r="O102" i="15"/>
  <c r="P102" i="15" s="1"/>
  <c r="Q101" i="15"/>
  <c r="O101" i="15"/>
  <c r="P101" i="15" s="1"/>
  <c r="Q100" i="15"/>
  <c r="O100" i="15"/>
  <c r="P100" i="15" s="1"/>
  <c r="Q99" i="15"/>
  <c r="O99" i="15"/>
  <c r="P99" i="15" s="1"/>
  <c r="Q98" i="15"/>
  <c r="O98" i="15"/>
  <c r="P98" i="15" s="1"/>
  <c r="Q97" i="15"/>
  <c r="O97" i="15"/>
  <c r="P97" i="15" s="1"/>
  <c r="Q96" i="15"/>
  <c r="O96" i="15"/>
  <c r="P96" i="15" s="1"/>
  <c r="Q95" i="15"/>
  <c r="P95" i="15"/>
  <c r="O95" i="15"/>
  <c r="Q94" i="15"/>
  <c r="O94" i="15"/>
  <c r="P94" i="15" s="1"/>
  <c r="Q93" i="15"/>
  <c r="O93" i="15"/>
  <c r="P93" i="15" s="1"/>
  <c r="Q92" i="15"/>
  <c r="O92" i="15"/>
  <c r="P92" i="15" s="1"/>
  <c r="Q91" i="15"/>
  <c r="O91" i="15"/>
  <c r="P91" i="15" s="1"/>
  <c r="Q90" i="15"/>
  <c r="O90" i="15"/>
  <c r="P90" i="15" s="1"/>
  <c r="Q89" i="15"/>
  <c r="O89" i="15"/>
  <c r="P89" i="15" s="1"/>
  <c r="Q88" i="15"/>
  <c r="O88" i="15"/>
  <c r="P88" i="15" s="1"/>
  <c r="Q87" i="15"/>
  <c r="O87" i="15"/>
  <c r="P87" i="15" s="1"/>
  <c r="Q86" i="15"/>
  <c r="P86" i="15"/>
  <c r="O86" i="15"/>
  <c r="Q85" i="15"/>
  <c r="O85" i="15"/>
  <c r="P85" i="15" s="1"/>
  <c r="Q84" i="15"/>
  <c r="O84" i="15"/>
  <c r="P84" i="15" s="1"/>
  <c r="Q83" i="15"/>
  <c r="O83" i="15"/>
  <c r="P83" i="15" s="1"/>
  <c r="Q82" i="15"/>
  <c r="O82" i="15"/>
  <c r="P82" i="15" s="1"/>
  <c r="Q81" i="15"/>
  <c r="O81" i="15"/>
  <c r="P81" i="15" s="1"/>
  <c r="Q80" i="15"/>
  <c r="O80" i="15"/>
  <c r="P80" i="15" s="1"/>
  <c r="Q79" i="15"/>
  <c r="O79" i="15"/>
  <c r="P79" i="15" s="1"/>
  <c r="Q78" i="15"/>
  <c r="O78" i="15"/>
  <c r="P78" i="15" s="1"/>
  <c r="Q77" i="15"/>
  <c r="O77" i="15"/>
  <c r="P77" i="15" s="1"/>
  <c r="Q76" i="15"/>
  <c r="O76" i="15"/>
  <c r="P76" i="15" s="1"/>
  <c r="Q75" i="15"/>
  <c r="O75" i="15"/>
  <c r="P75" i="15" s="1"/>
  <c r="Q74" i="15"/>
  <c r="O74" i="15"/>
  <c r="P74" i="15" s="1"/>
  <c r="Q73" i="15"/>
  <c r="O73" i="15"/>
  <c r="P73" i="15" s="1"/>
  <c r="Q72" i="15"/>
  <c r="O72" i="15"/>
  <c r="P72" i="15" s="1"/>
  <c r="Q71" i="15"/>
  <c r="P71" i="15"/>
  <c r="O71" i="15"/>
  <c r="Q70" i="15"/>
  <c r="O70" i="15"/>
  <c r="P70" i="15" s="1"/>
  <c r="Q69" i="15"/>
  <c r="O69" i="15"/>
  <c r="P69" i="15" s="1"/>
  <c r="Q68" i="15"/>
  <c r="O68" i="15"/>
  <c r="P68" i="15" s="1"/>
  <c r="Q67" i="15"/>
  <c r="O67" i="15"/>
  <c r="P67" i="15" s="1"/>
  <c r="Q66" i="15"/>
  <c r="O66" i="15"/>
  <c r="P66" i="15" s="1"/>
  <c r="Q65" i="15"/>
  <c r="O65" i="15"/>
  <c r="P65" i="15" s="1"/>
  <c r="Q64" i="15"/>
  <c r="O64" i="15"/>
  <c r="P64" i="15" s="1"/>
  <c r="Q63" i="15"/>
  <c r="O63" i="15"/>
  <c r="P63" i="15" s="1"/>
  <c r="Q62" i="15"/>
  <c r="P62" i="15"/>
  <c r="O62" i="15"/>
  <c r="Q61" i="15"/>
  <c r="O61" i="15"/>
  <c r="P61" i="15" s="1"/>
  <c r="Q60" i="15"/>
  <c r="O60" i="15"/>
  <c r="P60" i="15" s="1"/>
  <c r="Q59" i="15"/>
  <c r="O59" i="15"/>
  <c r="P59" i="15" s="1"/>
  <c r="Q58" i="15"/>
  <c r="O58" i="15"/>
  <c r="P58" i="15" s="1"/>
  <c r="Q57" i="15"/>
  <c r="O57" i="15"/>
  <c r="P57" i="15" s="1"/>
  <c r="Q56" i="15"/>
  <c r="O56" i="15"/>
  <c r="P56" i="15" s="1"/>
  <c r="Q55" i="15"/>
  <c r="O55" i="15"/>
  <c r="P55" i="15" s="1"/>
  <c r="Q54" i="15"/>
  <c r="O54" i="15"/>
  <c r="P54" i="15" s="1"/>
  <c r="Q53" i="15"/>
  <c r="O53" i="15"/>
  <c r="P53" i="15" s="1"/>
  <c r="Q52" i="15"/>
  <c r="O52" i="15"/>
  <c r="P52" i="15" s="1"/>
  <c r="Q51" i="15"/>
  <c r="O51" i="15"/>
  <c r="P51" i="15" s="1"/>
  <c r="Q50" i="15"/>
  <c r="O50" i="15"/>
  <c r="P50" i="15" s="1"/>
  <c r="Q49" i="15"/>
  <c r="O49" i="15"/>
  <c r="P49" i="15" s="1"/>
  <c r="Q48" i="15"/>
  <c r="O48" i="15"/>
  <c r="P48" i="15" s="1"/>
  <c r="Q47" i="15"/>
  <c r="P47" i="15"/>
  <c r="O47" i="15"/>
  <c r="Q46" i="15"/>
  <c r="O46" i="15"/>
  <c r="P46" i="15" s="1"/>
  <c r="Q45" i="15"/>
  <c r="O45" i="15"/>
  <c r="P45" i="15" s="1"/>
  <c r="Q44" i="15"/>
  <c r="O44" i="15"/>
  <c r="P44" i="15" s="1"/>
  <c r="Q43" i="15"/>
  <c r="O43" i="15"/>
  <c r="P43" i="15" s="1"/>
  <c r="Q42" i="15"/>
  <c r="O42" i="15"/>
  <c r="P42" i="15" s="1"/>
  <c r="Q41" i="15"/>
  <c r="O41" i="15"/>
  <c r="P41" i="15" s="1"/>
  <c r="Q40" i="15"/>
  <c r="O40" i="15"/>
  <c r="P40" i="15" s="1"/>
  <c r="Q39" i="15"/>
  <c r="O39" i="15"/>
  <c r="P39" i="15" s="1"/>
  <c r="Q38" i="15"/>
  <c r="P38" i="15"/>
  <c r="O38" i="15"/>
  <c r="Q37" i="15"/>
  <c r="O37" i="15"/>
  <c r="P37" i="15" s="1"/>
  <c r="Q36" i="15"/>
  <c r="O36" i="15"/>
  <c r="P36" i="15" s="1"/>
  <c r="Q35" i="15"/>
  <c r="O35" i="15"/>
  <c r="P35" i="15" s="1"/>
  <c r="Q34" i="15"/>
  <c r="O34" i="15"/>
  <c r="P34" i="15" s="1"/>
  <c r="Q33" i="15"/>
  <c r="O33" i="15"/>
  <c r="P33" i="15" s="1"/>
  <c r="Q32" i="15"/>
  <c r="O32" i="15"/>
  <c r="P32" i="15" s="1"/>
  <c r="Q31" i="15"/>
  <c r="O31" i="15"/>
  <c r="P31" i="15" s="1"/>
  <c r="Q30" i="15"/>
  <c r="O30" i="15"/>
  <c r="P30" i="15" s="1"/>
  <c r="Q29" i="15"/>
  <c r="O29" i="15"/>
  <c r="P29" i="15" s="1"/>
  <c r="Q28" i="15"/>
  <c r="O28" i="15"/>
  <c r="P28" i="15" s="1"/>
  <c r="Q27" i="15"/>
  <c r="O27" i="15"/>
  <c r="P27" i="15" s="1"/>
  <c r="Q26" i="15"/>
  <c r="O26" i="15"/>
  <c r="P26" i="15" s="1"/>
  <c r="Q25" i="15"/>
  <c r="O25" i="15"/>
  <c r="P25" i="15" s="1"/>
  <c r="Q24" i="15"/>
  <c r="O24" i="15"/>
  <c r="P24" i="15" s="1"/>
  <c r="Q23" i="15"/>
  <c r="P23" i="15"/>
  <c r="O23" i="15"/>
  <c r="Q22" i="15"/>
  <c r="O22" i="15"/>
  <c r="P22" i="15" s="1"/>
  <c r="Q21" i="15"/>
  <c r="O21" i="15"/>
  <c r="P21" i="15" s="1"/>
  <c r="Q20" i="15"/>
  <c r="O20" i="15"/>
  <c r="P20" i="15" s="1"/>
  <c r="Q19" i="15"/>
  <c r="O19" i="15"/>
  <c r="P19" i="15" s="1"/>
  <c r="Q18" i="15"/>
  <c r="O18" i="15"/>
  <c r="P18" i="15" s="1"/>
  <c r="Q17" i="15"/>
  <c r="O17" i="15"/>
  <c r="P17" i="15" s="1"/>
  <c r="Q16" i="15"/>
  <c r="O16" i="15"/>
  <c r="P16" i="15" s="1"/>
  <c r="Q15" i="15"/>
  <c r="O15" i="15"/>
  <c r="P15" i="15" s="1"/>
  <c r="Q14" i="15"/>
  <c r="P14" i="15"/>
  <c r="O14" i="15"/>
  <c r="Q13" i="15"/>
  <c r="O13" i="15"/>
  <c r="P13" i="15" s="1"/>
  <c r="Q12" i="15"/>
  <c r="O12" i="15"/>
  <c r="P12" i="15" s="1"/>
  <c r="Q11" i="15"/>
  <c r="O11" i="15"/>
  <c r="P11" i="15" s="1"/>
  <c r="Q10" i="15"/>
  <c r="O10" i="15"/>
  <c r="P10" i="15" s="1"/>
  <c r="Q9" i="15"/>
  <c r="O9" i="15"/>
  <c r="P9" i="15" s="1"/>
  <c r="Q8" i="15"/>
  <c r="O8" i="15"/>
  <c r="P8" i="15" s="1"/>
  <c r="Q7" i="15"/>
  <c r="O7" i="15"/>
  <c r="P7" i="15" s="1"/>
  <c r="Q6" i="15"/>
  <c r="O6" i="15"/>
  <c r="P6" i="15" s="1"/>
  <c r="Q5" i="15"/>
  <c r="O5" i="15"/>
  <c r="P5" i="15" s="1"/>
  <c r="Q4" i="15"/>
  <c r="O4" i="15"/>
  <c r="P4" i="15" s="1"/>
  <c r="Q3" i="15"/>
  <c r="O3" i="15"/>
  <c r="P3" i="15" s="1"/>
  <c r="Q2" i="15"/>
  <c r="O2" i="15"/>
  <c r="P2" i="15" s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C2" i="10"/>
  <c r="D2" i="10"/>
  <c r="F2" i="10"/>
  <c r="C3" i="10"/>
  <c r="D3" i="10"/>
  <c r="E3" i="10"/>
  <c r="F3" i="10"/>
  <c r="C4" i="10"/>
  <c r="D4" i="10"/>
  <c r="E4" i="10"/>
  <c r="F4" i="10"/>
  <c r="C5" i="10"/>
  <c r="D5" i="10"/>
  <c r="E5" i="10"/>
  <c r="F5" i="10"/>
  <c r="C6" i="10"/>
  <c r="D6" i="10"/>
  <c r="E6" i="10"/>
  <c r="F6" i="10"/>
  <c r="C7" i="10"/>
  <c r="D7" i="10"/>
  <c r="E7" i="10"/>
  <c r="F7" i="10"/>
  <c r="C8" i="10"/>
  <c r="D8" i="10"/>
  <c r="E8" i="10"/>
  <c r="F8" i="10"/>
  <c r="C9" i="10"/>
  <c r="D9" i="10"/>
  <c r="E9" i="10"/>
  <c r="F9" i="10"/>
  <c r="C10" i="10"/>
  <c r="D10" i="10"/>
  <c r="E10" i="10"/>
  <c r="F10" i="10"/>
  <c r="C11" i="10"/>
  <c r="D11" i="10"/>
  <c r="E11" i="10"/>
  <c r="F11" i="10"/>
  <c r="C12" i="10"/>
  <c r="D12" i="10"/>
  <c r="E12" i="10"/>
  <c r="F12" i="10"/>
  <c r="C13" i="10"/>
  <c r="D13" i="10"/>
  <c r="E13" i="10"/>
  <c r="F13" i="10"/>
  <c r="C14" i="10"/>
  <c r="D14" i="10"/>
  <c r="E14" i="10"/>
  <c r="F14" i="10"/>
  <c r="C15" i="10"/>
  <c r="D15" i="10"/>
  <c r="E15" i="10"/>
  <c r="F15" i="10"/>
  <c r="C16" i="10"/>
  <c r="D16" i="10"/>
  <c r="E16" i="10"/>
  <c r="F16" i="10"/>
  <c r="C17" i="10"/>
  <c r="D17" i="10"/>
  <c r="E17" i="10"/>
  <c r="F17" i="10"/>
  <c r="C18" i="10"/>
  <c r="D18" i="10"/>
  <c r="E18" i="10"/>
  <c r="F18" i="10"/>
  <c r="C19" i="10"/>
  <c r="D19" i="10"/>
  <c r="E19" i="10"/>
  <c r="F19" i="10"/>
  <c r="C20" i="10"/>
  <c r="D20" i="10"/>
  <c r="E20" i="10"/>
  <c r="F20" i="10"/>
  <c r="C21" i="10"/>
  <c r="D21" i="10"/>
  <c r="E21" i="10"/>
  <c r="F21" i="10"/>
  <c r="C22" i="10"/>
  <c r="D22" i="10"/>
  <c r="E22" i="10"/>
  <c r="F22" i="10"/>
  <c r="C23" i="10"/>
  <c r="D23" i="10"/>
  <c r="E23" i="10"/>
  <c r="F23" i="10"/>
  <c r="C24" i="10"/>
  <c r="D24" i="10"/>
  <c r="E24" i="10"/>
  <c r="F24" i="10"/>
  <c r="C25" i="10"/>
  <c r="D25" i="10"/>
  <c r="E25" i="10"/>
  <c r="F25" i="10"/>
  <c r="C26" i="10"/>
  <c r="D26" i="10"/>
  <c r="E26" i="10"/>
  <c r="F26" i="10"/>
  <c r="C27" i="10"/>
  <c r="D27" i="10"/>
  <c r="E27" i="10"/>
  <c r="F27" i="10"/>
  <c r="C28" i="10"/>
  <c r="D28" i="10"/>
  <c r="E28" i="10"/>
  <c r="F28" i="10"/>
  <c r="C29" i="10"/>
  <c r="D29" i="10"/>
  <c r="E29" i="10"/>
  <c r="F29" i="10"/>
  <c r="C30" i="10"/>
  <c r="D30" i="10"/>
  <c r="E30" i="10"/>
  <c r="F30" i="10"/>
  <c r="C31" i="10"/>
  <c r="D31" i="10"/>
  <c r="E31" i="10"/>
  <c r="F31" i="10"/>
  <c r="C32" i="10"/>
  <c r="D32" i="10"/>
  <c r="E32" i="10"/>
  <c r="F32" i="10"/>
  <c r="C33" i="10"/>
  <c r="D33" i="10"/>
  <c r="E33" i="10"/>
  <c r="F33" i="10"/>
  <c r="C34" i="10"/>
  <c r="D34" i="10"/>
  <c r="E34" i="10"/>
  <c r="F34" i="10"/>
  <c r="C35" i="10"/>
  <c r="D35" i="10"/>
  <c r="E35" i="10"/>
  <c r="F35" i="10"/>
  <c r="C36" i="10"/>
  <c r="D36" i="10"/>
  <c r="E36" i="10"/>
  <c r="F36" i="10"/>
  <c r="C37" i="10"/>
  <c r="D37" i="10"/>
  <c r="E37" i="10"/>
  <c r="F37" i="10"/>
  <c r="C38" i="10"/>
  <c r="D38" i="10"/>
  <c r="E38" i="10"/>
  <c r="F38" i="10"/>
  <c r="C39" i="10"/>
  <c r="D39" i="10"/>
  <c r="E39" i="10"/>
  <c r="F39" i="10"/>
  <c r="C40" i="10"/>
  <c r="D40" i="10"/>
  <c r="E40" i="10"/>
  <c r="F40" i="10"/>
  <c r="C41" i="10"/>
  <c r="D41" i="10"/>
  <c r="E41" i="10"/>
  <c r="F41" i="10"/>
  <c r="C42" i="10"/>
  <c r="D42" i="10"/>
  <c r="E42" i="10"/>
  <c r="F42" i="10"/>
  <c r="C43" i="10"/>
  <c r="D43" i="10"/>
  <c r="E43" i="10"/>
  <c r="F43" i="10"/>
  <c r="C44" i="10"/>
  <c r="D44" i="10"/>
  <c r="E44" i="10"/>
  <c r="F44" i="10"/>
  <c r="C45" i="10"/>
  <c r="D45" i="10"/>
  <c r="E45" i="10"/>
  <c r="F45" i="10"/>
  <c r="C46" i="10"/>
  <c r="D46" i="10"/>
  <c r="E46" i="10"/>
  <c r="F46" i="10"/>
  <c r="C47" i="10"/>
  <c r="D47" i="10"/>
  <c r="E47" i="10"/>
  <c r="F47" i="10"/>
  <c r="C48" i="10"/>
  <c r="D48" i="10"/>
  <c r="E48" i="10"/>
  <c r="F48" i="10"/>
  <c r="C49" i="10"/>
  <c r="D49" i="10"/>
  <c r="E49" i="10"/>
  <c r="F49" i="10"/>
  <c r="C50" i="10"/>
  <c r="D50" i="10"/>
  <c r="E50" i="10"/>
  <c r="F50" i="10"/>
  <c r="C51" i="10"/>
  <c r="D51" i="10"/>
  <c r="E51" i="10"/>
  <c r="F51" i="10"/>
  <c r="C52" i="10"/>
  <c r="D52" i="10"/>
  <c r="E52" i="10"/>
  <c r="F52" i="10"/>
  <c r="C53" i="10"/>
  <c r="D53" i="10"/>
  <c r="E53" i="10"/>
  <c r="F53" i="10"/>
  <c r="C54" i="10"/>
  <c r="D54" i="10"/>
  <c r="E54" i="10"/>
  <c r="F54" i="10"/>
  <c r="C55" i="10"/>
  <c r="D55" i="10"/>
  <c r="E55" i="10"/>
  <c r="F55" i="10"/>
  <c r="C56" i="10"/>
  <c r="D56" i="10"/>
  <c r="E56" i="10"/>
  <c r="F56" i="10"/>
  <c r="C57" i="10"/>
  <c r="D57" i="10"/>
  <c r="E57" i="10"/>
  <c r="F57" i="10"/>
  <c r="C58" i="10"/>
  <c r="D58" i="10"/>
  <c r="E58" i="10"/>
  <c r="F58" i="10"/>
  <c r="C59" i="10"/>
  <c r="D59" i="10"/>
  <c r="E59" i="10"/>
  <c r="F59" i="10"/>
  <c r="C60" i="10"/>
  <c r="D60" i="10"/>
  <c r="E60" i="10"/>
  <c r="F60" i="10"/>
  <c r="C61" i="10"/>
  <c r="D61" i="10"/>
  <c r="E61" i="10"/>
  <c r="F61" i="10"/>
  <c r="C62" i="10"/>
  <c r="D62" i="10"/>
  <c r="E62" i="10"/>
  <c r="F62" i="10"/>
  <c r="C63" i="10"/>
  <c r="D63" i="10"/>
  <c r="E63" i="10"/>
  <c r="F63" i="10"/>
  <c r="C64" i="10"/>
  <c r="D64" i="10"/>
  <c r="E64" i="10"/>
  <c r="F64" i="10"/>
  <c r="C65" i="10"/>
  <c r="D65" i="10"/>
  <c r="E65" i="10"/>
  <c r="F65" i="10"/>
  <c r="C66" i="10"/>
  <c r="D66" i="10"/>
  <c r="E66" i="10"/>
  <c r="F66" i="10"/>
  <c r="C67" i="10"/>
  <c r="D67" i="10"/>
  <c r="E67" i="10"/>
  <c r="F67" i="10"/>
  <c r="C68" i="10"/>
  <c r="D68" i="10"/>
  <c r="E68" i="10"/>
  <c r="F68" i="10"/>
  <c r="C69" i="10"/>
  <c r="D69" i="10"/>
  <c r="E69" i="10"/>
  <c r="F69" i="10"/>
  <c r="C70" i="10"/>
  <c r="D70" i="10"/>
  <c r="E70" i="10"/>
  <c r="F70" i="10"/>
  <c r="C71" i="10"/>
  <c r="D71" i="10"/>
  <c r="E71" i="10"/>
  <c r="F71" i="10"/>
  <c r="C72" i="10"/>
  <c r="D72" i="10"/>
  <c r="E72" i="10"/>
  <c r="F72" i="10"/>
  <c r="C73" i="10"/>
  <c r="D73" i="10"/>
  <c r="E73" i="10"/>
  <c r="F73" i="10"/>
  <c r="C74" i="10"/>
  <c r="D74" i="10"/>
  <c r="E74" i="10"/>
  <c r="F74" i="10"/>
  <c r="C75" i="10"/>
  <c r="D75" i="10"/>
  <c r="E75" i="10"/>
  <c r="F75" i="10"/>
  <c r="C76" i="10"/>
  <c r="D76" i="10"/>
  <c r="E76" i="10"/>
  <c r="F76" i="10"/>
  <c r="C77" i="10"/>
  <c r="D77" i="10"/>
  <c r="E77" i="10"/>
  <c r="F77" i="10"/>
  <c r="C78" i="10"/>
  <c r="D78" i="10"/>
  <c r="E78" i="10"/>
  <c r="F78" i="10"/>
  <c r="C79" i="10"/>
  <c r="D79" i="10"/>
  <c r="E79" i="10"/>
  <c r="F79" i="10"/>
  <c r="C80" i="10"/>
  <c r="D80" i="10"/>
  <c r="E80" i="10"/>
  <c r="F80" i="10"/>
  <c r="C81" i="10"/>
  <c r="D81" i="10"/>
  <c r="E81" i="10"/>
  <c r="F81" i="10"/>
  <c r="C82" i="10"/>
  <c r="D82" i="10"/>
  <c r="E82" i="10"/>
  <c r="F82" i="10"/>
  <c r="C83" i="10"/>
  <c r="D83" i="10"/>
  <c r="E83" i="10"/>
  <c r="F83" i="10"/>
  <c r="C84" i="10"/>
  <c r="D84" i="10"/>
  <c r="E84" i="10"/>
  <c r="F84" i="10"/>
  <c r="C85" i="10"/>
  <c r="D85" i="10"/>
  <c r="E85" i="10"/>
  <c r="F85" i="10"/>
  <c r="C86" i="10"/>
  <c r="D86" i="10"/>
  <c r="E86" i="10"/>
  <c r="F86" i="10"/>
  <c r="C87" i="10"/>
  <c r="D87" i="10"/>
  <c r="E87" i="10"/>
  <c r="F87" i="10"/>
  <c r="C88" i="10"/>
  <c r="D88" i="10"/>
  <c r="E88" i="10"/>
  <c r="F88" i="10"/>
  <c r="C89" i="10"/>
  <c r="D89" i="10"/>
  <c r="E89" i="10"/>
  <c r="F89" i="10"/>
  <c r="C90" i="10"/>
  <c r="D90" i="10"/>
  <c r="E90" i="10"/>
  <c r="F90" i="10"/>
  <c r="C91" i="10"/>
  <c r="D91" i="10"/>
  <c r="E91" i="10"/>
  <c r="F91" i="10"/>
  <c r="C92" i="10"/>
  <c r="D92" i="10"/>
  <c r="E92" i="10"/>
  <c r="F92" i="10"/>
  <c r="C93" i="10"/>
  <c r="D93" i="10"/>
  <c r="E93" i="10"/>
  <c r="F93" i="10"/>
  <c r="C94" i="10"/>
  <c r="D94" i="10"/>
  <c r="E94" i="10"/>
  <c r="F94" i="10"/>
  <c r="C95" i="10"/>
  <c r="D95" i="10"/>
  <c r="E95" i="10"/>
  <c r="F95" i="10"/>
  <c r="C96" i="10"/>
  <c r="D96" i="10"/>
  <c r="E96" i="10"/>
  <c r="F96" i="10"/>
  <c r="C97" i="10"/>
  <c r="D97" i="10"/>
  <c r="E97" i="10"/>
  <c r="F97" i="10"/>
  <c r="C98" i="10"/>
  <c r="D98" i="10"/>
  <c r="E98" i="10"/>
  <c r="F98" i="10"/>
  <c r="C99" i="10"/>
  <c r="D99" i="10"/>
  <c r="E99" i="10"/>
  <c r="F99" i="10"/>
  <c r="C100" i="10"/>
  <c r="D100" i="10"/>
  <c r="E100" i="10"/>
  <c r="F100" i="10"/>
  <c r="C101" i="10"/>
  <c r="D101" i="10"/>
  <c r="E101" i="10"/>
  <c r="F101" i="10"/>
  <c r="C102" i="10"/>
  <c r="D102" i="10"/>
  <c r="E102" i="10"/>
  <c r="F102" i="10"/>
  <c r="C103" i="10"/>
  <c r="D103" i="10"/>
  <c r="E103" i="10"/>
  <c r="F103" i="10"/>
  <c r="C104" i="10"/>
  <c r="D104" i="10"/>
  <c r="E104" i="10"/>
  <c r="F104" i="10"/>
  <c r="C105" i="10"/>
  <c r="D105" i="10"/>
  <c r="E105" i="10"/>
  <c r="F105" i="10"/>
  <c r="C106" i="10"/>
  <c r="D106" i="10"/>
  <c r="E106" i="10"/>
  <c r="F106" i="10"/>
  <c r="C107" i="10"/>
  <c r="D107" i="10"/>
  <c r="E107" i="10"/>
  <c r="F107" i="10"/>
  <c r="C108" i="10"/>
  <c r="D108" i="10"/>
  <c r="E108" i="10"/>
  <c r="F108" i="10"/>
  <c r="C109" i="10"/>
  <c r="D109" i="10"/>
  <c r="E109" i="10"/>
  <c r="F109" i="10"/>
  <c r="C110" i="10"/>
  <c r="D110" i="10"/>
  <c r="E110" i="10"/>
  <c r="F110" i="10"/>
  <c r="C111" i="10"/>
  <c r="D111" i="10"/>
  <c r="E111" i="10"/>
  <c r="F111" i="10"/>
  <c r="C112" i="10"/>
  <c r="D112" i="10"/>
  <c r="E112" i="10"/>
  <c r="F112" i="10"/>
  <c r="C113" i="10"/>
  <c r="D113" i="10"/>
  <c r="E113" i="10"/>
  <c r="F113" i="10"/>
  <c r="C114" i="10"/>
  <c r="D114" i="10"/>
  <c r="E114" i="10"/>
  <c r="F114" i="10"/>
  <c r="C115" i="10"/>
  <c r="D115" i="10"/>
  <c r="E115" i="10"/>
  <c r="F115" i="10"/>
  <c r="C116" i="10"/>
  <c r="D116" i="10"/>
  <c r="E116" i="10"/>
  <c r="F116" i="10"/>
  <c r="C117" i="10"/>
  <c r="D117" i="10"/>
  <c r="E117" i="10"/>
  <c r="F117" i="10"/>
  <c r="C118" i="10"/>
  <c r="D118" i="10"/>
  <c r="E118" i="10"/>
  <c r="F118" i="10"/>
  <c r="C119" i="10"/>
  <c r="D119" i="10"/>
  <c r="E119" i="10"/>
  <c r="F119" i="10"/>
  <c r="C120" i="10"/>
  <c r="D120" i="10"/>
  <c r="E120" i="10"/>
  <c r="F120" i="10"/>
  <c r="C121" i="10"/>
  <c r="D121" i="10"/>
  <c r="E121" i="10"/>
  <c r="F121" i="10"/>
  <c r="C122" i="10"/>
  <c r="D122" i="10"/>
  <c r="E122" i="10"/>
  <c r="F122" i="10"/>
  <c r="C123" i="10"/>
  <c r="D123" i="10"/>
  <c r="E123" i="10"/>
  <c r="F123" i="10"/>
  <c r="C124" i="10"/>
  <c r="D124" i="10"/>
  <c r="E124" i="10"/>
  <c r="F124" i="10"/>
  <c r="C125" i="10"/>
  <c r="D125" i="10"/>
  <c r="E125" i="10"/>
  <c r="F125" i="10"/>
  <c r="C126" i="10"/>
  <c r="D126" i="10"/>
  <c r="E126" i="10"/>
  <c r="F126" i="10"/>
  <c r="C127" i="10"/>
  <c r="D127" i="10"/>
  <c r="E127" i="10"/>
  <c r="F127" i="10"/>
  <c r="C128" i="10"/>
  <c r="D128" i="10"/>
  <c r="E128" i="10"/>
  <c r="F128" i="10"/>
  <c r="C129" i="10"/>
  <c r="D129" i="10"/>
  <c r="E129" i="10"/>
  <c r="F129" i="10"/>
  <c r="C130" i="10"/>
  <c r="D130" i="10"/>
  <c r="E130" i="10"/>
  <c r="F130" i="10"/>
  <c r="C131" i="10"/>
  <c r="D131" i="10"/>
  <c r="E131" i="10"/>
  <c r="F131" i="10"/>
  <c r="C132" i="10"/>
  <c r="D132" i="10"/>
  <c r="E132" i="10"/>
  <c r="F132" i="10"/>
  <c r="C133" i="10"/>
  <c r="D133" i="10"/>
  <c r="E133" i="10"/>
  <c r="F133" i="10"/>
  <c r="C134" i="10"/>
  <c r="D134" i="10"/>
  <c r="E134" i="10"/>
  <c r="F134" i="10"/>
  <c r="C135" i="10"/>
  <c r="D135" i="10"/>
  <c r="E135" i="10"/>
  <c r="F135" i="10"/>
  <c r="C136" i="10"/>
  <c r="D136" i="10"/>
  <c r="E136" i="10"/>
  <c r="F136" i="10"/>
  <c r="C137" i="10"/>
  <c r="D137" i="10"/>
  <c r="E137" i="10"/>
  <c r="F137" i="10"/>
  <c r="C138" i="10"/>
  <c r="D138" i="10"/>
  <c r="E138" i="10"/>
  <c r="F138" i="10"/>
  <c r="C139" i="10"/>
  <c r="D139" i="10"/>
  <c r="E139" i="10"/>
  <c r="F139" i="10"/>
  <c r="C140" i="10"/>
  <c r="D140" i="10"/>
  <c r="E140" i="10"/>
  <c r="F140" i="10"/>
  <c r="C141" i="10"/>
  <c r="D141" i="10"/>
  <c r="E141" i="10"/>
  <c r="F141" i="10"/>
  <c r="C142" i="10"/>
  <c r="D142" i="10"/>
  <c r="E142" i="10"/>
  <c r="F142" i="10"/>
  <c r="C143" i="10"/>
  <c r="D143" i="10"/>
  <c r="E143" i="10"/>
  <c r="F143" i="10"/>
  <c r="C144" i="10"/>
  <c r="D144" i="10"/>
  <c r="E144" i="10"/>
  <c r="F144" i="10"/>
  <c r="C145" i="10"/>
  <c r="D145" i="10"/>
  <c r="E145" i="10"/>
  <c r="F145" i="10"/>
  <c r="C146" i="10"/>
  <c r="D146" i="10"/>
  <c r="E146" i="10"/>
  <c r="F146" i="10"/>
  <c r="C147" i="10"/>
  <c r="D147" i="10"/>
  <c r="E147" i="10"/>
  <c r="F147" i="10"/>
  <c r="C148" i="10"/>
  <c r="D148" i="10"/>
  <c r="E148" i="10"/>
  <c r="F148" i="10"/>
  <c r="C149" i="10"/>
  <c r="D149" i="10"/>
  <c r="E149" i="10"/>
  <c r="F149" i="10"/>
  <c r="C150" i="10"/>
  <c r="D150" i="10"/>
  <c r="E150" i="10"/>
  <c r="F150" i="10"/>
  <c r="C151" i="10"/>
  <c r="D151" i="10"/>
  <c r="E151" i="10"/>
  <c r="F151" i="10"/>
  <c r="C152" i="10"/>
  <c r="D152" i="10"/>
  <c r="E152" i="10"/>
  <c r="F152" i="10"/>
  <c r="C153" i="10"/>
  <c r="D153" i="10"/>
  <c r="E153" i="10"/>
  <c r="F153" i="10"/>
  <c r="C154" i="10"/>
  <c r="D154" i="10"/>
  <c r="E154" i="10"/>
  <c r="F154" i="10"/>
  <c r="C155" i="10"/>
  <c r="D155" i="10"/>
  <c r="E155" i="10"/>
  <c r="F155" i="10"/>
  <c r="C156" i="10"/>
  <c r="D156" i="10"/>
  <c r="E156" i="10"/>
  <c r="F156" i="10"/>
  <c r="C157" i="10"/>
  <c r="D157" i="10"/>
  <c r="E157" i="10"/>
  <c r="F157" i="10"/>
  <c r="C158" i="10"/>
  <c r="D158" i="10"/>
  <c r="E158" i="10"/>
  <c r="F158" i="10"/>
  <c r="C159" i="10"/>
  <c r="D159" i="10"/>
  <c r="E159" i="10"/>
  <c r="F159" i="10"/>
  <c r="C160" i="10"/>
  <c r="D160" i="10"/>
  <c r="E160" i="10"/>
  <c r="F160" i="10"/>
  <c r="C161" i="10"/>
  <c r="D161" i="10"/>
  <c r="E161" i="10"/>
  <c r="F161" i="10"/>
  <c r="C162" i="10"/>
  <c r="D162" i="10"/>
  <c r="E162" i="10"/>
  <c r="F162" i="10"/>
  <c r="C163" i="10"/>
  <c r="D163" i="10"/>
  <c r="E163" i="10"/>
  <c r="F163" i="10"/>
  <c r="C164" i="10"/>
  <c r="D164" i="10"/>
  <c r="E164" i="10"/>
  <c r="F164" i="10"/>
  <c r="C165" i="10"/>
  <c r="D165" i="10"/>
  <c r="E165" i="10"/>
  <c r="F165" i="10"/>
  <c r="C166" i="10"/>
  <c r="D166" i="10"/>
  <c r="E166" i="10"/>
  <c r="F166" i="10"/>
  <c r="C167" i="10"/>
  <c r="D167" i="10"/>
  <c r="E167" i="10"/>
  <c r="F167" i="10"/>
  <c r="C168" i="10"/>
  <c r="D168" i="10"/>
  <c r="E168" i="10"/>
  <c r="F168" i="10"/>
  <c r="C169" i="10"/>
  <c r="D169" i="10"/>
  <c r="E169" i="10"/>
  <c r="F169" i="10"/>
  <c r="C170" i="10"/>
  <c r="D170" i="10"/>
  <c r="E170" i="10"/>
  <c r="F170" i="10"/>
  <c r="C171" i="10"/>
  <c r="D171" i="10"/>
  <c r="E171" i="10"/>
  <c r="F171" i="10"/>
  <c r="C172" i="10"/>
  <c r="D172" i="10"/>
  <c r="E172" i="10"/>
  <c r="F172" i="10"/>
  <c r="C173" i="10"/>
  <c r="D173" i="10"/>
  <c r="E173" i="10"/>
  <c r="F173" i="10"/>
  <c r="C174" i="10"/>
  <c r="D174" i="10"/>
  <c r="E174" i="10"/>
  <c r="F174" i="10"/>
  <c r="C175" i="10"/>
  <c r="D175" i="10"/>
  <c r="E175" i="10"/>
  <c r="F175" i="10"/>
  <c r="C176" i="10"/>
  <c r="D176" i="10"/>
  <c r="E176" i="10"/>
  <c r="F176" i="10"/>
  <c r="C177" i="10"/>
  <c r="D177" i="10"/>
  <c r="E177" i="10"/>
  <c r="F177" i="10"/>
  <c r="C178" i="10"/>
  <c r="D178" i="10"/>
  <c r="E178" i="10"/>
  <c r="F178" i="10"/>
  <c r="C179" i="10"/>
  <c r="D179" i="10"/>
  <c r="E179" i="10"/>
  <c r="F179" i="10"/>
  <c r="C180" i="10"/>
  <c r="D180" i="10"/>
  <c r="E180" i="10"/>
  <c r="F180" i="10"/>
  <c r="C181" i="10"/>
  <c r="D181" i="10"/>
  <c r="E181" i="10"/>
  <c r="F181" i="10"/>
  <c r="C182" i="10"/>
  <c r="D182" i="10"/>
  <c r="E182" i="10"/>
  <c r="F182" i="10"/>
  <c r="C183" i="10"/>
  <c r="D183" i="10"/>
  <c r="E183" i="10"/>
  <c r="F183" i="10"/>
  <c r="C184" i="10"/>
  <c r="D184" i="10"/>
  <c r="E184" i="10"/>
  <c r="F184" i="10"/>
  <c r="C185" i="10"/>
  <c r="D185" i="10"/>
  <c r="E185" i="10"/>
  <c r="F185" i="10"/>
  <c r="C186" i="10"/>
  <c r="D186" i="10"/>
  <c r="E186" i="10"/>
  <c r="F186" i="10"/>
  <c r="C187" i="10"/>
  <c r="D187" i="10"/>
  <c r="E187" i="10"/>
  <c r="F187" i="10"/>
  <c r="C188" i="10"/>
  <c r="D188" i="10"/>
  <c r="E188" i="10"/>
  <c r="F188" i="10"/>
  <c r="C189" i="10"/>
  <c r="D189" i="10"/>
  <c r="E189" i="10"/>
  <c r="F189" i="10"/>
  <c r="C190" i="10"/>
  <c r="D190" i="10"/>
  <c r="E190" i="10"/>
  <c r="F190" i="10"/>
  <c r="C191" i="10"/>
  <c r="D191" i="10"/>
  <c r="E191" i="10"/>
  <c r="F191" i="10"/>
  <c r="C192" i="10"/>
  <c r="D192" i="10"/>
  <c r="E192" i="10"/>
  <c r="F192" i="10"/>
  <c r="C193" i="10"/>
  <c r="D193" i="10"/>
  <c r="E193" i="10"/>
  <c r="F193" i="10"/>
  <c r="C194" i="10"/>
  <c r="D194" i="10"/>
  <c r="E194" i="10"/>
  <c r="F194" i="10"/>
  <c r="C195" i="10"/>
  <c r="D195" i="10"/>
  <c r="E195" i="10"/>
  <c r="F195" i="10"/>
  <c r="C196" i="10"/>
  <c r="D196" i="10"/>
  <c r="E196" i="10"/>
  <c r="F196" i="10"/>
  <c r="C197" i="10"/>
  <c r="D197" i="10"/>
  <c r="E197" i="10"/>
  <c r="F197" i="10"/>
  <c r="C198" i="10"/>
  <c r="D198" i="10"/>
  <c r="E198" i="10"/>
  <c r="F198" i="10"/>
  <c r="C199" i="10"/>
  <c r="D199" i="10"/>
  <c r="E199" i="10"/>
  <c r="F199" i="10"/>
  <c r="C200" i="10"/>
  <c r="D200" i="10"/>
  <c r="E200" i="10"/>
  <c r="F200" i="10"/>
  <c r="C201" i="10"/>
  <c r="D201" i="10"/>
  <c r="E201" i="10"/>
  <c r="F201" i="10"/>
  <c r="C202" i="10"/>
  <c r="D202" i="10"/>
  <c r="E202" i="10"/>
  <c r="F202" i="10"/>
  <c r="C203" i="10"/>
  <c r="D203" i="10"/>
  <c r="E203" i="10"/>
  <c r="F203" i="10"/>
  <c r="C204" i="10"/>
  <c r="D204" i="10"/>
  <c r="E204" i="10"/>
  <c r="F204" i="10"/>
  <c r="C205" i="10"/>
  <c r="D205" i="10"/>
  <c r="E205" i="10"/>
  <c r="F205" i="10"/>
  <c r="C206" i="10"/>
  <c r="D206" i="10"/>
  <c r="E206" i="10"/>
  <c r="F206" i="10"/>
  <c r="C207" i="10"/>
  <c r="D207" i="10"/>
  <c r="E207" i="10"/>
  <c r="F207" i="10"/>
  <c r="C208" i="10"/>
  <c r="D208" i="10"/>
  <c r="E208" i="10"/>
  <c r="F208" i="10"/>
  <c r="C209" i="10"/>
  <c r="D209" i="10"/>
  <c r="E209" i="10"/>
  <c r="F209" i="10"/>
  <c r="C210" i="10"/>
  <c r="D210" i="10"/>
  <c r="E210" i="10"/>
  <c r="F210" i="10"/>
  <c r="C211" i="10"/>
  <c r="D211" i="10"/>
  <c r="E211" i="10"/>
  <c r="F211" i="10"/>
  <c r="C212" i="10"/>
  <c r="D212" i="10"/>
  <c r="E212" i="10"/>
  <c r="F212" i="10"/>
  <c r="C213" i="10"/>
  <c r="D213" i="10"/>
  <c r="E213" i="10"/>
  <c r="F213" i="10"/>
  <c r="C214" i="10"/>
  <c r="D214" i="10"/>
  <c r="E214" i="10"/>
  <c r="F214" i="10"/>
  <c r="C215" i="10"/>
  <c r="D215" i="10"/>
  <c r="E215" i="10"/>
  <c r="F215" i="10"/>
  <c r="C216" i="10"/>
  <c r="D216" i="10"/>
  <c r="E216" i="10"/>
  <c r="F216" i="10"/>
  <c r="C217" i="10"/>
  <c r="D217" i="10"/>
  <c r="E217" i="10"/>
  <c r="F217" i="10"/>
  <c r="C218" i="10"/>
  <c r="D218" i="10"/>
  <c r="E218" i="10"/>
  <c r="F218" i="10"/>
  <c r="C219" i="10"/>
  <c r="D219" i="10"/>
  <c r="E219" i="10"/>
  <c r="F219" i="10"/>
  <c r="C220" i="10"/>
  <c r="D220" i="10"/>
  <c r="E220" i="10"/>
  <c r="F220" i="10"/>
  <c r="C221" i="10"/>
  <c r="D221" i="10"/>
  <c r="E221" i="10"/>
  <c r="F221" i="10"/>
  <c r="C222" i="10"/>
  <c r="D222" i="10"/>
  <c r="E222" i="10"/>
  <c r="F222" i="10"/>
  <c r="C223" i="10"/>
  <c r="D223" i="10"/>
  <c r="E223" i="10"/>
  <c r="F223" i="10"/>
  <c r="C224" i="10"/>
  <c r="D224" i="10"/>
  <c r="E224" i="10"/>
  <c r="F224" i="10"/>
  <c r="C225" i="10"/>
  <c r="D225" i="10"/>
  <c r="E225" i="10"/>
  <c r="F225" i="10"/>
  <c r="C226" i="10"/>
  <c r="D226" i="10"/>
  <c r="E226" i="10"/>
  <c r="F226" i="10"/>
  <c r="C227" i="10"/>
  <c r="D227" i="10"/>
  <c r="E227" i="10"/>
  <c r="F227" i="10"/>
  <c r="C228" i="10"/>
  <c r="D228" i="10"/>
  <c r="E228" i="10"/>
  <c r="F228" i="10"/>
  <c r="C229" i="10"/>
  <c r="D229" i="10"/>
  <c r="E229" i="10"/>
  <c r="F229" i="10"/>
  <c r="C230" i="10"/>
  <c r="D230" i="10"/>
  <c r="E230" i="10"/>
  <c r="F230" i="10"/>
  <c r="C231" i="10"/>
  <c r="D231" i="10"/>
  <c r="E231" i="10"/>
  <c r="F231" i="10"/>
  <c r="C232" i="10"/>
  <c r="D232" i="10"/>
  <c r="E232" i="10"/>
  <c r="F232" i="10"/>
  <c r="C233" i="10"/>
  <c r="D233" i="10"/>
  <c r="E233" i="10"/>
  <c r="F233" i="10"/>
  <c r="C234" i="10"/>
  <c r="D234" i="10"/>
  <c r="E234" i="10"/>
  <c r="F234" i="10"/>
  <c r="C235" i="10"/>
  <c r="D235" i="10"/>
  <c r="E235" i="10"/>
  <c r="F235" i="10"/>
  <c r="C236" i="10"/>
  <c r="D236" i="10"/>
  <c r="E236" i="10"/>
  <c r="F236" i="10"/>
  <c r="C237" i="10"/>
  <c r="D237" i="10"/>
  <c r="E237" i="10"/>
  <c r="F237" i="10"/>
  <c r="C238" i="10"/>
  <c r="D238" i="10"/>
  <c r="E238" i="10"/>
  <c r="F238" i="10"/>
  <c r="C239" i="10"/>
  <c r="D239" i="10"/>
  <c r="E239" i="10"/>
  <c r="F239" i="10"/>
  <c r="C240" i="10"/>
  <c r="D240" i="10"/>
  <c r="E240" i="10"/>
  <c r="F240" i="10"/>
  <c r="C241" i="10"/>
  <c r="D241" i="10"/>
  <c r="E241" i="10"/>
  <c r="F241" i="10"/>
  <c r="C242" i="10"/>
  <c r="D242" i="10"/>
  <c r="E242" i="10"/>
  <c r="F242" i="10"/>
  <c r="C243" i="10"/>
  <c r="D243" i="10"/>
  <c r="E243" i="10"/>
  <c r="F243" i="10"/>
  <c r="C244" i="10"/>
  <c r="D244" i="10"/>
  <c r="E244" i="10"/>
  <c r="F244" i="10"/>
  <c r="C245" i="10"/>
  <c r="D245" i="10"/>
  <c r="E245" i="10"/>
  <c r="F245" i="10"/>
  <c r="C246" i="10"/>
  <c r="D246" i="10"/>
  <c r="E246" i="10"/>
  <c r="F246" i="10"/>
  <c r="C247" i="10"/>
  <c r="D247" i="10"/>
  <c r="E247" i="10"/>
  <c r="F247" i="10"/>
  <c r="C248" i="10"/>
  <c r="D248" i="10"/>
  <c r="E248" i="10"/>
  <c r="F248" i="10"/>
  <c r="C249" i="10"/>
  <c r="D249" i="10"/>
  <c r="E249" i="10"/>
  <c r="F249" i="10"/>
  <c r="C250" i="10"/>
  <c r="D250" i="10"/>
  <c r="E250" i="10"/>
  <c r="F250" i="10"/>
  <c r="C251" i="10"/>
  <c r="D251" i="10"/>
  <c r="E251" i="10"/>
  <c r="F251" i="10"/>
  <c r="C252" i="10"/>
  <c r="D252" i="10"/>
  <c r="E252" i="10"/>
  <c r="F252" i="10"/>
  <c r="C253" i="10"/>
  <c r="D253" i="10"/>
  <c r="E253" i="10"/>
  <c r="F253" i="10"/>
  <c r="C254" i="10"/>
  <c r="D254" i="10"/>
  <c r="E254" i="10"/>
  <c r="F254" i="10"/>
  <c r="C255" i="10"/>
  <c r="D255" i="10"/>
  <c r="E255" i="10"/>
  <c r="F255" i="10"/>
  <c r="C256" i="10"/>
  <c r="D256" i="10"/>
  <c r="E256" i="10"/>
  <c r="F256" i="10"/>
  <c r="C257" i="10"/>
  <c r="D257" i="10"/>
  <c r="E257" i="10"/>
  <c r="F257" i="10"/>
  <c r="C258" i="10"/>
  <c r="D258" i="10"/>
  <c r="E258" i="10"/>
  <c r="F258" i="10"/>
  <c r="C259" i="10"/>
  <c r="D259" i="10"/>
  <c r="E259" i="10"/>
  <c r="F259" i="10"/>
  <c r="C260" i="10"/>
  <c r="D260" i="10"/>
  <c r="E260" i="10"/>
  <c r="F260" i="10"/>
  <c r="C261" i="10"/>
  <c r="D261" i="10"/>
  <c r="E261" i="10"/>
  <c r="F261" i="10"/>
  <c r="C262" i="10"/>
  <c r="D262" i="10"/>
  <c r="E262" i="10"/>
  <c r="F262" i="10"/>
  <c r="C263" i="10"/>
  <c r="D263" i="10"/>
  <c r="E263" i="10"/>
  <c r="F263" i="10"/>
  <c r="C264" i="10"/>
  <c r="D264" i="10"/>
  <c r="E264" i="10"/>
  <c r="F264" i="10"/>
  <c r="C265" i="10"/>
  <c r="D265" i="10"/>
  <c r="E265" i="10"/>
  <c r="F265" i="10"/>
  <c r="C266" i="10"/>
  <c r="D266" i="10"/>
  <c r="E266" i="10"/>
  <c r="F266" i="10"/>
  <c r="C267" i="10"/>
  <c r="D267" i="10"/>
  <c r="E267" i="10"/>
  <c r="F267" i="10"/>
  <c r="C268" i="10"/>
  <c r="D268" i="10"/>
  <c r="E268" i="10"/>
  <c r="F268" i="10"/>
  <c r="C269" i="10"/>
  <c r="D269" i="10"/>
  <c r="E269" i="10"/>
  <c r="F269" i="10"/>
  <c r="C270" i="10"/>
  <c r="D270" i="10"/>
  <c r="E270" i="10"/>
  <c r="F270" i="10"/>
  <c r="C271" i="10"/>
  <c r="D271" i="10"/>
  <c r="E271" i="10"/>
  <c r="F271" i="10"/>
  <c r="C272" i="10"/>
  <c r="D272" i="10"/>
  <c r="E272" i="10"/>
  <c r="F272" i="10"/>
  <c r="C273" i="10"/>
  <c r="D273" i="10"/>
  <c r="E273" i="10"/>
  <c r="F273" i="10"/>
  <c r="C274" i="10"/>
  <c r="D274" i="10"/>
  <c r="E274" i="10"/>
  <c r="F274" i="10"/>
  <c r="C275" i="10"/>
  <c r="D275" i="10"/>
  <c r="E275" i="10"/>
  <c r="F275" i="10"/>
  <c r="C276" i="10"/>
  <c r="D276" i="10"/>
  <c r="E276" i="10"/>
  <c r="F276" i="10"/>
  <c r="C277" i="10"/>
  <c r="D277" i="10"/>
  <c r="E277" i="10"/>
  <c r="F277" i="10"/>
  <c r="C278" i="10"/>
  <c r="D278" i="10"/>
  <c r="E278" i="10"/>
  <c r="F278" i="10"/>
  <c r="C279" i="10"/>
  <c r="D279" i="10"/>
  <c r="E279" i="10"/>
  <c r="F279" i="10"/>
  <c r="C280" i="10"/>
  <c r="D280" i="10"/>
  <c r="E280" i="10"/>
  <c r="F280" i="10"/>
  <c r="C281" i="10"/>
  <c r="D281" i="10"/>
  <c r="E281" i="10"/>
  <c r="F281" i="10"/>
  <c r="C282" i="10"/>
  <c r="D282" i="10"/>
  <c r="E282" i="10"/>
  <c r="F282" i="10"/>
  <c r="C283" i="10"/>
  <c r="D283" i="10"/>
  <c r="E283" i="10"/>
  <c r="F283" i="10"/>
  <c r="C284" i="10"/>
  <c r="D284" i="10"/>
  <c r="E284" i="10"/>
  <c r="F284" i="10"/>
  <c r="C285" i="10"/>
  <c r="D285" i="10"/>
  <c r="E285" i="10"/>
  <c r="F285" i="10"/>
  <c r="C286" i="10"/>
  <c r="D286" i="10"/>
  <c r="E286" i="10"/>
  <c r="F286" i="10"/>
  <c r="C287" i="10"/>
  <c r="D287" i="10"/>
  <c r="E287" i="10"/>
  <c r="F287" i="10"/>
  <c r="C288" i="10"/>
  <c r="D288" i="10"/>
  <c r="E288" i="10"/>
  <c r="F288" i="10"/>
  <c r="C289" i="10"/>
  <c r="D289" i="10"/>
  <c r="E289" i="10"/>
  <c r="F289" i="10"/>
  <c r="C290" i="10"/>
  <c r="D290" i="10"/>
  <c r="E290" i="10"/>
  <c r="F290" i="10"/>
  <c r="C291" i="10"/>
  <c r="D291" i="10"/>
  <c r="E291" i="10"/>
  <c r="F291" i="10"/>
  <c r="C292" i="10"/>
  <c r="D292" i="10"/>
  <c r="E292" i="10"/>
  <c r="F292" i="10"/>
  <c r="C293" i="10"/>
  <c r="D293" i="10"/>
  <c r="E293" i="10"/>
  <c r="F293" i="10"/>
  <c r="C294" i="10"/>
  <c r="D294" i="10"/>
  <c r="E294" i="10"/>
  <c r="F294" i="10"/>
  <c r="C295" i="10"/>
  <c r="D295" i="10"/>
  <c r="E295" i="10"/>
  <c r="F295" i="10"/>
  <c r="C296" i="10"/>
  <c r="D296" i="10"/>
  <c r="E296" i="10"/>
  <c r="F296" i="10"/>
  <c r="C297" i="10"/>
  <c r="D297" i="10"/>
  <c r="E297" i="10"/>
  <c r="F297" i="10"/>
  <c r="C298" i="10"/>
  <c r="D298" i="10"/>
  <c r="E298" i="10"/>
  <c r="F298" i="10"/>
  <c r="C299" i="10"/>
  <c r="D299" i="10"/>
  <c r="E299" i="10"/>
  <c r="F299" i="10"/>
  <c r="C300" i="10"/>
  <c r="D300" i="10"/>
  <c r="E300" i="10"/>
  <c r="F300" i="10"/>
  <c r="C301" i="10"/>
  <c r="D301" i="10"/>
  <c r="E301" i="10"/>
  <c r="F301" i="10"/>
  <c r="C302" i="10"/>
  <c r="D302" i="10"/>
  <c r="E302" i="10"/>
  <c r="F302" i="10"/>
  <c r="C303" i="10"/>
  <c r="D303" i="10"/>
  <c r="E303" i="10"/>
  <c r="F303" i="10"/>
  <c r="C304" i="10"/>
  <c r="D304" i="10"/>
  <c r="E304" i="10"/>
  <c r="F304" i="10"/>
  <c r="C305" i="10"/>
  <c r="D305" i="10"/>
  <c r="E305" i="10"/>
  <c r="F305" i="10"/>
  <c r="C306" i="10"/>
  <c r="D306" i="10"/>
  <c r="E306" i="10"/>
  <c r="F306" i="10"/>
  <c r="C307" i="10"/>
  <c r="D307" i="10"/>
  <c r="E307" i="10"/>
  <c r="F307" i="10"/>
  <c r="C308" i="10"/>
  <c r="D308" i="10"/>
  <c r="E308" i="10"/>
  <c r="F308" i="10"/>
  <c r="C309" i="10"/>
  <c r="D309" i="10"/>
  <c r="E309" i="10"/>
  <c r="F309" i="10"/>
  <c r="C310" i="10"/>
  <c r="D310" i="10"/>
  <c r="E310" i="10"/>
  <c r="F310" i="10"/>
  <c r="C311" i="10"/>
  <c r="D311" i="10"/>
  <c r="E311" i="10"/>
  <c r="F311" i="10"/>
  <c r="C312" i="10"/>
  <c r="D312" i="10"/>
  <c r="E312" i="10"/>
  <c r="F312" i="10"/>
  <c r="C313" i="10"/>
  <c r="D313" i="10"/>
  <c r="E313" i="10"/>
  <c r="F313" i="10"/>
  <c r="C314" i="10"/>
  <c r="D314" i="10"/>
  <c r="E314" i="10"/>
  <c r="F314" i="10"/>
  <c r="C315" i="10"/>
  <c r="D315" i="10"/>
  <c r="E315" i="10"/>
  <c r="F315" i="10"/>
  <c r="C316" i="10"/>
  <c r="D316" i="10"/>
  <c r="E316" i="10"/>
  <c r="F316" i="10"/>
  <c r="C317" i="10"/>
  <c r="D317" i="10"/>
  <c r="E317" i="10"/>
  <c r="F317" i="10"/>
  <c r="C318" i="10"/>
  <c r="D318" i="10"/>
  <c r="E318" i="10"/>
  <c r="F318" i="10"/>
  <c r="C319" i="10"/>
  <c r="D319" i="10"/>
  <c r="E319" i="10"/>
  <c r="F319" i="10"/>
  <c r="C320" i="10"/>
  <c r="D320" i="10"/>
  <c r="E320" i="10"/>
  <c r="F320" i="10"/>
  <c r="C321" i="10"/>
  <c r="D321" i="10"/>
  <c r="E321" i="10"/>
  <c r="F321" i="10"/>
  <c r="C322" i="10"/>
  <c r="D322" i="10"/>
  <c r="E322" i="10"/>
  <c r="F322" i="10"/>
  <c r="C323" i="10"/>
  <c r="D323" i="10"/>
  <c r="E323" i="10"/>
  <c r="F323" i="10"/>
  <c r="C324" i="10"/>
  <c r="D324" i="10"/>
  <c r="E324" i="10"/>
  <c r="F324" i="10"/>
  <c r="C325" i="10"/>
  <c r="D325" i="10"/>
  <c r="E325" i="10"/>
  <c r="F325" i="10"/>
  <c r="C326" i="10"/>
  <c r="D326" i="10"/>
  <c r="E326" i="10"/>
  <c r="F326" i="10"/>
  <c r="C327" i="10"/>
  <c r="D327" i="10"/>
  <c r="E327" i="10"/>
  <c r="F327" i="10"/>
  <c r="C328" i="10"/>
  <c r="D328" i="10"/>
  <c r="E328" i="10"/>
  <c r="F328" i="10"/>
  <c r="C329" i="10"/>
  <c r="D329" i="10"/>
  <c r="E329" i="10"/>
  <c r="F329" i="10"/>
  <c r="C330" i="10"/>
  <c r="D330" i="10"/>
  <c r="E330" i="10"/>
  <c r="F330" i="10"/>
  <c r="C331" i="10"/>
  <c r="D331" i="10"/>
  <c r="E331" i="10"/>
  <c r="F331" i="10"/>
  <c r="C332" i="10"/>
  <c r="D332" i="10"/>
  <c r="E332" i="10"/>
  <c r="F332" i="10"/>
  <c r="C333" i="10"/>
  <c r="D333" i="10"/>
  <c r="E333" i="10"/>
  <c r="F333" i="10"/>
  <c r="C334" i="10"/>
  <c r="D334" i="10"/>
  <c r="E334" i="10"/>
  <c r="F334" i="10"/>
  <c r="C335" i="10"/>
  <c r="D335" i="10"/>
  <c r="E335" i="10"/>
  <c r="F335" i="10"/>
  <c r="C336" i="10"/>
  <c r="D336" i="10"/>
  <c r="E336" i="10"/>
  <c r="F336" i="10"/>
  <c r="C337" i="10"/>
  <c r="D337" i="10"/>
  <c r="E337" i="10"/>
  <c r="F337" i="10"/>
  <c r="C338" i="10"/>
  <c r="D338" i="10"/>
  <c r="E338" i="10"/>
  <c r="F338" i="10"/>
  <c r="C339" i="10"/>
  <c r="D339" i="10"/>
  <c r="E339" i="10"/>
  <c r="F339" i="10"/>
  <c r="C340" i="10"/>
  <c r="D340" i="10"/>
  <c r="E340" i="10"/>
  <c r="F340" i="10"/>
  <c r="C341" i="10"/>
  <c r="D341" i="10"/>
  <c r="E341" i="10"/>
  <c r="F341" i="10"/>
  <c r="C342" i="10"/>
  <c r="D342" i="10"/>
  <c r="E342" i="10"/>
  <c r="F342" i="10"/>
  <c r="C343" i="10"/>
  <c r="D343" i="10"/>
  <c r="E343" i="10"/>
  <c r="F343" i="10"/>
  <c r="C344" i="10"/>
  <c r="D344" i="10"/>
  <c r="E344" i="10"/>
  <c r="F344" i="10"/>
  <c r="C345" i="10"/>
  <c r="D345" i="10"/>
  <c r="E345" i="10"/>
  <c r="F345" i="10"/>
  <c r="C346" i="10"/>
  <c r="D346" i="10"/>
  <c r="E346" i="10"/>
  <c r="F346" i="10"/>
  <c r="C347" i="10"/>
  <c r="D347" i="10"/>
  <c r="E347" i="10"/>
  <c r="F347" i="10"/>
  <c r="C348" i="10"/>
  <c r="D348" i="10"/>
  <c r="E348" i="10"/>
  <c r="F348" i="10"/>
  <c r="C349" i="10"/>
  <c r="D349" i="10"/>
  <c r="E349" i="10"/>
  <c r="F349" i="10"/>
  <c r="C350" i="10"/>
  <c r="D350" i="10"/>
  <c r="E350" i="10"/>
  <c r="F350" i="10"/>
  <c r="C351" i="10"/>
  <c r="D351" i="10"/>
  <c r="E351" i="10"/>
  <c r="F351" i="10"/>
  <c r="C352" i="10"/>
  <c r="D352" i="10"/>
  <c r="E352" i="10"/>
  <c r="F352" i="10"/>
  <c r="C353" i="10"/>
  <c r="D353" i="10"/>
  <c r="E353" i="10"/>
  <c r="F353" i="10"/>
  <c r="C354" i="10"/>
  <c r="D354" i="10"/>
  <c r="E354" i="10"/>
  <c r="F354" i="10"/>
  <c r="C355" i="10"/>
  <c r="D355" i="10"/>
  <c r="E355" i="10"/>
  <c r="F355" i="10"/>
  <c r="C356" i="10"/>
  <c r="D356" i="10"/>
  <c r="E356" i="10"/>
  <c r="F356" i="10"/>
  <c r="C357" i="10"/>
  <c r="D357" i="10"/>
  <c r="E357" i="10"/>
  <c r="F357" i="10"/>
  <c r="C358" i="10"/>
  <c r="D358" i="10"/>
  <c r="E358" i="10"/>
  <c r="F358" i="10"/>
  <c r="C359" i="10"/>
  <c r="D359" i="10"/>
  <c r="E359" i="10"/>
  <c r="F359" i="10"/>
  <c r="C360" i="10"/>
  <c r="D360" i="10"/>
  <c r="E360" i="10"/>
  <c r="F360" i="10"/>
  <c r="C361" i="10"/>
  <c r="D361" i="10"/>
  <c r="E361" i="10"/>
  <c r="F361" i="10"/>
  <c r="C362" i="10"/>
  <c r="D362" i="10"/>
  <c r="E362" i="10"/>
  <c r="F362" i="10"/>
  <c r="C363" i="10"/>
  <c r="D363" i="10"/>
  <c r="E363" i="10"/>
  <c r="F363" i="10"/>
  <c r="C364" i="10"/>
  <c r="D364" i="10"/>
  <c r="E364" i="10"/>
  <c r="F364" i="10"/>
  <c r="C365" i="10"/>
  <c r="D365" i="10"/>
  <c r="E365" i="10"/>
  <c r="F365" i="10"/>
  <c r="C366" i="10"/>
  <c r="D366" i="10"/>
  <c r="E366" i="10"/>
  <c r="F366" i="10"/>
  <c r="C367" i="10"/>
  <c r="D367" i="10"/>
  <c r="E367" i="10"/>
  <c r="F367" i="10"/>
  <c r="C368" i="10"/>
  <c r="D368" i="10"/>
  <c r="E368" i="10"/>
  <c r="F368" i="10"/>
  <c r="C369" i="10"/>
  <c r="D369" i="10"/>
  <c r="E369" i="10"/>
  <c r="F369" i="10"/>
  <c r="C370" i="10"/>
  <c r="D370" i="10"/>
  <c r="E370" i="10"/>
  <c r="F370" i="10"/>
  <c r="C371" i="10"/>
  <c r="D371" i="10"/>
  <c r="E371" i="10"/>
  <c r="F371" i="10"/>
  <c r="C372" i="10"/>
  <c r="D372" i="10"/>
  <c r="E372" i="10"/>
  <c r="F372" i="10"/>
  <c r="C373" i="10"/>
  <c r="D373" i="10"/>
  <c r="E373" i="10"/>
  <c r="F373" i="10"/>
  <c r="C374" i="10"/>
  <c r="D374" i="10"/>
  <c r="E374" i="10"/>
  <c r="F374" i="10"/>
  <c r="C375" i="10"/>
  <c r="D375" i="10"/>
  <c r="E375" i="10"/>
  <c r="F375" i="10"/>
  <c r="C376" i="10"/>
  <c r="D376" i="10"/>
  <c r="E376" i="10"/>
  <c r="F376" i="10"/>
  <c r="C377" i="10"/>
  <c r="D377" i="10"/>
  <c r="E377" i="10"/>
  <c r="F377" i="10"/>
  <c r="C378" i="10"/>
  <c r="D378" i="10"/>
  <c r="E378" i="10"/>
  <c r="F378" i="10"/>
  <c r="C379" i="10"/>
  <c r="D379" i="10"/>
  <c r="E379" i="10"/>
  <c r="F379" i="10"/>
  <c r="C380" i="10"/>
  <c r="D380" i="10"/>
  <c r="E380" i="10"/>
  <c r="F380" i="10"/>
  <c r="C381" i="10"/>
  <c r="D381" i="10"/>
  <c r="E381" i="10"/>
  <c r="F381" i="10"/>
  <c r="C382" i="10"/>
  <c r="D382" i="10"/>
  <c r="E382" i="10"/>
  <c r="F382" i="10"/>
  <c r="C383" i="10"/>
  <c r="D383" i="10"/>
  <c r="E383" i="10"/>
  <c r="F383" i="10"/>
  <c r="C384" i="10"/>
  <c r="D384" i="10"/>
  <c r="E384" i="10"/>
  <c r="F384" i="10"/>
  <c r="C385" i="10"/>
  <c r="D385" i="10"/>
  <c r="E385" i="10"/>
  <c r="F385" i="10"/>
  <c r="C386" i="10"/>
  <c r="D386" i="10"/>
  <c r="E386" i="10"/>
  <c r="F386" i="10"/>
  <c r="C387" i="10"/>
  <c r="D387" i="10"/>
  <c r="E387" i="10"/>
  <c r="F387" i="10"/>
  <c r="C388" i="10"/>
  <c r="D388" i="10"/>
  <c r="E388" i="10"/>
  <c r="F388" i="10"/>
  <c r="C389" i="10"/>
  <c r="D389" i="10"/>
  <c r="E389" i="10"/>
  <c r="F389" i="10"/>
  <c r="C390" i="10"/>
  <c r="D390" i="10"/>
  <c r="E390" i="10"/>
  <c r="F390" i="10"/>
  <c r="C391" i="10"/>
  <c r="D391" i="10"/>
  <c r="E391" i="10"/>
  <c r="F391" i="10"/>
  <c r="C392" i="10"/>
  <c r="D392" i="10"/>
  <c r="E392" i="10"/>
  <c r="F392" i="10"/>
  <c r="C393" i="10"/>
  <c r="D393" i="10"/>
  <c r="E393" i="10"/>
  <c r="F393" i="10"/>
  <c r="C394" i="10"/>
  <c r="D394" i="10"/>
  <c r="E394" i="10"/>
  <c r="F394" i="10"/>
  <c r="C395" i="10"/>
  <c r="D395" i="10"/>
  <c r="E395" i="10"/>
  <c r="F395" i="10"/>
  <c r="C396" i="10"/>
  <c r="D396" i="10"/>
  <c r="E396" i="10"/>
  <c r="F396" i="10"/>
  <c r="C397" i="10"/>
  <c r="D397" i="10"/>
  <c r="E397" i="10"/>
  <c r="F397" i="10"/>
  <c r="C398" i="10"/>
  <c r="D398" i="10"/>
  <c r="E398" i="10"/>
  <c r="F398" i="10"/>
  <c r="C399" i="10"/>
  <c r="D399" i="10"/>
  <c r="E399" i="10"/>
  <c r="F399" i="10"/>
  <c r="C400" i="10"/>
  <c r="D400" i="10"/>
  <c r="E400" i="10"/>
  <c r="F400" i="10"/>
  <c r="C401" i="10"/>
  <c r="D401" i="10"/>
  <c r="E401" i="10"/>
  <c r="F401" i="10"/>
  <c r="C402" i="10"/>
  <c r="D402" i="10"/>
  <c r="E402" i="10"/>
  <c r="F402" i="10"/>
  <c r="C403" i="10"/>
  <c r="D403" i="10"/>
  <c r="E403" i="10"/>
  <c r="F403" i="10"/>
  <c r="C404" i="10"/>
  <c r="D404" i="10"/>
  <c r="E404" i="10"/>
  <c r="F404" i="10"/>
  <c r="C405" i="10"/>
  <c r="D405" i="10"/>
  <c r="E405" i="10"/>
  <c r="F405" i="10"/>
  <c r="C406" i="10"/>
  <c r="D406" i="10"/>
  <c r="E406" i="10"/>
  <c r="F406" i="10"/>
  <c r="C407" i="10"/>
  <c r="D407" i="10"/>
  <c r="E407" i="10"/>
  <c r="F407" i="10"/>
  <c r="C408" i="10"/>
  <c r="D408" i="10"/>
  <c r="E408" i="10"/>
  <c r="F408" i="10"/>
  <c r="C409" i="10"/>
  <c r="D409" i="10"/>
  <c r="E409" i="10"/>
  <c r="F409" i="10"/>
  <c r="C410" i="10"/>
  <c r="D410" i="10"/>
  <c r="E410" i="10"/>
  <c r="F410" i="10"/>
  <c r="C411" i="10"/>
  <c r="D411" i="10"/>
  <c r="E411" i="10"/>
  <c r="F411" i="10"/>
  <c r="C412" i="10"/>
  <c r="D412" i="10"/>
  <c r="E412" i="10"/>
  <c r="F412" i="10"/>
  <c r="C413" i="10"/>
  <c r="D413" i="10"/>
  <c r="E413" i="10"/>
  <c r="F413" i="10"/>
  <c r="C414" i="10"/>
  <c r="D414" i="10"/>
  <c r="E414" i="10"/>
  <c r="F414" i="10"/>
  <c r="C415" i="10"/>
  <c r="D415" i="10"/>
  <c r="E415" i="10"/>
  <c r="F415" i="10"/>
  <c r="C416" i="10"/>
  <c r="D416" i="10"/>
  <c r="E416" i="10"/>
  <c r="F416" i="10"/>
  <c r="C417" i="10"/>
  <c r="D417" i="10"/>
  <c r="E417" i="10"/>
  <c r="F417" i="10"/>
  <c r="C418" i="10"/>
  <c r="D418" i="10"/>
  <c r="E418" i="10"/>
  <c r="F418" i="10"/>
  <c r="C419" i="10"/>
  <c r="D419" i="10"/>
  <c r="E419" i="10"/>
  <c r="F419" i="10"/>
  <c r="C420" i="10"/>
  <c r="D420" i="10"/>
  <c r="E420" i="10"/>
  <c r="F420" i="10"/>
  <c r="C421" i="10"/>
  <c r="D421" i="10"/>
  <c r="E421" i="10"/>
  <c r="F421" i="10"/>
  <c r="C422" i="10"/>
  <c r="D422" i="10"/>
  <c r="E422" i="10"/>
  <c r="F422" i="10"/>
  <c r="C423" i="10"/>
  <c r="D423" i="10"/>
  <c r="E423" i="10"/>
  <c r="F423" i="10"/>
  <c r="C424" i="10"/>
  <c r="D424" i="10"/>
  <c r="E424" i="10"/>
  <c r="F424" i="10"/>
  <c r="C425" i="10"/>
  <c r="D425" i="10"/>
  <c r="E425" i="10"/>
  <c r="F425" i="10"/>
  <c r="C426" i="10"/>
  <c r="D426" i="10"/>
  <c r="E426" i="10"/>
  <c r="F426" i="10"/>
  <c r="C427" i="10"/>
  <c r="D427" i="10"/>
  <c r="E427" i="10"/>
  <c r="F427" i="10"/>
  <c r="C428" i="10"/>
  <c r="D428" i="10"/>
  <c r="E428" i="10"/>
  <c r="F428" i="10"/>
  <c r="C429" i="10"/>
  <c r="D429" i="10"/>
  <c r="E429" i="10"/>
  <c r="F429" i="10"/>
  <c r="C430" i="10"/>
  <c r="D430" i="10"/>
  <c r="E430" i="10"/>
  <c r="F430" i="10"/>
  <c r="C431" i="10"/>
  <c r="D431" i="10"/>
  <c r="E431" i="10"/>
  <c r="F431" i="10"/>
  <c r="C432" i="10"/>
  <c r="D432" i="10"/>
  <c r="E432" i="10"/>
  <c r="F432" i="10"/>
  <c r="C433" i="10"/>
  <c r="D433" i="10"/>
  <c r="E433" i="10"/>
  <c r="F433" i="10"/>
  <c r="C434" i="10"/>
  <c r="D434" i="10"/>
  <c r="E434" i="10"/>
  <c r="F434" i="10"/>
  <c r="C435" i="10"/>
  <c r="D435" i="10"/>
  <c r="E435" i="10"/>
  <c r="F435" i="10"/>
  <c r="C436" i="10"/>
  <c r="D436" i="10"/>
  <c r="E436" i="10"/>
  <c r="F436" i="10"/>
  <c r="C437" i="10"/>
  <c r="D437" i="10"/>
  <c r="E437" i="10"/>
  <c r="F437" i="10"/>
  <c r="C438" i="10"/>
  <c r="D438" i="10"/>
  <c r="E438" i="10"/>
  <c r="F438" i="10"/>
  <c r="C439" i="10"/>
  <c r="D439" i="10"/>
  <c r="E439" i="10"/>
  <c r="F439" i="10"/>
  <c r="C440" i="10"/>
  <c r="D440" i="10"/>
  <c r="E440" i="10"/>
  <c r="F440" i="10"/>
  <c r="C441" i="10"/>
  <c r="D441" i="10"/>
  <c r="E441" i="10"/>
  <c r="F441" i="10"/>
  <c r="C442" i="10"/>
  <c r="D442" i="10"/>
  <c r="E442" i="10"/>
  <c r="F442" i="10"/>
  <c r="C443" i="10"/>
  <c r="D443" i="10"/>
  <c r="E443" i="10"/>
  <c r="F443" i="10"/>
  <c r="C444" i="10"/>
  <c r="D444" i="10"/>
  <c r="E444" i="10"/>
  <c r="F444" i="10"/>
  <c r="C445" i="10"/>
  <c r="D445" i="10"/>
  <c r="E445" i="10"/>
  <c r="F445" i="10"/>
  <c r="C446" i="10"/>
  <c r="D446" i="10"/>
  <c r="E446" i="10"/>
  <c r="F446" i="10"/>
  <c r="C447" i="10"/>
  <c r="D447" i="10"/>
  <c r="E447" i="10"/>
  <c r="F447" i="10"/>
  <c r="C448" i="10"/>
  <c r="D448" i="10"/>
  <c r="E448" i="10"/>
  <c r="F448" i="10"/>
  <c r="C449" i="10"/>
  <c r="D449" i="10"/>
  <c r="E449" i="10"/>
  <c r="F449" i="10"/>
  <c r="C450" i="10"/>
  <c r="D450" i="10"/>
  <c r="E450" i="10"/>
  <c r="F450" i="10"/>
  <c r="C451" i="10"/>
  <c r="D451" i="10"/>
  <c r="E451" i="10"/>
  <c r="F451" i="10"/>
  <c r="C452" i="10"/>
  <c r="D452" i="10"/>
  <c r="E452" i="10"/>
  <c r="F452" i="10"/>
  <c r="C453" i="10"/>
  <c r="D453" i="10"/>
  <c r="E453" i="10"/>
  <c r="F453" i="10"/>
  <c r="C454" i="10"/>
  <c r="D454" i="10"/>
  <c r="E454" i="10"/>
  <c r="F454" i="10"/>
  <c r="C455" i="10"/>
  <c r="D455" i="10"/>
  <c r="E455" i="10"/>
  <c r="F455" i="10"/>
  <c r="C456" i="10"/>
  <c r="D456" i="10"/>
  <c r="E456" i="10"/>
  <c r="F456" i="10"/>
  <c r="C457" i="10"/>
  <c r="D457" i="10"/>
  <c r="E457" i="10"/>
  <c r="F457" i="10"/>
  <c r="C458" i="10"/>
  <c r="D458" i="10"/>
  <c r="E458" i="10"/>
  <c r="F458" i="10"/>
  <c r="C459" i="10"/>
  <c r="D459" i="10"/>
  <c r="E459" i="10"/>
  <c r="F459" i="10"/>
  <c r="C460" i="10"/>
  <c r="D460" i="10"/>
  <c r="E460" i="10"/>
  <c r="F460" i="10"/>
  <c r="C461" i="10"/>
  <c r="D461" i="10"/>
  <c r="E461" i="10"/>
  <c r="F461" i="10"/>
  <c r="C462" i="10"/>
  <c r="D462" i="10"/>
  <c r="E462" i="10"/>
  <c r="F462" i="10"/>
  <c r="C463" i="10"/>
  <c r="D463" i="10"/>
  <c r="E463" i="10"/>
  <c r="F463" i="10"/>
  <c r="C464" i="10"/>
  <c r="D464" i="10"/>
  <c r="E464" i="10"/>
  <c r="F464" i="10"/>
  <c r="C465" i="10"/>
  <c r="D465" i="10"/>
  <c r="E465" i="10"/>
  <c r="F465" i="10"/>
  <c r="C466" i="10"/>
  <c r="D466" i="10"/>
  <c r="E466" i="10"/>
  <c r="F466" i="10"/>
  <c r="C467" i="10"/>
  <c r="D467" i="10"/>
  <c r="E467" i="10"/>
  <c r="F467" i="10"/>
  <c r="C468" i="10"/>
  <c r="D468" i="10"/>
  <c r="E468" i="10"/>
  <c r="F468" i="10"/>
  <c r="C469" i="10"/>
  <c r="D469" i="10"/>
  <c r="E469" i="10"/>
  <c r="F469" i="10"/>
  <c r="C470" i="10"/>
  <c r="D470" i="10"/>
  <c r="E470" i="10"/>
  <c r="F470" i="10"/>
  <c r="C471" i="10"/>
  <c r="D471" i="10"/>
  <c r="E471" i="10"/>
  <c r="F471" i="10"/>
  <c r="C472" i="10"/>
  <c r="D472" i="10"/>
  <c r="E472" i="10"/>
  <c r="F472" i="10"/>
  <c r="C473" i="10"/>
  <c r="D473" i="10"/>
  <c r="E473" i="10"/>
  <c r="F473" i="10"/>
  <c r="C474" i="10"/>
  <c r="D474" i="10"/>
  <c r="E474" i="10"/>
  <c r="F474" i="10"/>
  <c r="C475" i="10"/>
  <c r="D475" i="10"/>
  <c r="E475" i="10"/>
  <c r="F475" i="10"/>
  <c r="C476" i="10"/>
  <c r="D476" i="10"/>
  <c r="E476" i="10"/>
  <c r="F476" i="10"/>
  <c r="C477" i="10"/>
  <c r="D477" i="10"/>
  <c r="E477" i="10"/>
  <c r="F477" i="10"/>
  <c r="C478" i="10"/>
  <c r="D478" i="10"/>
  <c r="E478" i="10"/>
  <c r="F478" i="10"/>
  <c r="C479" i="10"/>
  <c r="D479" i="10"/>
  <c r="E479" i="10"/>
  <c r="F479" i="10"/>
  <c r="C480" i="10"/>
  <c r="D480" i="10"/>
  <c r="E480" i="10"/>
  <c r="F480" i="10"/>
  <c r="C481" i="10"/>
  <c r="D481" i="10"/>
  <c r="E481" i="10"/>
  <c r="F481" i="10"/>
  <c r="C482" i="10"/>
  <c r="D482" i="10"/>
  <c r="E482" i="10"/>
  <c r="F482" i="10"/>
  <c r="C483" i="10"/>
  <c r="D483" i="10"/>
  <c r="E483" i="10"/>
  <c r="F483" i="10"/>
  <c r="C484" i="10"/>
  <c r="D484" i="10"/>
  <c r="E484" i="10"/>
  <c r="F484" i="10"/>
  <c r="C485" i="10"/>
  <c r="D485" i="10"/>
  <c r="E485" i="10"/>
  <c r="F485" i="10"/>
  <c r="C486" i="10"/>
  <c r="D486" i="10"/>
  <c r="E486" i="10"/>
  <c r="F486" i="10"/>
  <c r="C487" i="10"/>
  <c r="D487" i="10"/>
  <c r="E487" i="10"/>
  <c r="F487" i="10"/>
  <c r="C488" i="10"/>
  <c r="D488" i="10"/>
  <c r="E488" i="10"/>
  <c r="F488" i="10"/>
  <c r="C489" i="10"/>
  <c r="D489" i="10"/>
  <c r="E489" i="10"/>
  <c r="F489" i="10"/>
  <c r="C490" i="10"/>
  <c r="D490" i="10"/>
  <c r="E490" i="10"/>
  <c r="F490" i="10"/>
  <c r="C491" i="10"/>
  <c r="D491" i="10"/>
  <c r="E491" i="10"/>
  <c r="F491" i="10"/>
  <c r="C492" i="10"/>
  <c r="D492" i="10"/>
  <c r="E492" i="10"/>
  <c r="F492" i="10"/>
  <c r="C493" i="10"/>
  <c r="D493" i="10"/>
  <c r="E493" i="10"/>
  <c r="F493" i="10"/>
  <c r="C494" i="10"/>
  <c r="D494" i="10"/>
  <c r="E494" i="10"/>
  <c r="F494" i="10"/>
  <c r="C495" i="10"/>
  <c r="D495" i="10"/>
  <c r="E495" i="10"/>
  <c r="F495" i="10"/>
  <c r="C496" i="10"/>
  <c r="D496" i="10"/>
  <c r="E496" i="10"/>
  <c r="F496" i="10"/>
  <c r="C497" i="10"/>
  <c r="D497" i="10"/>
  <c r="E497" i="10"/>
  <c r="F497" i="10"/>
  <c r="C498" i="10"/>
  <c r="D498" i="10"/>
  <c r="E498" i="10"/>
  <c r="F498" i="10"/>
  <c r="C499" i="10"/>
  <c r="D499" i="10"/>
  <c r="E499" i="10"/>
  <c r="F499" i="10"/>
  <c r="C500" i="10"/>
  <c r="D500" i="10"/>
  <c r="E500" i="10"/>
  <c r="F500" i="10"/>
  <c r="C501" i="10"/>
  <c r="D501" i="10"/>
  <c r="E501" i="10"/>
  <c r="F501" i="10"/>
  <c r="F3" i="9"/>
  <c r="C3" i="9"/>
  <c r="F4" i="9"/>
  <c r="F5" i="9"/>
  <c r="F6" i="9"/>
  <c r="F7" i="9"/>
  <c r="F8" i="9"/>
  <c r="C4" i="9"/>
  <c r="C5" i="9"/>
  <c r="C6" i="9"/>
  <c r="C7" i="9"/>
  <c r="C8" i="9"/>
  <c r="C9" i="9"/>
  <c r="C10" i="9"/>
  <c r="C11" i="9"/>
  <c r="C12" i="9"/>
  <c r="J4" i="3"/>
  <c r="D3" i="8" a="1"/>
  <c r="D3" i="8"/>
  <c r="D4" i="8" a="1"/>
  <c r="D4" i="8"/>
  <c r="D5" i="8" a="1"/>
  <c r="D5" i="8"/>
  <c r="D6" i="8" a="1"/>
  <c r="D6" i="8" s="1"/>
  <c r="D7" i="8" a="1"/>
  <c r="D7" i="8"/>
  <c r="D8" i="8" a="1"/>
  <c r="D8" i="8"/>
  <c r="D9" i="8" a="1"/>
  <c r="D9" i="8"/>
  <c r="D10" i="8" a="1"/>
  <c r="D10" i="8"/>
  <c r="D11" i="8" a="1"/>
  <c r="D11" i="8"/>
  <c r="D12" i="8" a="1"/>
  <c r="D12" i="8" s="1"/>
  <c r="D13" i="8" a="1"/>
  <c r="D13" i="8"/>
  <c r="D14" i="8" a="1"/>
  <c r="D14" i="8"/>
  <c r="D15" i="8" a="1"/>
  <c r="D15" i="8"/>
  <c r="D16" i="8" a="1"/>
  <c r="D16" i="8"/>
  <c r="D17" i="8" a="1"/>
  <c r="D17" i="8"/>
  <c r="D18" i="8" a="1"/>
  <c r="D18" i="8" s="1"/>
  <c r="D19" i="8" a="1"/>
  <c r="D19" i="8"/>
  <c r="D20" i="8" a="1"/>
  <c r="D20" i="8"/>
  <c r="D21" i="8" a="1"/>
  <c r="D21" i="8"/>
  <c r="D22" i="8" a="1"/>
  <c r="D22" i="8"/>
  <c r="D23" i="8" a="1"/>
  <c r="D23" i="8"/>
  <c r="D24" i="8" a="1"/>
  <c r="D24" i="8" s="1"/>
  <c r="D25" i="8" a="1"/>
  <c r="D25" i="8"/>
  <c r="D26" i="8" a="1"/>
  <c r="D26" i="8"/>
  <c r="D27" i="8" a="1"/>
  <c r="D27" i="8" s="1"/>
  <c r="D28" i="8" a="1"/>
  <c r="D28" i="8"/>
  <c r="D29" i="8" a="1"/>
  <c r="D29" i="8"/>
  <c r="D30" i="8" a="1"/>
  <c r="D30" i="8" s="1"/>
  <c r="D31" i="8" a="1"/>
  <c r="D31" i="8"/>
  <c r="D32" i="8" a="1"/>
  <c r="D32" i="8"/>
  <c r="D33" i="8" a="1"/>
  <c r="D33" i="8"/>
  <c r="D34" i="8" a="1"/>
  <c r="D34" i="8"/>
  <c r="D35" i="8" a="1"/>
  <c r="D35" i="8"/>
  <c r="D36" i="8" a="1"/>
  <c r="D36" i="8" s="1"/>
  <c r="D37" i="8" a="1"/>
  <c r="D37" i="8"/>
  <c r="D38" i="8" a="1"/>
  <c r="D38" i="8"/>
  <c r="D39" i="8" a="1"/>
  <c r="D39" i="8"/>
  <c r="D40" i="8" a="1"/>
  <c r="D40" i="8"/>
  <c r="D41" i="8" a="1"/>
  <c r="D41" i="8"/>
  <c r="D42" i="8" a="1"/>
  <c r="D42" i="8" s="1"/>
  <c r="D43" i="8" a="1"/>
  <c r="D43" i="8"/>
  <c r="D44" i="8" a="1"/>
  <c r="D44" i="8"/>
  <c r="D45" i="8" a="1"/>
  <c r="D45" i="8"/>
  <c r="D46" i="8" a="1"/>
  <c r="D46" i="8"/>
  <c r="D47" i="8" a="1"/>
  <c r="D47" i="8"/>
  <c r="D48" i="8" a="1"/>
  <c r="D48" i="8" s="1"/>
  <c r="D49" i="8" a="1"/>
  <c r="D49" i="8"/>
  <c r="D50" i="8" a="1"/>
  <c r="D50" i="8"/>
  <c r="D51" i="8" a="1"/>
  <c r="D51" i="8"/>
  <c r="D52" i="8" a="1"/>
  <c r="D52" i="8"/>
  <c r="D53" i="8" a="1"/>
  <c r="D53" i="8"/>
  <c r="D54" i="8" a="1"/>
  <c r="D54" i="8" s="1"/>
  <c r="D55" i="8" a="1"/>
  <c r="D55" i="8"/>
  <c r="D56" i="8" a="1"/>
  <c r="D56" i="8"/>
  <c r="D57" i="8" a="1"/>
  <c r="D57" i="8"/>
  <c r="D58" i="8" a="1"/>
  <c r="D58" i="8"/>
  <c r="D59" i="8" a="1"/>
  <c r="D59" i="8"/>
  <c r="D60" i="8" a="1"/>
  <c r="D60" i="8" s="1"/>
  <c r="D61" i="8" a="1"/>
  <c r="D61" i="8"/>
  <c r="D62" i="8" a="1"/>
  <c r="D62" i="8"/>
  <c r="D63" i="8" a="1"/>
  <c r="D63" i="8"/>
  <c r="D64" i="8" a="1"/>
  <c r="D64" i="8"/>
  <c r="D65" i="8" a="1"/>
  <c r="D65" i="8"/>
  <c r="D66" i="8" a="1"/>
  <c r="D66" i="8" s="1"/>
  <c r="D67" i="8" a="1"/>
  <c r="D67" i="8"/>
  <c r="D68" i="8" a="1"/>
  <c r="D68" i="8"/>
  <c r="D69" i="8" a="1"/>
  <c r="D69" i="8"/>
  <c r="D70" i="8" a="1"/>
  <c r="D70" i="8"/>
  <c r="D71" i="8" a="1"/>
  <c r="D71" i="8"/>
  <c r="D72" i="8" a="1"/>
  <c r="D72" i="8" s="1"/>
  <c r="D73" i="8" a="1"/>
  <c r="D73" i="8"/>
  <c r="D74" i="8" a="1"/>
  <c r="D74" i="8"/>
  <c r="D75" i="8" a="1"/>
  <c r="D75" i="8"/>
  <c r="D76" i="8" a="1"/>
  <c r="D76" i="8"/>
  <c r="D77" i="8" a="1"/>
  <c r="D77" i="8"/>
  <c r="D78" i="8" a="1"/>
  <c r="D78" i="8" s="1"/>
  <c r="D79" i="8" a="1"/>
  <c r="D79" i="8"/>
  <c r="D80" i="8" a="1"/>
  <c r="D80" i="8"/>
  <c r="D81" i="8" a="1"/>
  <c r="D81" i="8"/>
  <c r="D82" i="8" a="1"/>
  <c r="D82" i="8"/>
  <c r="D83" i="8" a="1"/>
  <c r="D83" i="8"/>
  <c r="D84" i="8" a="1"/>
  <c r="D84" i="8" s="1"/>
  <c r="D85" i="8" a="1"/>
  <c r="D85" i="8"/>
  <c r="D86" i="8" a="1"/>
  <c r="D86" i="8"/>
  <c r="D87" i="8" a="1"/>
  <c r="D87" i="8"/>
  <c r="D88" i="8" a="1"/>
  <c r="D88" i="8"/>
  <c r="D89" i="8" a="1"/>
  <c r="D89" i="8"/>
  <c r="D90" i="8" a="1"/>
  <c r="D90" i="8" s="1"/>
  <c r="D91" i="8" a="1"/>
  <c r="D91" i="8"/>
  <c r="D92" i="8" a="1"/>
  <c r="D92" i="8"/>
  <c r="D93" i="8" a="1"/>
  <c r="D93" i="8"/>
  <c r="D94" i="8" a="1"/>
  <c r="D94" i="8"/>
  <c r="D95" i="8" a="1"/>
  <c r="D95" i="8"/>
  <c r="D96" i="8" a="1"/>
  <c r="D96" i="8" s="1"/>
  <c r="D97" i="8" a="1"/>
  <c r="D97" i="8"/>
  <c r="D98" i="8" a="1"/>
  <c r="D98" i="8"/>
  <c r="D99" i="8" a="1"/>
  <c r="D99" i="8"/>
  <c r="D100" i="8" a="1"/>
  <c r="D100" i="8"/>
  <c r="D101" i="8" a="1"/>
  <c r="D101" i="8"/>
  <c r="D102" i="8" a="1"/>
  <c r="D102" i="8" s="1"/>
  <c r="D103" i="8" a="1"/>
  <c r="D103" i="8"/>
  <c r="D104" i="8" a="1"/>
  <c r="D104" i="8"/>
  <c r="D105" i="8" a="1"/>
  <c r="D105" i="8"/>
  <c r="D106" i="8" a="1"/>
  <c r="D106" i="8"/>
  <c r="D107" i="8" a="1"/>
  <c r="D107" i="8"/>
  <c r="D108" i="8" a="1"/>
  <c r="D108" i="8" s="1"/>
  <c r="D109" i="8" a="1"/>
  <c r="D109" i="8"/>
  <c r="D110" i="8" a="1"/>
  <c r="D110" i="8"/>
  <c r="D111" i="8" a="1"/>
  <c r="D111" i="8"/>
  <c r="D112" i="8" a="1"/>
  <c r="D112" i="8"/>
  <c r="D113" i="8" a="1"/>
  <c r="D113" i="8"/>
  <c r="D114" i="8" a="1"/>
  <c r="D114" i="8" s="1"/>
  <c r="D115" i="8" a="1"/>
  <c r="D115" i="8"/>
  <c r="D116" i="8" a="1"/>
  <c r="D116" i="8"/>
  <c r="D117" i="8" a="1"/>
  <c r="D117" i="8"/>
  <c r="D118" i="8" a="1"/>
  <c r="D118" i="8"/>
  <c r="D119" i="8" a="1"/>
  <c r="D119" i="8"/>
  <c r="D120" i="8" a="1"/>
  <c r="D120" i="8" s="1"/>
  <c r="D121" i="8" a="1"/>
  <c r="D121" i="8"/>
  <c r="D122" i="8" a="1"/>
  <c r="D122" i="8"/>
  <c r="D123" i="8" a="1"/>
  <c r="D123" i="8"/>
  <c r="D124" i="8" a="1"/>
  <c r="D124" i="8"/>
  <c r="D125" i="8" a="1"/>
  <c r="D125" i="8"/>
  <c r="D126" i="8" a="1"/>
  <c r="D126" i="8" s="1"/>
  <c r="D127" i="8" a="1"/>
  <c r="D127" i="8"/>
  <c r="D128" i="8" a="1"/>
  <c r="D128" i="8"/>
  <c r="D129" i="8" a="1"/>
  <c r="D129" i="8"/>
  <c r="D130" i="8" a="1"/>
  <c r="D130" i="8"/>
  <c r="D131" i="8" a="1"/>
  <c r="D131" i="8"/>
  <c r="D132" i="8" a="1"/>
  <c r="D132" i="8" s="1"/>
  <c r="D133" i="8" a="1"/>
  <c r="D133" i="8"/>
  <c r="D134" i="8" a="1"/>
  <c r="D134" i="8"/>
  <c r="D135" i="8" a="1"/>
  <c r="D135" i="8"/>
  <c r="D136" i="8" a="1"/>
  <c r="D136" i="8"/>
  <c r="D137" i="8" a="1"/>
  <c r="D137" i="8"/>
  <c r="D138" i="8" a="1"/>
  <c r="D138" i="8" s="1"/>
  <c r="D139" i="8" a="1"/>
  <c r="D139" i="8"/>
  <c r="D140" i="8" a="1"/>
  <c r="D140" i="8"/>
  <c r="D141" i="8" a="1"/>
  <c r="D141" i="8"/>
  <c r="D142" i="8" a="1"/>
  <c r="D142" i="8"/>
  <c r="D143" i="8" a="1"/>
  <c r="D143" i="8"/>
  <c r="D144" i="8" a="1"/>
  <c r="D144" i="8" s="1"/>
  <c r="D145" i="8" a="1"/>
  <c r="D145" i="8"/>
  <c r="D146" i="8" a="1"/>
  <c r="D146" i="8"/>
  <c r="D147" i="8" a="1"/>
  <c r="D147" i="8"/>
  <c r="D148" i="8" a="1"/>
  <c r="D148" i="8"/>
  <c r="D149" i="8" a="1"/>
  <c r="D149" i="8"/>
  <c r="D150" i="8" a="1"/>
  <c r="D150" i="8" s="1"/>
  <c r="D151" i="8" a="1"/>
  <c r="D151" i="8"/>
  <c r="D152" i="8" a="1"/>
  <c r="D152" i="8"/>
  <c r="D153" i="8" a="1"/>
  <c r="D153" i="8"/>
  <c r="D154" i="8" a="1"/>
  <c r="D154" i="8"/>
  <c r="D155" i="8" a="1"/>
  <c r="D155" i="8"/>
  <c r="D156" i="8" a="1"/>
  <c r="D156" i="8" s="1"/>
  <c r="D157" i="8" a="1"/>
  <c r="D157" i="8"/>
  <c r="D158" i="8" a="1"/>
  <c r="D158" i="8"/>
  <c r="D159" i="8" a="1"/>
  <c r="D159" i="8"/>
  <c r="D160" i="8" a="1"/>
  <c r="D160" i="8"/>
  <c r="D161" i="8" a="1"/>
  <c r="D161" i="8"/>
  <c r="D162" i="8" a="1"/>
  <c r="D162" i="8" s="1"/>
  <c r="D163" i="8" a="1"/>
  <c r="D163" i="8"/>
  <c r="D164" i="8" a="1"/>
  <c r="D164" i="8"/>
  <c r="D165" i="8" a="1"/>
  <c r="D165" i="8" s="1"/>
  <c r="D166" i="8" a="1"/>
  <c r="D166" i="8"/>
  <c r="D167" i="8" a="1"/>
  <c r="D167" i="8"/>
  <c r="D168" i="8" a="1"/>
  <c r="D168" i="8" s="1"/>
  <c r="D169" i="8" a="1"/>
  <c r="D169" i="8"/>
  <c r="D170" i="8" a="1"/>
  <c r="D170" i="8"/>
  <c r="D171" i="8" a="1"/>
  <c r="D171" i="8" s="1"/>
  <c r="D172" i="8" a="1"/>
  <c r="D172" i="8"/>
  <c r="D173" i="8" a="1"/>
  <c r="D173" i="8"/>
  <c r="D174" i="8" a="1"/>
  <c r="D174" i="8" s="1"/>
  <c r="D175" i="8" a="1"/>
  <c r="D175" i="8"/>
  <c r="D176" i="8" a="1"/>
  <c r="D176" i="8"/>
  <c r="D177" i="8" a="1"/>
  <c r="D177" i="8" s="1"/>
  <c r="D178" i="8" a="1"/>
  <c r="D178" i="8"/>
  <c r="D179" i="8" a="1"/>
  <c r="D179" i="8"/>
  <c r="D180" i="8" a="1"/>
  <c r="D180" i="8" s="1"/>
  <c r="D181" i="8" a="1"/>
  <c r="D181" i="8"/>
  <c r="D182" i="8" a="1"/>
  <c r="D182" i="8"/>
  <c r="D183" i="8" a="1"/>
  <c r="D183" i="8" s="1"/>
  <c r="D184" i="8" a="1"/>
  <c r="D184" i="8"/>
  <c r="D185" i="8" a="1"/>
  <c r="D185" i="8"/>
  <c r="D186" i="8" a="1"/>
  <c r="D186" i="8" s="1"/>
  <c r="D187" i="8" a="1"/>
  <c r="D187" i="8"/>
  <c r="D188" i="8" a="1"/>
  <c r="D188" i="8"/>
  <c r="D189" i="8" a="1"/>
  <c r="D189" i="8" s="1"/>
  <c r="D190" i="8" a="1"/>
  <c r="D190" i="8"/>
  <c r="D191" i="8" a="1"/>
  <c r="D191" i="8"/>
  <c r="D192" i="8" a="1"/>
  <c r="D192" i="8" s="1"/>
  <c r="D193" i="8" a="1"/>
  <c r="D193" i="8"/>
  <c r="D194" i="8" a="1"/>
  <c r="D194" i="8"/>
  <c r="D195" i="8" a="1"/>
  <c r="D195" i="8" s="1"/>
  <c r="D196" i="8" a="1"/>
  <c r="D196" i="8"/>
  <c r="D197" i="8" a="1"/>
  <c r="D197" i="8"/>
  <c r="D198" i="8" a="1"/>
  <c r="D198" i="8" s="1"/>
  <c r="D199" i="8" a="1"/>
  <c r="D199" i="8"/>
  <c r="D200" i="8" a="1"/>
  <c r="D200" i="8"/>
  <c r="D201" i="8" a="1"/>
  <c r="D201" i="8" s="1"/>
  <c r="D202" i="8" a="1"/>
  <c r="D202" i="8"/>
  <c r="D203" i="8" a="1"/>
  <c r="D203" i="8"/>
  <c r="D204" i="8" a="1"/>
  <c r="D204" i="8" s="1"/>
  <c r="D205" i="8" a="1"/>
  <c r="D205" i="8"/>
  <c r="D206" i="8" a="1"/>
  <c r="D206" i="8"/>
  <c r="D207" i="8" a="1"/>
  <c r="D207" i="8" s="1"/>
  <c r="D208" i="8" a="1"/>
  <c r="D208" i="8"/>
  <c r="D209" i="8" a="1"/>
  <c r="D209" i="8"/>
  <c r="D210" i="8" a="1"/>
  <c r="D210" i="8" s="1"/>
  <c r="D211" i="8" a="1"/>
  <c r="D211" i="8"/>
  <c r="D212" i="8" a="1"/>
  <c r="D212" i="8"/>
  <c r="D213" i="8" a="1"/>
  <c r="D213" i="8" s="1"/>
  <c r="D214" i="8" a="1"/>
  <c r="D214" i="8"/>
  <c r="D215" i="8" a="1"/>
  <c r="D215" i="8"/>
  <c r="D216" i="8" a="1"/>
  <c r="D216" i="8" s="1"/>
  <c r="D217" i="8" a="1"/>
  <c r="D217" i="8"/>
  <c r="D218" i="8" a="1"/>
  <c r="D218" i="8"/>
  <c r="D219" i="8" a="1"/>
  <c r="D219" i="8" s="1"/>
  <c r="D220" i="8" a="1"/>
  <c r="D220" i="8"/>
  <c r="D221" i="8" a="1"/>
  <c r="D221" i="8"/>
  <c r="D222" i="8" a="1"/>
  <c r="D222" i="8" s="1"/>
  <c r="D223" i="8" a="1"/>
  <c r="D223" i="8"/>
  <c r="D224" i="8" a="1"/>
  <c r="D224" i="8"/>
  <c r="D225" i="8" a="1"/>
  <c r="D225" i="8" s="1"/>
  <c r="D226" i="8" a="1"/>
  <c r="D226" i="8"/>
  <c r="D227" i="8" a="1"/>
  <c r="D227" i="8"/>
  <c r="D228" i="8" a="1"/>
  <c r="D228" i="8" s="1"/>
  <c r="D229" i="8" a="1"/>
  <c r="D229" i="8"/>
  <c r="D230" i="8" a="1"/>
  <c r="D230" i="8"/>
  <c r="D231" i="8" a="1"/>
  <c r="D231" i="8" s="1"/>
  <c r="D232" i="8" a="1"/>
  <c r="D232" i="8"/>
  <c r="D233" i="8" a="1"/>
  <c r="D233" i="8"/>
  <c r="D234" i="8" a="1"/>
  <c r="D234" i="8" s="1"/>
  <c r="D235" i="8" a="1"/>
  <c r="D235" i="8"/>
  <c r="D236" i="8" a="1"/>
  <c r="D236" i="8"/>
  <c r="D237" i="8" a="1"/>
  <c r="D237" i="8" s="1"/>
  <c r="D238" i="8" a="1"/>
  <c r="D238" i="8"/>
  <c r="D239" i="8" a="1"/>
  <c r="D239" i="8"/>
  <c r="D240" i="8" a="1"/>
  <c r="D240" i="8" s="1"/>
  <c r="D241" i="8" a="1"/>
  <c r="D241" i="8"/>
  <c r="D242" i="8" a="1"/>
  <c r="D242" i="8"/>
  <c r="D243" i="8" a="1"/>
  <c r="D243" i="8" s="1"/>
  <c r="D244" i="8" a="1"/>
  <c r="D244" i="8"/>
  <c r="D245" i="8" a="1"/>
  <c r="D245" i="8"/>
  <c r="D246" i="8" a="1"/>
  <c r="D246" i="8" s="1"/>
  <c r="D247" i="8" a="1"/>
  <c r="D247" i="8"/>
  <c r="D248" i="8" a="1"/>
  <c r="D248" i="8"/>
  <c r="D249" i="8" a="1"/>
  <c r="D249" i="8" s="1"/>
  <c r="D250" i="8" a="1"/>
  <c r="D250" i="8"/>
  <c r="D251" i="8" a="1"/>
  <c r="D251" i="8"/>
  <c r="D252" i="8" a="1"/>
  <c r="D252" i="8" s="1"/>
  <c r="D253" i="8" a="1"/>
  <c r="D253" i="8"/>
  <c r="D254" i="8" a="1"/>
  <c r="D254" i="8"/>
  <c r="D255" i="8" a="1"/>
  <c r="D255" i="8" s="1"/>
  <c r="D256" i="8" a="1"/>
  <c r="D256" i="8"/>
  <c r="D257" i="8" a="1"/>
  <c r="D257" i="8"/>
  <c r="D258" i="8" a="1"/>
  <c r="D258" i="8" s="1"/>
  <c r="D259" i="8" a="1"/>
  <c r="D259" i="8"/>
  <c r="D260" i="8" a="1"/>
  <c r="D260" i="8"/>
  <c r="D261" i="8" a="1"/>
  <c r="D261" i="8" s="1"/>
  <c r="D262" i="8" a="1"/>
  <c r="D262" i="8"/>
  <c r="D263" i="8" a="1"/>
  <c r="D263" i="8"/>
  <c r="D264" i="8" a="1"/>
  <c r="D264" i="8" s="1"/>
  <c r="D265" i="8" a="1"/>
  <c r="D265" i="8"/>
  <c r="D266" i="8" a="1"/>
  <c r="D266" i="8"/>
  <c r="D267" i="8" a="1"/>
  <c r="D267" i="8" s="1"/>
  <c r="D268" i="8" a="1"/>
  <c r="D268" i="8"/>
  <c r="D269" i="8" a="1"/>
  <c r="D269" i="8"/>
  <c r="D270" i="8" a="1"/>
  <c r="D270" i="8" s="1"/>
  <c r="D271" i="8" a="1"/>
  <c r="D271" i="8"/>
  <c r="D272" i="8" a="1"/>
  <c r="D272" i="8"/>
  <c r="D273" i="8" a="1"/>
  <c r="D273" i="8" s="1"/>
  <c r="D274" i="8" a="1"/>
  <c r="D274" i="8"/>
  <c r="D275" i="8" a="1"/>
  <c r="D275" i="8"/>
  <c r="D276" i="8" a="1"/>
  <c r="D276" i="8" s="1"/>
  <c r="D277" i="8" a="1"/>
  <c r="D277" i="8"/>
  <c r="D278" i="8" a="1"/>
  <c r="D278" i="8"/>
  <c r="D279" i="8" a="1"/>
  <c r="D279" i="8" s="1"/>
  <c r="D280" i="8" a="1"/>
  <c r="D280" i="8"/>
  <c r="D281" i="8" a="1"/>
  <c r="D281" i="8"/>
  <c r="D282" i="8" a="1"/>
  <c r="D282" i="8" s="1"/>
  <c r="D283" i="8" a="1"/>
  <c r="D283" i="8"/>
  <c r="D284" i="8" a="1"/>
  <c r="D284" i="8"/>
  <c r="D285" i="8" a="1"/>
  <c r="D285" i="8" s="1"/>
  <c r="D286" i="8" a="1"/>
  <c r="D286" i="8"/>
  <c r="D287" i="8" a="1"/>
  <c r="D287" i="8"/>
  <c r="D288" i="8" a="1"/>
  <c r="D288" i="8" s="1"/>
  <c r="D289" i="8" a="1"/>
  <c r="D289" i="8"/>
  <c r="D290" i="8" a="1"/>
  <c r="D290" i="8"/>
  <c r="D291" i="8" a="1"/>
  <c r="D291" i="8" s="1"/>
  <c r="D292" i="8" a="1"/>
  <c r="D292" i="8"/>
  <c r="D293" i="8" a="1"/>
  <c r="D293" i="8"/>
  <c r="D294" i="8" a="1"/>
  <c r="D294" i="8" s="1"/>
  <c r="D295" i="8" a="1"/>
  <c r="D295" i="8"/>
  <c r="D296" i="8" a="1"/>
  <c r="D296" i="8"/>
  <c r="D297" i="8" a="1"/>
  <c r="D297" i="8" s="1"/>
  <c r="D298" i="8" a="1"/>
  <c r="D298" i="8"/>
  <c r="D299" i="8" a="1"/>
  <c r="D299" i="8"/>
  <c r="D300" i="8" a="1"/>
  <c r="D300" i="8" s="1"/>
  <c r="D301" i="8" a="1"/>
  <c r="D301" i="8"/>
  <c r="D302" i="8" a="1"/>
  <c r="D302" i="8"/>
  <c r="D303" i="8" a="1"/>
  <c r="D303" i="8" s="1"/>
  <c r="D304" i="8" a="1"/>
  <c r="D304" i="8"/>
  <c r="D305" i="8" a="1"/>
  <c r="D305" i="8"/>
  <c r="D306" i="8" a="1"/>
  <c r="D306" i="8" s="1"/>
  <c r="D307" i="8" a="1"/>
  <c r="D307" i="8"/>
  <c r="D308" i="8" a="1"/>
  <c r="D308" i="8"/>
  <c r="D309" i="8" a="1"/>
  <c r="D309" i="8" s="1"/>
  <c r="D310" i="8" a="1"/>
  <c r="D310" i="8"/>
  <c r="D311" i="8" a="1"/>
  <c r="D311" i="8"/>
  <c r="D312" i="8" a="1"/>
  <c r="D312" i="8" s="1"/>
  <c r="D313" i="8" a="1"/>
  <c r="D313" i="8"/>
  <c r="D314" i="8" a="1"/>
  <c r="D314" i="8"/>
  <c r="D315" i="8" a="1"/>
  <c r="D315" i="8" s="1"/>
  <c r="D316" i="8" a="1"/>
  <c r="D316" i="8"/>
  <c r="D317" i="8" a="1"/>
  <c r="D317" i="8"/>
  <c r="D318" i="8" a="1"/>
  <c r="D318" i="8" s="1"/>
  <c r="D319" i="8" a="1"/>
  <c r="D319" i="8"/>
  <c r="D320" i="8" a="1"/>
  <c r="D320" i="8"/>
  <c r="D321" i="8" a="1"/>
  <c r="D321" i="8" s="1"/>
  <c r="D322" i="8" a="1"/>
  <c r="D322" i="8"/>
  <c r="D323" i="8" a="1"/>
  <c r="D323" i="8"/>
  <c r="D324" i="8" a="1"/>
  <c r="D324" i="8" s="1"/>
  <c r="D325" i="8" a="1"/>
  <c r="D325" i="8"/>
  <c r="D326" i="8" a="1"/>
  <c r="D326" i="8"/>
  <c r="D327" i="8" a="1"/>
  <c r="D327" i="8" s="1"/>
  <c r="D328" i="8" a="1"/>
  <c r="D328" i="8"/>
  <c r="D329" i="8" a="1"/>
  <c r="D329" i="8"/>
  <c r="D330" i="8" a="1"/>
  <c r="D330" i="8" s="1"/>
  <c r="D331" i="8" a="1"/>
  <c r="D331" i="8"/>
  <c r="D332" i="8" a="1"/>
  <c r="D332" i="8"/>
  <c r="D333" i="8" a="1"/>
  <c r="D333" i="8" s="1"/>
  <c r="D334" i="8" a="1"/>
  <c r="D334" i="8"/>
  <c r="D335" i="8" a="1"/>
  <c r="D335" i="8"/>
  <c r="D336" i="8" a="1"/>
  <c r="D336" i="8" s="1"/>
  <c r="D337" i="8" a="1"/>
  <c r="D337" i="8"/>
  <c r="D338" i="8" a="1"/>
  <c r="D338" i="8"/>
  <c r="D339" i="8" a="1"/>
  <c r="D339" i="8" s="1"/>
  <c r="D340" i="8" a="1"/>
  <c r="D340" i="8"/>
  <c r="D341" i="8" a="1"/>
  <c r="D341" i="8"/>
  <c r="D342" i="8" a="1"/>
  <c r="D342" i="8" s="1"/>
  <c r="D343" i="8" a="1"/>
  <c r="D343" i="8"/>
  <c r="D344" i="8" a="1"/>
  <c r="D344" i="8"/>
  <c r="D345" i="8" a="1"/>
  <c r="D345" i="8" s="1"/>
  <c r="D346" i="8" a="1"/>
  <c r="D346" i="8"/>
  <c r="D347" i="8" a="1"/>
  <c r="D347" i="8"/>
  <c r="D348" i="8" a="1"/>
  <c r="D348" i="8" s="1"/>
  <c r="D349" i="8" a="1"/>
  <c r="D349" i="8"/>
  <c r="D350" i="8" a="1"/>
  <c r="D350" i="8"/>
  <c r="D351" i="8" a="1"/>
  <c r="D351" i="8" s="1"/>
  <c r="D352" i="8" a="1"/>
  <c r="D352" i="8"/>
  <c r="D353" i="8" a="1"/>
  <c r="D353" i="8"/>
  <c r="D354" i="8" a="1"/>
  <c r="D354" i="8" s="1"/>
  <c r="D355" i="8" a="1"/>
  <c r="D355" i="8"/>
  <c r="D356" i="8" a="1"/>
  <c r="D356" i="8"/>
  <c r="D357" i="8" a="1"/>
  <c r="D357" i="8" s="1"/>
  <c r="D358" i="8" a="1"/>
  <c r="D358" i="8"/>
  <c r="D359" i="8" a="1"/>
  <c r="D359" i="8"/>
  <c r="D360" i="8" a="1"/>
  <c r="D360" i="8" s="1"/>
  <c r="D361" i="8" a="1"/>
  <c r="D361" i="8"/>
  <c r="D362" i="8" a="1"/>
  <c r="D362" i="8"/>
  <c r="D363" i="8" a="1"/>
  <c r="D363" i="8" s="1"/>
  <c r="D364" i="8" a="1"/>
  <c r="D364" i="8"/>
  <c r="D365" i="8" a="1"/>
  <c r="D365" i="8"/>
  <c r="D366" i="8" a="1"/>
  <c r="D366" i="8" s="1"/>
  <c r="D367" i="8" a="1"/>
  <c r="D367" i="8"/>
  <c r="D368" i="8" a="1"/>
  <c r="D368" i="8"/>
  <c r="D369" i="8" a="1"/>
  <c r="D369" i="8" s="1"/>
  <c r="D370" i="8" a="1"/>
  <c r="D370" i="8"/>
  <c r="D371" i="8" a="1"/>
  <c r="D371" i="8"/>
  <c r="D372" i="8" a="1"/>
  <c r="D372" i="8" s="1"/>
  <c r="D373" i="8" a="1"/>
  <c r="D373" i="8"/>
  <c r="D374" i="8" a="1"/>
  <c r="D374" i="8"/>
  <c r="D375" i="8" a="1"/>
  <c r="D375" i="8" s="1"/>
  <c r="D376" i="8" a="1"/>
  <c r="D376" i="8"/>
  <c r="D377" i="8" a="1"/>
  <c r="D377" i="8"/>
  <c r="D378" i="8" a="1"/>
  <c r="D378" i="8" s="1"/>
  <c r="D379" i="8" a="1"/>
  <c r="D379" i="8"/>
  <c r="D380" i="8" a="1"/>
  <c r="D380" i="8"/>
  <c r="D381" i="8" a="1"/>
  <c r="D381" i="8" s="1"/>
  <c r="D382" i="8" a="1"/>
  <c r="D382" i="8"/>
  <c r="D383" i="8" a="1"/>
  <c r="D383" i="8"/>
  <c r="D384" i="8" a="1"/>
  <c r="D384" i="8" s="1"/>
  <c r="D385" i="8" a="1"/>
  <c r="D385" i="8"/>
  <c r="D386" i="8" a="1"/>
  <c r="D386" i="8"/>
  <c r="D387" i="8" a="1"/>
  <c r="D387" i="8" s="1"/>
  <c r="D388" i="8" a="1"/>
  <c r="D388" i="8"/>
  <c r="D389" i="8" a="1"/>
  <c r="D389" i="8"/>
  <c r="D390" i="8" a="1"/>
  <c r="D390" i="8" s="1"/>
  <c r="D391" i="8" a="1"/>
  <c r="D391" i="8"/>
  <c r="D392" i="8" a="1"/>
  <c r="D392" i="8"/>
  <c r="D393" i="8" a="1"/>
  <c r="D393" i="8" s="1"/>
  <c r="D394" i="8" a="1"/>
  <c r="D394" i="8"/>
  <c r="D395" i="8" a="1"/>
  <c r="D395" i="8"/>
  <c r="D396" i="8" a="1"/>
  <c r="D396" i="8" s="1"/>
  <c r="D397" i="8" a="1"/>
  <c r="D397" i="8"/>
  <c r="D398" i="8" a="1"/>
  <c r="D398" i="8"/>
  <c r="D399" i="8" a="1"/>
  <c r="D399" i="8" s="1"/>
  <c r="D400" i="8" a="1"/>
  <c r="D400" i="8"/>
  <c r="D401" i="8" a="1"/>
  <c r="D401" i="8"/>
  <c r="D402" i="8" a="1"/>
  <c r="D402" i="8" s="1"/>
  <c r="D403" i="8" a="1"/>
  <c r="D403" i="8"/>
  <c r="D404" i="8" a="1"/>
  <c r="D404" i="8"/>
  <c r="D405" i="8" a="1"/>
  <c r="D405" i="8" s="1"/>
  <c r="D406" i="8" a="1"/>
  <c r="D406" i="8"/>
  <c r="D407" i="8" a="1"/>
  <c r="D407" i="8"/>
  <c r="D408" i="8" a="1"/>
  <c r="D408" i="8" s="1"/>
  <c r="D409" i="8" a="1"/>
  <c r="D409" i="8"/>
  <c r="D410" i="8" a="1"/>
  <c r="D410" i="8"/>
  <c r="D411" i="8" a="1"/>
  <c r="D411" i="8" s="1"/>
  <c r="D412" i="8" a="1"/>
  <c r="D412" i="8"/>
  <c r="D413" i="8" a="1"/>
  <c r="D413" i="8"/>
  <c r="D414" i="8" a="1"/>
  <c r="D414" i="8" s="1"/>
  <c r="D415" i="8" a="1"/>
  <c r="D415" i="8"/>
  <c r="D416" i="8" a="1"/>
  <c r="D416" i="8"/>
  <c r="D417" i="8" a="1"/>
  <c r="D417" i="8" s="1"/>
  <c r="D418" i="8" a="1"/>
  <c r="D418" i="8"/>
  <c r="D419" i="8" a="1"/>
  <c r="D419" i="8"/>
  <c r="D420" i="8" a="1"/>
  <c r="D420" i="8" s="1"/>
  <c r="D421" i="8" a="1"/>
  <c r="D421" i="8"/>
  <c r="D422" i="8" a="1"/>
  <c r="D422" i="8"/>
  <c r="D423" i="8" a="1"/>
  <c r="D423" i="8" s="1"/>
  <c r="D424" i="8" a="1"/>
  <c r="D424" i="8"/>
  <c r="D425" i="8" a="1"/>
  <c r="D425" i="8"/>
  <c r="D426" i="8" a="1"/>
  <c r="D426" i="8" s="1"/>
  <c r="D427" i="8" a="1"/>
  <c r="D427" i="8"/>
  <c r="D428" i="8" a="1"/>
  <c r="D428" i="8"/>
  <c r="D429" i="8" a="1"/>
  <c r="D429" i="8" s="1"/>
  <c r="D430" i="8" a="1"/>
  <c r="D430" i="8"/>
  <c r="D431" i="8" a="1"/>
  <c r="D431" i="8"/>
  <c r="D432" i="8" a="1"/>
  <c r="D432" i="8" s="1"/>
  <c r="D433" i="8" a="1"/>
  <c r="D433" i="8"/>
  <c r="D434" i="8" a="1"/>
  <c r="D434" i="8"/>
  <c r="D435" i="8" a="1"/>
  <c r="D435" i="8" s="1"/>
  <c r="D436" i="8" a="1"/>
  <c r="D436" i="8"/>
  <c r="D437" i="8" a="1"/>
  <c r="D437" i="8"/>
  <c r="D438" i="8" a="1"/>
  <c r="D438" i="8" s="1"/>
  <c r="D439" i="8" a="1"/>
  <c r="D439" i="8"/>
  <c r="D440" i="8" a="1"/>
  <c r="D440" i="8"/>
  <c r="D441" i="8" a="1"/>
  <c r="D441" i="8" s="1"/>
  <c r="D442" i="8" a="1"/>
  <c r="D442" i="8"/>
  <c r="D443" i="8" a="1"/>
  <c r="D443" i="8"/>
  <c r="D444" i="8" a="1"/>
  <c r="D444" i="8" s="1"/>
  <c r="D445" i="8" a="1"/>
  <c r="D445" i="8"/>
  <c r="D446" i="8" a="1"/>
  <c r="D446" i="8"/>
  <c r="D447" i="8" a="1"/>
  <c r="D447" i="8" s="1"/>
  <c r="D448" i="8" a="1"/>
  <c r="D448" i="8"/>
  <c r="D449" i="8" a="1"/>
  <c r="D449" i="8"/>
  <c r="D450" i="8" a="1"/>
  <c r="D450" i="8" s="1"/>
  <c r="D451" i="8" a="1"/>
  <c r="D451" i="8"/>
  <c r="D452" i="8" a="1"/>
  <c r="D452" i="8"/>
  <c r="D453" i="8" a="1"/>
  <c r="D453" i="8" s="1"/>
  <c r="D454" i="8" a="1"/>
  <c r="D454" i="8"/>
  <c r="D455" i="8" a="1"/>
  <c r="D455" i="8"/>
  <c r="D456" i="8" a="1"/>
  <c r="D456" i="8" s="1"/>
  <c r="D457" i="8" a="1"/>
  <c r="D457" i="8"/>
  <c r="D458" i="8" a="1"/>
  <c r="D458" i="8"/>
  <c r="D459" i="8" a="1"/>
  <c r="D459" i="8" s="1"/>
  <c r="D460" i="8" a="1"/>
  <c r="D460" i="8"/>
  <c r="D461" i="8" a="1"/>
  <c r="D461" i="8"/>
  <c r="D462" i="8" a="1"/>
  <c r="D462" i="8" s="1"/>
  <c r="D463" i="8" a="1"/>
  <c r="D463" i="8"/>
  <c r="D464" i="8" a="1"/>
  <c r="D464" i="8"/>
  <c r="D465" i="8" a="1"/>
  <c r="D465" i="8" s="1"/>
  <c r="D466" i="8" a="1"/>
  <c r="D466" i="8"/>
  <c r="D467" i="8" a="1"/>
  <c r="D467" i="8"/>
  <c r="D468" i="8" a="1"/>
  <c r="D468" i="8" s="1"/>
  <c r="D469" i="8" a="1"/>
  <c r="D469" i="8"/>
  <c r="D470" i="8" a="1"/>
  <c r="D470" i="8"/>
  <c r="D471" i="8" a="1"/>
  <c r="D471" i="8" s="1"/>
  <c r="D472" i="8" a="1"/>
  <c r="D472" i="8"/>
  <c r="D473" i="8" a="1"/>
  <c r="D473" i="8"/>
  <c r="D474" i="8" a="1"/>
  <c r="D474" i="8" s="1"/>
  <c r="D475" i="8" a="1"/>
  <c r="D475" i="8"/>
  <c r="D476" i="8" a="1"/>
  <c r="D476" i="8"/>
  <c r="D477" i="8" a="1"/>
  <c r="D477" i="8" s="1"/>
  <c r="D478" i="8" a="1"/>
  <c r="D478" i="8"/>
  <c r="D479" i="8" a="1"/>
  <c r="D479" i="8"/>
  <c r="D480" i="8" a="1"/>
  <c r="D480" i="8" s="1"/>
  <c r="D481" i="8" a="1"/>
  <c r="D481" i="8"/>
  <c r="D482" i="8" a="1"/>
  <c r="D482" i="8"/>
  <c r="D483" i="8" a="1"/>
  <c r="D483" i="8" s="1"/>
  <c r="D484" i="8" a="1"/>
  <c r="D484" i="8"/>
  <c r="D485" i="8" a="1"/>
  <c r="D485" i="8"/>
  <c r="D486" i="8" a="1"/>
  <c r="D486" i="8" s="1"/>
  <c r="D487" i="8" a="1"/>
  <c r="D487" i="8"/>
  <c r="D488" i="8" a="1"/>
  <c r="D488" i="8"/>
  <c r="D489" i="8" a="1"/>
  <c r="D489" i="8" s="1"/>
  <c r="D490" i="8" a="1"/>
  <c r="D490" i="8"/>
  <c r="D491" i="8" a="1"/>
  <c r="D491" i="8"/>
  <c r="D492" i="8" a="1"/>
  <c r="D492" i="8" s="1"/>
  <c r="D493" i="8" a="1"/>
  <c r="D493" i="8"/>
  <c r="D494" i="8" a="1"/>
  <c r="D494" i="8"/>
  <c r="D495" i="8" a="1"/>
  <c r="D495" i="8" s="1"/>
  <c r="D496" i="8" a="1"/>
  <c r="D496" i="8"/>
  <c r="D497" i="8" a="1"/>
  <c r="D497" i="8"/>
  <c r="D498" i="8" a="1"/>
  <c r="D498" i="8" s="1"/>
  <c r="D499" i="8" a="1"/>
  <c r="D499" i="8"/>
  <c r="D500" i="8" a="1"/>
  <c r="D500" i="8"/>
  <c r="D501" i="8" a="1"/>
  <c r="D501" i="8" s="1"/>
  <c r="D2" i="8" a="1"/>
  <c r="D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2" i="8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2" i="7"/>
  <c r="P74" i="5"/>
  <c r="P75" i="5"/>
  <c r="P98" i="5"/>
  <c r="P108" i="5"/>
  <c r="P122" i="5"/>
  <c r="P146" i="5"/>
  <c r="P156" i="5"/>
  <c r="P218" i="5"/>
  <c r="P266" i="5"/>
  <c r="P290" i="5"/>
  <c r="P300" i="5"/>
  <c r="P314" i="5"/>
  <c r="P338" i="5"/>
  <c r="P348" i="5"/>
  <c r="P458" i="5"/>
  <c r="O3" i="5"/>
  <c r="P3" i="5" s="1"/>
  <c r="O4" i="5"/>
  <c r="P4" i="5" s="1"/>
  <c r="O5" i="5"/>
  <c r="P5" i="5" s="1"/>
  <c r="O6" i="5"/>
  <c r="P6" i="5" s="1"/>
  <c r="O7" i="5"/>
  <c r="P7" i="5" s="1"/>
  <c r="O8" i="5"/>
  <c r="P8" i="5" s="1"/>
  <c r="O9" i="5"/>
  <c r="P9" i="5" s="1"/>
  <c r="O10" i="5"/>
  <c r="P10" i="5" s="1"/>
  <c r="O11" i="5"/>
  <c r="P11" i="5" s="1"/>
  <c r="O12" i="5"/>
  <c r="P12" i="5" s="1"/>
  <c r="O13" i="5"/>
  <c r="P13" i="5" s="1"/>
  <c r="O14" i="5"/>
  <c r="P14" i="5" s="1"/>
  <c r="O15" i="5"/>
  <c r="P15" i="5" s="1"/>
  <c r="O16" i="5"/>
  <c r="P16" i="5" s="1"/>
  <c r="O17" i="5"/>
  <c r="P17" i="5" s="1"/>
  <c r="O18" i="5"/>
  <c r="P18" i="5" s="1"/>
  <c r="O19" i="5"/>
  <c r="P19" i="5" s="1"/>
  <c r="O20" i="5"/>
  <c r="P20" i="5" s="1"/>
  <c r="O21" i="5"/>
  <c r="P21" i="5" s="1"/>
  <c r="O22" i="5"/>
  <c r="P22" i="5" s="1"/>
  <c r="O23" i="5"/>
  <c r="P23" i="5" s="1"/>
  <c r="O24" i="5"/>
  <c r="P24" i="5" s="1"/>
  <c r="O25" i="5"/>
  <c r="P25" i="5" s="1"/>
  <c r="O26" i="5"/>
  <c r="P26" i="5" s="1"/>
  <c r="O27" i="5"/>
  <c r="P27" i="5" s="1"/>
  <c r="O28" i="5"/>
  <c r="P28" i="5" s="1"/>
  <c r="O29" i="5"/>
  <c r="P29" i="5" s="1"/>
  <c r="O30" i="5"/>
  <c r="P30" i="5" s="1"/>
  <c r="O31" i="5"/>
  <c r="P31" i="5" s="1"/>
  <c r="O32" i="5"/>
  <c r="P32" i="5" s="1"/>
  <c r="O33" i="5"/>
  <c r="P33" i="5" s="1"/>
  <c r="O34" i="5"/>
  <c r="P34" i="5" s="1"/>
  <c r="O35" i="5"/>
  <c r="P35" i="5" s="1"/>
  <c r="O36" i="5"/>
  <c r="P36" i="5" s="1"/>
  <c r="O37" i="5"/>
  <c r="P37" i="5" s="1"/>
  <c r="O38" i="5"/>
  <c r="P38" i="5" s="1"/>
  <c r="O39" i="5"/>
  <c r="P39" i="5" s="1"/>
  <c r="O40" i="5"/>
  <c r="P40" i="5" s="1"/>
  <c r="O41" i="5"/>
  <c r="P41" i="5" s="1"/>
  <c r="O42" i="5"/>
  <c r="P42" i="5" s="1"/>
  <c r="O43" i="5"/>
  <c r="P43" i="5" s="1"/>
  <c r="O44" i="5"/>
  <c r="P44" i="5" s="1"/>
  <c r="O45" i="5"/>
  <c r="P45" i="5" s="1"/>
  <c r="O46" i="5"/>
  <c r="P46" i="5" s="1"/>
  <c r="O47" i="5"/>
  <c r="P47" i="5" s="1"/>
  <c r="O48" i="5"/>
  <c r="P48" i="5" s="1"/>
  <c r="O49" i="5"/>
  <c r="P49" i="5" s="1"/>
  <c r="O50" i="5"/>
  <c r="P50" i="5" s="1"/>
  <c r="O51" i="5"/>
  <c r="P51" i="5" s="1"/>
  <c r="O52" i="5"/>
  <c r="P52" i="5" s="1"/>
  <c r="O53" i="5"/>
  <c r="P53" i="5" s="1"/>
  <c r="O54" i="5"/>
  <c r="P54" i="5" s="1"/>
  <c r="O55" i="5"/>
  <c r="P55" i="5" s="1"/>
  <c r="O56" i="5"/>
  <c r="P56" i="5" s="1"/>
  <c r="O57" i="5"/>
  <c r="P57" i="5" s="1"/>
  <c r="O58" i="5"/>
  <c r="P58" i="5" s="1"/>
  <c r="O59" i="5"/>
  <c r="P59" i="5" s="1"/>
  <c r="O60" i="5"/>
  <c r="P60" i="5" s="1"/>
  <c r="O61" i="5"/>
  <c r="P61" i="5" s="1"/>
  <c r="O62" i="5"/>
  <c r="P62" i="5" s="1"/>
  <c r="O63" i="5"/>
  <c r="P63" i="5" s="1"/>
  <c r="O64" i="5"/>
  <c r="P64" i="5" s="1"/>
  <c r="O65" i="5"/>
  <c r="P65" i="5" s="1"/>
  <c r="O66" i="5"/>
  <c r="P66" i="5" s="1"/>
  <c r="O67" i="5"/>
  <c r="P67" i="5" s="1"/>
  <c r="O68" i="5"/>
  <c r="P68" i="5" s="1"/>
  <c r="O69" i="5"/>
  <c r="P69" i="5" s="1"/>
  <c r="O70" i="5"/>
  <c r="P70" i="5" s="1"/>
  <c r="O71" i="5"/>
  <c r="P71" i="5" s="1"/>
  <c r="O72" i="5"/>
  <c r="P72" i="5" s="1"/>
  <c r="O73" i="5"/>
  <c r="P73" i="5" s="1"/>
  <c r="O74" i="5"/>
  <c r="O75" i="5"/>
  <c r="O76" i="5"/>
  <c r="P76" i="5" s="1"/>
  <c r="O77" i="5"/>
  <c r="P77" i="5" s="1"/>
  <c r="O78" i="5"/>
  <c r="P78" i="5" s="1"/>
  <c r="O79" i="5"/>
  <c r="P79" i="5" s="1"/>
  <c r="O80" i="5"/>
  <c r="P80" i="5" s="1"/>
  <c r="O81" i="5"/>
  <c r="P81" i="5" s="1"/>
  <c r="O82" i="5"/>
  <c r="P82" i="5" s="1"/>
  <c r="O83" i="5"/>
  <c r="P83" i="5" s="1"/>
  <c r="O84" i="5"/>
  <c r="P84" i="5" s="1"/>
  <c r="O85" i="5"/>
  <c r="P85" i="5" s="1"/>
  <c r="O86" i="5"/>
  <c r="P86" i="5" s="1"/>
  <c r="O87" i="5"/>
  <c r="P87" i="5" s="1"/>
  <c r="O88" i="5"/>
  <c r="P88" i="5" s="1"/>
  <c r="O89" i="5"/>
  <c r="P89" i="5" s="1"/>
  <c r="O90" i="5"/>
  <c r="P90" i="5" s="1"/>
  <c r="O91" i="5"/>
  <c r="P91" i="5" s="1"/>
  <c r="O92" i="5"/>
  <c r="P92" i="5" s="1"/>
  <c r="O93" i="5"/>
  <c r="P93" i="5" s="1"/>
  <c r="O94" i="5"/>
  <c r="P94" i="5" s="1"/>
  <c r="O95" i="5"/>
  <c r="P95" i="5" s="1"/>
  <c r="O96" i="5"/>
  <c r="P96" i="5" s="1"/>
  <c r="O97" i="5"/>
  <c r="P97" i="5" s="1"/>
  <c r="O98" i="5"/>
  <c r="O99" i="5"/>
  <c r="P99" i="5" s="1"/>
  <c r="O100" i="5"/>
  <c r="P100" i="5" s="1"/>
  <c r="O101" i="5"/>
  <c r="P101" i="5" s="1"/>
  <c r="O102" i="5"/>
  <c r="P102" i="5" s="1"/>
  <c r="O103" i="5"/>
  <c r="P103" i="5" s="1"/>
  <c r="O104" i="5"/>
  <c r="P104" i="5" s="1"/>
  <c r="O105" i="5"/>
  <c r="P105" i="5" s="1"/>
  <c r="O106" i="5"/>
  <c r="P106" i="5" s="1"/>
  <c r="O107" i="5"/>
  <c r="P107" i="5" s="1"/>
  <c r="O108" i="5"/>
  <c r="O109" i="5"/>
  <c r="P109" i="5" s="1"/>
  <c r="O110" i="5"/>
  <c r="P110" i="5" s="1"/>
  <c r="O111" i="5"/>
  <c r="P111" i="5" s="1"/>
  <c r="O112" i="5"/>
  <c r="P112" i="5" s="1"/>
  <c r="O113" i="5"/>
  <c r="P113" i="5" s="1"/>
  <c r="O114" i="5"/>
  <c r="P114" i="5" s="1"/>
  <c r="O115" i="5"/>
  <c r="P115" i="5" s="1"/>
  <c r="O116" i="5"/>
  <c r="P116" i="5" s="1"/>
  <c r="O117" i="5"/>
  <c r="P117" i="5" s="1"/>
  <c r="O118" i="5"/>
  <c r="P118" i="5" s="1"/>
  <c r="O119" i="5"/>
  <c r="P119" i="5" s="1"/>
  <c r="O120" i="5"/>
  <c r="P120" i="5" s="1"/>
  <c r="O121" i="5"/>
  <c r="P121" i="5" s="1"/>
  <c r="O122" i="5"/>
  <c r="O123" i="5"/>
  <c r="P123" i="5" s="1"/>
  <c r="O124" i="5"/>
  <c r="P124" i="5" s="1"/>
  <c r="O125" i="5"/>
  <c r="P125" i="5" s="1"/>
  <c r="O126" i="5"/>
  <c r="P126" i="5" s="1"/>
  <c r="O127" i="5"/>
  <c r="P127" i="5" s="1"/>
  <c r="O128" i="5"/>
  <c r="P128" i="5" s="1"/>
  <c r="O129" i="5"/>
  <c r="P129" i="5" s="1"/>
  <c r="O130" i="5"/>
  <c r="P130" i="5" s="1"/>
  <c r="O131" i="5"/>
  <c r="P131" i="5" s="1"/>
  <c r="O132" i="5"/>
  <c r="P132" i="5" s="1"/>
  <c r="O133" i="5"/>
  <c r="P133" i="5" s="1"/>
  <c r="O134" i="5"/>
  <c r="P134" i="5" s="1"/>
  <c r="O135" i="5"/>
  <c r="P135" i="5" s="1"/>
  <c r="O136" i="5"/>
  <c r="P136" i="5" s="1"/>
  <c r="O137" i="5"/>
  <c r="P137" i="5" s="1"/>
  <c r="O138" i="5"/>
  <c r="P138" i="5" s="1"/>
  <c r="O139" i="5"/>
  <c r="P139" i="5" s="1"/>
  <c r="O140" i="5"/>
  <c r="P140" i="5" s="1"/>
  <c r="O141" i="5"/>
  <c r="P141" i="5" s="1"/>
  <c r="O142" i="5"/>
  <c r="P142" i="5" s="1"/>
  <c r="O143" i="5"/>
  <c r="P143" i="5" s="1"/>
  <c r="O144" i="5"/>
  <c r="P144" i="5" s="1"/>
  <c r="O145" i="5"/>
  <c r="P145" i="5" s="1"/>
  <c r="O146" i="5"/>
  <c r="O147" i="5"/>
  <c r="P147" i="5" s="1"/>
  <c r="O148" i="5"/>
  <c r="P148" i="5" s="1"/>
  <c r="O149" i="5"/>
  <c r="P149" i="5" s="1"/>
  <c r="O150" i="5"/>
  <c r="P150" i="5" s="1"/>
  <c r="O151" i="5"/>
  <c r="P151" i="5" s="1"/>
  <c r="O152" i="5"/>
  <c r="P152" i="5" s="1"/>
  <c r="O153" i="5"/>
  <c r="P153" i="5" s="1"/>
  <c r="O154" i="5"/>
  <c r="P154" i="5" s="1"/>
  <c r="O155" i="5"/>
  <c r="P155" i="5" s="1"/>
  <c r="O156" i="5"/>
  <c r="O157" i="5"/>
  <c r="P157" i="5" s="1"/>
  <c r="O158" i="5"/>
  <c r="P158" i="5" s="1"/>
  <c r="O159" i="5"/>
  <c r="P159" i="5" s="1"/>
  <c r="O160" i="5"/>
  <c r="P160" i="5" s="1"/>
  <c r="O161" i="5"/>
  <c r="P161" i="5" s="1"/>
  <c r="O162" i="5"/>
  <c r="P162" i="5" s="1"/>
  <c r="O163" i="5"/>
  <c r="P163" i="5" s="1"/>
  <c r="O164" i="5"/>
  <c r="P164" i="5" s="1"/>
  <c r="O165" i="5"/>
  <c r="P165" i="5" s="1"/>
  <c r="O166" i="5"/>
  <c r="P166" i="5" s="1"/>
  <c r="O167" i="5"/>
  <c r="P167" i="5" s="1"/>
  <c r="O168" i="5"/>
  <c r="P168" i="5" s="1"/>
  <c r="O169" i="5"/>
  <c r="P169" i="5" s="1"/>
  <c r="O170" i="5"/>
  <c r="P170" i="5" s="1"/>
  <c r="O171" i="5"/>
  <c r="P171" i="5" s="1"/>
  <c r="O172" i="5"/>
  <c r="P172" i="5" s="1"/>
  <c r="O173" i="5"/>
  <c r="P173" i="5" s="1"/>
  <c r="O174" i="5"/>
  <c r="P174" i="5" s="1"/>
  <c r="O175" i="5"/>
  <c r="P175" i="5" s="1"/>
  <c r="O176" i="5"/>
  <c r="P176" i="5" s="1"/>
  <c r="O177" i="5"/>
  <c r="P177" i="5" s="1"/>
  <c r="O178" i="5"/>
  <c r="P178" i="5" s="1"/>
  <c r="O179" i="5"/>
  <c r="P179" i="5" s="1"/>
  <c r="O180" i="5"/>
  <c r="P180" i="5" s="1"/>
  <c r="O181" i="5"/>
  <c r="P181" i="5" s="1"/>
  <c r="O182" i="5"/>
  <c r="P182" i="5" s="1"/>
  <c r="O183" i="5"/>
  <c r="P183" i="5" s="1"/>
  <c r="O184" i="5"/>
  <c r="P184" i="5" s="1"/>
  <c r="O185" i="5"/>
  <c r="P185" i="5" s="1"/>
  <c r="O186" i="5"/>
  <c r="P186" i="5" s="1"/>
  <c r="O187" i="5"/>
  <c r="P187" i="5" s="1"/>
  <c r="O188" i="5"/>
  <c r="P188" i="5" s="1"/>
  <c r="O189" i="5"/>
  <c r="P189" i="5" s="1"/>
  <c r="O190" i="5"/>
  <c r="P190" i="5" s="1"/>
  <c r="O191" i="5"/>
  <c r="P191" i="5" s="1"/>
  <c r="O192" i="5"/>
  <c r="P192" i="5" s="1"/>
  <c r="O193" i="5"/>
  <c r="P193" i="5" s="1"/>
  <c r="O194" i="5"/>
  <c r="P194" i="5" s="1"/>
  <c r="O195" i="5"/>
  <c r="P195" i="5" s="1"/>
  <c r="O196" i="5"/>
  <c r="P196" i="5" s="1"/>
  <c r="O197" i="5"/>
  <c r="P197" i="5" s="1"/>
  <c r="O198" i="5"/>
  <c r="P198" i="5" s="1"/>
  <c r="O199" i="5"/>
  <c r="P199" i="5" s="1"/>
  <c r="O200" i="5"/>
  <c r="P200" i="5" s="1"/>
  <c r="O201" i="5"/>
  <c r="P201" i="5" s="1"/>
  <c r="O202" i="5"/>
  <c r="P202" i="5" s="1"/>
  <c r="O203" i="5"/>
  <c r="P203" i="5" s="1"/>
  <c r="O204" i="5"/>
  <c r="P204" i="5" s="1"/>
  <c r="O205" i="5"/>
  <c r="P205" i="5" s="1"/>
  <c r="O206" i="5"/>
  <c r="P206" i="5" s="1"/>
  <c r="O207" i="5"/>
  <c r="P207" i="5" s="1"/>
  <c r="O208" i="5"/>
  <c r="P208" i="5" s="1"/>
  <c r="O209" i="5"/>
  <c r="P209" i="5" s="1"/>
  <c r="O210" i="5"/>
  <c r="P210" i="5" s="1"/>
  <c r="O211" i="5"/>
  <c r="P211" i="5" s="1"/>
  <c r="O212" i="5"/>
  <c r="P212" i="5" s="1"/>
  <c r="O213" i="5"/>
  <c r="P213" i="5" s="1"/>
  <c r="O214" i="5"/>
  <c r="P214" i="5" s="1"/>
  <c r="O215" i="5"/>
  <c r="P215" i="5" s="1"/>
  <c r="O216" i="5"/>
  <c r="P216" i="5" s="1"/>
  <c r="O217" i="5"/>
  <c r="P217" i="5" s="1"/>
  <c r="O218" i="5"/>
  <c r="O219" i="5"/>
  <c r="P219" i="5" s="1"/>
  <c r="O220" i="5"/>
  <c r="P220" i="5" s="1"/>
  <c r="O221" i="5"/>
  <c r="P221" i="5" s="1"/>
  <c r="O222" i="5"/>
  <c r="P222" i="5" s="1"/>
  <c r="O223" i="5"/>
  <c r="P223" i="5" s="1"/>
  <c r="O224" i="5"/>
  <c r="P224" i="5" s="1"/>
  <c r="O225" i="5"/>
  <c r="P225" i="5" s="1"/>
  <c r="O226" i="5"/>
  <c r="P226" i="5" s="1"/>
  <c r="O227" i="5"/>
  <c r="P227" i="5" s="1"/>
  <c r="O228" i="5"/>
  <c r="P228" i="5" s="1"/>
  <c r="O229" i="5"/>
  <c r="P229" i="5" s="1"/>
  <c r="O230" i="5"/>
  <c r="P230" i="5" s="1"/>
  <c r="O231" i="5"/>
  <c r="P231" i="5" s="1"/>
  <c r="O232" i="5"/>
  <c r="P232" i="5" s="1"/>
  <c r="O233" i="5"/>
  <c r="P233" i="5" s="1"/>
  <c r="O234" i="5"/>
  <c r="P234" i="5" s="1"/>
  <c r="O235" i="5"/>
  <c r="P235" i="5" s="1"/>
  <c r="O236" i="5"/>
  <c r="P236" i="5" s="1"/>
  <c r="O237" i="5"/>
  <c r="P237" i="5" s="1"/>
  <c r="O238" i="5"/>
  <c r="P238" i="5" s="1"/>
  <c r="O239" i="5"/>
  <c r="P239" i="5" s="1"/>
  <c r="O240" i="5"/>
  <c r="P240" i="5" s="1"/>
  <c r="O241" i="5"/>
  <c r="P241" i="5" s="1"/>
  <c r="O242" i="5"/>
  <c r="P242" i="5" s="1"/>
  <c r="O243" i="5"/>
  <c r="P243" i="5" s="1"/>
  <c r="O244" i="5"/>
  <c r="P244" i="5" s="1"/>
  <c r="O245" i="5"/>
  <c r="P245" i="5" s="1"/>
  <c r="O246" i="5"/>
  <c r="P246" i="5" s="1"/>
  <c r="O247" i="5"/>
  <c r="P247" i="5" s="1"/>
  <c r="O248" i="5"/>
  <c r="P248" i="5" s="1"/>
  <c r="O249" i="5"/>
  <c r="P249" i="5" s="1"/>
  <c r="O250" i="5"/>
  <c r="P250" i="5" s="1"/>
  <c r="O251" i="5"/>
  <c r="P251" i="5" s="1"/>
  <c r="O252" i="5"/>
  <c r="P252" i="5" s="1"/>
  <c r="O253" i="5"/>
  <c r="P253" i="5" s="1"/>
  <c r="O254" i="5"/>
  <c r="P254" i="5" s="1"/>
  <c r="O255" i="5"/>
  <c r="P255" i="5" s="1"/>
  <c r="O256" i="5"/>
  <c r="P256" i="5" s="1"/>
  <c r="O257" i="5"/>
  <c r="P257" i="5" s="1"/>
  <c r="O258" i="5"/>
  <c r="P258" i="5" s="1"/>
  <c r="O259" i="5"/>
  <c r="P259" i="5" s="1"/>
  <c r="O260" i="5"/>
  <c r="P260" i="5" s="1"/>
  <c r="O261" i="5"/>
  <c r="P261" i="5" s="1"/>
  <c r="O262" i="5"/>
  <c r="P262" i="5" s="1"/>
  <c r="O263" i="5"/>
  <c r="P263" i="5" s="1"/>
  <c r="O264" i="5"/>
  <c r="P264" i="5" s="1"/>
  <c r="O265" i="5"/>
  <c r="P265" i="5" s="1"/>
  <c r="O266" i="5"/>
  <c r="O267" i="5"/>
  <c r="P267" i="5" s="1"/>
  <c r="O268" i="5"/>
  <c r="P268" i="5" s="1"/>
  <c r="O269" i="5"/>
  <c r="P269" i="5" s="1"/>
  <c r="O270" i="5"/>
  <c r="P270" i="5" s="1"/>
  <c r="O271" i="5"/>
  <c r="P271" i="5" s="1"/>
  <c r="O272" i="5"/>
  <c r="P272" i="5" s="1"/>
  <c r="O273" i="5"/>
  <c r="P273" i="5" s="1"/>
  <c r="O274" i="5"/>
  <c r="P274" i="5" s="1"/>
  <c r="O275" i="5"/>
  <c r="P275" i="5" s="1"/>
  <c r="O276" i="5"/>
  <c r="P276" i="5" s="1"/>
  <c r="O277" i="5"/>
  <c r="P277" i="5" s="1"/>
  <c r="O278" i="5"/>
  <c r="P278" i="5" s="1"/>
  <c r="O279" i="5"/>
  <c r="P279" i="5" s="1"/>
  <c r="O280" i="5"/>
  <c r="P280" i="5" s="1"/>
  <c r="O281" i="5"/>
  <c r="P281" i="5" s="1"/>
  <c r="O282" i="5"/>
  <c r="P282" i="5" s="1"/>
  <c r="O283" i="5"/>
  <c r="P283" i="5" s="1"/>
  <c r="O284" i="5"/>
  <c r="P284" i="5" s="1"/>
  <c r="O285" i="5"/>
  <c r="P285" i="5" s="1"/>
  <c r="O286" i="5"/>
  <c r="P286" i="5" s="1"/>
  <c r="O287" i="5"/>
  <c r="P287" i="5" s="1"/>
  <c r="O288" i="5"/>
  <c r="P288" i="5" s="1"/>
  <c r="O289" i="5"/>
  <c r="P289" i="5" s="1"/>
  <c r="O290" i="5"/>
  <c r="O291" i="5"/>
  <c r="P291" i="5" s="1"/>
  <c r="O292" i="5"/>
  <c r="P292" i="5" s="1"/>
  <c r="O293" i="5"/>
  <c r="P293" i="5" s="1"/>
  <c r="O294" i="5"/>
  <c r="P294" i="5" s="1"/>
  <c r="O295" i="5"/>
  <c r="P295" i="5" s="1"/>
  <c r="O296" i="5"/>
  <c r="P296" i="5" s="1"/>
  <c r="O297" i="5"/>
  <c r="P297" i="5" s="1"/>
  <c r="O298" i="5"/>
  <c r="P298" i="5" s="1"/>
  <c r="O299" i="5"/>
  <c r="P299" i="5" s="1"/>
  <c r="O300" i="5"/>
  <c r="O301" i="5"/>
  <c r="P301" i="5" s="1"/>
  <c r="O302" i="5"/>
  <c r="P302" i="5" s="1"/>
  <c r="O303" i="5"/>
  <c r="P303" i="5" s="1"/>
  <c r="O304" i="5"/>
  <c r="P304" i="5" s="1"/>
  <c r="O305" i="5"/>
  <c r="P305" i="5" s="1"/>
  <c r="O306" i="5"/>
  <c r="P306" i="5" s="1"/>
  <c r="O307" i="5"/>
  <c r="P307" i="5" s="1"/>
  <c r="O308" i="5"/>
  <c r="P308" i="5" s="1"/>
  <c r="O309" i="5"/>
  <c r="P309" i="5" s="1"/>
  <c r="O310" i="5"/>
  <c r="P310" i="5" s="1"/>
  <c r="O311" i="5"/>
  <c r="P311" i="5" s="1"/>
  <c r="O312" i="5"/>
  <c r="P312" i="5" s="1"/>
  <c r="O313" i="5"/>
  <c r="P313" i="5" s="1"/>
  <c r="O314" i="5"/>
  <c r="O315" i="5"/>
  <c r="P315" i="5" s="1"/>
  <c r="O316" i="5"/>
  <c r="P316" i="5" s="1"/>
  <c r="O317" i="5"/>
  <c r="P317" i="5" s="1"/>
  <c r="O318" i="5"/>
  <c r="P318" i="5" s="1"/>
  <c r="O319" i="5"/>
  <c r="P319" i="5" s="1"/>
  <c r="O320" i="5"/>
  <c r="P320" i="5" s="1"/>
  <c r="O321" i="5"/>
  <c r="P321" i="5" s="1"/>
  <c r="O322" i="5"/>
  <c r="P322" i="5" s="1"/>
  <c r="O323" i="5"/>
  <c r="P323" i="5" s="1"/>
  <c r="O324" i="5"/>
  <c r="P324" i="5" s="1"/>
  <c r="O325" i="5"/>
  <c r="P325" i="5" s="1"/>
  <c r="O326" i="5"/>
  <c r="P326" i="5" s="1"/>
  <c r="O327" i="5"/>
  <c r="P327" i="5" s="1"/>
  <c r="O328" i="5"/>
  <c r="P328" i="5" s="1"/>
  <c r="O329" i="5"/>
  <c r="P329" i="5" s="1"/>
  <c r="O330" i="5"/>
  <c r="P330" i="5" s="1"/>
  <c r="O331" i="5"/>
  <c r="P331" i="5" s="1"/>
  <c r="O332" i="5"/>
  <c r="P332" i="5" s="1"/>
  <c r="O333" i="5"/>
  <c r="P333" i="5" s="1"/>
  <c r="O334" i="5"/>
  <c r="P334" i="5" s="1"/>
  <c r="O335" i="5"/>
  <c r="P335" i="5" s="1"/>
  <c r="O336" i="5"/>
  <c r="P336" i="5" s="1"/>
  <c r="O337" i="5"/>
  <c r="P337" i="5" s="1"/>
  <c r="O338" i="5"/>
  <c r="O339" i="5"/>
  <c r="P339" i="5" s="1"/>
  <c r="O340" i="5"/>
  <c r="P340" i="5" s="1"/>
  <c r="O341" i="5"/>
  <c r="P341" i="5" s="1"/>
  <c r="O342" i="5"/>
  <c r="P342" i="5" s="1"/>
  <c r="O343" i="5"/>
  <c r="P343" i="5" s="1"/>
  <c r="O344" i="5"/>
  <c r="P344" i="5" s="1"/>
  <c r="O345" i="5"/>
  <c r="P345" i="5" s="1"/>
  <c r="O346" i="5"/>
  <c r="P346" i="5" s="1"/>
  <c r="O347" i="5"/>
  <c r="P347" i="5" s="1"/>
  <c r="O348" i="5"/>
  <c r="O349" i="5"/>
  <c r="P349" i="5" s="1"/>
  <c r="O350" i="5"/>
  <c r="P350" i="5" s="1"/>
  <c r="O351" i="5"/>
  <c r="P351" i="5" s="1"/>
  <c r="O352" i="5"/>
  <c r="P352" i="5" s="1"/>
  <c r="O353" i="5"/>
  <c r="P353" i="5" s="1"/>
  <c r="O354" i="5"/>
  <c r="P354" i="5" s="1"/>
  <c r="O355" i="5"/>
  <c r="P355" i="5" s="1"/>
  <c r="O356" i="5"/>
  <c r="P356" i="5" s="1"/>
  <c r="O357" i="5"/>
  <c r="P357" i="5" s="1"/>
  <c r="O358" i="5"/>
  <c r="P358" i="5" s="1"/>
  <c r="O359" i="5"/>
  <c r="P359" i="5" s="1"/>
  <c r="O360" i="5"/>
  <c r="P360" i="5" s="1"/>
  <c r="O361" i="5"/>
  <c r="P361" i="5" s="1"/>
  <c r="O362" i="5"/>
  <c r="P362" i="5" s="1"/>
  <c r="O363" i="5"/>
  <c r="P363" i="5" s="1"/>
  <c r="O364" i="5"/>
  <c r="P364" i="5" s="1"/>
  <c r="O365" i="5"/>
  <c r="P365" i="5" s="1"/>
  <c r="O366" i="5"/>
  <c r="P366" i="5" s="1"/>
  <c r="O367" i="5"/>
  <c r="P367" i="5" s="1"/>
  <c r="O368" i="5"/>
  <c r="P368" i="5" s="1"/>
  <c r="O369" i="5"/>
  <c r="P369" i="5" s="1"/>
  <c r="O370" i="5"/>
  <c r="P370" i="5" s="1"/>
  <c r="O371" i="5"/>
  <c r="P371" i="5" s="1"/>
  <c r="O372" i="5"/>
  <c r="P372" i="5" s="1"/>
  <c r="O373" i="5"/>
  <c r="P373" i="5" s="1"/>
  <c r="O374" i="5"/>
  <c r="P374" i="5" s="1"/>
  <c r="O375" i="5"/>
  <c r="P375" i="5" s="1"/>
  <c r="O376" i="5"/>
  <c r="P376" i="5" s="1"/>
  <c r="O377" i="5"/>
  <c r="P377" i="5" s="1"/>
  <c r="O378" i="5"/>
  <c r="P378" i="5" s="1"/>
  <c r="O379" i="5"/>
  <c r="P379" i="5" s="1"/>
  <c r="O380" i="5"/>
  <c r="P380" i="5" s="1"/>
  <c r="O381" i="5"/>
  <c r="P381" i="5" s="1"/>
  <c r="O382" i="5"/>
  <c r="P382" i="5" s="1"/>
  <c r="O383" i="5"/>
  <c r="P383" i="5" s="1"/>
  <c r="O384" i="5"/>
  <c r="P384" i="5" s="1"/>
  <c r="O385" i="5"/>
  <c r="P385" i="5" s="1"/>
  <c r="O386" i="5"/>
  <c r="P386" i="5" s="1"/>
  <c r="O387" i="5"/>
  <c r="P387" i="5" s="1"/>
  <c r="O388" i="5"/>
  <c r="P388" i="5" s="1"/>
  <c r="O389" i="5"/>
  <c r="P389" i="5" s="1"/>
  <c r="O390" i="5"/>
  <c r="P390" i="5" s="1"/>
  <c r="O391" i="5"/>
  <c r="P391" i="5" s="1"/>
  <c r="O392" i="5"/>
  <c r="P392" i="5" s="1"/>
  <c r="O393" i="5"/>
  <c r="P393" i="5" s="1"/>
  <c r="O394" i="5"/>
  <c r="P394" i="5" s="1"/>
  <c r="O395" i="5"/>
  <c r="P395" i="5" s="1"/>
  <c r="O396" i="5"/>
  <c r="P396" i="5" s="1"/>
  <c r="O397" i="5"/>
  <c r="P397" i="5" s="1"/>
  <c r="O398" i="5"/>
  <c r="P398" i="5" s="1"/>
  <c r="O399" i="5"/>
  <c r="P399" i="5" s="1"/>
  <c r="O400" i="5"/>
  <c r="P400" i="5" s="1"/>
  <c r="O401" i="5"/>
  <c r="P401" i="5" s="1"/>
  <c r="O402" i="5"/>
  <c r="P402" i="5" s="1"/>
  <c r="O403" i="5"/>
  <c r="P403" i="5" s="1"/>
  <c r="O404" i="5"/>
  <c r="P404" i="5" s="1"/>
  <c r="O405" i="5"/>
  <c r="P405" i="5" s="1"/>
  <c r="O406" i="5"/>
  <c r="P406" i="5" s="1"/>
  <c r="O407" i="5"/>
  <c r="P407" i="5" s="1"/>
  <c r="O408" i="5"/>
  <c r="P408" i="5" s="1"/>
  <c r="O409" i="5"/>
  <c r="P409" i="5" s="1"/>
  <c r="O410" i="5"/>
  <c r="P410" i="5" s="1"/>
  <c r="O411" i="5"/>
  <c r="P411" i="5" s="1"/>
  <c r="O412" i="5"/>
  <c r="P412" i="5" s="1"/>
  <c r="O413" i="5"/>
  <c r="P413" i="5" s="1"/>
  <c r="O414" i="5"/>
  <c r="P414" i="5" s="1"/>
  <c r="O415" i="5"/>
  <c r="P415" i="5" s="1"/>
  <c r="O416" i="5"/>
  <c r="P416" i="5" s="1"/>
  <c r="O417" i="5"/>
  <c r="P417" i="5" s="1"/>
  <c r="O418" i="5"/>
  <c r="P418" i="5" s="1"/>
  <c r="O419" i="5"/>
  <c r="P419" i="5" s="1"/>
  <c r="O420" i="5"/>
  <c r="P420" i="5" s="1"/>
  <c r="O421" i="5"/>
  <c r="P421" i="5" s="1"/>
  <c r="O422" i="5"/>
  <c r="P422" i="5" s="1"/>
  <c r="O423" i="5"/>
  <c r="P423" i="5" s="1"/>
  <c r="O424" i="5"/>
  <c r="P424" i="5" s="1"/>
  <c r="O425" i="5"/>
  <c r="P425" i="5" s="1"/>
  <c r="O426" i="5"/>
  <c r="P426" i="5" s="1"/>
  <c r="O427" i="5"/>
  <c r="P427" i="5" s="1"/>
  <c r="O428" i="5"/>
  <c r="P428" i="5" s="1"/>
  <c r="O429" i="5"/>
  <c r="P429" i="5" s="1"/>
  <c r="O430" i="5"/>
  <c r="P430" i="5" s="1"/>
  <c r="O431" i="5"/>
  <c r="P431" i="5" s="1"/>
  <c r="O432" i="5"/>
  <c r="P432" i="5" s="1"/>
  <c r="O433" i="5"/>
  <c r="P433" i="5" s="1"/>
  <c r="O434" i="5"/>
  <c r="P434" i="5" s="1"/>
  <c r="O435" i="5"/>
  <c r="P435" i="5" s="1"/>
  <c r="O436" i="5"/>
  <c r="P436" i="5" s="1"/>
  <c r="O437" i="5"/>
  <c r="P437" i="5" s="1"/>
  <c r="O438" i="5"/>
  <c r="P438" i="5" s="1"/>
  <c r="O439" i="5"/>
  <c r="P439" i="5" s="1"/>
  <c r="O440" i="5"/>
  <c r="P440" i="5" s="1"/>
  <c r="O441" i="5"/>
  <c r="P441" i="5" s="1"/>
  <c r="O442" i="5"/>
  <c r="P442" i="5" s="1"/>
  <c r="O443" i="5"/>
  <c r="P443" i="5" s="1"/>
  <c r="O444" i="5"/>
  <c r="P444" i="5" s="1"/>
  <c r="O445" i="5"/>
  <c r="P445" i="5" s="1"/>
  <c r="O446" i="5"/>
  <c r="P446" i="5" s="1"/>
  <c r="O447" i="5"/>
  <c r="P447" i="5" s="1"/>
  <c r="O448" i="5"/>
  <c r="P448" i="5" s="1"/>
  <c r="O449" i="5"/>
  <c r="P449" i="5" s="1"/>
  <c r="O450" i="5"/>
  <c r="P450" i="5" s="1"/>
  <c r="O451" i="5"/>
  <c r="P451" i="5" s="1"/>
  <c r="O452" i="5"/>
  <c r="P452" i="5" s="1"/>
  <c r="O453" i="5"/>
  <c r="P453" i="5" s="1"/>
  <c r="O454" i="5"/>
  <c r="P454" i="5" s="1"/>
  <c r="O455" i="5"/>
  <c r="P455" i="5" s="1"/>
  <c r="O456" i="5"/>
  <c r="P456" i="5" s="1"/>
  <c r="O457" i="5"/>
  <c r="P457" i="5" s="1"/>
  <c r="O458" i="5"/>
  <c r="O459" i="5"/>
  <c r="P459" i="5" s="1"/>
  <c r="O460" i="5"/>
  <c r="P460" i="5" s="1"/>
  <c r="O461" i="5"/>
  <c r="P461" i="5" s="1"/>
  <c r="O462" i="5"/>
  <c r="P462" i="5" s="1"/>
  <c r="O463" i="5"/>
  <c r="P463" i="5" s="1"/>
  <c r="O464" i="5"/>
  <c r="P464" i="5" s="1"/>
  <c r="O465" i="5"/>
  <c r="P465" i="5" s="1"/>
  <c r="O466" i="5"/>
  <c r="P466" i="5" s="1"/>
  <c r="O467" i="5"/>
  <c r="P467" i="5" s="1"/>
  <c r="O468" i="5"/>
  <c r="P468" i="5" s="1"/>
  <c r="O469" i="5"/>
  <c r="P469" i="5" s="1"/>
  <c r="O470" i="5"/>
  <c r="P470" i="5" s="1"/>
  <c r="O471" i="5"/>
  <c r="P471" i="5" s="1"/>
  <c r="O472" i="5"/>
  <c r="P472" i="5" s="1"/>
  <c r="O473" i="5"/>
  <c r="P473" i="5" s="1"/>
  <c r="O474" i="5"/>
  <c r="P474" i="5" s="1"/>
  <c r="O475" i="5"/>
  <c r="P475" i="5" s="1"/>
  <c r="O476" i="5"/>
  <c r="P476" i="5" s="1"/>
  <c r="O477" i="5"/>
  <c r="P477" i="5" s="1"/>
  <c r="O478" i="5"/>
  <c r="P478" i="5" s="1"/>
  <c r="O479" i="5"/>
  <c r="P479" i="5" s="1"/>
  <c r="O480" i="5"/>
  <c r="P480" i="5" s="1"/>
  <c r="O481" i="5"/>
  <c r="P481" i="5" s="1"/>
  <c r="O482" i="5"/>
  <c r="P482" i="5" s="1"/>
  <c r="O483" i="5"/>
  <c r="P483" i="5" s="1"/>
  <c r="O484" i="5"/>
  <c r="P484" i="5" s="1"/>
  <c r="O485" i="5"/>
  <c r="P485" i="5" s="1"/>
  <c r="O486" i="5"/>
  <c r="P486" i="5" s="1"/>
  <c r="O487" i="5"/>
  <c r="P487" i="5" s="1"/>
  <c r="O488" i="5"/>
  <c r="P488" i="5" s="1"/>
  <c r="O489" i="5"/>
  <c r="P489" i="5" s="1"/>
  <c r="O490" i="5"/>
  <c r="P490" i="5" s="1"/>
  <c r="O491" i="5"/>
  <c r="P491" i="5" s="1"/>
  <c r="O492" i="5"/>
  <c r="P492" i="5" s="1"/>
  <c r="O493" i="5"/>
  <c r="P493" i="5" s="1"/>
  <c r="O494" i="5"/>
  <c r="P494" i="5" s="1"/>
  <c r="O495" i="5"/>
  <c r="P495" i="5" s="1"/>
  <c r="O496" i="5"/>
  <c r="P496" i="5" s="1"/>
  <c r="O497" i="5"/>
  <c r="P497" i="5" s="1"/>
  <c r="O498" i="5"/>
  <c r="P498" i="5" s="1"/>
  <c r="O499" i="5"/>
  <c r="P499" i="5" s="1"/>
  <c r="O500" i="5"/>
  <c r="P500" i="5" s="1"/>
  <c r="O501" i="5"/>
  <c r="P501" i="5" s="1"/>
  <c r="O2" i="5"/>
  <c r="P2" i="5" s="1"/>
  <c r="Q501" i="5"/>
  <c r="Q500" i="5"/>
  <c r="Q499" i="5"/>
  <c r="Q498" i="5"/>
  <c r="Q497" i="5"/>
  <c r="Q496" i="5"/>
  <c r="Q495" i="5"/>
  <c r="Q494" i="5"/>
  <c r="Q493" i="5"/>
  <c r="Q492" i="5"/>
  <c r="Q491" i="5"/>
  <c r="Q490" i="5"/>
  <c r="Q489" i="5"/>
  <c r="Q488" i="5"/>
  <c r="Q487" i="5"/>
  <c r="Q486" i="5"/>
  <c r="Q485" i="5"/>
  <c r="Q484" i="5"/>
  <c r="Q483" i="5"/>
  <c r="Q482" i="5"/>
  <c r="Q481" i="5"/>
  <c r="Q480" i="5"/>
  <c r="Q479" i="5"/>
  <c r="Q478" i="5"/>
  <c r="Q477" i="5"/>
  <c r="Q476" i="5"/>
  <c r="Q475" i="5"/>
  <c r="Q474" i="5"/>
  <c r="Q473" i="5"/>
  <c r="Q472" i="5"/>
  <c r="Q471" i="5"/>
  <c r="Q470" i="5"/>
  <c r="Q469" i="5"/>
  <c r="Q468" i="5"/>
  <c r="Q467" i="5"/>
  <c r="Q466" i="5"/>
  <c r="Q465" i="5"/>
  <c r="Q464" i="5"/>
  <c r="Q463" i="5"/>
  <c r="Q462" i="5"/>
  <c r="Q461" i="5"/>
  <c r="Q460" i="5"/>
  <c r="Q459" i="5"/>
  <c r="Q458" i="5"/>
  <c r="Q457" i="5"/>
  <c r="Q456" i="5"/>
  <c r="Q455" i="5"/>
  <c r="Q454" i="5"/>
  <c r="Q453" i="5"/>
  <c r="Q452" i="5"/>
  <c r="Q451" i="5"/>
  <c r="Q450" i="5"/>
  <c r="Q449" i="5"/>
  <c r="Q448" i="5"/>
  <c r="Q447" i="5"/>
  <c r="Q446" i="5"/>
  <c r="Q445" i="5"/>
  <c r="Q444" i="5"/>
  <c r="Q443" i="5"/>
  <c r="Q442" i="5"/>
  <c r="Q441" i="5"/>
  <c r="Q440" i="5"/>
  <c r="Q439" i="5"/>
  <c r="Q438" i="5"/>
  <c r="Q437" i="5"/>
  <c r="Q436" i="5"/>
  <c r="Q435" i="5"/>
  <c r="Q434" i="5"/>
  <c r="Q433" i="5"/>
  <c r="Q432" i="5"/>
  <c r="Q431" i="5"/>
  <c r="Q430" i="5"/>
  <c r="Q429" i="5"/>
  <c r="Q428" i="5"/>
  <c r="Q427" i="5"/>
  <c r="Q426" i="5"/>
  <c r="Q425" i="5"/>
  <c r="Q424" i="5"/>
  <c r="Q423" i="5"/>
  <c r="Q422" i="5"/>
  <c r="Q421" i="5"/>
  <c r="Q420" i="5"/>
  <c r="Q419" i="5"/>
  <c r="Q418" i="5"/>
  <c r="Q417" i="5"/>
  <c r="Q416" i="5"/>
  <c r="Q415" i="5"/>
  <c r="Q414" i="5"/>
  <c r="Q413" i="5"/>
  <c r="Q412" i="5"/>
  <c r="Q411" i="5"/>
  <c r="Q410" i="5"/>
  <c r="Q409" i="5"/>
  <c r="Q408" i="5"/>
  <c r="Q407" i="5"/>
  <c r="Q406" i="5"/>
  <c r="Q405" i="5"/>
  <c r="Q404" i="5"/>
  <c r="Q403" i="5"/>
  <c r="Q402" i="5"/>
  <c r="Q401" i="5"/>
  <c r="Q400" i="5"/>
  <c r="Q399" i="5"/>
  <c r="Q398" i="5"/>
  <c r="Q397" i="5"/>
  <c r="Q396" i="5"/>
  <c r="Q395" i="5"/>
  <c r="Q394" i="5"/>
  <c r="Q393" i="5"/>
  <c r="Q392" i="5"/>
  <c r="Q391" i="5"/>
  <c r="Q390" i="5"/>
  <c r="Q389" i="5"/>
  <c r="Q388" i="5"/>
  <c r="Q387" i="5"/>
  <c r="Q386" i="5"/>
  <c r="Q385" i="5"/>
  <c r="Q384" i="5"/>
  <c r="Q383" i="5"/>
  <c r="Q382" i="5"/>
  <c r="Q381" i="5"/>
  <c r="Q380" i="5"/>
  <c r="Q379" i="5"/>
  <c r="Q378" i="5"/>
  <c r="Q377" i="5"/>
  <c r="Q376" i="5"/>
  <c r="Q375" i="5"/>
  <c r="Q374" i="5"/>
  <c r="Q373" i="5"/>
  <c r="Q372" i="5"/>
  <c r="Q371" i="5"/>
  <c r="Q370" i="5"/>
  <c r="Q369" i="5"/>
  <c r="Q368" i="5"/>
  <c r="Q367" i="5"/>
  <c r="Q366" i="5"/>
  <c r="Q365" i="5"/>
  <c r="Q364" i="5"/>
  <c r="Q363" i="5"/>
  <c r="Q362" i="5"/>
  <c r="Q361" i="5"/>
  <c r="Q360" i="5"/>
  <c r="Q359" i="5"/>
  <c r="Q358" i="5"/>
  <c r="Q357" i="5"/>
  <c r="Q356" i="5"/>
  <c r="Q355" i="5"/>
  <c r="Q354" i="5"/>
  <c r="Q353" i="5"/>
  <c r="Q352" i="5"/>
  <c r="Q351" i="5"/>
  <c r="Q350" i="5"/>
  <c r="Q349" i="5"/>
  <c r="Q348" i="5"/>
  <c r="Q347" i="5"/>
  <c r="Q346" i="5"/>
  <c r="Q345" i="5"/>
  <c r="Q344" i="5"/>
  <c r="Q343" i="5"/>
  <c r="Q342" i="5"/>
  <c r="Q341" i="5"/>
  <c r="Q340" i="5"/>
  <c r="Q339" i="5"/>
  <c r="Q338" i="5"/>
  <c r="Q337" i="5"/>
  <c r="Q336" i="5"/>
  <c r="Q335" i="5"/>
  <c r="Q334" i="5"/>
  <c r="Q333" i="5"/>
  <c r="Q332" i="5"/>
  <c r="Q331" i="5"/>
  <c r="Q330" i="5"/>
  <c r="Q329" i="5"/>
  <c r="Q328" i="5"/>
  <c r="Q327" i="5"/>
  <c r="Q326" i="5"/>
  <c r="Q325" i="5"/>
  <c r="Q324" i="5"/>
  <c r="Q323" i="5"/>
  <c r="Q322" i="5"/>
  <c r="Q321" i="5"/>
  <c r="Q320" i="5"/>
  <c r="Q319" i="5"/>
  <c r="Q318" i="5"/>
  <c r="Q317" i="5"/>
  <c r="Q316" i="5"/>
  <c r="Q315" i="5"/>
  <c r="Q314" i="5"/>
  <c r="Q313" i="5"/>
  <c r="Q312" i="5"/>
  <c r="Q311" i="5"/>
  <c r="Q310" i="5"/>
  <c r="Q309" i="5"/>
  <c r="Q308" i="5"/>
  <c r="Q307" i="5"/>
  <c r="Q306" i="5"/>
  <c r="Q305" i="5"/>
  <c r="Q304" i="5"/>
  <c r="Q303" i="5"/>
  <c r="Q302" i="5"/>
  <c r="Q301" i="5"/>
  <c r="Q300" i="5"/>
  <c r="Q299" i="5"/>
  <c r="Q298" i="5"/>
  <c r="Q297" i="5"/>
  <c r="Q296" i="5"/>
  <c r="Q295" i="5"/>
  <c r="Q294" i="5"/>
  <c r="Q293" i="5"/>
  <c r="Q292" i="5"/>
  <c r="Q291" i="5"/>
  <c r="Q290" i="5"/>
  <c r="Q289" i="5"/>
  <c r="Q288" i="5"/>
  <c r="Q287" i="5"/>
  <c r="Q286" i="5"/>
  <c r="Q285" i="5"/>
  <c r="Q284" i="5"/>
  <c r="Q283" i="5"/>
  <c r="Q282" i="5"/>
  <c r="Q281" i="5"/>
  <c r="Q280" i="5"/>
  <c r="Q279" i="5"/>
  <c r="Q278" i="5"/>
  <c r="Q277" i="5"/>
  <c r="Q276" i="5"/>
  <c r="Q275" i="5"/>
  <c r="Q274" i="5"/>
  <c r="Q273" i="5"/>
  <c r="Q272" i="5"/>
  <c r="Q271" i="5"/>
  <c r="Q270" i="5"/>
  <c r="Q269" i="5"/>
  <c r="Q268" i="5"/>
  <c r="Q267" i="5"/>
  <c r="Q266" i="5"/>
  <c r="Q265" i="5"/>
  <c r="Q264" i="5"/>
  <c r="Q263" i="5"/>
  <c r="Q262" i="5"/>
  <c r="Q261" i="5"/>
  <c r="Q260" i="5"/>
  <c r="Q259" i="5"/>
  <c r="Q258" i="5"/>
  <c r="Q257" i="5"/>
  <c r="Q256" i="5"/>
  <c r="Q255" i="5"/>
  <c r="Q254" i="5"/>
  <c r="Q253" i="5"/>
  <c r="Q252" i="5"/>
  <c r="Q251" i="5"/>
  <c r="Q250" i="5"/>
  <c r="Q249" i="5"/>
  <c r="Q248" i="5"/>
  <c r="Q247" i="5"/>
  <c r="Q246" i="5"/>
  <c r="Q245" i="5"/>
  <c r="Q244" i="5"/>
  <c r="Q243" i="5"/>
  <c r="Q242" i="5"/>
  <c r="Q241" i="5"/>
  <c r="Q240" i="5"/>
  <c r="Q239" i="5"/>
  <c r="Q238" i="5"/>
  <c r="Q237" i="5"/>
  <c r="Q236" i="5"/>
  <c r="Q235" i="5"/>
  <c r="Q234" i="5"/>
  <c r="Q233" i="5"/>
  <c r="Q232" i="5"/>
  <c r="Q231" i="5"/>
  <c r="Q230" i="5"/>
  <c r="Q229" i="5"/>
  <c r="Q228" i="5"/>
  <c r="Q227" i="5"/>
  <c r="Q226" i="5"/>
  <c r="Q225" i="5"/>
  <c r="Q224" i="5"/>
  <c r="Q223" i="5"/>
  <c r="Q222" i="5"/>
  <c r="Q221" i="5"/>
  <c r="Q220" i="5"/>
  <c r="Q219" i="5"/>
  <c r="Q218" i="5"/>
  <c r="Q217" i="5"/>
  <c r="Q216" i="5"/>
  <c r="Q215" i="5"/>
  <c r="Q214" i="5"/>
  <c r="Q213" i="5"/>
  <c r="Q212" i="5"/>
  <c r="Q211" i="5"/>
  <c r="Q210" i="5"/>
  <c r="Q209" i="5"/>
  <c r="Q208" i="5"/>
  <c r="Q207" i="5"/>
  <c r="Q206" i="5"/>
  <c r="Q205" i="5"/>
  <c r="Q204" i="5"/>
  <c r="Q203" i="5"/>
  <c r="Q202" i="5"/>
  <c r="Q201" i="5"/>
  <c r="Q200" i="5"/>
  <c r="Q199" i="5"/>
  <c r="Q198" i="5"/>
  <c r="Q197" i="5"/>
  <c r="Q196" i="5"/>
  <c r="Q195" i="5"/>
  <c r="Q194" i="5"/>
  <c r="Q193" i="5"/>
  <c r="Q192" i="5"/>
  <c r="Q191" i="5"/>
  <c r="Q190" i="5"/>
  <c r="Q189" i="5"/>
  <c r="Q188" i="5"/>
  <c r="Q187" i="5"/>
  <c r="Q186" i="5"/>
  <c r="Q185" i="5"/>
  <c r="Q184" i="5"/>
  <c r="Q183" i="5"/>
  <c r="Q182" i="5"/>
  <c r="Q181" i="5"/>
  <c r="Q180" i="5"/>
  <c r="Q179" i="5"/>
  <c r="Q178" i="5"/>
  <c r="Q177" i="5"/>
  <c r="Q176" i="5"/>
  <c r="Q175" i="5"/>
  <c r="Q174" i="5"/>
  <c r="Q173" i="5"/>
  <c r="Q172" i="5"/>
  <c r="Q171" i="5"/>
  <c r="Q170" i="5"/>
  <c r="Q169" i="5"/>
  <c r="Q168" i="5"/>
  <c r="Q167" i="5"/>
  <c r="Q166" i="5"/>
  <c r="Q165" i="5"/>
  <c r="Q164" i="5"/>
  <c r="Q163" i="5"/>
  <c r="Q162" i="5"/>
  <c r="Q161" i="5"/>
  <c r="Q160" i="5"/>
  <c r="Q159" i="5"/>
  <c r="Q158" i="5"/>
  <c r="Q157" i="5"/>
  <c r="Q156" i="5"/>
  <c r="Q155" i="5"/>
  <c r="Q154" i="5"/>
  <c r="Q153" i="5"/>
  <c r="Q152" i="5"/>
  <c r="Q151" i="5"/>
  <c r="Q150" i="5"/>
  <c r="Q149" i="5"/>
  <c r="Q148" i="5"/>
  <c r="Q147" i="5"/>
  <c r="Q146" i="5"/>
  <c r="Q145" i="5"/>
  <c r="Q144" i="5"/>
  <c r="Q143" i="5"/>
  <c r="Q142" i="5"/>
  <c r="Q141" i="5"/>
  <c r="Q140" i="5"/>
  <c r="Q139" i="5"/>
  <c r="Q138" i="5"/>
  <c r="Q137" i="5"/>
  <c r="Q136" i="5"/>
  <c r="Q135" i="5"/>
  <c r="Q134" i="5"/>
  <c r="Q133" i="5"/>
  <c r="Q132" i="5"/>
  <c r="Q131" i="5"/>
  <c r="Q130" i="5"/>
  <c r="Q129" i="5"/>
  <c r="Q128" i="5"/>
  <c r="Q127" i="5"/>
  <c r="Q126" i="5"/>
  <c r="Q125" i="5"/>
  <c r="Q124" i="5"/>
  <c r="Q123" i="5"/>
  <c r="Q122" i="5"/>
  <c r="Q121" i="5"/>
  <c r="Q120" i="5"/>
  <c r="Q119" i="5"/>
  <c r="Q118" i="5"/>
  <c r="Q117" i="5"/>
  <c r="Q116" i="5"/>
  <c r="Q115" i="5"/>
  <c r="Q114" i="5"/>
  <c r="Q113" i="5"/>
  <c r="Q112" i="5"/>
  <c r="Q111" i="5"/>
  <c r="Q110" i="5"/>
  <c r="Q109" i="5"/>
  <c r="Q108" i="5"/>
  <c r="Q107" i="5"/>
  <c r="Q106" i="5"/>
  <c r="Q105" i="5"/>
  <c r="Q104" i="5"/>
  <c r="Q103" i="5"/>
  <c r="Q102" i="5"/>
  <c r="Q101" i="5"/>
  <c r="Q100" i="5"/>
  <c r="Q99" i="5"/>
  <c r="Q98" i="5"/>
  <c r="Q97" i="5"/>
  <c r="Q96" i="5"/>
  <c r="Q95" i="5"/>
  <c r="Q94" i="5"/>
  <c r="Q93" i="5"/>
  <c r="Q92" i="5"/>
  <c r="Q91" i="5"/>
  <c r="Q90" i="5"/>
  <c r="Q89" i="5"/>
  <c r="Q88" i="5"/>
  <c r="Q87" i="5"/>
  <c r="Q86" i="5"/>
  <c r="Q85" i="5"/>
  <c r="Q84" i="5"/>
  <c r="Q83" i="5"/>
  <c r="Q82" i="5"/>
  <c r="Q81" i="5"/>
  <c r="Q80" i="5"/>
  <c r="Q79" i="5"/>
  <c r="Q78" i="5"/>
  <c r="Q77" i="5"/>
  <c r="Q76" i="5"/>
  <c r="Q75" i="5"/>
  <c r="Q74" i="5"/>
  <c r="Q73" i="5"/>
  <c r="Q72" i="5"/>
  <c r="Q71" i="5"/>
  <c r="Q70" i="5"/>
  <c r="Q69" i="5"/>
  <c r="Q68" i="5"/>
  <c r="Q67" i="5"/>
  <c r="Q66" i="5"/>
  <c r="Q65" i="5"/>
  <c r="Q64" i="5"/>
  <c r="Q63" i="5"/>
  <c r="Q62" i="5"/>
  <c r="Q61" i="5"/>
  <c r="Q60" i="5"/>
  <c r="Q59" i="5"/>
  <c r="Q58" i="5"/>
  <c r="Q57" i="5"/>
  <c r="Q56" i="5"/>
  <c r="Q55" i="5"/>
  <c r="Q54" i="5"/>
  <c r="Q53" i="5"/>
  <c r="Q52" i="5"/>
  <c r="Q51" i="5"/>
  <c r="Q50" i="5"/>
  <c r="Q49" i="5"/>
  <c r="Q48" i="5"/>
  <c r="Q47" i="5"/>
  <c r="Q46" i="5"/>
  <c r="Q45" i="5"/>
  <c r="Q44" i="5"/>
  <c r="Q43" i="5"/>
  <c r="Q42" i="5"/>
  <c r="Q41" i="5"/>
  <c r="Q40" i="5"/>
  <c r="Q39" i="5"/>
  <c r="Q38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Q18" i="5"/>
  <c r="Q17" i="5"/>
  <c r="Q16" i="5"/>
  <c r="Q15" i="5"/>
  <c r="Q14" i="5"/>
  <c r="Q13" i="5"/>
  <c r="Q12" i="5"/>
  <c r="Q11" i="5"/>
  <c r="Q10" i="5"/>
  <c r="T5" i="5" s="1"/>
  <c r="Q9" i="5"/>
  <c r="Q8" i="5"/>
  <c r="Q7" i="5"/>
  <c r="Q6" i="5"/>
  <c r="Q5" i="5"/>
  <c r="Q4" i="5"/>
  <c r="Q3" i="5"/>
  <c r="T7" i="5" s="1"/>
  <c r="Q2" i="5"/>
  <c r="T6" i="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<sst xmlns="http://schemas.openxmlformats.org/spreadsheetml/2006/main" count="26624" uniqueCount="827">
  <si>
    <t>i</t>
  </si>
  <si>
    <t>Order_Date</t>
  </si>
  <si>
    <t>Customer_Name</t>
  </si>
  <si>
    <t>Country</t>
  </si>
  <si>
    <t>Product</t>
  </si>
  <si>
    <t>Category</t>
  </si>
  <si>
    <t>Quantity</t>
  </si>
  <si>
    <t>Unit_Price</t>
  </si>
  <si>
    <t>Total_Sales</t>
  </si>
  <si>
    <t>Shipping_Cost</t>
  </si>
  <si>
    <t>Profit</t>
  </si>
  <si>
    <t>Ship_Mode</t>
  </si>
  <si>
    <t>Order_Priority</t>
  </si>
  <si>
    <t>Region_Code</t>
  </si>
  <si>
    <t>COGS</t>
  </si>
  <si>
    <t>Profit Margin</t>
  </si>
  <si>
    <t>ORD_2025_0001</t>
  </si>
  <si>
    <t>Jan-2025</t>
  </si>
  <si>
    <t>Smith, Emily</t>
  </si>
  <si>
    <t>Usa</t>
  </si>
  <si>
    <t>Travel Backpack</t>
  </si>
  <si>
    <t>Accessories</t>
  </si>
  <si>
    <t>Land</t>
  </si>
  <si>
    <t>Low</t>
  </si>
  <si>
    <t>NA</t>
  </si>
  <si>
    <t>ORD_2025_0002</t>
  </si>
  <si>
    <t>Feb-2025</t>
  </si>
  <si>
    <t>Brown, Laura</t>
  </si>
  <si>
    <t>Uk</t>
  </si>
  <si>
    <t>Leather Wallet</t>
  </si>
  <si>
    <t>Sea</t>
  </si>
  <si>
    <t>Medium</t>
  </si>
  <si>
    <t>EU</t>
  </si>
  <si>
    <t>ORD_2025_0003</t>
  </si>
  <si>
    <t>Apr-2024</t>
  </si>
  <si>
    <t>Davis, John</t>
  </si>
  <si>
    <t>Italy</t>
  </si>
  <si>
    <t>High</t>
  </si>
  <si>
    <t>ORD_2025_0004</t>
  </si>
  <si>
    <t>Oct-2024</t>
  </si>
  <si>
    <t>Miller, Daniel</t>
  </si>
  <si>
    <t>Brazil</t>
  </si>
  <si>
    <t>Bluetooth Speaker</t>
  </si>
  <si>
    <t>Electronics</t>
  </si>
  <si>
    <t>Air</t>
  </si>
  <si>
    <t>SA</t>
  </si>
  <si>
    <t>ORD_2025_0005</t>
  </si>
  <si>
    <t>Johnson, Emma</t>
  </si>
  <si>
    <t>Canada</t>
  </si>
  <si>
    <t>Denim Jacket</t>
  </si>
  <si>
    <t>Apparel</t>
  </si>
  <si>
    <t>ORD_2025_0006</t>
  </si>
  <si>
    <t>Johnson, Michael</t>
  </si>
  <si>
    <t>Mexico</t>
  </si>
  <si>
    <t>Wireless Mouse</t>
  </si>
  <si>
    <t>ORD_2025_0007</t>
  </si>
  <si>
    <t>Jun-2024</t>
  </si>
  <si>
    <t>Hernandez, Emma</t>
  </si>
  <si>
    <t>Glass Bowl Set</t>
  </si>
  <si>
    <t>Home Decor</t>
  </si>
  <si>
    <t>ORD_2025_0008</t>
  </si>
  <si>
    <t>May-2025</t>
  </si>
  <si>
    <t>Miller, John</t>
  </si>
  <si>
    <t>China</t>
  </si>
  <si>
    <t>Cotton Bedsheet</t>
  </si>
  <si>
    <t>Textiles</t>
  </si>
  <si>
    <t>AS</t>
  </si>
  <si>
    <t>ORD_2025_0009</t>
  </si>
  <si>
    <t>Sep-2024</t>
  </si>
  <si>
    <t>Ceramic Vase</t>
  </si>
  <si>
    <t>ORD_2025_0010</t>
  </si>
  <si>
    <t>Aug-2024</t>
  </si>
  <si>
    <t>Martinez, Laura</t>
  </si>
  <si>
    <t>LED Lamp</t>
  </si>
  <si>
    <t>ORD_2025_0011</t>
  </si>
  <si>
    <t>Apr-2025</t>
  </si>
  <si>
    <t>Martinez, James</t>
  </si>
  <si>
    <t>ORD_2025_0012</t>
  </si>
  <si>
    <t>Dec-2024</t>
  </si>
  <si>
    <t>Davis, James</t>
  </si>
  <si>
    <t>ORD_2025_0013</t>
  </si>
  <si>
    <t>Singapore</t>
  </si>
  <si>
    <t>ORD_2025_0014</t>
  </si>
  <si>
    <t>Feb-2024</t>
  </si>
  <si>
    <t>Smith, Emma</t>
  </si>
  <si>
    <t>ORD_2025_0015</t>
  </si>
  <si>
    <t>Mar-2024</t>
  </si>
  <si>
    <t>Davis, Sarah</t>
  </si>
  <si>
    <t>Uae</t>
  </si>
  <si>
    <t>ORD_2025_0016</t>
  </si>
  <si>
    <t>Williams, David</t>
  </si>
  <si>
    <t>Japan</t>
  </si>
  <si>
    <t>ORD_2025_0017</t>
  </si>
  <si>
    <t>ORD_2025_0018</t>
  </si>
  <si>
    <t>ORD_2025_0019</t>
  </si>
  <si>
    <t>Jul-2024</t>
  </si>
  <si>
    <t>Smith, Sarah</t>
  </si>
  <si>
    <t>ORD_2025_0020</t>
  </si>
  <si>
    <t>Table Lamp</t>
  </si>
  <si>
    <t>ORD_2025_0021</t>
  </si>
  <si>
    <t>Miller, Michael</t>
  </si>
  <si>
    <t>South Africa</t>
  </si>
  <si>
    <t>AF</t>
  </si>
  <si>
    <t>ORD_2025_0022</t>
  </si>
  <si>
    <t>Mar-2025</t>
  </si>
  <si>
    <t>Davis, David</t>
  </si>
  <si>
    <t>ORD_2025_0023</t>
  </si>
  <si>
    <t>May-2024</t>
  </si>
  <si>
    <t>Johnson, Sarah</t>
  </si>
  <si>
    <t>ORD_2025_0024</t>
  </si>
  <si>
    <t>Hernandez, Sophia</t>
  </si>
  <si>
    <t>ORD_2025_0025</t>
  </si>
  <si>
    <t>Williams, Daniel</t>
  </si>
  <si>
    <t>ORD_2025_0026</t>
  </si>
  <si>
    <t>Martinez, Michael</t>
  </si>
  <si>
    <t>ORD_2025_0027</t>
  </si>
  <si>
    <t>ORD_2025_0028</t>
  </si>
  <si>
    <t>Jones, Laura</t>
  </si>
  <si>
    <t>ORD_2025_0029</t>
  </si>
  <si>
    <t>Brown, Michael</t>
  </si>
  <si>
    <t>ORD_2025_0030</t>
  </si>
  <si>
    <t>ORD_2025_0031</t>
  </si>
  <si>
    <t>Miller, Laura</t>
  </si>
  <si>
    <t>France</t>
  </si>
  <si>
    <t>ORD_2025_0032</t>
  </si>
  <si>
    <t>Garcia, Sophia</t>
  </si>
  <si>
    <t>ORD_2025_0033</t>
  </si>
  <si>
    <t>Smith, Sophia</t>
  </si>
  <si>
    <t>ORD_2025_0034</t>
  </si>
  <si>
    <t>ORD_2025_0035</t>
  </si>
  <si>
    <t>Hernandez, John</t>
  </si>
  <si>
    <t>ORD_2025_0036</t>
  </si>
  <si>
    <t>Nov-2024</t>
  </si>
  <si>
    <t>Williams, Laura</t>
  </si>
  <si>
    <t>ORD_2025_0037</t>
  </si>
  <si>
    <t>Miller, David</t>
  </si>
  <si>
    <t>ORD_2025_0038</t>
  </si>
  <si>
    <t>Smith, Michael</t>
  </si>
  <si>
    <t>ORD_2025_0039</t>
  </si>
  <si>
    <t>Martinez, Sarah</t>
  </si>
  <si>
    <t>ORD_2025_0040</t>
  </si>
  <si>
    <t>Garcia, Emily</t>
  </si>
  <si>
    <t>ORD_2025_0041</t>
  </si>
  <si>
    <t>Williams, Emma</t>
  </si>
  <si>
    <t>ORD_2025_0042</t>
  </si>
  <si>
    <t>ORD_2025_0043</t>
  </si>
  <si>
    <t>ORD_2025_0044</t>
  </si>
  <si>
    <t>Australia</t>
  </si>
  <si>
    <t>OC</t>
  </si>
  <si>
    <t>ORD_2025_0045</t>
  </si>
  <si>
    <t>ORD_2025_0046</t>
  </si>
  <si>
    <t>ORD_2025_0047</t>
  </si>
  <si>
    <t>ORD_2025_0048</t>
  </si>
  <si>
    <t>Smith, Daniel</t>
  </si>
  <si>
    <t>ORD_2025_0049</t>
  </si>
  <si>
    <t>Jones, David</t>
  </si>
  <si>
    <t>ORD_2025_0050</t>
  </si>
  <si>
    <t>Jan-2024</t>
  </si>
  <si>
    <t>Brown, Sarah</t>
  </si>
  <si>
    <t>ORD_2025_0051</t>
  </si>
  <si>
    <t>ORD_2025_0052</t>
  </si>
  <si>
    <t>Martinez, Emma</t>
  </si>
  <si>
    <t>ORD_2025_0053</t>
  </si>
  <si>
    <t>ORD_2025_0054</t>
  </si>
  <si>
    <t>Johnson, Daniel</t>
  </si>
  <si>
    <t>ORD_2025_0055</t>
  </si>
  <si>
    <t>Jones, Sophia</t>
  </si>
  <si>
    <t>ORD_2025_0056</t>
  </si>
  <si>
    <t>Garcia, Sarah</t>
  </si>
  <si>
    <t>ORD_2025_0057</t>
  </si>
  <si>
    <t>Germany</t>
  </si>
  <si>
    <t>ORD_2025_0058</t>
  </si>
  <si>
    <t>ORD_2025_0059</t>
  </si>
  <si>
    <t>Williams, Michael</t>
  </si>
  <si>
    <t>ORD_2025_0060</t>
  </si>
  <si>
    <t>Hernandez, James</t>
  </si>
  <si>
    <t>ORD_2025_0061</t>
  </si>
  <si>
    <t>Williams, Sarah</t>
  </si>
  <si>
    <t>ORD_2025_0062</t>
  </si>
  <si>
    <t>ORD_2025_0063</t>
  </si>
  <si>
    <t>Williams, Emily</t>
  </si>
  <si>
    <t>ORD_2025_0064</t>
  </si>
  <si>
    <t>ORD_2025_0065</t>
  </si>
  <si>
    <t>ORD_2025_0066</t>
  </si>
  <si>
    <t>ORD_2025_0067</t>
  </si>
  <si>
    <t>Brown, Daniel</t>
  </si>
  <si>
    <t>ORD_2025_0068</t>
  </si>
  <si>
    <t>Martinez, Daniel</t>
  </si>
  <si>
    <t>ORD_2025_0069</t>
  </si>
  <si>
    <t>Jones, Michael</t>
  </si>
  <si>
    <t>ORD_2025_0070</t>
  </si>
  <si>
    <t>ORD_2025_0071</t>
  </si>
  <si>
    <t>Garcia, Michael</t>
  </si>
  <si>
    <t>ORD_2025_0072</t>
  </si>
  <si>
    <t>ORD_2025_0073</t>
  </si>
  <si>
    <t>Smith, David</t>
  </si>
  <si>
    <t>India</t>
  </si>
  <si>
    <t>ORD_2025_0074</t>
  </si>
  <si>
    <t>Miller, Sophia</t>
  </si>
  <si>
    <t>ORD_2025_0075</t>
  </si>
  <si>
    <t>Garcia, Laura</t>
  </si>
  <si>
    <t>ORD_2025_0076</t>
  </si>
  <si>
    <t>Davis, Michael</t>
  </si>
  <si>
    <t>ORD_2025_0077</t>
  </si>
  <si>
    <t>ORD_2025_0078</t>
  </si>
  <si>
    <t>ORD_2025_0079</t>
  </si>
  <si>
    <t>ORD_2025_0080</t>
  </si>
  <si>
    <t>ORD_2025_0081</t>
  </si>
  <si>
    <t>Davis, Emma</t>
  </si>
  <si>
    <t>ORD_2025_0082</t>
  </si>
  <si>
    <t>ORD_2025_0083</t>
  </si>
  <si>
    <t>ORD_2025_0084</t>
  </si>
  <si>
    <t>Hernandez, Laura</t>
  </si>
  <si>
    <t>ORD_2025_0085</t>
  </si>
  <si>
    <t>ORD_2025_0086</t>
  </si>
  <si>
    <t>ORD_2025_0087</t>
  </si>
  <si>
    <t>ORD_2025_0088</t>
  </si>
  <si>
    <t>ORD_2025_0089</t>
  </si>
  <si>
    <t>Davis, Emily</t>
  </si>
  <si>
    <t>ORD_2025_0090</t>
  </si>
  <si>
    <t>ORD_2025_0091</t>
  </si>
  <si>
    <t>Johnson, James</t>
  </si>
  <si>
    <t>ORD_2025_0092</t>
  </si>
  <si>
    <t>Martinez, Sophia</t>
  </si>
  <si>
    <t>ORD_2025_0093</t>
  </si>
  <si>
    <t>ORD_2025_0094</t>
  </si>
  <si>
    <t>Miller, Sarah</t>
  </si>
  <si>
    <t>ORD_2025_0095</t>
  </si>
  <si>
    <t>Williams, James</t>
  </si>
  <si>
    <t>ORD_2025_0096</t>
  </si>
  <si>
    <t>Garcia, Emma</t>
  </si>
  <si>
    <t>ORD_2025_0097</t>
  </si>
  <si>
    <t>ORD_2025_0098</t>
  </si>
  <si>
    <t>ORD_2025_0099</t>
  </si>
  <si>
    <t>ORD_2025_0100</t>
  </si>
  <si>
    <t>ORD_2025_0101</t>
  </si>
  <si>
    <t>ORD_2025_0102</t>
  </si>
  <si>
    <t>ORD_2025_0103</t>
  </si>
  <si>
    <t>ORD_2025_0104</t>
  </si>
  <si>
    <t>ORD_2025_0105</t>
  </si>
  <si>
    <t>Johnson, David</t>
  </si>
  <si>
    <t>ORD_2025_0106</t>
  </si>
  <si>
    <t>ORD_2025_0107</t>
  </si>
  <si>
    <t>ORD_2025_0108</t>
  </si>
  <si>
    <t>ORD_2025_0109</t>
  </si>
  <si>
    <t>Miller, Emily</t>
  </si>
  <si>
    <t>ORD_2025_0110</t>
  </si>
  <si>
    <t>ORD_2025_0111</t>
  </si>
  <si>
    <t>ORD_2025_0112</t>
  </si>
  <si>
    <t>ORD_2025_0113</t>
  </si>
  <si>
    <t>Martinez, Emily</t>
  </si>
  <si>
    <t>ORD_2025_0114</t>
  </si>
  <si>
    <t>Hernandez, Daniel</t>
  </si>
  <si>
    <t>ORD_2025_0115</t>
  </si>
  <si>
    <t>ORD_2025_0116</t>
  </si>
  <si>
    <t>ORD_2025_0117</t>
  </si>
  <si>
    <t>ORD_2025_0118</t>
  </si>
  <si>
    <t>ORD_2025_0119</t>
  </si>
  <si>
    <t>ORD_2025_0120</t>
  </si>
  <si>
    <t>Hernandez, David</t>
  </si>
  <si>
    <t>ORD_2025_0121</t>
  </si>
  <si>
    <t>ORD_2025_0122</t>
  </si>
  <si>
    <t>ORD_2025_0123</t>
  </si>
  <si>
    <t>ORD_2025_0124</t>
  </si>
  <si>
    <t>ORD_2025_0125</t>
  </si>
  <si>
    <t>Martinez, John</t>
  </si>
  <si>
    <t>ORD_2025_0126</t>
  </si>
  <si>
    <t>ORD_2025_0127</t>
  </si>
  <si>
    <t>Garcia, David</t>
  </si>
  <si>
    <t>ORD_2025_0128</t>
  </si>
  <si>
    <t>ORD_2025_0129</t>
  </si>
  <si>
    <t>ORD_2025_0130</t>
  </si>
  <si>
    <t>ORD_2025_0131</t>
  </si>
  <si>
    <t>ORD_2025_0132</t>
  </si>
  <si>
    <t>ORD_2025_0133</t>
  </si>
  <si>
    <t>ORD_2025_0134</t>
  </si>
  <si>
    <t>Smith, James</t>
  </si>
  <si>
    <t>ORD_2025_0135</t>
  </si>
  <si>
    <t>ORD_2025_0136</t>
  </si>
  <si>
    <t>ORD_2025_0137</t>
  </si>
  <si>
    <t>Brown, Emily</t>
  </si>
  <si>
    <t>ORD_2025_0138</t>
  </si>
  <si>
    <t>ORD_2025_0139</t>
  </si>
  <si>
    <t>ORD_2025_0140</t>
  </si>
  <si>
    <t>ORD_2025_0141</t>
  </si>
  <si>
    <t>ORD_2025_0142</t>
  </si>
  <si>
    <t>ORD_2025_0143</t>
  </si>
  <si>
    <t>Brown, James</t>
  </si>
  <si>
    <t>ORD_2025_0144</t>
  </si>
  <si>
    <t>ORD_2025_0145</t>
  </si>
  <si>
    <t>ORD_2025_0146</t>
  </si>
  <si>
    <t>ORD_2025_0147</t>
  </si>
  <si>
    <t>ORD_2025_0148</t>
  </si>
  <si>
    <t>Johnson, Sophia</t>
  </si>
  <si>
    <t>ORD_2025_0149</t>
  </si>
  <si>
    <t>Davis, Sophia</t>
  </si>
  <si>
    <t>ORD_2025_0150</t>
  </si>
  <si>
    <t>Jones, Daniel</t>
  </si>
  <si>
    <t>ORD_2025_0151</t>
  </si>
  <si>
    <t>ORD_2025_0152</t>
  </si>
  <si>
    <t>Davis, Laura</t>
  </si>
  <si>
    <t>ORD_2025_0153</t>
  </si>
  <si>
    <t>ORD_2025_0154</t>
  </si>
  <si>
    <t>ORD_2025_0155</t>
  </si>
  <si>
    <t>ORD_2025_0156</t>
  </si>
  <si>
    <t>Hernandez, Michael</t>
  </si>
  <si>
    <t>ORD_2025_0157</t>
  </si>
  <si>
    <t>ORD_2025_0158</t>
  </si>
  <si>
    <t>ORD_2025_0159</t>
  </si>
  <si>
    <t>ORD_2025_0160</t>
  </si>
  <si>
    <t>Brown, John</t>
  </si>
  <si>
    <t>ORD_2025_0161</t>
  </si>
  <si>
    <t>Martinez, David</t>
  </si>
  <si>
    <t>ORD_2025_0162</t>
  </si>
  <si>
    <t>ORD_2025_0163</t>
  </si>
  <si>
    <t>ORD_2025_0164</t>
  </si>
  <si>
    <t>Johnson, Emily</t>
  </si>
  <si>
    <t>ORD_2025_0165</t>
  </si>
  <si>
    <t>ORD_2025_0166</t>
  </si>
  <si>
    <t>Garcia, John</t>
  </si>
  <si>
    <t>ORD_2025_0167</t>
  </si>
  <si>
    <t>ORD_2025_0168</t>
  </si>
  <si>
    <t>Jones, Emily</t>
  </si>
  <si>
    <t>ORD_2025_0169</t>
  </si>
  <si>
    <t>ORD_2025_0170</t>
  </si>
  <si>
    <t>Miller, James</t>
  </si>
  <si>
    <t>ORD_2025_0171</t>
  </si>
  <si>
    <t>ORD_2025_0172</t>
  </si>
  <si>
    <t>ORD_2025_0173</t>
  </si>
  <si>
    <t>ORD_2025_0174</t>
  </si>
  <si>
    <t>ORD_2025_0175</t>
  </si>
  <si>
    <t>ORD_2025_0176</t>
  </si>
  <si>
    <t>ORD_2025_0177</t>
  </si>
  <si>
    <t>ORD_2025_0178</t>
  </si>
  <si>
    <t>Hernandez, Sarah</t>
  </si>
  <si>
    <t>ORD_2025_0179</t>
  </si>
  <si>
    <t>ORD_2025_0180</t>
  </si>
  <si>
    <t>ORD_2025_0181</t>
  </si>
  <si>
    <t>Davis, Daniel</t>
  </si>
  <si>
    <t>ORD_2025_0182</t>
  </si>
  <si>
    <t>ORD_2025_0183</t>
  </si>
  <si>
    <t>ORD_2025_0184</t>
  </si>
  <si>
    <t>Miller, Emma</t>
  </si>
  <si>
    <t>ORD_2025_0185</t>
  </si>
  <si>
    <t>ORD_2025_0186</t>
  </si>
  <si>
    <t>ORD_2025_0187</t>
  </si>
  <si>
    <t>ORD_2025_0188</t>
  </si>
  <si>
    <t>ORD_2025_0189</t>
  </si>
  <si>
    <t>ORD_2025_0190</t>
  </si>
  <si>
    <t>Garcia, Daniel</t>
  </si>
  <si>
    <t>ORD_2025_0191</t>
  </si>
  <si>
    <t>ORD_2025_0192</t>
  </si>
  <si>
    <t>ORD_2025_0193</t>
  </si>
  <si>
    <t>ORD_2025_0194</t>
  </si>
  <si>
    <t>ORD_2025_0195</t>
  </si>
  <si>
    <t>ORD_2025_0196</t>
  </si>
  <si>
    <t>ORD_2025_0197</t>
  </si>
  <si>
    <t>ORD_2025_0198</t>
  </si>
  <si>
    <t>ORD_2025_0199</t>
  </si>
  <si>
    <t>ORD_2025_0200</t>
  </si>
  <si>
    <t>ORD_2025_0201</t>
  </si>
  <si>
    <t>Jones, Sarah</t>
  </si>
  <si>
    <t>ORD_2025_0202</t>
  </si>
  <si>
    <t>ORD_2025_0203</t>
  </si>
  <si>
    <t>ORD_2025_0204</t>
  </si>
  <si>
    <t>ORD_2025_0205</t>
  </si>
  <si>
    <t>ORD_2025_0206</t>
  </si>
  <si>
    <t>ORD_2025_0207</t>
  </si>
  <si>
    <t>ORD_2025_0208</t>
  </si>
  <si>
    <t>ORD_2025_0209</t>
  </si>
  <si>
    <t>ORD_2025_0210</t>
  </si>
  <si>
    <t>ORD_2025_0211</t>
  </si>
  <si>
    <t>ORD_2025_0212</t>
  </si>
  <si>
    <t>Brown, David</t>
  </si>
  <si>
    <t>ORD_2025_0213</t>
  </si>
  <si>
    <t>ORD_2025_0214</t>
  </si>
  <si>
    <t>ORD_2025_0215</t>
  </si>
  <si>
    <t>ORD_2025_0216</t>
  </si>
  <si>
    <t>ORD_2025_0217</t>
  </si>
  <si>
    <t>Johnson, John</t>
  </si>
  <si>
    <t>ORD_2025_0218</t>
  </si>
  <si>
    <t>ORD_2025_0219</t>
  </si>
  <si>
    <t>ORD_2025_0220</t>
  </si>
  <si>
    <t>Brown, Sophia</t>
  </si>
  <si>
    <t>ORD_2025_0221</t>
  </si>
  <si>
    <t>ORD_2025_0222</t>
  </si>
  <si>
    <t>ORD_2025_0223</t>
  </si>
  <si>
    <t>ORD_2025_0224</t>
  </si>
  <si>
    <t>ORD_2025_0225</t>
  </si>
  <si>
    <t>ORD_2025_0226</t>
  </si>
  <si>
    <t>Jones, Emma</t>
  </si>
  <si>
    <t>ORD_2025_0227</t>
  </si>
  <si>
    <t>ORD_2025_0228</t>
  </si>
  <si>
    <t>ORD_2025_0229</t>
  </si>
  <si>
    <t>ORD_2025_0230</t>
  </si>
  <si>
    <t>ORD_2025_0231</t>
  </si>
  <si>
    <t>ORD_2025_0232</t>
  </si>
  <si>
    <t>ORD_2025_0233</t>
  </si>
  <si>
    <t>ORD_2025_0234</t>
  </si>
  <si>
    <t>ORD_2025_0235</t>
  </si>
  <si>
    <t>ORD_2025_0236</t>
  </si>
  <si>
    <t>ORD_2025_0237</t>
  </si>
  <si>
    <t>ORD_2025_0238</t>
  </si>
  <si>
    <t>ORD_2025_0239</t>
  </si>
  <si>
    <t>ORD_2025_0240</t>
  </si>
  <si>
    <t>ORD_2025_0241</t>
  </si>
  <si>
    <t>ORD_2025_0242</t>
  </si>
  <si>
    <t>ORD_2025_0243</t>
  </si>
  <si>
    <t>Johnson, Laura</t>
  </si>
  <si>
    <t>ORD_2025_0244</t>
  </si>
  <si>
    <t>ORD_2025_0245</t>
  </si>
  <si>
    <t>ORD_2025_0246</t>
  </si>
  <si>
    <t>ORD_2025_0247</t>
  </si>
  <si>
    <t>ORD_2025_0248</t>
  </si>
  <si>
    <t>ORD_2025_0249</t>
  </si>
  <si>
    <t>ORD_2025_0250</t>
  </si>
  <si>
    <t>ORD_2025_0251</t>
  </si>
  <si>
    <t>ORD_2025_0252</t>
  </si>
  <si>
    <t>Smith, John</t>
  </si>
  <si>
    <t>ORD_2025_0253</t>
  </si>
  <si>
    <t>ORD_2025_0254</t>
  </si>
  <si>
    <t>ORD_2025_0255</t>
  </si>
  <si>
    <t>ORD_2025_0256</t>
  </si>
  <si>
    <t>ORD_2025_0257</t>
  </si>
  <si>
    <t>ORD_2025_0258</t>
  </si>
  <si>
    <t>ORD_2025_0259</t>
  </si>
  <si>
    <t>ORD_2025_0260</t>
  </si>
  <si>
    <t>Williams, Sophia</t>
  </si>
  <si>
    <t>ORD_2025_0261</t>
  </si>
  <si>
    <t>Garcia, James</t>
  </si>
  <si>
    <t>ORD_2025_0262</t>
  </si>
  <si>
    <t>ORD_2025_0263</t>
  </si>
  <si>
    <t>ORD_2025_0264</t>
  </si>
  <si>
    <t>ORD_2025_0265</t>
  </si>
  <si>
    <t>ORD_2025_0266</t>
  </si>
  <si>
    <t>ORD_2025_0267</t>
  </si>
  <si>
    <t>ORD_2025_0268</t>
  </si>
  <si>
    <t>ORD_2025_0269</t>
  </si>
  <si>
    <t>ORD_2025_0270</t>
  </si>
  <si>
    <t>ORD_2025_0271</t>
  </si>
  <si>
    <t>Smith, Laura</t>
  </si>
  <si>
    <t>ORD_2025_0272</t>
  </si>
  <si>
    <t>ORD_2025_0273</t>
  </si>
  <si>
    <t>ORD_2025_0274</t>
  </si>
  <si>
    <t>ORD_2025_0275</t>
  </si>
  <si>
    <t>ORD_2025_0276</t>
  </si>
  <si>
    <t>ORD_2025_0277</t>
  </si>
  <si>
    <t>ORD_2025_0278</t>
  </si>
  <si>
    <t>ORD_2025_0279</t>
  </si>
  <si>
    <t>ORD_2025_0280</t>
  </si>
  <si>
    <t>ORD_2025_0281</t>
  </si>
  <si>
    <t>ORD_2025_0282</t>
  </si>
  <si>
    <t>ORD_2025_0283</t>
  </si>
  <si>
    <t>ORD_2025_0284</t>
  </si>
  <si>
    <t>ORD_2025_0285</t>
  </si>
  <si>
    <t>ORD_2025_0286</t>
  </si>
  <si>
    <t>ORD_2025_0287</t>
  </si>
  <si>
    <t>ORD_2025_0288</t>
  </si>
  <si>
    <t>ORD_2025_0289</t>
  </si>
  <si>
    <t>ORD_2025_0290</t>
  </si>
  <si>
    <t>ORD_2025_0291</t>
  </si>
  <si>
    <t>ORD_2025_0292</t>
  </si>
  <si>
    <t>ORD_2025_0293</t>
  </si>
  <si>
    <t>ORD_2025_0294</t>
  </si>
  <si>
    <t>ORD_2025_0295</t>
  </si>
  <si>
    <t>ORD_2025_0296</t>
  </si>
  <si>
    <t>ORD_2025_0297</t>
  </si>
  <si>
    <t>ORD_2025_0298</t>
  </si>
  <si>
    <t>ORD_2025_0299</t>
  </si>
  <si>
    <t>ORD_2025_0300</t>
  </si>
  <si>
    <t>ORD_2025_0301</t>
  </si>
  <si>
    <t>ORD_2025_0302</t>
  </si>
  <si>
    <t>ORD_2025_0303</t>
  </si>
  <si>
    <t>ORD_2025_0304</t>
  </si>
  <si>
    <t>ORD_2025_0305</t>
  </si>
  <si>
    <t>ORD_2025_0306</t>
  </si>
  <si>
    <t>ORD_2025_0307</t>
  </si>
  <si>
    <t>ORD_2025_0308</t>
  </si>
  <si>
    <t>ORD_2025_0309</t>
  </si>
  <si>
    <t>ORD_2025_0310</t>
  </si>
  <si>
    <t>ORD_2025_0311</t>
  </si>
  <si>
    <t>ORD_2025_0312</t>
  </si>
  <si>
    <t>ORD_2025_0313</t>
  </si>
  <si>
    <t>ORD_2025_0314</t>
  </si>
  <si>
    <t>Jones, James</t>
  </si>
  <si>
    <t>ORD_2025_0315</t>
  </si>
  <si>
    <t>ORD_2025_0316</t>
  </si>
  <si>
    <t>ORD_2025_0317</t>
  </si>
  <si>
    <t>ORD_2025_0318</t>
  </si>
  <si>
    <t>ORD_2025_0319</t>
  </si>
  <si>
    <t>ORD_2025_0320</t>
  </si>
  <si>
    <t>ORD_2025_0321</t>
  </si>
  <si>
    <t>Jones, John</t>
  </si>
  <si>
    <t>ORD_2025_0322</t>
  </si>
  <si>
    <t>ORD_2025_0323</t>
  </si>
  <si>
    <t>ORD_2025_0324</t>
  </si>
  <si>
    <t>ORD_2025_0325</t>
  </si>
  <si>
    <t>ORD_2025_0326</t>
  </si>
  <si>
    <t>ORD_2025_0327</t>
  </si>
  <si>
    <t>ORD_2025_0328</t>
  </si>
  <si>
    <t>ORD_2025_0329</t>
  </si>
  <si>
    <t>ORD_2025_0330</t>
  </si>
  <si>
    <t>Hernandez, Emily</t>
  </si>
  <si>
    <t>ORD_2025_0331</t>
  </si>
  <si>
    <t>ORD_2025_0332</t>
  </si>
  <si>
    <t>ORD_2025_0333</t>
  </si>
  <si>
    <t>ORD_2025_0334</t>
  </si>
  <si>
    <t>ORD_2025_0335</t>
  </si>
  <si>
    <t>ORD_2025_0336</t>
  </si>
  <si>
    <t>ORD_2025_0337</t>
  </si>
  <si>
    <t>ORD_2025_0338</t>
  </si>
  <si>
    <t>ORD_2025_0339</t>
  </si>
  <si>
    <t>ORD_2025_0340</t>
  </si>
  <si>
    <t>ORD_2025_0341</t>
  </si>
  <si>
    <t>ORD_2025_0342</t>
  </si>
  <si>
    <t>ORD_2025_0343</t>
  </si>
  <si>
    <t>ORD_2025_0344</t>
  </si>
  <si>
    <t>ORD_2025_0345</t>
  </si>
  <si>
    <t>ORD_2025_0346</t>
  </si>
  <si>
    <t>ORD_2025_0347</t>
  </si>
  <si>
    <t>ORD_2025_0348</t>
  </si>
  <si>
    <t>ORD_2025_0349</t>
  </si>
  <si>
    <t>ORD_2025_0350</t>
  </si>
  <si>
    <t>Williams, John</t>
  </si>
  <si>
    <t>ORD_2025_0351</t>
  </si>
  <si>
    <t>ORD_2025_0352</t>
  </si>
  <si>
    <t>ORD_2025_0353</t>
  </si>
  <si>
    <t>ORD_2025_0354</t>
  </si>
  <si>
    <t>ORD_2025_0355</t>
  </si>
  <si>
    <t>ORD_2025_0356</t>
  </si>
  <si>
    <t>ORD_2025_0357</t>
  </si>
  <si>
    <t>ORD_2025_0358</t>
  </si>
  <si>
    <t>ORD_2025_0359</t>
  </si>
  <si>
    <t>ORD_2025_0360</t>
  </si>
  <si>
    <t>ORD_2025_0361</t>
  </si>
  <si>
    <t>ORD_2025_0362</t>
  </si>
  <si>
    <t>ORD_2025_0363</t>
  </si>
  <si>
    <t>ORD_2025_0364</t>
  </si>
  <si>
    <t>ORD_2025_0365</t>
  </si>
  <si>
    <t>ORD_2025_0366</t>
  </si>
  <si>
    <t>ORD_2025_0367</t>
  </si>
  <si>
    <t>ORD_2025_0368</t>
  </si>
  <si>
    <t>ORD_2025_0369</t>
  </si>
  <si>
    <t>ORD_2025_0370</t>
  </si>
  <si>
    <t>ORD_2025_0371</t>
  </si>
  <si>
    <t>ORD_2025_0372</t>
  </si>
  <si>
    <t>ORD_2025_0373</t>
  </si>
  <si>
    <t>ORD_2025_0374</t>
  </si>
  <si>
    <t>ORD_2025_0375</t>
  </si>
  <si>
    <t>ORD_2025_0376</t>
  </si>
  <si>
    <t>ORD_2025_0377</t>
  </si>
  <si>
    <t>ORD_2025_0378</t>
  </si>
  <si>
    <t>ORD_2025_0379</t>
  </si>
  <si>
    <t>ORD_2025_0380</t>
  </si>
  <si>
    <t>ORD_2025_0381</t>
  </si>
  <si>
    <t>ORD_2025_0382</t>
  </si>
  <si>
    <t>ORD_2025_0383</t>
  </si>
  <si>
    <t>ORD_2025_0384</t>
  </si>
  <si>
    <t>ORD_2025_0385</t>
  </si>
  <si>
    <t>ORD_2025_0386</t>
  </si>
  <si>
    <t>ORD_2025_0387</t>
  </si>
  <si>
    <t>ORD_2025_0388</t>
  </si>
  <si>
    <t>ORD_2025_0389</t>
  </si>
  <si>
    <t>ORD_2025_0390</t>
  </si>
  <si>
    <t>ORD_2025_0391</t>
  </si>
  <si>
    <t>ORD_2025_0392</t>
  </si>
  <si>
    <t>ORD_2025_0393</t>
  </si>
  <si>
    <t>ORD_2025_0394</t>
  </si>
  <si>
    <t>ORD_2025_0395</t>
  </si>
  <si>
    <t>ORD_2025_0396</t>
  </si>
  <si>
    <t>ORD_2025_0397</t>
  </si>
  <si>
    <t>ORD_2025_0398</t>
  </si>
  <si>
    <t>ORD_2025_0399</t>
  </si>
  <si>
    <t>ORD_2025_0400</t>
  </si>
  <si>
    <t>ORD_2025_0401</t>
  </si>
  <si>
    <t>ORD_2025_0402</t>
  </si>
  <si>
    <t>ORD_2025_0403</t>
  </si>
  <si>
    <t>ORD_2025_0404</t>
  </si>
  <si>
    <t>ORD_2025_0405</t>
  </si>
  <si>
    <t>ORD_2025_0406</t>
  </si>
  <si>
    <t>ORD_2025_0407</t>
  </si>
  <si>
    <t>ORD_2025_0408</t>
  </si>
  <si>
    <t>ORD_2025_0409</t>
  </si>
  <si>
    <t>ORD_2025_0410</t>
  </si>
  <si>
    <t>ORD_2025_0411</t>
  </si>
  <si>
    <t>ORD_2025_0412</t>
  </si>
  <si>
    <t>ORD_2025_0413</t>
  </si>
  <si>
    <t>ORD_2025_0414</t>
  </si>
  <si>
    <t>ORD_2025_0415</t>
  </si>
  <si>
    <t>ORD_2025_0416</t>
  </si>
  <si>
    <t>ORD_2025_0417</t>
  </si>
  <si>
    <t>ORD_2025_0418</t>
  </si>
  <si>
    <t>ORD_2025_0419</t>
  </si>
  <si>
    <t>ORD_2025_0420</t>
  </si>
  <si>
    <t>ORD_2025_0421</t>
  </si>
  <si>
    <t>ORD_2025_0422</t>
  </si>
  <si>
    <t>ORD_2025_0423</t>
  </si>
  <si>
    <t>ORD_2025_0424</t>
  </si>
  <si>
    <t>ORD_2025_0425</t>
  </si>
  <si>
    <t>ORD_2025_0426</t>
  </si>
  <si>
    <t>ORD_2025_0427</t>
  </si>
  <si>
    <t>ORD_2025_0428</t>
  </si>
  <si>
    <t>ORD_2025_0429</t>
  </si>
  <si>
    <t>ORD_2025_0430</t>
  </si>
  <si>
    <t>ORD_2025_0431</t>
  </si>
  <si>
    <t>ORD_2025_0432</t>
  </si>
  <si>
    <t>ORD_2025_0433</t>
  </si>
  <si>
    <t>ORD_2025_0434</t>
  </si>
  <si>
    <t>ORD_2025_0435</t>
  </si>
  <si>
    <t>ORD_2025_0436</t>
  </si>
  <si>
    <t>ORD_2025_0437</t>
  </si>
  <si>
    <t>ORD_2025_0438</t>
  </si>
  <si>
    <t>ORD_2025_0439</t>
  </si>
  <si>
    <t>ORD_2025_0440</t>
  </si>
  <si>
    <t>ORD_2025_0441</t>
  </si>
  <si>
    <t>ORD_2025_0442</t>
  </si>
  <si>
    <t>ORD_2025_0443</t>
  </si>
  <si>
    <t>ORD_2025_0444</t>
  </si>
  <si>
    <t>ORD_2025_0445</t>
  </si>
  <si>
    <t>ORD_2025_0446</t>
  </si>
  <si>
    <t>ORD_2025_0447</t>
  </si>
  <si>
    <t>ORD_2025_0448</t>
  </si>
  <si>
    <t>ORD_2025_0449</t>
  </si>
  <si>
    <t>ORD_2025_0450</t>
  </si>
  <si>
    <t>ORD_2025_0451</t>
  </si>
  <si>
    <t>ORD_2025_0452</t>
  </si>
  <si>
    <t>ORD_2025_0453</t>
  </si>
  <si>
    <t>ORD_2025_0454</t>
  </si>
  <si>
    <t>ORD_2025_0455</t>
  </si>
  <si>
    <t>ORD_2025_0456</t>
  </si>
  <si>
    <t>ORD_2025_0457</t>
  </si>
  <si>
    <t>ORD_2025_0458</t>
  </si>
  <si>
    <t>ORD_2025_0459</t>
  </si>
  <si>
    <t>ORD_2025_0460</t>
  </si>
  <si>
    <t>ORD_2025_0461</t>
  </si>
  <si>
    <t>ORD_2025_0462</t>
  </si>
  <si>
    <t>ORD_2025_0463</t>
  </si>
  <si>
    <t>ORD_2025_0464</t>
  </si>
  <si>
    <t>ORD_2025_0465</t>
  </si>
  <si>
    <t>ORD_2025_0466</t>
  </si>
  <si>
    <t>ORD_2025_0467</t>
  </si>
  <si>
    <t>ORD_2025_0468</t>
  </si>
  <si>
    <t>ORD_2025_0469</t>
  </si>
  <si>
    <t>ORD_2025_0470</t>
  </si>
  <si>
    <t>ORD_2025_0471</t>
  </si>
  <si>
    <t>ORD_2025_0472</t>
  </si>
  <si>
    <t>ORD_2025_0473</t>
  </si>
  <si>
    <t>ORD_2025_0474</t>
  </si>
  <si>
    <t>ORD_2025_0475</t>
  </si>
  <si>
    <t>ORD_2025_0476</t>
  </si>
  <si>
    <t>2024-05-13</t>
  </si>
  <si>
    <t>ORD_2025_0477</t>
  </si>
  <si>
    <t>2024-01-30</t>
  </si>
  <si>
    <t>ORD_2025_0478</t>
  </si>
  <si>
    <t>2024-06-17</t>
  </si>
  <si>
    <t>ORD_2025_0479</t>
  </si>
  <si>
    <t>2025-04-20</t>
  </si>
  <si>
    <t>ORD_2025_0480</t>
  </si>
  <si>
    <t>2024-11-13</t>
  </si>
  <si>
    <t>ORD_2025_0481</t>
  </si>
  <si>
    <t>2024-12-07</t>
  </si>
  <si>
    <t>ORD_2025_0482</t>
  </si>
  <si>
    <t>2024-03-04</t>
  </si>
  <si>
    <t>ORD_2025_0483</t>
  </si>
  <si>
    <t>2024-09-27</t>
  </si>
  <si>
    <t>ORD_2025_0484</t>
  </si>
  <si>
    <t>2024-03-11</t>
  </si>
  <si>
    <t>ORD_2025_0485</t>
  </si>
  <si>
    <t>2024-12-26</t>
  </si>
  <si>
    <t>ORD_2025_0486</t>
  </si>
  <si>
    <t>2025-01-06</t>
  </si>
  <si>
    <t>ORD_2025_0487</t>
  </si>
  <si>
    <t>2024-12-05</t>
  </si>
  <si>
    <t>ORD_2025_0488</t>
  </si>
  <si>
    <t>2024-01-21</t>
  </si>
  <si>
    <t>ORD_2025_0489</t>
  </si>
  <si>
    <t>2025-05-10</t>
  </si>
  <si>
    <t>ORD_2025_0490</t>
  </si>
  <si>
    <t>2024-09-15</t>
  </si>
  <si>
    <t>ORD_2025_0491</t>
  </si>
  <si>
    <t>2024-05-27</t>
  </si>
  <si>
    <t>ORD_2025_0492</t>
  </si>
  <si>
    <t>2025-04-24</t>
  </si>
  <si>
    <t>ORD_2025_0493</t>
  </si>
  <si>
    <t>2025-03-18</t>
  </si>
  <si>
    <t>ORD_2025_0494</t>
  </si>
  <si>
    <t>2024-04-17</t>
  </si>
  <si>
    <t>ORD_2025_0495</t>
  </si>
  <si>
    <t>2025-02-18</t>
  </si>
  <si>
    <t>ORD_2025_0496</t>
  </si>
  <si>
    <t>2024-04-13</t>
  </si>
  <si>
    <t>ORD_2025_0497</t>
  </si>
  <si>
    <t>2024-07-04</t>
  </si>
  <si>
    <t>ORD_2025_0498</t>
  </si>
  <si>
    <t>2024-12-25</t>
  </si>
  <si>
    <t>ORD_2025_0499</t>
  </si>
  <si>
    <t>2024-09-02</t>
  </si>
  <si>
    <t>ORD_2025_0500</t>
  </si>
  <si>
    <t>2024-07-14</t>
  </si>
  <si>
    <t>Month</t>
  </si>
  <si>
    <t>Total_Profit</t>
  </si>
  <si>
    <t>Shipments</t>
  </si>
  <si>
    <t>Returns</t>
  </si>
  <si>
    <t>2024-02</t>
  </si>
  <si>
    <t>2024-03</t>
  </si>
  <si>
    <t>2024-04</t>
  </si>
  <si>
    <t>2024-06</t>
  </si>
  <si>
    <t>2024-07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</si>
  <si>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</si>
  <si>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</si>
  <si>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</si>
  <si>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</si>
  <si>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</si>
  <si>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</si>
  <si>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</si>
  <si>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</si>
  <si>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2024-01</t>
  </si>
  <si>
    <t>2024-05</t>
  </si>
  <si>
    <t>2024-08</t>
  </si>
  <si>
    <t>2025-05</t>
  </si>
  <si>
    <t>Product_ID</t>
  </si>
  <si>
    <t>Supplier</t>
  </si>
  <si>
    <t>Origin_Country</t>
  </si>
  <si>
    <t>Unit_Cost</t>
  </si>
  <si>
    <t>P1001</t>
  </si>
  <si>
    <t>AudioTech Ltd.</t>
  </si>
  <si>
    <t>P1002</t>
  </si>
  <si>
    <t>Artisans Co.</t>
  </si>
  <si>
    <t>P1003</t>
  </si>
  <si>
    <t>CraftLine</t>
  </si>
  <si>
    <t>P1004</t>
  </si>
  <si>
    <t>BrightHome</t>
  </si>
  <si>
    <t>Vietnam</t>
  </si>
  <si>
    <t>P1005</t>
  </si>
  <si>
    <t>SoftWeave</t>
  </si>
  <si>
    <t>Turkey</t>
  </si>
  <si>
    <t>P1006</t>
  </si>
  <si>
    <t>ClickTech</t>
  </si>
  <si>
    <t>P1007</t>
  </si>
  <si>
    <t>ClearCraft</t>
  </si>
  <si>
    <t>P1008</t>
  </si>
  <si>
    <t>CarryPro</t>
  </si>
  <si>
    <t>P1009</t>
  </si>
  <si>
    <t>P1010</t>
  </si>
  <si>
    <t>BlueWear</t>
  </si>
  <si>
    <t>Bangladesh</t>
  </si>
  <si>
    <t>Region_Name</t>
  </si>
  <si>
    <t>Continent</t>
  </si>
  <si>
    <t>Manager</t>
  </si>
  <si>
    <t>North America</t>
  </si>
  <si>
    <t>America</t>
  </si>
  <si>
    <t>James Carter</t>
  </si>
  <si>
    <t>Europe</t>
  </si>
  <si>
    <t>Maria Gomez</t>
  </si>
  <si>
    <t>Asia</t>
  </si>
  <si>
    <t>Li Wei</t>
  </si>
  <si>
    <t>Africa</t>
  </si>
  <si>
    <t>Samuel Okoro</t>
  </si>
  <si>
    <t>South America</t>
  </si>
  <si>
    <t>Ana Silva</t>
  </si>
  <si>
    <t>Oceania</t>
  </si>
  <si>
    <t>Steve Taylor</t>
  </si>
  <si>
    <t>Unit_cost</t>
  </si>
  <si>
    <t>Average Profit Margin</t>
  </si>
  <si>
    <t>Max Profit Margin</t>
  </si>
  <si>
    <t>Min Profit Margin</t>
  </si>
  <si>
    <t>Metric</t>
  </si>
  <si>
    <t>Value</t>
  </si>
  <si>
    <t>Customer Name</t>
  </si>
  <si>
    <t>First Name</t>
  </si>
  <si>
    <t>Smith</t>
  </si>
  <si>
    <t>Brown</t>
  </si>
  <si>
    <t>Davis</t>
  </si>
  <si>
    <t>Miller</t>
  </si>
  <si>
    <t>Johnson</t>
  </si>
  <si>
    <t>Hernandez</t>
  </si>
  <si>
    <t>Martinez</t>
  </si>
  <si>
    <t>Williams</t>
  </si>
  <si>
    <t>Jones</t>
  </si>
  <si>
    <t>Garcia</t>
  </si>
  <si>
    <t>Last Name</t>
  </si>
  <si>
    <t>Emily</t>
  </si>
  <si>
    <t>Laura</t>
  </si>
  <si>
    <t>John</t>
  </si>
  <si>
    <t>Daniel</t>
  </si>
  <si>
    <t>Emma</t>
  </si>
  <si>
    <t>Michael</t>
  </si>
  <si>
    <t>James</t>
  </si>
  <si>
    <t>Sarah</t>
  </si>
  <si>
    <t>David</t>
  </si>
  <si>
    <t>Sophia</t>
  </si>
  <si>
    <t>Customer Code</t>
  </si>
  <si>
    <t>Margin</t>
  </si>
  <si>
    <t>Perform</t>
  </si>
  <si>
    <t>Region Name</t>
  </si>
  <si>
    <t>Region code</t>
  </si>
  <si>
    <t>Total Profit</t>
  </si>
  <si>
    <t>Avg  Sales</t>
  </si>
  <si>
    <t>Avg Profits</t>
  </si>
  <si>
    <t>Order_ID</t>
  </si>
  <si>
    <t>USA</t>
  </si>
  <si>
    <t>UK</t>
  </si>
  <si>
    <t>Row Labels</t>
  </si>
  <si>
    <t>(blank)</t>
  </si>
  <si>
    <t>Grand Total</t>
  </si>
  <si>
    <t>Sum of Total_Sales</t>
  </si>
  <si>
    <t>Sum of Profit</t>
  </si>
  <si>
    <t>Column Labels</t>
  </si>
  <si>
    <t>Clean</t>
  </si>
  <si>
    <t>2024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</si>
  <si>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</si>
  <si>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</si>
  <si>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</si>
  <si>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</si>
  <si>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</si>
  <si>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</si>
  <si>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</si>
  <si>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</si>
  <si>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</si>
  <si>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</si>
  <si>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</si>
  <si>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</si>
  <si>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</si>
  <si>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Clean Date</t>
  </si>
  <si>
    <t>Total Orders</t>
  </si>
  <si>
    <t>Average of Shipping_Cost</t>
  </si>
  <si>
    <t>Average of 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</si>
</sst>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₹&quot;\ * #,##0.00_ ;_ &quot;₹&quot;\ * \-#,##0.00_ ;_ &quot;₹&quot;\ * &quot;-&quot;??_ ;_ @_ "/>
    <numFmt numFmtId="164" formatCode="mmm/yyyy"/>
    <numFmt numFmtId="165" formatCode="_-[$$-409]* #,##0.00_ ;_-[$$-409]* \-#,##0.00\ ;_-[$$-409]* &quot;-&quot;??_ ;_-@_ "/>
    <numFmt numFmtId="166" formatCode="yyyy\-mm\-dd\ h:mm:ss"/>
    <numFmt numFmtId="167" formatCode="&quot;₹&quot;\ 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sz val="11"/>
      <name val="Calibri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4F81B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9" fontId="0" fillId="0" borderId="0" xfId="2" applyFont="1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9" fontId="0" fillId="4" borderId="0" xfId="0" applyNumberFormat="1" applyFill="1"/>
    <xf numFmtId="9" fontId="0" fillId="2" borderId="0" xfId="0" applyNumberFormat="1" applyFill="1"/>
    <xf numFmtId="9" fontId="0" fillId="3" borderId="0" xfId="0" applyNumberFormat="1" applyFill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vertical="top"/>
    </xf>
    <xf numFmtId="0" fontId="0" fillId="0" borderId="0" xfId="0" applyAlignment="1">
      <alignment vertical="top"/>
    </xf>
    <xf numFmtId="0" fontId="3" fillId="6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top"/>
    </xf>
    <xf numFmtId="0" fontId="2" fillId="6" borderId="0" xfId="0" applyFont="1" applyFill="1"/>
    <xf numFmtId="165" fontId="0" fillId="0" borderId="0" xfId="1" applyNumberFormat="1" applyFont="1"/>
    <xf numFmtId="14" fontId="0" fillId="0" borderId="0" xfId="0" applyNumberFormat="1"/>
    <xf numFmtId="0" fontId="4" fillId="7" borderId="0" xfId="0" applyFont="1" applyFill="1" applyAlignment="1">
      <alignment horizontal="center" wrapText="1"/>
    </xf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5" fillId="0" borderId="2" xfId="0" applyFont="1" applyBorder="1" applyAlignment="1">
      <alignment horizontal="center" vertical="top"/>
    </xf>
    <xf numFmtId="9" fontId="0" fillId="0" borderId="0" xfId="0" applyNumberFormat="1"/>
    <xf numFmtId="167" fontId="0" fillId="0" borderId="0" xfId="0" applyNumberFormat="1"/>
    <xf numFmtId="167" fontId="0" fillId="0" borderId="0" xfId="0" pivotButton="1" applyNumberFormat="1"/>
    <xf numFmtId="167" fontId="0" fillId="0" borderId="0" xfId="0" applyNumberFormat="1" applyAlignment="1">
      <alignment horizontal="left"/>
    </xf>
  </cellXfs>
  <cellStyles count="3">
    <cellStyle name="Currency" xfId="1" builtinId="4"/>
    <cellStyle name="Normal" xfId="0" builtinId="0"/>
    <cellStyle name="Percent" xfId="2" builtinId="5"/>
  </cellStyles>
  <dxfs count="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_-[$$-409]* #,##0.00_ ;_-[$$-409]* \-#,##0.00\ ;_-[$$-409]* &quot;-&quot;??_ ;_-@_ "/>
    </dxf>
    <dxf>
      <numFmt numFmtId="167" formatCode="&quot;₹&quot;\ #,##0.00"/>
    </dxf>
    <dxf>
      <numFmt numFmtId="167" formatCode="&quot;₹&quot;\ #,##0.00"/>
    </dxf>
    <dxf>
      <numFmt numFmtId="13" formatCode="0%"/>
    </dxf>
    <dxf>
      <numFmt numFmtId="167" formatCode="&quot;₹&quot;\ #,##0.00"/>
    </dxf>
    <dxf>
      <numFmt numFmtId="167" formatCode="&quot;₹&quot;\ #,##0.00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7" formatCode="&quot;₹&quot;\ #,##0.00"/>
    </dxf>
    <dxf>
      <numFmt numFmtId="167" formatCode="&quot;₹&quot;\ #,##0.00"/>
    </dxf>
    <dxf>
      <numFmt numFmtId="165" formatCode="_-[$$-409]* #,##0.00_ ;_-[$$-409]* \-#,##0.00\ ;_-[$$-409]* &quot;-&quot;??_ ;_-@_ "/>
    </dxf>
    <dxf>
      <numFmt numFmtId="167" formatCode="&quot;₹&quot;\ #,##0.00"/>
    </dxf>
    <dxf>
      <numFmt numFmtId="167" formatCode="&quot;₹&quot;\ #,##0.00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alignment horizontal="right" vertical="center" textRotation="0" wrapText="0" indent="0" justifyLastLine="0" shrinkToFit="0" readingOrder="0"/>
    </dxf>
    <dxf>
      <numFmt numFmtId="165" formatCode="_-[$$-409]* #,##0.00_ ;_-[$$-409]* \-#,##0.00\ ;_-[$$-409]* &quot;-&quot;??_ ;_-@_ 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3" formatCode="0%"/>
    </dxf>
    <dxf>
      <fill>
        <patternFill patternType="solid">
          <fgColor indexed="64"/>
          <bgColor theme="9" tint="-0.249977111117893"/>
        </patternFill>
      </fill>
    </dxf>
    <dxf>
      <numFmt numFmtId="19" formatCode="dd/mm/yyyy"/>
    </dxf>
    <dxf>
      <alignment horizontal="right" vertical="center" textRotation="0" wrapText="0" indent="0" justifyLastLine="0" shrinkToFit="0" readingOrder="0"/>
    </dxf>
    <dxf>
      <numFmt numFmtId="165" formatCode="_-[$$-409]* #,##0.00_ ;_-[$$-409]* \-#,##0.00\ ;_-[$$-409]* &quot;-&quot;??_ ;_-@_ 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[Book1.xlsx]Sheet3!PivotTable4</c:name>
    <c:fmtId val="6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Total_Sales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Sheet3!$A$4:$A$22</c:f>
              <c:strCache>
                <c:ptCount val="18"/>
                <c:pt idx="0">
                  <c:v>Apr-2024</c:v>
                </c:pt>
                <c:pt idx="1">
                  <c:v>Apr-2025</c:v>
                </c:pt>
                <c:pt idx="2">
                  <c:v>Aug-2024</c:v>
                </c:pt>
                <c:pt idx="3">
                  <c:v>Dec-2024</c:v>
                </c:pt>
                <c:pt idx="4">
                  <c:v>Feb-2024</c:v>
                </c:pt>
                <c:pt idx="5">
                  <c:v>Feb-2025</c:v>
                </c:pt>
                <c:pt idx="6">
                  <c:v>Jan-2024</c:v>
                </c:pt>
                <c:pt idx="7">
                  <c:v>Jan-2025</c:v>
                </c:pt>
                <c:pt idx="8">
                  <c:v>Jul-2024</c:v>
                </c:pt>
                <c:pt idx="9">
                  <c:v>Jun-2024</c:v>
                </c:pt>
                <c:pt idx="10">
                  <c:v>Mar-2024</c:v>
                </c:pt>
                <c:pt idx="11">
                  <c:v>Mar-2025</c:v>
                </c:pt>
                <c:pt idx="12">
                  <c:v>May-2024</c:v>
                </c:pt>
                <c:pt idx="13">
                  <c:v>May-2025</c:v>
                </c:pt>
                <c:pt idx="14">
                  <c:v>Nov-2024</c:v>
                </c:pt>
                <c:pt idx="15">
                  <c:v>Oct-2024</c:v>
                </c:pt>
                <c:pt idx="16">
                  <c:v>Sep-2024</c:v>
                </c:pt>
                <c:pt idx="17">
                  <c:v>(blank)</c:v>
                </c:pt>
              </c:strCache>
            </c:strRef>
          </c:cat>
          <c:val>
            <c:numRef>
              <c:f>Sheet3!$B$4:$B$22</c:f>
              <c:numCache>
                <c:formatCode>General</c:formatCode>
                <c:ptCount val="18"/>
                <c:pt idx="0">
                  <c:v>14076.35</c:v>
                </c:pt>
                <c:pt idx="1">
                  <c:v>36539.25</c:v>
                </c:pt>
                <c:pt idx="2">
                  <c:v>28579.070000000003</c:v>
                </c:pt>
                <c:pt idx="3">
                  <c:v>39119.29</c:v>
                </c:pt>
                <c:pt idx="4">
                  <c:v>29912.000000000004</c:v>
                </c:pt>
                <c:pt idx="5">
                  <c:v>25532.23</c:v>
                </c:pt>
                <c:pt idx="6">
                  <c:v>23642.310000000005</c:v>
                </c:pt>
                <c:pt idx="7">
                  <c:v>25063.020000000004</c:v>
                </c:pt>
                <c:pt idx="8">
                  <c:v>30288.910000000003</c:v>
                </c:pt>
                <c:pt idx="9">
                  <c:v>38692.6</c:v>
                </c:pt>
                <c:pt idx="10">
                  <c:v>27450.579999999998</c:v>
                </c:pt>
                <c:pt idx="11">
                  <c:v>32154.879999999997</c:v>
                </c:pt>
                <c:pt idx="12">
                  <c:v>25044.649999999998</c:v>
                </c:pt>
                <c:pt idx="13">
                  <c:v>9732.4599999999991</c:v>
                </c:pt>
                <c:pt idx="14">
                  <c:v>31766.41</c:v>
                </c:pt>
                <c:pt idx="15">
                  <c:v>25371.880000000005</c:v>
                </c:pt>
                <c:pt idx="16">
                  <c:v>31738.729999999996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84-4483-A72E-0B2DE9D042CC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Sheet3!$A$4:$A$22</c:f>
              <c:strCache>
                <c:ptCount val="18"/>
                <c:pt idx="0">
                  <c:v>Apr-2024</c:v>
                </c:pt>
                <c:pt idx="1">
                  <c:v>Apr-2025</c:v>
                </c:pt>
                <c:pt idx="2">
                  <c:v>Aug-2024</c:v>
                </c:pt>
                <c:pt idx="3">
                  <c:v>Dec-2024</c:v>
                </c:pt>
                <c:pt idx="4">
                  <c:v>Feb-2024</c:v>
                </c:pt>
                <c:pt idx="5">
                  <c:v>Feb-2025</c:v>
                </c:pt>
                <c:pt idx="6">
                  <c:v>Jan-2024</c:v>
                </c:pt>
                <c:pt idx="7">
                  <c:v>Jan-2025</c:v>
                </c:pt>
                <c:pt idx="8">
                  <c:v>Jul-2024</c:v>
                </c:pt>
                <c:pt idx="9">
                  <c:v>Jun-2024</c:v>
                </c:pt>
                <c:pt idx="10">
                  <c:v>Mar-2024</c:v>
                </c:pt>
                <c:pt idx="11">
                  <c:v>Mar-2025</c:v>
                </c:pt>
                <c:pt idx="12">
                  <c:v>May-2024</c:v>
                </c:pt>
                <c:pt idx="13">
                  <c:v>May-2025</c:v>
                </c:pt>
                <c:pt idx="14">
                  <c:v>Nov-2024</c:v>
                </c:pt>
                <c:pt idx="15">
                  <c:v>Oct-2024</c:v>
                </c:pt>
                <c:pt idx="16">
                  <c:v>Sep-2024</c:v>
                </c:pt>
                <c:pt idx="17">
                  <c:v>(blank)</c:v>
                </c:pt>
              </c:strCache>
            </c:strRef>
          </c:cat>
          <c:val>
            <c:numRef>
              <c:f>Sheet3!$C$4:$C$22</c:f>
              <c:numCache>
                <c:formatCode>General</c:formatCode>
                <c:ptCount val="18"/>
                <c:pt idx="0">
                  <c:v>4322.6099999999997</c:v>
                </c:pt>
                <c:pt idx="1">
                  <c:v>10237.879999999999</c:v>
                </c:pt>
                <c:pt idx="2">
                  <c:v>7976.39</c:v>
                </c:pt>
                <c:pt idx="3">
                  <c:v>10480.899999999998</c:v>
                </c:pt>
                <c:pt idx="4">
                  <c:v>9234.0300000000025</c:v>
                </c:pt>
                <c:pt idx="5">
                  <c:v>7308.920000000001</c:v>
                </c:pt>
                <c:pt idx="6">
                  <c:v>6054.28</c:v>
                </c:pt>
                <c:pt idx="7">
                  <c:v>7409.7800000000007</c:v>
                </c:pt>
                <c:pt idx="8">
                  <c:v>8441.1899999999987</c:v>
                </c:pt>
                <c:pt idx="9">
                  <c:v>11775.910000000003</c:v>
                </c:pt>
                <c:pt idx="10">
                  <c:v>7448.9700000000021</c:v>
                </c:pt>
                <c:pt idx="11">
                  <c:v>10348.179999999998</c:v>
                </c:pt>
                <c:pt idx="12">
                  <c:v>6249.32</c:v>
                </c:pt>
                <c:pt idx="13">
                  <c:v>2537.1800000000007</c:v>
                </c:pt>
                <c:pt idx="14">
                  <c:v>7763.1299999999983</c:v>
                </c:pt>
                <c:pt idx="15">
                  <c:v>7552.51</c:v>
                </c:pt>
                <c:pt idx="16">
                  <c:v>8387.18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84-4483-A72E-0B2DE9D042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865664"/>
        <c:axId val="111867104"/>
      </c:lineChart>
      <c:catAx>
        <c:axId val="11186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67104"/>
        <c:crosses val="autoZero"/>
        <c:auto val="1"/>
        <c:lblAlgn val="ctr"/>
        <c:lblOffset val="100"/>
        <c:noMultiLvlLbl val="0"/>
      </c:catAx>
      <c:valAx>
        <c:axId val="11186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6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[Book1.xlsx]Sheet3!PivotTable5</c:name>
    <c:fmtId val="1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291426071741034"/>
          <c:y val="0.13786818314377369"/>
          <c:w val="0.64819685039370079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Sheet3!$B$26:$B$27</c:f>
              <c:strCache>
                <c:ptCount val="1"/>
                <c:pt idx="0">
                  <c:v>AF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Sheet3!$A$28:$A$33</c:f>
              <c:strCache>
                <c:ptCount val="5"/>
                <c:pt idx="0">
                  <c:v>Accessories</c:v>
                </c:pt>
                <c:pt idx="1">
                  <c:v>Apparel</c:v>
                </c:pt>
                <c:pt idx="2">
                  <c:v>Electronics</c:v>
                </c:pt>
                <c:pt idx="3">
                  <c:v>Home Decor</c:v>
                </c:pt>
                <c:pt idx="4">
                  <c:v>Textiles</c:v>
                </c:pt>
              </c:strCache>
            </c:strRef>
          </c:cat>
          <c:val>
            <c:numRef>
              <c:f>Sheet3!$B$28:$B$33</c:f>
              <c:numCache>
                <c:formatCode>General</c:formatCode>
                <c:ptCount val="5"/>
                <c:pt idx="0">
                  <c:v>6956.41</c:v>
                </c:pt>
                <c:pt idx="1">
                  <c:v>6721.25</c:v>
                </c:pt>
                <c:pt idx="2">
                  <c:v>7452.9400000000005</c:v>
                </c:pt>
                <c:pt idx="3">
                  <c:v>8364.44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68-46B2-A70C-7FF061116441}"/>
            </c:ext>
          </c:extLst>
        </c:ser>
        <c:ser>
          <c:idx val="1"/>
          <c:order val="1"/>
          <c:tx>
            <c:strRef>
              <c:f>Sheet3!$C$26:$C$27</c:f>
              <c:strCache>
                <c:ptCount val="1"/>
                <c:pt idx="0">
                  <c:v>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Sheet3!$A$28:$A$33</c:f>
              <c:strCache>
                <c:ptCount val="5"/>
                <c:pt idx="0">
                  <c:v>Accessories</c:v>
                </c:pt>
                <c:pt idx="1">
                  <c:v>Apparel</c:v>
                </c:pt>
                <c:pt idx="2">
                  <c:v>Electronics</c:v>
                </c:pt>
                <c:pt idx="3">
                  <c:v>Home Decor</c:v>
                </c:pt>
                <c:pt idx="4">
                  <c:v>Textiles</c:v>
                </c:pt>
              </c:strCache>
            </c:strRef>
          </c:cat>
          <c:val>
            <c:numRef>
              <c:f>Sheet3!$C$28:$C$33</c:f>
              <c:numCache>
                <c:formatCode>General</c:formatCode>
                <c:ptCount val="5"/>
                <c:pt idx="0">
                  <c:v>33225.639999999992</c:v>
                </c:pt>
                <c:pt idx="1">
                  <c:v>30263.43</c:v>
                </c:pt>
                <c:pt idx="2">
                  <c:v>34174.130000000005</c:v>
                </c:pt>
                <c:pt idx="3">
                  <c:v>51860.89</c:v>
                </c:pt>
                <c:pt idx="4">
                  <c:v>21644.309999999998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68-46B2-A70C-7FF061116441}"/>
            </c:ext>
          </c:extLst>
        </c:ser>
        <c:ser>
          <c:idx val="2"/>
          <c:order val="2"/>
          <c:tx>
            <c:strRef>
              <c:f>Sheet3!$D$26:$D$27</c:f>
              <c:strCache>
                <c:ptCount val="1"/>
                <c:pt idx="0">
                  <c:v>EU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Sheet3!$A$28:$A$33</c:f>
              <c:strCache>
                <c:ptCount val="5"/>
                <c:pt idx="0">
                  <c:v>Accessories</c:v>
                </c:pt>
                <c:pt idx="1">
                  <c:v>Apparel</c:v>
                </c:pt>
                <c:pt idx="2">
                  <c:v>Electronics</c:v>
                </c:pt>
                <c:pt idx="3">
                  <c:v>Home Decor</c:v>
                </c:pt>
                <c:pt idx="4">
                  <c:v>Textiles</c:v>
                </c:pt>
              </c:strCache>
            </c:strRef>
          </c:cat>
          <c:val>
            <c:numRef>
              <c:f>Sheet3!$D$28:$D$33</c:f>
              <c:numCache>
                <c:formatCode>General</c:formatCode>
                <c:ptCount val="5"/>
                <c:pt idx="0">
                  <c:v>30642.080000000002</c:v>
                </c:pt>
                <c:pt idx="1">
                  <c:v>11433.35</c:v>
                </c:pt>
                <c:pt idx="2">
                  <c:v>25086.150000000005</c:v>
                </c:pt>
                <c:pt idx="3">
                  <c:v>33685.94</c:v>
                </c:pt>
                <c:pt idx="4">
                  <c:v>14367.099999999999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68-46B2-A70C-7FF061116441}"/>
            </c:ext>
          </c:extLst>
        </c:ser>
        <c:ser>
          <c:idx val="3"/>
          <c:order val="3"/>
          <c:tx>
            <c:strRef>
              <c:f>Sheet3!$E$26:$E$27</c:f>
              <c:strCache>
                <c:ptCount val="1"/>
                <c:pt idx="0">
                  <c:v>NA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Sheet3!$A$28:$A$33</c:f>
              <c:strCache>
                <c:ptCount val="5"/>
                <c:pt idx="0">
                  <c:v>Accessories</c:v>
                </c:pt>
                <c:pt idx="1">
                  <c:v>Apparel</c:v>
                </c:pt>
                <c:pt idx="2">
                  <c:v>Electronics</c:v>
                </c:pt>
                <c:pt idx="3">
                  <c:v>Home Decor</c:v>
                </c:pt>
                <c:pt idx="4">
                  <c:v>Textiles</c:v>
                </c:pt>
              </c:strCache>
            </c:strRef>
          </c:cat>
          <c:val>
            <c:numRef>
              <c:f>Sheet3!$E$28:$E$33</c:f>
              <c:numCache>
                <c:formatCode>General</c:formatCode>
                <c:ptCount val="5"/>
                <c:pt idx="0">
                  <c:v>24079.71</c:v>
                </c:pt>
                <c:pt idx="1">
                  <c:v>9625.9699999999993</c:v>
                </c:pt>
                <c:pt idx="2">
                  <c:v>22495.010000000002</c:v>
                </c:pt>
                <c:pt idx="3">
                  <c:v>26924.320000000003</c:v>
                </c:pt>
                <c:pt idx="4">
                  <c:v>3820.0600000000004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68-46B2-A70C-7FF061116441}"/>
            </c:ext>
          </c:extLst>
        </c:ser>
        <c:ser>
          <c:idx val="4"/>
          <c:order val="4"/>
          <c:tx>
            <c:strRef>
              <c:f>Sheet3!$F$26:$F$27</c:f>
              <c:strCache>
                <c:ptCount val="1"/>
                <c:pt idx="0">
                  <c:v>OC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Sheet3!$A$28:$A$33</c:f>
              <c:strCache>
                <c:ptCount val="5"/>
                <c:pt idx="0">
                  <c:v>Accessories</c:v>
                </c:pt>
                <c:pt idx="1">
                  <c:v>Apparel</c:v>
                </c:pt>
                <c:pt idx="2">
                  <c:v>Electronics</c:v>
                </c:pt>
                <c:pt idx="3">
                  <c:v>Home Decor</c:v>
                </c:pt>
                <c:pt idx="4">
                  <c:v>Textiles</c:v>
                </c:pt>
              </c:strCache>
            </c:strRef>
          </c:cat>
          <c:val>
            <c:numRef>
              <c:f>Sheet3!$F$28:$F$33</c:f>
              <c:numCache>
                <c:formatCode>General</c:formatCode>
                <c:ptCount val="5"/>
                <c:pt idx="0">
                  <c:v>6810.06</c:v>
                </c:pt>
                <c:pt idx="1">
                  <c:v>12174.14</c:v>
                </c:pt>
                <c:pt idx="2">
                  <c:v>8892.01</c:v>
                </c:pt>
                <c:pt idx="3">
                  <c:v>6972.93</c:v>
                </c:pt>
                <c:pt idx="4">
                  <c:v>2168.3200000000002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68-46B2-A70C-7FF061116441}"/>
            </c:ext>
          </c:extLst>
        </c:ser>
        <c:ser>
          <c:idx val="5"/>
          <c:order val="5"/>
          <c:tx>
            <c:strRef>
              <c:f>Sheet3!$G$26:$G$27</c:f>
              <c:strCache>
                <c:ptCount val="1"/>
                <c:pt idx="0">
                  <c:v>SA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Sheet3!$A$28:$A$33</c:f>
              <c:strCache>
                <c:ptCount val="5"/>
                <c:pt idx="0">
                  <c:v>Accessories</c:v>
                </c:pt>
                <c:pt idx="1">
                  <c:v>Apparel</c:v>
                </c:pt>
                <c:pt idx="2">
                  <c:v>Electronics</c:v>
                </c:pt>
                <c:pt idx="3">
                  <c:v>Home Decor</c:v>
                </c:pt>
                <c:pt idx="4">
                  <c:v>Textiles</c:v>
                </c:pt>
              </c:strCache>
            </c:strRef>
          </c:cat>
          <c:val>
            <c:numRef>
              <c:f>Sheet3!$G$28:$G$33</c:f>
              <c:numCache>
                <c:formatCode>General</c:formatCode>
                <c:ptCount val="5"/>
                <c:pt idx="0">
                  <c:v>8480.99</c:v>
                </c:pt>
                <c:pt idx="1">
                  <c:v>2134.23</c:v>
                </c:pt>
                <c:pt idx="2">
                  <c:v>16927.670000000002</c:v>
                </c:pt>
                <c:pt idx="3">
                  <c:v>2088.92</c:v>
                </c:pt>
                <c:pt idx="4">
                  <c:v>5232.22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568-46B2-A70C-7FF061116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5609440"/>
        <c:axId val="475605600"/>
      </c:barChart>
      <c:catAx>
        <c:axId val="47560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605600"/>
        <c:crosses val="autoZero"/>
        <c:auto val="1"/>
        <c:lblAlgn val="ctr"/>
        <c:lblOffset val="100"/>
        <c:noMultiLvlLbl val="0"/>
      </c:catAx>
      <c:valAx>
        <c:axId val="47560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60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[Book1.xlsx]Q8!PivotTable6</c:name>
    <c:fmtId val="3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'Q8'!$B$3</c:f>
              <c:strCache>
                <c:ptCount val="1"/>
                <c:pt idx="0">
                  <c:v>Sum of Total_Sales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'Q8'!$A$4:$A$23</c:f>
              <c:multiLvlStrCache>
                <c:ptCount val="17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'Q8'!$B$4:$B$23</c:f>
              <c:numCache>
                <c:formatCode>General</c:formatCode>
                <c:ptCount val="17"/>
                <c:pt idx="0">
                  <c:v>23642.310000000005</c:v>
                </c:pt>
                <c:pt idx="1">
                  <c:v>29912.000000000004</c:v>
                </c:pt>
                <c:pt idx="2">
                  <c:v>27450.579999999998</c:v>
                </c:pt>
                <c:pt idx="3">
                  <c:v>14076.35</c:v>
                </c:pt>
                <c:pt idx="4">
                  <c:v>25044.649999999998</c:v>
                </c:pt>
                <c:pt idx="5">
                  <c:v>38692.6</c:v>
                </c:pt>
                <c:pt idx="6">
                  <c:v>30288.910000000003</c:v>
                </c:pt>
                <c:pt idx="7">
                  <c:v>28579.070000000003</c:v>
                </c:pt>
                <c:pt idx="8">
                  <c:v>31738.729999999996</c:v>
                </c:pt>
                <c:pt idx="9">
                  <c:v>25371.880000000005</c:v>
                </c:pt>
                <c:pt idx="10">
                  <c:v>31766.41</c:v>
                </c:pt>
                <c:pt idx="11">
                  <c:v>39119.29</c:v>
                </c:pt>
                <c:pt idx="12">
                  <c:v>25063.020000000004</c:v>
                </c:pt>
                <c:pt idx="13">
                  <c:v>25532.23</c:v>
                </c:pt>
                <c:pt idx="14">
                  <c:v>32154.879999999997</c:v>
                </c:pt>
                <c:pt idx="15">
                  <c:v>36539.25</c:v>
                </c:pt>
                <c:pt idx="16">
                  <c:v>9732.4599999999991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FE-45C8-9505-0DBB1F916BDB}"/>
            </c:ext>
          </c:extLst>
        </c:ser>
        <c:ser>
          <c:idx val="1"/>
          <c:order val="1"/>
          <c:tx>
            <c:strRef>
              <c:f>'Q8'!$C$3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'Q8'!$A$4:$A$23</c:f>
              <c:multiLvlStrCache>
                <c:ptCount val="17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'Q8'!$C$4:$C$23</c:f>
              <c:numCache>
                <c:formatCode>General</c:formatCode>
                <c:ptCount val="17"/>
                <c:pt idx="0">
                  <c:v>6054.28</c:v>
                </c:pt>
                <c:pt idx="1">
                  <c:v>9234.0300000000025</c:v>
                </c:pt>
                <c:pt idx="2">
                  <c:v>7448.9700000000021</c:v>
                </c:pt>
                <c:pt idx="3">
                  <c:v>4322.6099999999997</c:v>
                </c:pt>
                <c:pt idx="4">
                  <c:v>6249.32</c:v>
                </c:pt>
                <c:pt idx="5">
                  <c:v>11775.910000000003</c:v>
                </c:pt>
                <c:pt idx="6">
                  <c:v>8441.1899999999987</c:v>
                </c:pt>
                <c:pt idx="7">
                  <c:v>7976.39</c:v>
                </c:pt>
                <c:pt idx="8">
                  <c:v>8387.18</c:v>
                </c:pt>
                <c:pt idx="9">
                  <c:v>7552.51</c:v>
                </c:pt>
                <c:pt idx="10">
                  <c:v>7763.1299999999983</c:v>
                </c:pt>
                <c:pt idx="11">
                  <c:v>10480.899999999998</c:v>
                </c:pt>
                <c:pt idx="12">
                  <c:v>7409.7800000000007</c:v>
                </c:pt>
                <c:pt idx="13">
                  <c:v>7308.920000000001</c:v>
                </c:pt>
                <c:pt idx="14">
                  <c:v>10348.179999999998</c:v>
                </c:pt>
                <c:pt idx="15">
                  <c:v>10237.879999999999</c:v>
                </c:pt>
                <c:pt idx="16">
                  <c:v>2537.1800000000007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FE-45C8-9505-0DBB1F916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5634880"/>
        <c:axId val="475640640"/>
      </c:lineChart>
      <c:catAx>
        <c:axId val="475634880"/>
        <c:scaling>
          <c:orientation val="minMax"/>
        </c:scaling>
        <c:delete val="0"/>
        <c:axPos val="b"/>
        <c:numFmt formatCode="mmm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640640"/>
        <c:crosses val="autoZero"/>
        <c:auto val="1"/>
        <c:lblAlgn val="ctr"/>
        <c:lblOffset val="100"/>
        <c:noMultiLvlLbl val="0"/>
      </c:catAx>
      <c:valAx>
        <c:axId val="475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634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594360</xdr:colOff>
      <xdr:row>1</xdr:row>
      <xdr:rowOff>163830</xdr:rowOff>
    </xdr:from>
    <xdr:to>
      <xdr:col>13</xdr:col>
      <xdr:colOff>289560</xdr:colOff>
      <xdr:row>16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78CDB-BB8E-4F60-2700-2FDD731D5C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449580</xdr:colOff>
      <xdr:row>1</xdr:row>
      <xdr:rowOff>140970</xdr:rowOff>
    </xdr:from>
    <xdr:to>
      <xdr:col>21</xdr:col>
      <xdr:colOff>144780</xdr:colOff>
      <xdr:row>16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450CC5-F4A0-4F9B-2242-0D525BEA5A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</xdr:colOff>
      <xdr:row>1</xdr:row>
      <xdr:rowOff>140970</xdr:rowOff>
    </xdr:from>
    <xdr:to>
      <xdr:col>11</xdr:col>
      <xdr:colOff>594360</xdr:colOff>
      <xdr:row>16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2F0B6B-786F-DEA5-7F15-C294A4ACBF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579120</xdr:colOff>
          <xdr:row>2</xdr:row>
          <xdr:rowOff>7620</xdr:rowOff>
        </xdr:from>
        <xdr:to>
          <xdr:col>21</xdr:col>
          <xdr:colOff>281940</xdr:colOff>
          <xdr:row>4</xdr:row>
          <xdr:rowOff>83820</xdr:rowOff>
        </xdr:to>
        <xdr:sp macro="" textlink="">
          <xdr:nvSpPr>
            <xdr:cNvPr id="3074" name="Button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E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HighLighting Rows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24</xdr:col>
      <xdr:colOff>312420</xdr:colOff>
      <xdr:row>34</xdr:row>
      <xdr:rowOff>152400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09B573A-8932-4024-AE47-57F98454690A}"/>
            </a:ext>
          </a:extLst>
        </xdr:cNvPr>
        <xdr:cNvSpPr/>
      </xdr:nvSpPr>
      <xdr:spPr>
        <a:xfrm>
          <a:off x="0" y="0"/>
          <a:ext cx="14561820" cy="637032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38100</xdr:colOff>
      <xdr:row>37</xdr:row>
      <xdr:rowOff>121920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3658532-01C1-7358-E942-9AE41AB43C9A}"/>
            </a:ext>
          </a:extLst>
        </xdr:cNvPr>
        <xdr:cNvSpPr/>
      </xdr:nvSpPr>
      <xdr:spPr>
        <a:xfrm>
          <a:off x="0" y="0"/>
          <a:ext cx="1783080" cy="6888480"/>
        </a:xfrm>
        <a:prstGeom prst="rect">
          <a:avLst/>
        </a:prstGeom>
        <a:solidFill>
          <a:schemeClr val="accent6">
            <a:lumMod val="50000"/>
          </a:schemeClr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160020</xdr:colOff>
      <xdr:row>17</xdr:row>
      <xdr:rowOff>7620</xdr:rowOff>
    </xdr:from>
    <xdr:to>
      <xdr:col>2</xdr:col>
      <xdr:colOff>640080</xdr:colOff>
      <xdr:row>19</xdr:row>
      <xdr:rowOff>22860</xdr:rowOff>
    </xdr:to>
    <xdr:sp macro="" textlink="pivot_Q10!E3">
      <xdr:nvSpPr>
        <xdr:cNvPr id="4" name="Rectangle 3">
          <a:extLst>
            <a:ext uri="{FF2B5EF4-FFF2-40B4-BE49-F238E27FC236}">
              <a16:creationId xmlns:a16="http://schemas.microsoft.com/office/drawing/2014/main" id="{2901FDA4-7890-7353-C0AF-AB6B76EFB28A}"/>
            </a:ext>
          </a:extLst>
        </xdr:cNvPr>
        <xdr:cNvSpPr/>
      </xdr:nvSpPr>
      <xdr:spPr>
        <a:xfrm>
          <a:off x="160020" y="3116580"/>
          <a:ext cx="1295400" cy="38100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/>
          <a:fld id="{FB8BC347-5ACD-4C4A-879B-DAC9CB13B9D2}" type="TxLink">
            <a:rPr lang="en-US" sz="1600" b="1" i="0" u="none" strike="noStrike">
              <a:gradFill>
                <a:gsLst>
                  <a:gs pos="100000">
                    <a:schemeClr val="bg1">
                      <a:lumMod val="75000"/>
                    </a:schemeClr>
                  </a:gs>
                  <a:gs pos="100000">
                    <a:schemeClr val="bg1">
                      <a:lumMod val="75000"/>
                    </a:schemeClr>
                  </a:gs>
                  <a:gs pos="0">
                    <a:schemeClr val="bg1"/>
                  </a:gs>
                  <a:gs pos="100000">
                    <a:schemeClr val="bg1">
                      <a:lumMod val="75000"/>
                    </a:schemeClr>
                  </a:gs>
                </a:gsLst>
                <a:lin ang="5400000" scaled="1"/>
              </a:gradFill>
              <a:effectLst>
                <a:outerShdw blurRad="50800" dist="50800" dir="5400000" algn="ctr" rotWithShape="0">
                  <a:srgbClr val="000000">
                    <a:alpha val="40000"/>
                  </a:srgbClr>
                </a:outerShdw>
              </a:effectLst>
              <a:latin typeface="+mn-lt"/>
              <a:ea typeface="Calibri"/>
              <a:cs typeface="Calibri"/>
            </a:rPr>
            <a:pPr marL="0" indent="0" algn="ctr"/>
            <a:t> $47.21 </a:t>
          </a:fld>
          <a:endParaRPr lang="en-IN" sz="1600" b="1" i="0" u="none" strike="noStrike">
            <a:gradFill>
              <a:gsLst>
                <a:gs pos="100000">
                  <a:schemeClr val="bg1">
                    <a:lumMod val="75000"/>
                  </a:schemeClr>
                </a:gs>
                <a:gs pos="100000">
                  <a:schemeClr val="bg1">
                    <a:lumMod val="75000"/>
                  </a:schemeClr>
                </a:gs>
                <a:gs pos="0">
                  <a:schemeClr val="bg1"/>
                </a:gs>
                <a:gs pos="100000">
                  <a:schemeClr val="bg1">
                    <a:lumMod val="75000"/>
                  </a:schemeClr>
                </a:gs>
              </a:gsLst>
              <a:lin ang="5400000" scaled="1"/>
            </a:gradFill>
            <a:effectLst>
              <a:outerShdw blurRad="50800" dist="50800" dir="5400000" algn="ctr" rotWithShape="0">
                <a:srgbClr val="000000">
                  <a:alpha val="40000"/>
                </a:srgbClr>
              </a:outerShdw>
            </a:effectLst>
            <a:latin typeface="+mn-lt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76200</xdr:colOff>
      <xdr:row>7</xdr:row>
      <xdr:rowOff>129540</xdr:rowOff>
    </xdr:from>
    <xdr:to>
      <xdr:col>2</xdr:col>
      <xdr:colOff>762000</xdr:colOff>
      <xdr:row>11</xdr:row>
      <xdr:rowOff>121920</xdr:rowOff>
    </xdr:to>
    <xdr:sp macro="" textlink="pivot_Q10!C3">
      <xdr:nvSpPr>
        <xdr:cNvPr id="9" name="Rectangle 8">
          <a:extLst>
            <a:ext uri="{FF2B5EF4-FFF2-40B4-BE49-F238E27FC236}">
              <a16:creationId xmlns:a16="http://schemas.microsoft.com/office/drawing/2014/main" id="{FB76CD98-0A74-4577-AC0E-2923DAEEC4A5}"/>
            </a:ext>
          </a:extLst>
        </xdr:cNvPr>
        <xdr:cNvSpPr/>
      </xdr:nvSpPr>
      <xdr:spPr>
        <a:xfrm>
          <a:off x="281940" y="1409700"/>
          <a:ext cx="1295400" cy="72390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/>
          <a:fld id="{9467C898-AB57-422B-AEC9-089428D885E0}" type="TxLink">
            <a:rPr lang="en-US" sz="1600" b="1" i="0" u="none" strike="noStrike">
              <a:gradFill>
                <a:gsLst>
                  <a:gs pos="100000">
                    <a:schemeClr val="bg1">
                      <a:lumMod val="75000"/>
                    </a:schemeClr>
                  </a:gs>
                  <a:gs pos="100000">
                    <a:schemeClr val="bg1">
                      <a:lumMod val="75000"/>
                    </a:schemeClr>
                  </a:gs>
                  <a:gs pos="0">
                    <a:schemeClr val="bg1"/>
                  </a:gs>
                  <a:gs pos="100000">
                    <a:schemeClr val="bg1">
                      <a:lumMod val="75000"/>
                    </a:schemeClr>
                  </a:gs>
                </a:gsLst>
                <a:lin ang="5400000" scaled="1"/>
              </a:gradFill>
              <a:effectLst>
                <a:outerShdw blurRad="50800" dist="50800" dir="5400000" algn="ctr" rotWithShape="0">
                  <a:srgbClr val="000000">
                    <a:alpha val="40000"/>
                  </a:srgbClr>
                </a:outerShdw>
              </a:effectLst>
              <a:latin typeface="+mn-lt"/>
              <a:ea typeface="Calibri"/>
              <a:cs typeface="Calibri"/>
            </a:rPr>
            <a:pPr marL="0" indent="0" algn="ctr"/>
            <a:t> $1,33,528.36 </a:t>
          </a:fld>
          <a:endParaRPr lang="en-IN" sz="1600" b="1" i="0" u="none" strike="noStrike">
            <a:gradFill>
              <a:gsLst>
                <a:gs pos="100000">
                  <a:schemeClr val="bg1">
                    <a:lumMod val="75000"/>
                  </a:schemeClr>
                </a:gs>
                <a:gs pos="100000">
                  <a:schemeClr val="bg1">
                    <a:lumMod val="75000"/>
                  </a:schemeClr>
                </a:gs>
                <a:gs pos="0">
                  <a:schemeClr val="bg1"/>
                </a:gs>
                <a:gs pos="100000">
                  <a:schemeClr val="bg1">
                    <a:lumMod val="75000"/>
                  </a:schemeClr>
                </a:gs>
              </a:gsLst>
              <a:lin ang="5400000" scaled="1"/>
            </a:gradFill>
            <a:effectLst>
              <a:outerShdw blurRad="50800" dist="50800" dir="5400000" algn="ctr" rotWithShape="0">
                <a:srgbClr val="000000">
                  <a:alpha val="40000"/>
                </a:srgbClr>
              </a:outerShdw>
            </a:effectLst>
            <a:latin typeface="+mn-lt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99060</xdr:colOff>
      <xdr:row>1</xdr:row>
      <xdr:rowOff>114300</xdr:rowOff>
    </xdr:from>
    <xdr:to>
      <xdr:col>2</xdr:col>
      <xdr:colOff>784860</xdr:colOff>
      <xdr:row>4</xdr:row>
      <xdr:rowOff>137160</xdr:rowOff>
    </xdr:to>
    <xdr:sp macro="" textlink="pivot_Q10!A3">
      <xdr:nvSpPr>
        <xdr:cNvPr id="10" name="Rectangle 9">
          <a:extLst>
            <a:ext uri="{FF2B5EF4-FFF2-40B4-BE49-F238E27FC236}">
              <a16:creationId xmlns:a16="http://schemas.microsoft.com/office/drawing/2014/main" id="{599810B5-B6A7-4F40-B12B-290762986D52}"/>
            </a:ext>
          </a:extLst>
        </xdr:cNvPr>
        <xdr:cNvSpPr/>
      </xdr:nvSpPr>
      <xdr:spPr>
        <a:xfrm>
          <a:off x="304800" y="297180"/>
          <a:ext cx="1295400" cy="57150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/>
          <a:fld id="{8E07C963-3436-44D7-9030-01A01F4DD11E}" type="TxLink">
            <a:rPr lang="en-US" sz="1600" b="1" i="0" u="none" strike="noStrike">
              <a:gradFill>
                <a:gsLst>
                  <a:gs pos="100000">
                    <a:schemeClr val="bg1">
                      <a:lumMod val="75000"/>
                    </a:schemeClr>
                  </a:gs>
                  <a:gs pos="100000">
                    <a:schemeClr val="bg1">
                      <a:lumMod val="75000"/>
                    </a:schemeClr>
                  </a:gs>
                  <a:gs pos="0">
                    <a:schemeClr val="bg1"/>
                  </a:gs>
                  <a:gs pos="100000">
                    <a:schemeClr val="bg1">
                      <a:lumMod val="75000"/>
                    </a:schemeClr>
                  </a:gs>
                </a:gsLst>
                <a:lin ang="5400000" scaled="1"/>
              </a:gradFill>
              <a:effectLst>
                <a:outerShdw blurRad="50800" dist="50800" dir="5400000" algn="ctr" rotWithShape="0">
                  <a:srgbClr val="000000">
                    <a:alpha val="40000"/>
                  </a:srgbClr>
                </a:outerShdw>
              </a:effectLst>
              <a:latin typeface="+mn-lt"/>
              <a:ea typeface="Calibri"/>
              <a:cs typeface="Calibri"/>
            </a:rPr>
            <a:pPr marL="0" indent="0" algn="ctr"/>
            <a:t>500</a:t>
          </a:fld>
          <a:endParaRPr lang="en-US" sz="1600" b="1" i="0" u="none" strike="noStrike">
            <a:gradFill>
              <a:gsLst>
                <a:gs pos="100000">
                  <a:schemeClr val="bg1">
                    <a:lumMod val="75000"/>
                  </a:schemeClr>
                </a:gs>
                <a:gs pos="100000">
                  <a:schemeClr val="bg1">
                    <a:lumMod val="75000"/>
                  </a:schemeClr>
                </a:gs>
                <a:gs pos="0">
                  <a:schemeClr val="bg1"/>
                </a:gs>
                <a:gs pos="100000">
                  <a:schemeClr val="bg1">
                    <a:lumMod val="75000"/>
                  </a:schemeClr>
                </a:gs>
              </a:gsLst>
              <a:lin ang="5400000" scaled="1"/>
            </a:gradFill>
            <a:effectLst>
              <a:outerShdw blurRad="50800" dist="50800" dir="5400000" algn="ctr" rotWithShape="0">
                <a:srgbClr val="000000">
                  <a:alpha val="40000"/>
                </a:srgbClr>
              </a:outerShdw>
            </a:effectLst>
            <a:latin typeface="+mn-lt"/>
            <a:ea typeface="Calibri"/>
            <a:cs typeface="Calibri"/>
          </a:endParaRPr>
        </a:p>
        <a:p>
          <a:pPr marL="0" indent="0" algn="l"/>
          <a:endParaRPr lang="en-IN" sz="1600" b="1" i="0" u="none" strike="noStrike">
            <a:gradFill>
              <a:gsLst>
                <a:gs pos="100000">
                  <a:schemeClr val="bg1">
                    <a:lumMod val="75000"/>
                  </a:schemeClr>
                </a:gs>
                <a:gs pos="100000">
                  <a:schemeClr val="bg1">
                    <a:lumMod val="75000"/>
                  </a:schemeClr>
                </a:gs>
                <a:gs pos="0">
                  <a:schemeClr val="bg1"/>
                </a:gs>
                <a:gs pos="100000">
                  <a:schemeClr val="bg1">
                    <a:lumMod val="75000"/>
                  </a:schemeClr>
                </a:gs>
              </a:gsLst>
              <a:lin ang="5400000" scaled="1"/>
            </a:gradFill>
            <a:effectLst>
              <a:outerShdw blurRad="50800" dist="50800" dir="5400000" algn="ctr" rotWithShape="0">
                <a:srgbClr val="000000">
                  <a:alpha val="40000"/>
                </a:srgbClr>
              </a:outerShdw>
            </a:effectLst>
            <a:latin typeface="+mn-lt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60960</xdr:colOff>
      <xdr:row>3</xdr:row>
      <xdr:rowOff>167640</xdr:rowOff>
    </xdr:from>
    <xdr:to>
      <xdr:col>2</xdr:col>
      <xdr:colOff>746760</xdr:colOff>
      <xdr:row>7</xdr:row>
      <xdr:rowOff>129540</xdr:rowOff>
    </xdr:to>
    <xdr:sp macro="" textlink="pivot_Q10!B3">
      <xdr:nvSpPr>
        <xdr:cNvPr id="11" name="Rectangle 10">
          <a:extLst>
            <a:ext uri="{FF2B5EF4-FFF2-40B4-BE49-F238E27FC236}">
              <a16:creationId xmlns:a16="http://schemas.microsoft.com/office/drawing/2014/main" id="{2715E971-DEAC-4CA3-8860-4E970CEAA20B}"/>
            </a:ext>
          </a:extLst>
        </xdr:cNvPr>
        <xdr:cNvSpPr/>
      </xdr:nvSpPr>
      <xdr:spPr>
        <a:xfrm>
          <a:off x="266700" y="716280"/>
          <a:ext cx="1295400" cy="69342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/>
          <a:fld id="{7D28DFC9-28F3-4D3C-BE67-F5C778C6EC02}" type="TxLink">
            <a:rPr lang="en-US" sz="1600" b="1" i="0" u="none" strike="noStrike">
              <a:gradFill>
                <a:gsLst>
                  <a:gs pos="100000">
                    <a:schemeClr val="bg1">
                      <a:lumMod val="75000"/>
                    </a:schemeClr>
                  </a:gs>
                  <a:gs pos="100000">
                    <a:schemeClr val="bg1">
                      <a:lumMod val="75000"/>
                    </a:schemeClr>
                  </a:gs>
                  <a:gs pos="0">
                    <a:schemeClr val="bg1"/>
                  </a:gs>
                  <a:gs pos="100000">
                    <a:schemeClr val="bg1">
                      <a:lumMod val="75000"/>
                    </a:schemeClr>
                  </a:gs>
                </a:gsLst>
                <a:lin ang="5400000" scaled="1"/>
              </a:gradFill>
              <a:effectLst>
                <a:outerShdw blurRad="50800" dist="50800" dir="5400000" algn="ctr" rotWithShape="0">
                  <a:srgbClr val="000000">
                    <a:alpha val="40000"/>
                  </a:srgbClr>
                </a:outerShdw>
              </a:effectLst>
              <a:latin typeface="+mn-lt"/>
              <a:ea typeface="Calibri"/>
              <a:cs typeface="Calibri"/>
            </a:rPr>
            <a:pPr marL="0" indent="0" algn="ctr"/>
            <a:t> $4,74,704.62 </a:t>
          </a:fld>
          <a:endParaRPr lang="en-IN" sz="1600" b="1" i="0" u="none" strike="noStrike">
            <a:gradFill>
              <a:gsLst>
                <a:gs pos="100000">
                  <a:schemeClr val="bg1">
                    <a:lumMod val="75000"/>
                  </a:schemeClr>
                </a:gs>
                <a:gs pos="100000">
                  <a:schemeClr val="bg1">
                    <a:lumMod val="75000"/>
                  </a:schemeClr>
                </a:gs>
                <a:gs pos="0">
                  <a:schemeClr val="bg1"/>
                </a:gs>
                <a:gs pos="100000">
                  <a:schemeClr val="bg1">
                    <a:lumMod val="75000"/>
                  </a:schemeClr>
                </a:gs>
              </a:gsLst>
              <a:lin ang="5400000" scaled="1"/>
            </a:gradFill>
            <a:effectLst>
              <a:outerShdw blurRad="50800" dist="50800" dir="5400000" algn="ctr" rotWithShape="0">
                <a:srgbClr val="000000">
                  <a:alpha val="40000"/>
                </a:srgbClr>
              </a:outerShdw>
            </a:effectLst>
            <a:latin typeface="+mn-lt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0</xdr:colOff>
      <xdr:row>13</xdr:row>
      <xdr:rowOff>7620</xdr:rowOff>
    </xdr:from>
    <xdr:to>
      <xdr:col>2</xdr:col>
      <xdr:colOff>685800</xdr:colOff>
      <xdr:row>14</xdr:row>
      <xdr:rowOff>137160</xdr:rowOff>
    </xdr:to>
    <xdr:sp macro="" textlink="pivot_Q10!D3">
      <xdr:nvSpPr>
        <xdr:cNvPr id="12" name="Rectangle 11">
          <a:extLst>
            <a:ext uri="{FF2B5EF4-FFF2-40B4-BE49-F238E27FC236}">
              <a16:creationId xmlns:a16="http://schemas.microsoft.com/office/drawing/2014/main" id="{B3D7B37E-6062-4D6B-9A86-04A6B4493C6F}"/>
            </a:ext>
          </a:extLst>
        </xdr:cNvPr>
        <xdr:cNvSpPr/>
      </xdr:nvSpPr>
      <xdr:spPr>
        <a:xfrm>
          <a:off x="205740" y="2385060"/>
          <a:ext cx="1295400" cy="31242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/>
          <a:fld id="{0A1970C3-772E-4773-AE76-2E9FFF0BD77D}" type="TxLink">
            <a:rPr lang="en-US" sz="1600" b="1" i="0" u="none" strike="noStrike">
              <a:gradFill>
                <a:gsLst>
                  <a:gs pos="100000">
                    <a:schemeClr val="bg1">
                      <a:lumMod val="75000"/>
                    </a:schemeClr>
                  </a:gs>
                  <a:gs pos="100000">
                    <a:schemeClr val="bg1">
                      <a:lumMod val="75000"/>
                    </a:schemeClr>
                  </a:gs>
                  <a:gs pos="0">
                    <a:schemeClr val="bg1"/>
                  </a:gs>
                  <a:gs pos="100000">
                    <a:schemeClr val="bg1">
                      <a:lumMod val="75000"/>
                    </a:schemeClr>
                  </a:gs>
                </a:gsLst>
                <a:lin ang="5400000" scaled="1"/>
              </a:gradFill>
              <a:effectLst>
                <a:outerShdw blurRad="50800" dist="50800" dir="5400000" algn="ctr" rotWithShape="0">
                  <a:srgbClr val="000000">
                    <a:alpha val="40000"/>
                  </a:srgbClr>
                </a:outerShdw>
              </a:effectLst>
              <a:latin typeface="+mn-lt"/>
              <a:ea typeface="Calibri"/>
              <a:cs typeface="Calibri"/>
            </a:rPr>
            <a:pPr marL="0" indent="0" algn="ctr"/>
            <a:t>27%</a:t>
          </a:fld>
          <a:endParaRPr lang="en-IN" sz="1600" b="1" i="0" u="none" strike="noStrike">
            <a:gradFill>
              <a:gsLst>
                <a:gs pos="100000">
                  <a:schemeClr val="bg1">
                    <a:lumMod val="75000"/>
                  </a:schemeClr>
                </a:gs>
                <a:gs pos="100000">
                  <a:schemeClr val="bg1">
                    <a:lumMod val="75000"/>
                  </a:schemeClr>
                </a:gs>
                <a:gs pos="0">
                  <a:schemeClr val="bg1"/>
                </a:gs>
                <a:gs pos="100000">
                  <a:schemeClr val="bg1">
                    <a:lumMod val="75000"/>
                  </a:schemeClr>
                </a:gs>
              </a:gsLst>
              <a:lin ang="5400000" scaled="1"/>
            </a:gradFill>
            <a:effectLst>
              <a:outerShdw blurRad="50800" dist="50800" dir="5400000" algn="ctr" rotWithShape="0">
                <a:srgbClr val="000000">
                  <a:alpha val="40000"/>
                </a:srgbClr>
              </a:outerShdw>
            </a:effectLst>
            <a:latin typeface="+mn-lt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121920</xdr:colOff>
      <xdr:row>0</xdr:row>
      <xdr:rowOff>99060</xdr:rowOff>
    </xdr:from>
    <xdr:to>
      <xdr:col>2</xdr:col>
      <xdr:colOff>723900</xdr:colOff>
      <xdr:row>2</xdr:row>
      <xdr:rowOff>30480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2150DA9-D47A-7F2A-B0D0-75B730E74D31}"/>
            </a:ext>
          </a:extLst>
        </xdr:cNvPr>
        <xdr:cNvSpPr/>
      </xdr:nvSpPr>
      <xdr:spPr>
        <a:xfrm>
          <a:off x="327660" y="99060"/>
          <a:ext cx="1211580" cy="29718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chemeClr val="bg1">
                  <a:lumMod val="95000"/>
                </a:schemeClr>
              </a:solidFill>
            </a:rPr>
            <a:t>🛒 Total</a:t>
          </a:r>
          <a:r>
            <a:rPr lang="en-IN" sz="1100" baseline="0">
              <a:solidFill>
                <a:schemeClr val="bg1">
                  <a:lumMod val="95000"/>
                </a:schemeClr>
              </a:solidFill>
            </a:rPr>
            <a:t> Orders</a:t>
          </a:r>
          <a:endParaRPr lang="en-IN" sz="1100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>
    <xdr:from>
      <xdr:col>1</xdr:col>
      <xdr:colOff>160020</xdr:colOff>
      <xdr:row>3</xdr:row>
      <xdr:rowOff>175260</xdr:rowOff>
    </xdr:from>
    <xdr:to>
      <xdr:col>2</xdr:col>
      <xdr:colOff>815340</xdr:colOff>
      <xdr:row>5</xdr:row>
      <xdr:rowOff>83820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797001C7-79F3-13DE-3044-6CC3CE468F9A}"/>
            </a:ext>
          </a:extLst>
        </xdr:cNvPr>
        <xdr:cNvSpPr/>
      </xdr:nvSpPr>
      <xdr:spPr>
        <a:xfrm>
          <a:off x="365760" y="723900"/>
          <a:ext cx="1264920" cy="27432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chemeClr val="bg1">
                  <a:lumMod val="95000"/>
                </a:schemeClr>
              </a:solidFill>
            </a:rPr>
            <a:t>💸Total Sales</a:t>
          </a:r>
        </a:p>
      </xdr:txBody>
    </xdr:sp>
    <xdr:clientData/>
  </xdr:twoCellAnchor>
  <xdr:twoCellAnchor>
    <xdr:from>
      <xdr:col>1</xdr:col>
      <xdr:colOff>152400</xdr:colOff>
      <xdr:row>8</xdr:row>
      <xdr:rowOff>0</xdr:rowOff>
    </xdr:from>
    <xdr:to>
      <xdr:col>2</xdr:col>
      <xdr:colOff>594360</xdr:colOff>
      <xdr:row>9</xdr:row>
      <xdr:rowOff>106680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79777B8F-F605-145E-7E71-F76D4ADB1C35}"/>
            </a:ext>
          </a:extLst>
        </xdr:cNvPr>
        <xdr:cNvSpPr/>
      </xdr:nvSpPr>
      <xdr:spPr>
        <a:xfrm>
          <a:off x="358140" y="1463040"/>
          <a:ext cx="105156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chemeClr val="bg1">
                  <a:lumMod val="95000"/>
                </a:schemeClr>
              </a:solidFill>
            </a:rPr>
            <a:t>💰Total</a:t>
          </a:r>
          <a:r>
            <a:rPr lang="en-IN" sz="1100" baseline="0">
              <a:solidFill>
                <a:schemeClr val="bg1">
                  <a:lumMod val="95000"/>
                </a:schemeClr>
              </a:solidFill>
            </a:rPr>
            <a:t> Profit</a:t>
          </a:r>
          <a:endParaRPr lang="en-IN" sz="1100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>
    <xdr:from>
      <xdr:col>1</xdr:col>
      <xdr:colOff>53340</xdr:colOff>
      <xdr:row>11</xdr:row>
      <xdr:rowOff>152400</xdr:rowOff>
    </xdr:from>
    <xdr:to>
      <xdr:col>2</xdr:col>
      <xdr:colOff>655320</xdr:colOff>
      <xdr:row>13</xdr:row>
      <xdr:rowOff>38100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E54E25AD-F902-3AA2-CD6E-9FFC2CAB0763}"/>
            </a:ext>
          </a:extLst>
        </xdr:cNvPr>
        <xdr:cNvSpPr/>
      </xdr:nvSpPr>
      <xdr:spPr>
        <a:xfrm>
          <a:off x="259080" y="2164080"/>
          <a:ext cx="1211580" cy="25146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chemeClr val="bg1">
                  <a:lumMod val="95000"/>
                </a:schemeClr>
              </a:solidFill>
            </a:rPr>
            <a:t>💵Profit</a:t>
          </a:r>
          <a:r>
            <a:rPr lang="en-IN" sz="1100" baseline="0">
              <a:solidFill>
                <a:schemeClr val="bg1">
                  <a:lumMod val="95000"/>
                </a:schemeClr>
              </a:solidFill>
            </a:rPr>
            <a:t> Margin</a:t>
          </a:r>
          <a:endParaRPr lang="en-IN" sz="1100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>
    <xdr:from>
      <xdr:col>1</xdr:col>
      <xdr:colOff>7620</xdr:colOff>
      <xdr:row>20</xdr:row>
      <xdr:rowOff>137160</xdr:rowOff>
    </xdr:from>
    <xdr:to>
      <xdr:col>2</xdr:col>
      <xdr:colOff>693420</xdr:colOff>
      <xdr:row>23</xdr:row>
      <xdr:rowOff>160020</xdr:rowOff>
    </xdr:to>
    <xdr:sp macro="" textlink="pivot_Q10!F3">
      <xdr:nvSpPr>
        <xdr:cNvPr id="19" name="Rectangle 18">
          <a:extLst>
            <a:ext uri="{FF2B5EF4-FFF2-40B4-BE49-F238E27FC236}">
              <a16:creationId xmlns:a16="http://schemas.microsoft.com/office/drawing/2014/main" id="{EF9094B1-5C51-446C-B40C-623297AB1159}"/>
            </a:ext>
          </a:extLst>
        </xdr:cNvPr>
        <xdr:cNvSpPr/>
      </xdr:nvSpPr>
      <xdr:spPr>
        <a:xfrm>
          <a:off x="213360" y="3794760"/>
          <a:ext cx="1295400" cy="57150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/>
          <a:fld id="{E435AEEC-86E3-48AD-B019-F1123199DD4D}" type="TxLink">
            <a:rPr lang="en-US" sz="1600" b="1" i="0" u="none" strike="noStrike">
              <a:gradFill>
                <a:gsLst>
                  <a:gs pos="100000">
                    <a:schemeClr val="bg1">
                      <a:lumMod val="75000"/>
                    </a:schemeClr>
                  </a:gs>
                  <a:gs pos="100000">
                    <a:schemeClr val="bg1">
                      <a:lumMod val="75000"/>
                    </a:schemeClr>
                  </a:gs>
                  <a:gs pos="0">
                    <a:schemeClr val="bg1"/>
                  </a:gs>
                  <a:gs pos="100000">
                    <a:schemeClr val="bg1">
                      <a:lumMod val="75000"/>
                    </a:schemeClr>
                  </a:gs>
                </a:gsLst>
                <a:lin ang="5400000" scaled="1"/>
              </a:gradFill>
              <a:effectLst>
                <a:outerShdw blurRad="50800" dist="50800" dir="5400000" algn="ctr" rotWithShape="0">
                  <a:srgbClr val="000000">
                    <a:alpha val="40000"/>
                  </a:srgbClr>
                </a:outerShdw>
              </a:effectLst>
              <a:latin typeface="+mn-lt"/>
              <a:ea typeface="Calibri"/>
              <a:cs typeface="Calibri"/>
            </a:rPr>
            <a:pPr marL="0" indent="0" algn="ctr"/>
            <a:t>AS</a:t>
          </a:fld>
          <a:endParaRPr lang="en-IN" sz="1600" b="1" i="0" u="none" strike="noStrike">
            <a:gradFill>
              <a:gsLst>
                <a:gs pos="100000">
                  <a:schemeClr val="bg1">
                    <a:lumMod val="75000"/>
                  </a:schemeClr>
                </a:gs>
                <a:gs pos="100000">
                  <a:schemeClr val="bg1">
                    <a:lumMod val="75000"/>
                  </a:schemeClr>
                </a:gs>
                <a:gs pos="0">
                  <a:schemeClr val="bg1"/>
                </a:gs>
                <a:gs pos="100000">
                  <a:schemeClr val="bg1">
                    <a:lumMod val="75000"/>
                  </a:schemeClr>
                </a:gs>
              </a:gsLst>
              <a:lin ang="5400000" scaled="1"/>
            </a:gradFill>
            <a:effectLst>
              <a:outerShdw blurRad="50800" dist="50800" dir="5400000" algn="ctr" rotWithShape="0">
                <a:srgbClr val="000000">
                  <a:alpha val="40000"/>
                </a:srgbClr>
              </a:outerShdw>
            </a:effectLst>
            <a:latin typeface="+mn-lt"/>
            <a:ea typeface="Calibri"/>
            <a:cs typeface="Calibri"/>
          </a:endParaRPr>
        </a:p>
      </xdr:txBody>
    </xdr:sp>
    <xdr:clientData/>
  </xdr:twoCellAnchor>
  <xdr:twoCellAnchor>
    <xdr:from>
      <xdr:col>0</xdr:col>
      <xdr:colOff>76200</xdr:colOff>
      <xdr:row>24</xdr:row>
      <xdr:rowOff>53340</xdr:rowOff>
    </xdr:from>
    <xdr:to>
      <xdr:col>2</xdr:col>
      <xdr:colOff>822960</xdr:colOff>
      <xdr:row>27</xdr:row>
      <xdr:rowOff>76200</xdr:rowOff>
    </xdr:to>
    <xdr:sp macro="" textlink="pivot_Q10!I3">
      <xdr:nvSpPr>
        <xdr:cNvPr id="20" name="Rectangle 19">
          <a:extLst>
            <a:ext uri="{FF2B5EF4-FFF2-40B4-BE49-F238E27FC236}">
              <a16:creationId xmlns:a16="http://schemas.microsoft.com/office/drawing/2014/main" id="{903291C0-C1DD-4EFC-9163-485485E167B1}"/>
            </a:ext>
          </a:extLst>
        </xdr:cNvPr>
        <xdr:cNvSpPr/>
      </xdr:nvSpPr>
      <xdr:spPr>
        <a:xfrm>
          <a:off x="76200" y="4442460"/>
          <a:ext cx="1562100" cy="57150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/>
          <a:fld id="{0B1FD1C8-708F-4F15-9C05-47DD9362B931}" type="TxLink">
            <a:rPr lang="en-US" sz="1600" b="1" i="0" u="none" strike="noStrike">
              <a:gradFill>
                <a:gsLst>
                  <a:gs pos="100000">
                    <a:schemeClr val="bg1">
                      <a:lumMod val="75000"/>
                    </a:schemeClr>
                  </a:gs>
                  <a:gs pos="100000">
                    <a:schemeClr val="bg1">
                      <a:lumMod val="75000"/>
                    </a:schemeClr>
                  </a:gs>
                  <a:gs pos="0">
                    <a:schemeClr val="bg1"/>
                  </a:gs>
                  <a:gs pos="100000">
                    <a:schemeClr val="bg1">
                      <a:lumMod val="75000"/>
                    </a:schemeClr>
                  </a:gs>
                </a:gsLst>
                <a:lin ang="5400000" scaled="1"/>
              </a:gradFill>
              <a:effectLst>
                <a:outerShdw blurRad="50800" dist="50800" dir="5400000" algn="ctr" rotWithShape="0">
                  <a:srgbClr val="000000">
                    <a:alpha val="40000"/>
                  </a:srgbClr>
                </a:outerShdw>
              </a:effectLst>
              <a:latin typeface="+mn-lt"/>
              <a:ea typeface="Calibri"/>
              <a:cs typeface="Calibri"/>
            </a:rPr>
            <a:pPr marL="0" indent="0" algn="ctr"/>
            <a:t>Denim Jacket</a:t>
          </a:fld>
          <a:endParaRPr lang="en-IN" sz="1600" b="1" i="0" u="none" strike="noStrike">
            <a:gradFill>
              <a:gsLst>
                <a:gs pos="100000">
                  <a:schemeClr val="bg1">
                    <a:lumMod val="75000"/>
                  </a:schemeClr>
                </a:gs>
                <a:gs pos="100000">
                  <a:schemeClr val="bg1">
                    <a:lumMod val="75000"/>
                  </a:schemeClr>
                </a:gs>
                <a:gs pos="0">
                  <a:schemeClr val="bg1"/>
                </a:gs>
                <a:gs pos="100000">
                  <a:schemeClr val="bg1">
                    <a:lumMod val="75000"/>
                  </a:schemeClr>
                </a:gs>
              </a:gsLst>
              <a:lin ang="5400000" scaled="1"/>
            </a:gradFill>
            <a:effectLst>
              <a:outerShdw blurRad="50800" dist="50800" dir="5400000" algn="ctr" rotWithShape="0">
                <a:srgbClr val="000000">
                  <a:alpha val="40000"/>
                </a:srgbClr>
              </a:outerShdw>
            </a:effectLst>
            <a:latin typeface="+mn-lt"/>
            <a:ea typeface="Calibri"/>
            <a:cs typeface="Calibri"/>
          </a:endParaRPr>
        </a:p>
      </xdr:txBody>
    </xdr:sp>
    <xdr:clientData/>
  </xdr:twoCellAnchor>
  <xdr:twoCellAnchor>
    <xdr:from>
      <xdr:col>0</xdr:col>
      <xdr:colOff>91440</xdr:colOff>
      <xdr:row>15</xdr:row>
      <xdr:rowOff>121920</xdr:rowOff>
    </xdr:from>
    <xdr:to>
      <xdr:col>2</xdr:col>
      <xdr:colOff>716280</xdr:colOff>
      <xdr:row>17</xdr:row>
      <xdr:rowOff>30480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31435CE8-AA5C-EFDB-80DC-5D20E7B03A38}"/>
            </a:ext>
          </a:extLst>
        </xdr:cNvPr>
        <xdr:cNvSpPr/>
      </xdr:nvSpPr>
      <xdr:spPr>
        <a:xfrm>
          <a:off x="91440" y="2865120"/>
          <a:ext cx="1440180" cy="27432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chemeClr val="bg1">
                  <a:lumMod val="95000"/>
                </a:schemeClr>
              </a:solidFill>
            </a:rPr>
            <a:t>🚚Avg.</a:t>
          </a:r>
          <a:r>
            <a:rPr lang="en-IN" sz="1100" baseline="0">
              <a:solidFill>
                <a:schemeClr val="bg1">
                  <a:lumMod val="95000"/>
                </a:schemeClr>
              </a:solidFill>
            </a:rPr>
            <a:t> Shipping Cost</a:t>
          </a:r>
          <a:endParaRPr lang="en-IN" sz="1100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>
    <xdr:from>
      <xdr:col>0</xdr:col>
      <xdr:colOff>99060</xdr:colOff>
      <xdr:row>19</xdr:row>
      <xdr:rowOff>137160</xdr:rowOff>
    </xdr:from>
    <xdr:to>
      <xdr:col>2</xdr:col>
      <xdr:colOff>845820</xdr:colOff>
      <xdr:row>21</xdr:row>
      <xdr:rowOff>30480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CA21372-7E0B-FB69-3326-B6E4FF60398C}"/>
            </a:ext>
          </a:extLst>
        </xdr:cNvPr>
        <xdr:cNvSpPr/>
      </xdr:nvSpPr>
      <xdr:spPr>
        <a:xfrm>
          <a:off x="99060" y="3611880"/>
          <a:ext cx="1562100" cy="2590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chemeClr val="bg1">
                  <a:lumMod val="95000"/>
                </a:schemeClr>
              </a:solidFill>
            </a:rPr>
            <a:t>⬆️Top Region</a:t>
          </a:r>
          <a:r>
            <a:rPr lang="en-IN" sz="1100" baseline="0">
              <a:solidFill>
                <a:schemeClr val="bg1">
                  <a:lumMod val="95000"/>
                </a:schemeClr>
              </a:solidFill>
            </a:rPr>
            <a:t> by Sales</a:t>
          </a:r>
          <a:endParaRPr lang="en-IN" sz="1100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>
    <xdr:from>
      <xdr:col>0</xdr:col>
      <xdr:colOff>76200</xdr:colOff>
      <xdr:row>23</xdr:row>
      <xdr:rowOff>30480</xdr:rowOff>
    </xdr:from>
    <xdr:to>
      <xdr:col>2</xdr:col>
      <xdr:colOff>853440</xdr:colOff>
      <xdr:row>24</xdr:row>
      <xdr:rowOff>99060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2437FC64-1BFD-D1D9-ECEB-8C70C70AAAD8}"/>
            </a:ext>
          </a:extLst>
        </xdr:cNvPr>
        <xdr:cNvSpPr/>
      </xdr:nvSpPr>
      <xdr:spPr>
        <a:xfrm>
          <a:off x="76200" y="4236720"/>
          <a:ext cx="1592580" cy="2514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chemeClr val="bg1">
                  <a:lumMod val="95000"/>
                </a:schemeClr>
              </a:solidFill>
            </a:rPr>
            <a:t>⬆️Top Product by Profit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chin more" refreshedDate="46131.831130787039" createdVersion="8" refreshedVersion="8" minRefreshableVersion="3" recordCount="500" xr:uid="{DB0CDE4C-A3E1-4C05-893F-FEEC64560F92}">
  <cacheSource type="worksheet">
    <worksheetSource name="Table14"/>
  </cacheSource>
  <cacheFields count="19">
    <cacheField name="i" numFmtId="0">
      <sharedItems/>
    </cacheField>
    <cacheField name="Order_Date" numFmtId="14">
      <sharedItems/>
    </cacheField>
    <cacheField name="Customer_Name" numFmtId="0">
      <sharedItems/>
    </cacheField>
    <cacheField name="Country" numFmtId="0">
      <sharedItems/>
    </cacheField>
    <cacheField name="Product" numFmtId="0">
      <sharedItems count="10">
        <s v="Travel Backpack"/>
        <s v="Leather Wallet"/>
        <s v="Bluetooth Speaker"/>
        <s v="Denim Jacket"/>
        <s v="Wireless Mouse"/>
        <s v="Glass Bowl Set"/>
        <s v="Cotton Bedsheet"/>
        <s v="Ceramic Vase"/>
        <s v="LED Lamp"/>
        <s v="Table Lamp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50"/>
    </cacheField>
    <cacheField name="Unit_Price" numFmtId="0">
      <sharedItems containsSemiMixedTypes="0" containsString="0" containsNumber="1" minValue="15.44" maxValue="71.8"/>
    </cacheField>
    <cacheField name="Total_Sales" numFmtId="0">
      <sharedItems containsSemiMixedTypes="0" containsString="0" containsNumber="1" minValue="18.739999999999998" maxValue="3247.6"/>
    </cacheField>
    <cacheField name="Shipping_Cost" numFmtId="0">
      <sharedItems containsSemiMixedTypes="0" containsString="0" containsNumber="1" minValue="0.5" maxValue="197.89"/>
    </cacheField>
    <cacheField name="Profit" numFmtId="0">
      <sharedItems containsSemiMixedTypes="0" containsString="0" containsNumber="1" minValue="-21" maxValue="1240.69"/>
    </cacheField>
    <cacheField name="Ship_Mode" numFmtId="0">
      <sharedItems/>
    </cacheField>
    <cacheField name="Order_Priority" numFmtId="0">
      <sharedItems/>
    </cacheField>
    <cacheField name="Region_Code" numFmtId="0">
      <sharedItems count="6">
        <s v="NA"/>
        <s v="EU"/>
        <s v="SA"/>
        <s v="AS"/>
        <s v="AF"/>
        <s v="OC"/>
      </sharedItems>
    </cacheField>
    <cacheField name="Profit Margin" numFmtId="9">
      <sharedItems containsSemiMixedTypes="0" containsString="0" containsNumber="1" minValue="-0.36745406824146981" maxValue="0.42019875028231574"/>
    </cacheField>
    <cacheField name="Clean Date" numFmtId="14">
      <sharedItems containsSemiMixedTypes="0" containsNonDate="0" containsDate="1" containsString="0" minDate="2024-01-01T00:00:00" maxDate="2025-05-02T00:00:00"/>
    </cacheField>
    <cacheField name="Supplier" numFmtId="0">
      <sharedItems/>
    </cacheField>
    <cacheField name="Origin_Country" numFmtId="0">
      <sharedItems/>
    </cacheField>
    <cacheField name="Unit_Cost" numFmtId="0">
      <sharedItems containsSemiMixedTypes="0" containsString="0" containsNumber="1" minValue="12.75" maxValue="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chin more" refreshedDate="46131.831131597224" createdVersion="8" refreshedVersion="8" minRefreshableVersion="3" recordCount="500" xr:uid="{1FBF725E-EC72-40D1-8227-6222C229538A}">
  <cacheSource type="worksheet">
    <worksheetSource name="Table1"/>
  </cacheSource>
  <cacheFields count="17">
    <cacheField name="i" numFmtId="0">
      <sharedItems/>
    </cacheField>
    <cacheField name="Order_Date" numFmtId="14">
      <sharedItems/>
    </cacheField>
    <cacheField name="Customer_Name" numFmtId="0">
      <sharedItems/>
    </cacheField>
    <cacheField name="Country" numFmtId="0">
      <sharedItems/>
    </cacheField>
    <cacheField name="Product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1" maxValue="50"/>
    </cacheField>
    <cacheField name="Unit_Price" numFmtId="0">
      <sharedItems containsSemiMixedTypes="0" containsString="0" containsNumber="1" minValue="15.44" maxValue="71.8"/>
    </cacheField>
    <cacheField name="Total_Sales" numFmtId="0">
      <sharedItems containsSemiMixedTypes="0" containsString="0" containsNumber="1" minValue="18.739999999999998" maxValue="3247.6"/>
    </cacheField>
    <cacheField name="Shipping_Cost" numFmtId="0">
      <sharedItems containsSemiMixedTypes="0" containsString="0" containsNumber="1" minValue="0.5" maxValue="197.89"/>
    </cacheField>
    <cacheField name="Profit" numFmtId="0">
      <sharedItems containsSemiMixedTypes="0" containsString="0" containsNumber="1" minValue="-21" maxValue="1240.69"/>
    </cacheField>
    <cacheField name="Ship_Mode" numFmtId="0">
      <sharedItems/>
    </cacheField>
    <cacheField name="Order_Priority" numFmtId="0">
      <sharedItems/>
    </cacheField>
    <cacheField name="Region_Code" numFmtId="0">
      <sharedItems/>
    </cacheField>
    <cacheField name="Clean" numFmtId="14">
      <sharedItems containsSemiMixedTypes="0" containsNonDate="0" containsDate="1" containsString="0" minDate="2024-01-01T00:00:00" maxDate="2025-05-02T00:00:00" count="17">
        <d v="2025-01-01T00:00:00"/>
        <d v="2025-02-01T00:00:00"/>
        <d v="2024-04-01T00:00:00"/>
        <d v="2024-10-01T00:00:00"/>
        <d v="2024-06-01T00:00:00"/>
        <d v="2025-05-01T00:00:00"/>
        <d v="2024-09-01T00:00:00"/>
        <d v="2024-08-01T00:00:00"/>
        <d v="2025-04-01T00:00:00"/>
        <d v="2024-12-01T00:00:00"/>
        <d v="2024-02-01T00:00:00"/>
        <d v="2024-03-01T00:00:00"/>
        <d v="2024-07-01T00:00:00"/>
        <d v="2025-03-01T00:00:00"/>
        <d v="2024-05-01T00:00:00"/>
        <d v="2024-11-01T00:00:00"/>
        <d v="2024-01-01T00:00:00"/>
      </sharedItems>
      <fieldGroup par="16"/>
    </cacheField>
    <cacheField name="Months (Clean)" numFmtId="0" databaseField="0">
      <fieldGroup base="14">
        <rangePr groupBy="months" startDate="2024-01-01T00:00:00" endDate="2025-05-02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5-2025"/>
        </groupItems>
      </fieldGroup>
    </cacheField>
    <cacheField name="Years (Clean)" numFmtId="0" databaseField="0">
      <fieldGroup base="14">
        <rangePr groupBy="years" startDate="2024-01-01T00:00:00" endDate="2025-05-02T00:00:00"/>
        <groupItems count="4">
          <s v="&lt;01-01-2024"/>
          <s v="2024"/>
          <s v="2025"/>
          <s v="&gt;02-05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chin more" refreshedDate="46131.831131712963" createdVersion="8" refreshedVersion="8" minRefreshableVersion="3" recordCount="501" xr:uid="{9FDC14CD-27FB-483A-939D-3B8A846126E9}">
  <cacheSource type="worksheet">
    <worksheetSource ref="A1:N1048576" sheet="Global_trade"/>
  </cacheSource>
  <cacheFields count="14">
    <cacheField name="i" numFmtId="0">
      <sharedItems containsBlank="1"/>
    </cacheField>
    <cacheField name="Order_Date" numFmtId="0">
      <sharedItems containsBlank="1" count="18">
        <s v="Jan-2025"/>
        <s v="Feb-2025"/>
        <s v="Apr-2024"/>
        <s v="Oct-2024"/>
        <s v="Jun-2024"/>
        <s v="May-2025"/>
        <s v="Sep-2024"/>
        <s v="Aug-2024"/>
        <s v="Apr-2025"/>
        <s v="Dec-2024"/>
        <s v="Feb-2024"/>
        <s v="Mar-2024"/>
        <s v="Jul-2024"/>
        <s v="Mar-2025"/>
        <s v="May-2024"/>
        <s v="Nov-2024"/>
        <s v="Jan-2024"/>
        <m/>
      </sharedItems>
    </cacheField>
    <cacheField name="Customer_Name" numFmtId="0">
      <sharedItems containsBlank="1"/>
    </cacheField>
    <cacheField name="Country" numFmtId="0">
      <sharedItems containsBlank="1"/>
    </cacheField>
    <cacheField name="Product" numFmtId="0">
      <sharedItems containsBlank="1"/>
    </cacheField>
    <cacheField name="Category" numFmtId="0">
      <sharedItems containsBlank="1" count="6">
        <s v="Accessories"/>
        <s v="Electronics"/>
        <s v="Apparel"/>
        <s v="Home Decor"/>
        <s v="Textiles"/>
        <m/>
      </sharedItems>
    </cacheField>
    <cacheField name="Quantity" numFmtId="0">
      <sharedItems containsString="0" containsBlank="1" containsNumber="1" containsInteger="1" minValue="1" maxValue="50"/>
    </cacheField>
    <cacheField name="Unit_Price" numFmtId="0">
      <sharedItems containsString="0" containsBlank="1" containsNumber="1" minValue="15.44" maxValue="71.8"/>
    </cacheField>
    <cacheField name="Total_Sales" numFmtId="0">
      <sharedItems containsString="0" containsBlank="1" containsNumber="1" minValue="18.739999999999998" maxValue="3247.6"/>
    </cacheField>
    <cacheField name="Shipping_Cost" numFmtId="0">
      <sharedItems containsString="0" containsBlank="1" containsNumber="1" minValue="0.5" maxValue="197.89"/>
    </cacheField>
    <cacheField name="Profit" numFmtId="0">
      <sharedItems containsString="0" containsBlank="1" containsNumber="1" minValue="-21" maxValue="1240.69"/>
    </cacheField>
    <cacheField name="Ship_Mode" numFmtId="0">
      <sharedItems containsBlank="1"/>
    </cacheField>
    <cacheField name="Order_Priority" numFmtId="0">
      <sharedItems containsBlank="1"/>
    </cacheField>
    <cacheField name="Region_Code" numFmtId="0">
      <sharedItems containsBlank="1" count="7">
        <s v="NA"/>
        <s v="EU"/>
        <s v="SA"/>
        <s v="AS"/>
        <s v="AF"/>
        <s v="OC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ORD_2025_0001"/>
    <s v="Jan-2025"/>
    <s v="Smith, Emily"/>
    <s v="Usa"/>
    <x v="0"/>
    <s v="Accessories"/>
    <n v="20"/>
    <n v="55.22"/>
    <n v="1104.4000000000001"/>
    <n v="49.36"/>
    <n v="355.04"/>
    <s v="Land"/>
    <s v="Low"/>
    <x v="0"/>
    <n v="0.32147772546178921"/>
    <d v="2025-01-01T00:00:00"/>
    <s v="CarryPro"/>
    <s v="Vietnam"/>
    <n v="35"/>
  </r>
  <r>
    <s v="ORD_2025_0002"/>
    <s v="Feb-2025"/>
    <s v="Brown, Laura"/>
    <s v="Uk"/>
    <x v="1"/>
    <s v="Accessories"/>
    <n v="33"/>
    <n v="32.03"/>
    <n v="1056.99"/>
    <n v="59.59"/>
    <n v="403.4"/>
    <s v="Sea"/>
    <s v="Medium"/>
    <x v="1"/>
    <n v="0.38164977908967918"/>
    <d v="2025-02-01T00:00:00"/>
    <s v="CraftLine"/>
    <s v="Italy"/>
    <n v="18"/>
  </r>
  <r>
    <s v="ORD_2025_0003"/>
    <s v="Apr-2024"/>
    <s v="Davis, John"/>
    <s v="Italy"/>
    <x v="1"/>
    <s v="Accessories"/>
    <n v="34"/>
    <n v="28.48"/>
    <n v="968.32"/>
    <n v="73.95"/>
    <n v="282.37"/>
    <s v="Land"/>
    <s v="High"/>
    <x v="1"/>
    <n v="0.2916081460674157"/>
    <d v="2024-04-01T00:00:00"/>
    <s v="CraftLine"/>
    <s v="Italy"/>
    <n v="18"/>
  </r>
  <r>
    <s v="ORD_2025_0004"/>
    <s v="Oct-2024"/>
    <s v="Miller, Daniel"/>
    <s v="Brazil"/>
    <x v="2"/>
    <s v="Electronics"/>
    <n v="6"/>
    <n v="56.36"/>
    <n v="338.16"/>
    <n v="11.39"/>
    <n v="134.77000000000001"/>
    <s v="Air"/>
    <s v="Medium"/>
    <x v="2"/>
    <n v="0.39853915306363852"/>
    <d v="2024-10-01T00:00:00"/>
    <s v="AudioTech Ltd."/>
    <s v="China"/>
    <n v="32"/>
  </r>
  <r>
    <s v="ORD_2025_0005"/>
    <s v="Feb-2025"/>
    <s v="Johnson, Emma"/>
    <s v="Canada"/>
    <x v="3"/>
    <s v="Apparel"/>
    <n v="17"/>
    <n v="69.22"/>
    <n v="1176.74"/>
    <n v="65.94"/>
    <n v="430.8"/>
    <s v="Sea"/>
    <s v="Low"/>
    <x v="0"/>
    <n v="0.36609616397844896"/>
    <d v="2025-02-01T00:00:00"/>
    <s v="BlueWear"/>
    <s v="Bangladesh"/>
    <n v="40"/>
  </r>
  <r>
    <s v="ORD_2025_0006"/>
    <s v="Feb-2025"/>
    <s v="Johnson, Michael"/>
    <s v="Mexico"/>
    <x v="4"/>
    <s v="Electronics"/>
    <n v="13"/>
    <n v="27.94"/>
    <n v="363.22"/>
    <n v="15.36"/>
    <n v="87.86"/>
    <s v="Sea"/>
    <s v="Low"/>
    <x v="0"/>
    <n v="0.2418919663014151"/>
    <d v="2025-02-01T00:00:00"/>
    <s v="ClickTech"/>
    <s v="China"/>
    <n v="20"/>
  </r>
  <r>
    <s v="ORD_2025_0007"/>
    <s v="Jun-2024"/>
    <s v="Hernandez, Emma"/>
    <s v="Uk"/>
    <x v="5"/>
    <s v="Home Decor"/>
    <n v="3"/>
    <n v="31.52"/>
    <n v="94.56"/>
    <n v="6.98"/>
    <n v="20.079999999999998"/>
    <s v="Land"/>
    <s v="High"/>
    <x v="1"/>
    <n v="0.21235194585448391"/>
    <d v="2024-06-01T00:00:00"/>
    <s v="ClearCraft"/>
    <s v="India"/>
    <n v="22.5"/>
  </r>
  <r>
    <s v="ORD_2025_0008"/>
    <s v="May-2025"/>
    <s v="Miller, John"/>
    <s v="China"/>
    <x v="6"/>
    <s v="Textiles"/>
    <n v="14"/>
    <n v="30.71"/>
    <n v="429.94"/>
    <n v="13.03"/>
    <n v="66.91"/>
    <s v="Sea"/>
    <s v="Low"/>
    <x v="3"/>
    <n v="0.15562636646973996"/>
    <d v="2025-05-01T00:00:00"/>
    <s v="SoftWeave"/>
    <s v="Turkey"/>
    <n v="25"/>
  </r>
  <r>
    <s v="ORD_2025_0009"/>
    <s v="Sep-2024"/>
    <s v="Davis, John"/>
    <s v="Usa"/>
    <x v="7"/>
    <s v="Home Decor"/>
    <n v="47"/>
    <n v="24.47"/>
    <n v="1150.0899999999999"/>
    <n v="61.3"/>
    <n v="360.29"/>
    <s v="Sea"/>
    <s v="Low"/>
    <x v="0"/>
    <n v="0.31327113530245465"/>
    <d v="2024-09-01T00:00:00"/>
    <s v="Artisans Co."/>
    <s v="India"/>
    <n v="15.5"/>
  </r>
  <r>
    <s v="ORD_2025_0010"/>
    <s v="Aug-2024"/>
    <s v="Martinez, Laura"/>
    <s v="Italy"/>
    <x v="8"/>
    <s v="Electronics"/>
    <n v="27"/>
    <n v="18.98"/>
    <n v="512.46"/>
    <n v="28.89"/>
    <n v="139.32"/>
    <s v="Sea"/>
    <s v="High"/>
    <x v="1"/>
    <n v="0.27186512118018963"/>
    <d v="2024-08-01T00:00:00"/>
    <s v="BrightHome"/>
    <s v="Vietnam"/>
    <n v="12.75"/>
  </r>
  <r>
    <s v="ORD_2025_0011"/>
    <s v="Apr-2025"/>
    <s v="Martinez, James"/>
    <s v="China"/>
    <x v="0"/>
    <s v="Accessories"/>
    <n v="32"/>
    <n v="57.84"/>
    <n v="1850.88"/>
    <n v="55.15"/>
    <n v="675.73"/>
    <s v="Land"/>
    <s v="Low"/>
    <x v="3"/>
    <n v="0.36508579702627936"/>
    <d v="2025-04-01T00:00:00"/>
    <s v="CarryPro"/>
    <s v="Vietnam"/>
    <n v="35"/>
  </r>
  <r>
    <s v="ORD_2025_0012"/>
    <s v="Dec-2024"/>
    <s v="Davis, James"/>
    <s v="Canada"/>
    <x v="3"/>
    <s v="Apparel"/>
    <n v="49"/>
    <n v="58.77"/>
    <n v="2879.73"/>
    <n v="140.29"/>
    <n v="779.44"/>
    <s v="Air"/>
    <s v="High"/>
    <x v="0"/>
    <n v="0.27066426366360735"/>
    <d v="2024-12-01T00:00:00"/>
    <s v="BlueWear"/>
    <s v="Bangladesh"/>
    <n v="40"/>
  </r>
  <r>
    <s v="ORD_2025_0013"/>
    <s v="Sep-2024"/>
    <s v="Martinez, James"/>
    <s v="Singapore"/>
    <x v="0"/>
    <s v="Accessories"/>
    <n v="43"/>
    <n v="56.92"/>
    <n v="2447.56"/>
    <n v="140.4"/>
    <n v="802.16"/>
    <s v="Land"/>
    <s v="Medium"/>
    <x v="3"/>
    <n v="0.3277386458350357"/>
    <d v="2024-09-01T00:00:00"/>
    <s v="CarryPro"/>
    <s v="Vietnam"/>
    <n v="35"/>
  </r>
  <r>
    <s v="ORD_2025_0014"/>
    <s v="Feb-2024"/>
    <s v="Smith, Emma"/>
    <s v="Italy"/>
    <x v="6"/>
    <s v="Textiles"/>
    <n v="32"/>
    <n v="43.45"/>
    <n v="1390.4"/>
    <n v="30.04"/>
    <n v="560.36"/>
    <s v="Land"/>
    <s v="High"/>
    <x v="1"/>
    <n v="0.4030207134637514"/>
    <d v="2024-02-01T00:00:00"/>
    <s v="SoftWeave"/>
    <s v="Turkey"/>
    <n v="25"/>
  </r>
  <r>
    <s v="ORD_2025_0015"/>
    <s v="Mar-2024"/>
    <s v="Davis, Sarah"/>
    <s v="Uae"/>
    <x v="6"/>
    <s v="Textiles"/>
    <n v="22"/>
    <n v="42.59"/>
    <n v="936.98"/>
    <n v="29.87"/>
    <n v="357.11"/>
    <s v="Sea"/>
    <s v="High"/>
    <x v="3"/>
    <n v="0.38112873273709152"/>
    <d v="2024-03-01T00:00:00"/>
    <s v="SoftWeave"/>
    <s v="Turkey"/>
    <n v="25"/>
  </r>
  <r>
    <s v="ORD_2025_0016"/>
    <s v="Sep-2024"/>
    <s v="Williams, David"/>
    <s v="Japan"/>
    <x v="4"/>
    <s v="Electronics"/>
    <n v="48"/>
    <n v="25.36"/>
    <n v="1217.28"/>
    <n v="49.68"/>
    <n v="207.6"/>
    <s v="Sea"/>
    <s v="Low"/>
    <x v="3"/>
    <n v="0.17054416403785488"/>
    <d v="2024-09-01T00:00:00"/>
    <s v="ClickTech"/>
    <s v="China"/>
    <n v="20"/>
  </r>
  <r>
    <s v="ORD_2025_0017"/>
    <s v="Aug-2024"/>
    <s v="Martinez, James"/>
    <s v="Uae"/>
    <x v="1"/>
    <s v="Accessories"/>
    <n v="48"/>
    <n v="30.07"/>
    <n v="1443.36"/>
    <n v="102.31"/>
    <n v="477.05"/>
    <s v="Air"/>
    <s v="Low"/>
    <x v="3"/>
    <n v="0.33051352399955664"/>
    <d v="2024-08-01T00:00:00"/>
    <s v="CraftLine"/>
    <s v="Italy"/>
    <n v="18"/>
  </r>
  <r>
    <s v="ORD_2025_0018"/>
    <s v="Sep-2024"/>
    <s v="Johnson, Michael"/>
    <s v="Uae"/>
    <x v="4"/>
    <s v="Electronics"/>
    <n v="6"/>
    <n v="32.17"/>
    <n v="193.02"/>
    <n v="14.45"/>
    <n v="58.57"/>
    <s v="Air"/>
    <s v="Low"/>
    <x v="3"/>
    <n v="0.30344005802507512"/>
    <d v="2024-09-01T00:00:00"/>
    <s v="ClickTech"/>
    <s v="China"/>
    <n v="20"/>
  </r>
  <r>
    <s v="ORD_2025_0019"/>
    <s v="Jul-2024"/>
    <s v="Smith, Sarah"/>
    <s v="Singapore"/>
    <x v="1"/>
    <s v="Accessories"/>
    <n v="37"/>
    <n v="24.14"/>
    <n v="893.18"/>
    <n v="31.39"/>
    <n v="195.79"/>
    <s v="Sea"/>
    <s v="Medium"/>
    <x v="3"/>
    <n v="0.21920553527844333"/>
    <d v="2024-07-01T00:00:00"/>
    <s v="CraftLine"/>
    <s v="Italy"/>
    <n v="18"/>
  </r>
  <r>
    <s v="ORD_2025_0020"/>
    <s v="Apr-2025"/>
    <s v="Johnson, Emma"/>
    <s v="Uk"/>
    <x v="9"/>
    <s v="Home Decor"/>
    <n v="39"/>
    <n v="37.840000000000003"/>
    <n v="1475.76"/>
    <n v="73.400000000000006"/>
    <n v="310.36"/>
    <s v="Sea"/>
    <s v="High"/>
    <x v="1"/>
    <n v="0.21030519867729172"/>
    <d v="2025-04-01T00:00:00"/>
    <s v="BrightHome"/>
    <s v="India"/>
    <n v="28"/>
  </r>
  <r>
    <s v="ORD_2025_0021"/>
    <s v="Feb-2025"/>
    <s v="Miller, Michael"/>
    <s v="South Africa"/>
    <x v="3"/>
    <s v="Apparel"/>
    <n v="6"/>
    <n v="68.77"/>
    <n v="412.62"/>
    <n v="17.18"/>
    <n v="155.44"/>
    <s v="Sea"/>
    <s v="Low"/>
    <x v="4"/>
    <n v="0.37671465270709126"/>
    <d v="2025-02-01T00:00:00"/>
    <s v="BlueWear"/>
    <s v="Bangladesh"/>
    <n v="40"/>
  </r>
  <r>
    <s v="ORD_2025_0022"/>
    <s v="Mar-2025"/>
    <s v="Davis, David"/>
    <s v="Canada"/>
    <x v="8"/>
    <s v="Electronics"/>
    <n v="6"/>
    <n v="18.5"/>
    <n v="111"/>
    <n v="5.26"/>
    <n v="29.24"/>
    <s v="Air"/>
    <s v="Medium"/>
    <x v="0"/>
    <n v="0.2634234234234234"/>
    <d v="2025-03-01T00:00:00"/>
    <s v="BrightHome"/>
    <s v="Vietnam"/>
    <n v="12.75"/>
  </r>
  <r>
    <s v="ORD_2025_0023"/>
    <s v="May-2024"/>
    <s v="Johnson, Sarah"/>
    <s v="Italy"/>
    <x v="5"/>
    <s v="Home Decor"/>
    <n v="33"/>
    <n v="28.96"/>
    <n v="955.68"/>
    <n v="49.07"/>
    <n v="164.11"/>
    <s v="Sea"/>
    <s v="Low"/>
    <x v="1"/>
    <n v="0.17172065963502431"/>
    <d v="2024-05-01T00:00:00"/>
    <s v="ClearCraft"/>
    <s v="India"/>
    <n v="22.5"/>
  </r>
  <r>
    <s v="ORD_2025_0024"/>
    <s v="Feb-2024"/>
    <s v="Hernandez, Sophia"/>
    <s v="Canada"/>
    <x v="5"/>
    <s v="Home Decor"/>
    <n v="31"/>
    <n v="35.020000000000003"/>
    <n v="1085.6199999999999"/>
    <n v="74.650000000000006"/>
    <n v="313.47000000000003"/>
    <s v="Air"/>
    <s v="Low"/>
    <x v="0"/>
    <n v="0.2887474438569666"/>
    <d v="2024-02-01T00:00:00"/>
    <s v="ClearCraft"/>
    <s v="India"/>
    <n v="22.5"/>
  </r>
  <r>
    <s v="ORD_2025_0025"/>
    <s v="Apr-2025"/>
    <s v="Williams, Daniel"/>
    <s v="Canada"/>
    <x v="4"/>
    <s v="Electronics"/>
    <n v="25"/>
    <n v="31.57"/>
    <n v="789.25"/>
    <n v="56.47"/>
    <n v="232.78"/>
    <s v="Sea"/>
    <s v="Medium"/>
    <x v="0"/>
    <n v="0.29493823249920809"/>
    <d v="2025-04-01T00:00:00"/>
    <s v="ClickTech"/>
    <s v="China"/>
    <n v="20"/>
  </r>
  <r>
    <s v="ORD_2025_0026"/>
    <s v="Dec-2024"/>
    <s v="Martinez, Michael"/>
    <s v="Italy"/>
    <x v="7"/>
    <s v="Home Decor"/>
    <n v="14"/>
    <n v="27.08"/>
    <n v="379.12"/>
    <n v="11.12"/>
    <n v="151"/>
    <s v="Sea"/>
    <s v="High"/>
    <x v="1"/>
    <n v="0.39829077864528378"/>
    <d v="2024-12-01T00:00:00"/>
    <s v="Artisans Co."/>
    <s v="India"/>
    <n v="15.5"/>
  </r>
  <r>
    <s v="ORD_2025_0027"/>
    <s v="Jun-2024"/>
    <s v="Miller, Daniel"/>
    <s v="Italy"/>
    <x v="9"/>
    <s v="Home Decor"/>
    <n v="39"/>
    <n v="35.32"/>
    <n v="1377.48"/>
    <n v="63.72"/>
    <n v="221.76"/>
    <s v="Sea"/>
    <s v="Medium"/>
    <x v="1"/>
    <n v="0.16098963324331386"/>
    <d v="2024-06-01T00:00:00"/>
    <s v="BrightHome"/>
    <s v="India"/>
    <n v="28"/>
  </r>
  <r>
    <s v="ORD_2025_0028"/>
    <s v="Aug-2024"/>
    <s v="Jones, Laura"/>
    <s v="China"/>
    <x v="5"/>
    <s v="Home Decor"/>
    <n v="6"/>
    <n v="39.630000000000003"/>
    <n v="237.78"/>
    <n v="8.08"/>
    <n v="94.7"/>
    <s v="Land"/>
    <s v="High"/>
    <x v="3"/>
    <n v="0.39826730591302884"/>
    <d v="2024-08-01T00:00:00"/>
    <s v="ClearCraft"/>
    <s v="India"/>
    <n v="22.5"/>
  </r>
  <r>
    <s v="ORD_2025_0029"/>
    <s v="Jan-2025"/>
    <s v="Brown, Michael"/>
    <s v="South Africa"/>
    <x v="3"/>
    <s v="Apparel"/>
    <n v="36"/>
    <n v="68.400000000000006"/>
    <n v="2462.4"/>
    <n v="150.83000000000001"/>
    <n v="871.57"/>
    <s v="Sea"/>
    <s v="Low"/>
    <x v="4"/>
    <n v="0.35395142949967512"/>
    <d v="2025-01-01T00:00:00"/>
    <s v="BlueWear"/>
    <s v="Bangladesh"/>
    <n v="40"/>
  </r>
  <r>
    <s v="ORD_2025_0030"/>
    <s v="Jul-2024"/>
    <s v="Williams, David"/>
    <s v="Italy"/>
    <x v="6"/>
    <s v="Textiles"/>
    <n v="1"/>
    <n v="44.98"/>
    <n v="44.98"/>
    <n v="2.81"/>
    <n v="17.170000000000002"/>
    <s v="Sea"/>
    <s v="Medium"/>
    <x v="1"/>
    <n v="0.38172521120498004"/>
    <d v="2024-07-01T00:00:00"/>
    <s v="SoftWeave"/>
    <s v="Turkey"/>
    <n v="25"/>
  </r>
  <r>
    <s v="ORD_2025_0031"/>
    <s v="Apr-2025"/>
    <s v="Miller, Laura"/>
    <s v="France"/>
    <x v="9"/>
    <s v="Home Decor"/>
    <n v="3"/>
    <n v="37.74"/>
    <n v="113.22"/>
    <n v="4.04"/>
    <n v="25.18"/>
    <s v="Sea"/>
    <s v="Medium"/>
    <x v="1"/>
    <n v="0.22239886945769299"/>
    <d v="2025-04-01T00:00:00"/>
    <s v="BrightHome"/>
    <s v="India"/>
    <n v="28"/>
  </r>
  <r>
    <s v="ORD_2025_0032"/>
    <s v="May-2024"/>
    <s v="Garcia, Sophia"/>
    <s v="France"/>
    <x v="6"/>
    <s v="Textiles"/>
    <n v="12"/>
    <n v="39.799999999999997"/>
    <n v="477.6"/>
    <n v="20.54"/>
    <n v="157.06"/>
    <s v="Air"/>
    <s v="Medium"/>
    <x v="1"/>
    <n v="0.32885259631490787"/>
    <d v="2024-05-01T00:00:00"/>
    <s v="SoftWeave"/>
    <s v="Turkey"/>
    <n v="25"/>
  </r>
  <r>
    <s v="ORD_2025_0033"/>
    <s v="Apr-2024"/>
    <s v="Smith, Sophia"/>
    <s v="China"/>
    <x v="2"/>
    <s v="Electronics"/>
    <n v="26"/>
    <n v="43.23"/>
    <n v="1123.98"/>
    <n v="57.2"/>
    <n v="234.78"/>
    <s v="Sea"/>
    <s v="High"/>
    <x v="3"/>
    <n v="0.20888272033310201"/>
    <d v="2024-04-01T00:00:00"/>
    <s v="AudioTech Ltd."/>
    <s v="China"/>
    <n v="32"/>
  </r>
  <r>
    <s v="ORD_2025_0034"/>
    <s v="Jan-2025"/>
    <s v="Miller, Daniel"/>
    <s v="Italy"/>
    <x v="3"/>
    <s v="Apparel"/>
    <n v="17"/>
    <n v="66.34"/>
    <n v="1127.78"/>
    <n v="81.150000000000006"/>
    <n v="366.63"/>
    <s v="Sea"/>
    <s v="High"/>
    <x v="1"/>
    <n v="0.32508999982266046"/>
    <d v="2025-01-01T00:00:00"/>
    <s v="BlueWear"/>
    <s v="Bangladesh"/>
    <n v="40"/>
  </r>
  <r>
    <s v="ORD_2025_0035"/>
    <s v="Oct-2024"/>
    <s v="Hernandez, John"/>
    <s v="Singapore"/>
    <x v="6"/>
    <s v="Textiles"/>
    <n v="4"/>
    <n v="33.869999999999997"/>
    <n v="135.47999999999999"/>
    <n v="6.59"/>
    <n v="28.89"/>
    <s v="Land"/>
    <s v="High"/>
    <x v="3"/>
    <n v="0.21324180690876884"/>
    <d v="2024-10-01T00:00:00"/>
    <s v="SoftWeave"/>
    <s v="Turkey"/>
    <n v="25"/>
  </r>
  <r>
    <s v="ORD_2025_0036"/>
    <s v="Nov-2024"/>
    <s v="Williams, Laura"/>
    <s v="Italy"/>
    <x v="3"/>
    <s v="Apparel"/>
    <n v="10"/>
    <n v="64.650000000000006"/>
    <n v="646.5"/>
    <n v="17.89"/>
    <n v="228.61"/>
    <s v="Air"/>
    <s v="Low"/>
    <x v="1"/>
    <n v="0.35361175560711527"/>
    <d v="2024-11-01T00:00:00"/>
    <s v="BlueWear"/>
    <s v="Bangladesh"/>
    <n v="40"/>
  </r>
  <r>
    <s v="ORD_2025_0037"/>
    <s v="Dec-2024"/>
    <s v="Miller, David"/>
    <s v="South Africa"/>
    <x v="5"/>
    <s v="Home Decor"/>
    <n v="12"/>
    <n v="29.56"/>
    <n v="354.72"/>
    <n v="21.4"/>
    <n v="63.32"/>
    <s v="Sea"/>
    <s v="Low"/>
    <x v="4"/>
    <n v="0.17850699142986015"/>
    <d v="2024-12-01T00:00:00"/>
    <s v="ClearCraft"/>
    <s v="India"/>
    <n v="22.5"/>
  </r>
  <r>
    <s v="ORD_2025_0038"/>
    <s v="May-2024"/>
    <s v="Smith, Michael"/>
    <s v="Usa"/>
    <x v="6"/>
    <s v="Textiles"/>
    <n v="4"/>
    <n v="35.36"/>
    <n v="141.44"/>
    <n v="8.66"/>
    <n v="32.78"/>
    <s v="Air"/>
    <s v="Medium"/>
    <x v="0"/>
    <n v="0.23175904977375567"/>
    <d v="2024-05-01T00:00:00"/>
    <s v="SoftWeave"/>
    <s v="Turkey"/>
    <n v="25"/>
  </r>
  <r>
    <s v="ORD_2025_0039"/>
    <s v="Jan-2025"/>
    <s v="Martinez, Sarah"/>
    <s v="Italy"/>
    <x v="4"/>
    <s v="Electronics"/>
    <n v="28"/>
    <n v="31.42"/>
    <n v="879.76"/>
    <n v="69.319999999999993"/>
    <n v="250.44"/>
    <s v="Land"/>
    <s v="High"/>
    <x v="1"/>
    <n v="0.28466854596708191"/>
    <d v="2025-01-01T00:00:00"/>
    <s v="ClickTech"/>
    <s v="China"/>
    <n v="20"/>
  </r>
  <r>
    <s v="ORD_2025_0040"/>
    <s v="May-2024"/>
    <s v="Garcia, Emily"/>
    <s v="Usa"/>
    <x v="0"/>
    <s v="Accessories"/>
    <n v="35"/>
    <n v="55.12"/>
    <n v="1929.2"/>
    <n v="58.22"/>
    <n v="645.98"/>
    <s v="Land"/>
    <s v="Low"/>
    <x v="0"/>
    <n v="0.3348434584283641"/>
    <d v="2024-05-01T00:00:00"/>
    <s v="CarryPro"/>
    <s v="Vietnam"/>
    <n v="35"/>
  </r>
  <r>
    <s v="ORD_2025_0041"/>
    <s v="Apr-2025"/>
    <s v="Williams, Emma"/>
    <s v="Uae"/>
    <x v="5"/>
    <s v="Home Decor"/>
    <n v="41"/>
    <n v="33.94"/>
    <n v="1391.54"/>
    <n v="33.26"/>
    <n v="435.78"/>
    <s v="Land"/>
    <s v="High"/>
    <x v="3"/>
    <n v="0.31316383287580662"/>
    <d v="2025-04-01T00:00:00"/>
    <s v="ClearCraft"/>
    <s v="India"/>
    <n v="22.5"/>
  </r>
  <r>
    <s v="ORD_2025_0042"/>
    <s v="Aug-2024"/>
    <s v="Smith, Emma"/>
    <s v="Singapore"/>
    <x v="5"/>
    <s v="Home Decor"/>
    <n v="20"/>
    <n v="38.43"/>
    <n v="768.6"/>
    <n v="60.07"/>
    <n v="258.52999999999997"/>
    <s v="Air"/>
    <s v="High"/>
    <x v="3"/>
    <n v="0.33636481915170435"/>
    <d v="2024-08-01T00:00:00"/>
    <s v="ClearCraft"/>
    <s v="India"/>
    <n v="22.5"/>
  </r>
  <r>
    <s v="ORD_2025_0043"/>
    <s v="May-2024"/>
    <s v="Davis, Sarah"/>
    <s v="Brazil"/>
    <x v="6"/>
    <s v="Textiles"/>
    <n v="23"/>
    <n v="35.07"/>
    <n v="806.61"/>
    <n v="21.23"/>
    <n v="210.38"/>
    <s v="Land"/>
    <s v="High"/>
    <x v="2"/>
    <n v="0.26081997495691844"/>
    <d v="2024-05-01T00:00:00"/>
    <s v="SoftWeave"/>
    <s v="Turkey"/>
    <n v="25"/>
  </r>
  <r>
    <s v="ORD_2025_0044"/>
    <s v="Mar-2025"/>
    <s v="Davis, James"/>
    <s v="Australia"/>
    <x v="3"/>
    <s v="Apparel"/>
    <n v="35"/>
    <n v="71.44"/>
    <n v="2500.4"/>
    <n v="166.81"/>
    <n v="933.59"/>
    <s v="Sea"/>
    <s v="Medium"/>
    <x v="5"/>
    <n v="0.37337625979843225"/>
    <d v="2025-03-01T00:00:00"/>
    <s v="BlueWear"/>
    <s v="Bangladesh"/>
    <n v="40"/>
  </r>
  <r>
    <s v="ORD_2025_0045"/>
    <s v="Dec-2024"/>
    <s v="Williams, Laura"/>
    <s v="Canada"/>
    <x v="1"/>
    <s v="Accessories"/>
    <n v="11"/>
    <n v="26.05"/>
    <n v="286.55"/>
    <n v="13.39"/>
    <n v="75.16"/>
    <s v="Sea"/>
    <s v="Low"/>
    <x v="0"/>
    <n v="0.26229279357878205"/>
    <d v="2024-12-01T00:00:00"/>
    <s v="CraftLine"/>
    <s v="Italy"/>
    <n v="18"/>
  </r>
  <r>
    <s v="ORD_2025_0046"/>
    <s v="Feb-2024"/>
    <s v="Johnson, Emma"/>
    <s v="Uk"/>
    <x v="7"/>
    <s v="Home Decor"/>
    <n v="46"/>
    <n v="26.67"/>
    <n v="1226.82"/>
    <n v="83.55"/>
    <n v="430.27"/>
    <s v="Land"/>
    <s v="High"/>
    <x v="1"/>
    <n v="0.35071974698814823"/>
    <d v="2024-02-01T00:00:00"/>
    <s v="Artisans Co."/>
    <s v="India"/>
    <n v="15.5"/>
  </r>
  <r>
    <s v="ORD_2025_0047"/>
    <s v="Nov-2024"/>
    <s v="Johnson, Sarah"/>
    <s v="Uk"/>
    <x v="9"/>
    <s v="Home Decor"/>
    <n v="12"/>
    <n v="42.84"/>
    <n v="514.08000000000004"/>
    <n v="22.74"/>
    <n v="155.34"/>
    <s v="Air"/>
    <s v="Low"/>
    <x v="1"/>
    <n v="0.30217086834733892"/>
    <d v="2024-11-01T00:00:00"/>
    <s v="BrightHome"/>
    <s v="India"/>
    <n v="28"/>
  </r>
  <r>
    <s v="ORD_2025_0048"/>
    <s v="Jul-2024"/>
    <s v="Smith, Daniel"/>
    <s v="Singapore"/>
    <x v="1"/>
    <s v="Accessories"/>
    <n v="18"/>
    <n v="30.89"/>
    <n v="556.02"/>
    <n v="12"/>
    <n v="220.02"/>
    <s v="Sea"/>
    <s v="Low"/>
    <x v="3"/>
    <n v="0.39570519046077485"/>
    <d v="2024-07-01T00:00:00"/>
    <s v="CraftLine"/>
    <s v="Italy"/>
    <n v="18"/>
  </r>
  <r>
    <s v="ORD_2025_0049"/>
    <s v="Dec-2024"/>
    <s v="Jones, David"/>
    <s v="Canada"/>
    <x v="0"/>
    <s v="Accessories"/>
    <n v="21"/>
    <n v="52.41"/>
    <n v="1100.6099999999999"/>
    <n v="81.099999999999994"/>
    <n v="284.51"/>
    <s v="Air"/>
    <s v="Medium"/>
    <x v="0"/>
    <n v="0.25850210337903529"/>
    <d v="2024-12-01T00:00:00"/>
    <s v="CarryPro"/>
    <s v="Vietnam"/>
    <n v="35"/>
  </r>
  <r>
    <s v="ORD_2025_0050"/>
    <s v="Jan-2024"/>
    <s v="Brown, Sarah"/>
    <s v="Australia"/>
    <x v="9"/>
    <s v="Home Decor"/>
    <n v="17"/>
    <n v="38.64"/>
    <n v="656.88"/>
    <n v="13.86"/>
    <n v="167.02"/>
    <s v="Sea"/>
    <s v="Low"/>
    <x v="5"/>
    <n v="0.25426257459505541"/>
    <d v="2024-01-01T00:00:00"/>
    <s v="BrightHome"/>
    <s v="India"/>
    <n v="28"/>
  </r>
  <r>
    <s v="ORD_2025_0051"/>
    <s v="Apr-2025"/>
    <s v="Smith, Michael"/>
    <s v="Japan"/>
    <x v="1"/>
    <s v="Accessories"/>
    <n v="41"/>
    <n v="25.79"/>
    <n v="1057.3900000000001"/>
    <n v="71.22"/>
    <n v="248.17"/>
    <s v="Sea"/>
    <s v="Medium"/>
    <x v="3"/>
    <n v="0.23470053622599038"/>
    <d v="2025-04-01T00:00:00"/>
    <s v="CraftLine"/>
    <s v="Italy"/>
    <n v="18"/>
  </r>
  <r>
    <s v="ORD_2025_0052"/>
    <s v="Jul-2024"/>
    <s v="Martinez, Emma"/>
    <s v="Japan"/>
    <x v="9"/>
    <s v="Home Decor"/>
    <n v="41"/>
    <n v="41.13"/>
    <n v="1686.33"/>
    <n v="80.12"/>
    <n v="458.21"/>
    <s v="Sea"/>
    <s v="High"/>
    <x v="3"/>
    <n v="0.27172024455474314"/>
    <d v="2024-07-01T00:00:00"/>
    <s v="BrightHome"/>
    <s v="India"/>
    <n v="28"/>
  </r>
  <r>
    <s v="ORD_2025_0053"/>
    <s v="Nov-2024"/>
    <s v="Davis, James"/>
    <s v="China"/>
    <x v="3"/>
    <s v="Apparel"/>
    <n v="33"/>
    <n v="55.67"/>
    <n v="1837.11"/>
    <n v="144.32"/>
    <n v="372.79"/>
    <s v="Land"/>
    <s v="Low"/>
    <x v="3"/>
    <n v="0.2029219807197174"/>
    <d v="2024-11-01T00:00:00"/>
    <s v="BlueWear"/>
    <s v="Bangladesh"/>
    <n v="40"/>
  </r>
  <r>
    <s v="ORD_2025_0054"/>
    <s v="Nov-2024"/>
    <s v="Johnson, Daniel"/>
    <s v="Japan"/>
    <x v="3"/>
    <s v="Apparel"/>
    <n v="18"/>
    <n v="50.87"/>
    <n v="915.66"/>
    <n v="49.93"/>
    <n v="145.72999999999999"/>
    <s v="Land"/>
    <s v="Medium"/>
    <x v="3"/>
    <n v="0.15915296070593887"/>
    <d v="2024-11-01T00:00:00"/>
    <s v="BlueWear"/>
    <s v="Bangladesh"/>
    <n v="40"/>
  </r>
  <r>
    <s v="ORD_2025_0055"/>
    <s v="Apr-2025"/>
    <s v="Jones, Sophia"/>
    <s v="South Africa"/>
    <x v="7"/>
    <s v="Home Decor"/>
    <n v="14"/>
    <n v="26.7"/>
    <n v="373.8"/>
    <n v="11.84"/>
    <n v="144.96"/>
    <s v="Air"/>
    <s v="Low"/>
    <x v="4"/>
    <n v="0.38780096308186196"/>
    <d v="2025-04-01T00:00:00"/>
    <s v="Artisans Co."/>
    <s v="India"/>
    <n v="15.5"/>
  </r>
  <r>
    <s v="ORD_2025_0056"/>
    <s v="Sep-2024"/>
    <s v="Garcia, Sarah"/>
    <s v="Usa"/>
    <x v="1"/>
    <s v="Accessories"/>
    <n v="16"/>
    <n v="28.96"/>
    <n v="463.36"/>
    <n v="35.65"/>
    <n v="139.71"/>
    <s v="Land"/>
    <s v="High"/>
    <x v="0"/>
    <n v="0.30151502071823205"/>
    <d v="2024-09-01T00:00:00"/>
    <s v="CraftLine"/>
    <s v="Italy"/>
    <n v="18"/>
  </r>
  <r>
    <s v="ORD_2025_0057"/>
    <s v="May-2024"/>
    <s v="Davis, James"/>
    <s v="Germany"/>
    <x v="1"/>
    <s v="Accessories"/>
    <n v="47"/>
    <n v="23.03"/>
    <n v="1082.4100000000001"/>
    <n v="50.12"/>
    <n v="186.29"/>
    <s v="Air"/>
    <s v="Low"/>
    <x v="1"/>
    <n v="0.1721066878539555"/>
    <d v="2024-05-01T00:00:00"/>
    <s v="CraftLine"/>
    <s v="Italy"/>
    <n v="18"/>
  </r>
  <r>
    <s v="ORD_2025_0058"/>
    <s v="May-2024"/>
    <s v="Garcia, Sarah"/>
    <s v="Australia"/>
    <x v="0"/>
    <s v="Accessories"/>
    <n v="18"/>
    <n v="50.03"/>
    <n v="900.54"/>
    <n v="68.44"/>
    <n v="202.1"/>
    <s v="Air"/>
    <s v="Low"/>
    <x v="5"/>
    <n v="0.22442090301374731"/>
    <d v="2024-05-01T00:00:00"/>
    <s v="CarryPro"/>
    <s v="Vietnam"/>
    <n v="35"/>
  </r>
  <r>
    <s v="ORD_2025_0059"/>
    <s v="Jul-2024"/>
    <s v="Williams, Michael"/>
    <s v="Uk"/>
    <x v="6"/>
    <s v="Textiles"/>
    <n v="38"/>
    <n v="32.07"/>
    <n v="1218.6600000000001"/>
    <n v="54.49"/>
    <n v="214.17"/>
    <s v="Air"/>
    <s v="High"/>
    <x v="1"/>
    <n v="0.17574220865540838"/>
    <d v="2024-07-01T00:00:00"/>
    <s v="SoftWeave"/>
    <s v="Turkey"/>
    <n v="25"/>
  </r>
  <r>
    <s v="ORD_2025_0060"/>
    <s v="Apr-2025"/>
    <s v="Hernandez, James"/>
    <s v="Brazil"/>
    <x v="2"/>
    <s v="Electronics"/>
    <n v="23"/>
    <n v="50.96"/>
    <n v="1172.08"/>
    <n v="61"/>
    <n v="375.08"/>
    <s v="Air"/>
    <s v="Medium"/>
    <x v="2"/>
    <n v="0.32001228585079516"/>
    <d v="2025-04-01T00:00:00"/>
    <s v="AudioTech Ltd."/>
    <s v="China"/>
    <n v="32"/>
  </r>
  <r>
    <s v="ORD_2025_0061"/>
    <s v="Mar-2025"/>
    <s v="Williams, Sarah"/>
    <s v="Japan"/>
    <x v="3"/>
    <s v="Apparel"/>
    <n v="46"/>
    <n v="70.599999999999994"/>
    <n v="3247.6"/>
    <n v="166.91"/>
    <n v="1240.69"/>
    <s v="Air"/>
    <s v="Medium"/>
    <x v="3"/>
    <n v="0.3820328858233773"/>
    <d v="2025-03-01T00:00:00"/>
    <s v="BlueWear"/>
    <s v="Bangladesh"/>
    <n v="40"/>
  </r>
  <r>
    <s v="ORD_2025_0062"/>
    <s v="Aug-2024"/>
    <s v="Johnson, Sarah"/>
    <s v="Japan"/>
    <x v="3"/>
    <s v="Apparel"/>
    <n v="15"/>
    <n v="53.36"/>
    <n v="800.4"/>
    <n v="56.29"/>
    <n v="144.11000000000001"/>
    <s v="Land"/>
    <s v="Low"/>
    <x v="3"/>
    <n v="0.18004747626186909"/>
    <d v="2024-08-01T00:00:00"/>
    <s v="BlueWear"/>
    <s v="Bangladesh"/>
    <n v="40"/>
  </r>
  <r>
    <s v="ORD_2025_0063"/>
    <s v="Mar-2024"/>
    <s v="Williams, Emily"/>
    <s v="Australia"/>
    <x v="2"/>
    <s v="Electronics"/>
    <n v="42"/>
    <n v="39.840000000000003"/>
    <n v="1673.28"/>
    <n v="132.74"/>
    <n v="196.54"/>
    <s v="Land"/>
    <s v="High"/>
    <x v="5"/>
    <n v="0.11745792694587875"/>
    <d v="2024-03-01T00:00:00"/>
    <s v="AudioTech Ltd."/>
    <s v="China"/>
    <n v="32"/>
  </r>
  <r>
    <s v="ORD_2025_0064"/>
    <s v="Apr-2025"/>
    <s v="Johnson, Daniel"/>
    <s v="Japan"/>
    <x v="6"/>
    <s v="Textiles"/>
    <n v="31"/>
    <n v="38.26"/>
    <n v="1186.06"/>
    <n v="69.33"/>
    <n v="341.73"/>
    <s v="Sea"/>
    <s v="Low"/>
    <x v="3"/>
    <n v="0.28812201743588017"/>
    <d v="2025-04-01T00:00:00"/>
    <s v="SoftWeave"/>
    <s v="Turkey"/>
    <n v="25"/>
  </r>
  <r>
    <s v="ORD_2025_0065"/>
    <s v="Oct-2024"/>
    <s v="Jones, Sophia"/>
    <s v="France"/>
    <x v="7"/>
    <s v="Home Decor"/>
    <n v="2"/>
    <n v="23.09"/>
    <n v="46.18"/>
    <n v="2.52"/>
    <n v="12.66"/>
    <s v="Sea"/>
    <s v="Medium"/>
    <x v="1"/>
    <n v="0.27414465136422694"/>
    <d v="2024-10-01T00:00:00"/>
    <s v="Artisans Co."/>
    <s v="India"/>
    <n v="15.5"/>
  </r>
  <r>
    <s v="ORD_2025_0066"/>
    <s v="Dec-2024"/>
    <s v="Hernandez, Emma"/>
    <s v="Uae"/>
    <x v="2"/>
    <s v="Electronics"/>
    <n v="40"/>
    <n v="46.81"/>
    <n v="1872.4"/>
    <n v="43.01"/>
    <n v="549.39"/>
    <s v="Land"/>
    <s v="High"/>
    <x v="3"/>
    <n v="0.29341486861781668"/>
    <d v="2024-12-01T00:00:00"/>
    <s v="AudioTech Ltd."/>
    <s v="China"/>
    <n v="32"/>
  </r>
  <r>
    <s v="ORD_2025_0067"/>
    <s v="Mar-2025"/>
    <s v="Brown, Daniel"/>
    <s v="China"/>
    <x v="2"/>
    <s v="Electronics"/>
    <n v="43"/>
    <n v="57.01"/>
    <n v="2451.4299999999998"/>
    <n v="115.04"/>
    <n v="960.39"/>
    <s v="Sea"/>
    <s v="Low"/>
    <x v="3"/>
    <n v="0.39176725421488684"/>
    <d v="2025-03-01T00:00:00"/>
    <s v="AudioTech Ltd."/>
    <s v="China"/>
    <n v="32"/>
  </r>
  <r>
    <s v="ORD_2025_0068"/>
    <s v="Mar-2024"/>
    <s v="Martinez, Daniel"/>
    <s v="Mexico"/>
    <x v="8"/>
    <s v="Electronics"/>
    <n v="15"/>
    <n v="22.23"/>
    <n v="333.45"/>
    <n v="16.89"/>
    <n v="125.31"/>
    <s v="Air"/>
    <s v="Medium"/>
    <x v="0"/>
    <n v="0.37579847053531268"/>
    <d v="2024-03-01T00:00:00"/>
    <s v="BrightHome"/>
    <s v="Vietnam"/>
    <n v="12.75"/>
  </r>
  <r>
    <s v="ORD_2025_0069"/>
    <s v="Aug-2024"/>
    <s v="Jones, Michael"/>
    <s v="France"/>
    <x v="7"/>
    <s v="Home Decor"/>
    <n v="15"/>
    <n v="19.23"/>
    <n v="288.45"/>
    <n v="20.22"/>
    <n v="35.729999999999997"/>
    <s v="Land"/>
    <s v="Low"/>
    <x v="1"/>
    <n v="0.12386895475819032"/>
    <d v="2024-08-01T00:00:00"/>
    <s v="Artisans Co."/>
    <s v="India"/>
    <n v="15.5"/>
  </r>
  <r>
    <s v="ORD_2025_0070"/>
    <s v="Jun-2024"/>
    <s v="Hernandez, Sophia"/>
    <s v="Italy"/>
    <x v="9"/>
    <s v="Home Decor"/>
    <n v="34"/>
    <n v="45.54"/>
    <n v="1548.36"/>
    <n v="36.76"/>
    <n v="559.6"/>
    <s v="Land"/>
    <s v="Low"/>
    <x v="1"/>
    <n v="0.36141465808984996"/>
    <d v="2024-06-01T00:00:00"/>
    <s v="BrightHome"/>
    <s v="India"/>
    <n v="28"/>
  </r>
  <r>
    <s v="ORD_2025_0071"/>
    <s v="Aug-2024"/>
    <s v="Garcia, Michael"/>
    <s v="France"/>
    <x v="3"/>
    <s v="Apparel"/>
    <n v="33"/>
    <n v="63.88"/>
    <n v="2108.04"/>
    <n v="111.7"/>
    <n v="676.34"/>
    <s v="Land"/>
    <s v="High"/>
    <x v="1"/>
    <n v="0.32083831426348647"/>
    <d v="2024-08-01T00:00:00"/>
    <s v="BlueWear"/>
    <s v="Bangladesh"/>
    <n v="40"/>
  </r>
  <r>
    <s v="ORD_2025_0072"/>
    <s v="Jun-2024"/>
    <s v="Johnson, Sarah"/>
    <s v="Germany"/>
    <x v="1"/>
    <s v="Accessories"/>
    <n v="39"/>
    <n v="25.38"/>
    <n v="989.82"/>
    <n v="50.82"/>
    <n v="237"/>
    <s v="Sea"/>
    <s v="Medium"/>
    <x v="1"/>
    <n v="0.23943747348002667"/>
    <d v="2024-06-01T00:00:00"/>
    <s v="CraftLine"/>
    <s v="Italy"/>
    <n v="18"/>
  </r>
  <r>
    <s v="ORD_2025_0073"/>
    <s v="Jun-2024"/>
    <s v="Smith, David"/>
    <s v="India"/>
    <x v="6"/>
    <s v="Textiles"/>
    <n v="9"/>
    <n v="38.979999999999997"/>
    <n v="350.82"/>
    <n v="25.56"/>
    <n v="100.26"/>
    <s v="Land"/>
    <s v="Low"/>
    <x v="3"/>
    <n v="0.28578758337609034"/>
    <d v="2024-06-01T00:00:00"/>
    <s v="SoftWeave"/>
    <s v="Turkey"/>
    <n v="25"/>
  </r>
  <r>
    <s v="ORD_2025_0074"/>
    <s v="Oct-2024"/>
    <s v="Miller, Sophia"/>
    <s v="South Africa"/>
    <x v="4"/>
    <s v="Electronics"/>
    <n v="14"/>
    <n v="35.86"/>
    <n v="502.04"/>
    <n v="40.130000000000003"/>
    <n v="181.91"/>
    <s v="Air"/>
    <s v="High"/>
    <x v="4"/>
    <n v="0.36234164608397734"/>
    <d v="2024-10-01T00:00:00"/>
    <s v="ClickTech"/>
    <s v="China"/>
    <n v="20"/>
  </r>
  <r>
    <s v="ORD_2025_0075"/>
    <s v="Jan-2024"/>
    <s v="Garcia, Laura"/>
    <s v="Japan"/>
    <x v="7"/>
    <s v="Home Decor"/>
    <n v="49"/>
    <n v="21.37"/>
    <n v="1047.1300000000001"/>
    <n v="65.98"/>
    <n v="221.65"/>
    <s v="Air"/>
    <s v="High"/>
    <x v="3"/>
    <n v="0.21167381318460934"/>
    <d v="2024-01-01T00:00:00"/>
    <s v="Artisans Co."/>
    <s v="India"/>
    <n v="15.5"/>
  </r>
  <r>
    <s v="ORD_2025_0076"/>
    <s v="Mar-2025"/>
    <s v="Davis, Michael"/>
    <s v="Mexico"/>
    <x v="1"/>
    <s v="Accessories"/>
    <n v="42"/>
    <n v="24.57"/>
    <n v="1031.94"/>
    <n v="56.45"/>
    <n v="219.49"/>
    <s v="Sea"/>
    <s v="Low"/>
    <x v="0"/>
    <n v="0.2126964746012365"/>
    <d v="2025-03-01T00:00:00"/>
    <s v="CraftLine"/>
    <s v="Italy"/>
    <n v="18"/>
  </r>
  <r>
    <s v="ORD_2025_0077"/>
    <s v="Nov-2024"/>
    <s v="Davis, Michael"/>
    <s v="Singapore"/>
    <x v="1"/>
    <s v="Accessories"/>
    <n v="42"/>
    <n v="26.39"/>
    <n v="1108.3800000000001"/>
    <n v="44.56"/>
    <n v="307.82"/>
    <s v="Sea"/>
    <s v="Low"/>
    <x v="3"/>
    <n v="0.27772063732654861"/>
    <d v="2024-11-01T00:00:00"/>
    <s v="CraftLine"/>
    <s v="Italy"/>
    <n v="18"/>
  </r>
  <r>
    <s v="ORD_2025_0078"/>
    <s v="Nov-2024"/>
    <s v="Garcia, Laura"/>
    <s v="Canada"/>
    <x v="4"/>
    <s v="Electronics"/>
    <n v="50"/>
    <n v="29.73"/>
    <n v="1486.5"/>
    <n v="96.77"/>
    <n v="389.73"/>
    <s v="Air"/>
    <s v="Low"/>
    <x v="0"/>
    <n v="0.26217961654894045"/>
    <d v="2024-11-01T00:00:00"/>
    <s v="ClickTech"/>
    <s v="China"/>
    <n v="20"/>
  </r>
  <r>
    <s v="ORD_2025_0079"/>
    <s v="Mar-2025"/>
    <s v="Miller, Sophia"/>
    <s v="China"/>
    <x v="7"/>
    <s v="Home Decor"/>
    <n v="39"/>
    <n v="20.56"/>
    <n v="801.84"/>
    <n v="43.55"/>
    <n v="153.79"/>
    <s v="Land"/>
    <s v="Low"/>
    <x v="3"/>
    <n v="0.19179636835278857"/>
    <d v="2025-03-01T00:00:00"/>
    <s v="Artisans Co."/>
    <s v="India"/>
    <n v="15.5"/>
  </r>
  <r>
    <s v="ORD_2025_0080"/>
    <s v="Jan-2024"/>
    <s v="Brown, Laura"/>
    <s v="China"/>
    <x v="7"/>
    <s v="Home Decor"/>
    <n v="48"/>
    <n v="24.36"/>
    <n v="1169.28"/>
    <n v="81.599999999999994"/>
    <n v="343.68"/>
    <s v="Air"/>
    <s v="High"/>
    <x v="3"/>
    <n v="0.29392446633825947"/>
    <d v="2024-01-01T00:00:00"/>
    <s v="Artisans Co."/>
    <s v="India"/>
    <n v="15.5"/>
  </r>
  <r>
    <s v="ORD_2025_0081"/>
    <s v="Sep-2024"/>
    <s v="Davis, Emma"/>
    <s v="Germany"/>
    <x v="5"/>
    <s v="Home Decor"/>
    <n v="40"/>
    <n v="27.95"/>
    <n v="1118"/>
    <n v="37.590000000000003"/>
    <n v="180.41"/>
    <s v="Air"/>
    <s v="High"/>
    <x v="1"/>
    <n v="0.16136851520572451"/>
    <d v="2024-09-01T00:00:00"/>
    <s v="ClearCraft"/>
    <s v="India"/>
    <n v="22.5"/>
  </r>
  <r>
    <s v="ORD_2025_0082"/>
    <s v="Feb-2025"/>
    <s v="Smith, Michael"/>
    <s v="India"/>
    <x v="9"/>
    <s v="Home Decor"/>
    <n v="21"/>
    <n v="40.19"/>
    <n v="843.99"/>
    <n v="32.4"/>
    <n v="223.59"/>
    <s v="Sea"/>
    <s v="Medium"/>
    <x v="3"/>
    <n v="0.26492020047630899"/>
    <d v="2025-02-01T00:00:00"/>
    <s v="BrightHome"/>
    <s v="India"/>
    <n v="28"/>
  </r>
  <r>
    <s v="ORD_2025_0083"/>
    <s v="Jun-2024"/>
    <s v="Davis, David"/>
    <s v="Singapore"/>
    <x v="8"/>
    <s v="Electronics"/>
    <n v="26"/>
    <n v="16.670000000000002"/>
    <n v="433.42"/>
    <n v="32.79"/>
    <n v="69.13"/>
    <s v="Air"/>
    <s v="Medium"/>
    <x v="3"/>
    <n v="0.15949886945687783"/>
    <d v="2024-06-01T00:00:00"/>
    <s v="BrightHome"/>
    <s v="Vietnam"/>
    <n v="12.75"/>
  </r>
  <r>
    <s v="ORD_2025_0084"/>
    <s v="Nov-2024"/>
    <s v="Hernandez, Laura"/>
    <s v="Brazil"/>
    <x v="2"/>
    <s v="Electronics"/>
    <n v="28"/>
    <n v="39.85"/>
    <n v="1115.8"/>
    <n v="43.87"/>
    <n v="175.93"/>
    <s v="Air"/>
    <s v="Low"/>
    <x v="2"/>
    <n v="0.15767162573937982"/>
    <d v="2024-11-01T00:00:00"/>
    <s v="AudioTech Ltd."/>
    <s v="China"/>
    <n v="32"/>
  </r>
  <r>
    <s v="ORD_2025_0085"/>
    <s v="Nov-2024"/>
    <s v="Hernandez, Laura"/>
    <s v="Mexico"/>
    <x v="8"/>
    <s v="Electronics"/>
    <n v="47"/>
    <n v="15.97"/>
    <n v="750.59"/>
    <n v="48.55"/>
    <n v="102.79"/>
    <s v="Air"/>
    <s v="High"/>
    <x v="0"/>
    <n v="0.13694560279246992"/>
    <d v="2024-11-01T00:00:00"/>
    <s v="BrightHome"/>
    <s v="Vietnam"/>
    <n v="12.75"/>
  </r>
  <r>
    <s v="ORD_2025_0086"/>
    <s v="Nov-2024"/>
    <s v="Smith, Daniel"/>
    <s v="China"/>
    <x v="3"/>
    <s v="Apparel"/>
    <n v="28"/>
    <n v="53.6"/>
    <n v="1500.8"/>
    <n v="68.55"/>
    <n v="312.25"/>
    <s v="Sea"/>
    <s v="Medium"/>
    <x v="3"/>
    <n v="0.20805570362473347"/>
    <d v="2024-11-01T00:00:00"/>
    <s v="BlueWear"/>
    <s v="Bangladesh"/>
    <n v="40"/>
  </r>
  <r>
    <s v="ORD_2025_0087"/>
    <s v="Dec-2024"/>
    <s v="Garcia, Sophia"/>
    <s v="India"/>
    <x v="9"/>
    <s v="Home Decor"/>
    <n v="37"/>
    <n v="40.049999999999997"/>
    <n v="1481.85"/>
    <n v="45.6"/>
    <n v="400.25"/>
    <s v="Land"/>
    <s v="High"/>
    <x v="3"/>
    <n v="0.2701015622363937"/>
    <d v="2024-12-01T00:00:00"/>
    <s v="BrightHome"/>
    <s v="India"/>
    <n v="28"/>
  </r>
  <r>
    <s v="ORD_2025_0088"/>
    <s v="Feb-2025"/>
    <s v="Brown, Sarah"/>
    <s v="Italy"/>
    <x v="0"/>
    <s v="Accessories"/>
    <n v="45"/>
    <n v="43.74"/>
    <n v="1968.3"/>
    <n v="80.55"/>
    <n v="312.75"/>
    <s v="Sea"/>
    <s v="High"/>
    <x v="1"/>
    <n v="0.15889346136259716"/>
    <d v="2025-02-01T00:00:00"/>
    <s v="CarryPro"/>
    <s v="Vietnam"/>
    <n v="35"/>
  </r>
  <r>
    <s v="ORD_2025_0089"/>
    <s v="Mar-2025"/>
    <s v="Davis, Emily"/>
    <s v="Uk"/>
    <x v="7"/>
    <s v="Home Decor"/>
    <n v="9"/>
    <n v="24.63"/>
    <n v="221.67"/>
    <n v="13.53"/>
    <n v="68.64"/>
    <s v="Sea"/>
    <s v="High"/>
    <x v="1"/>
    <n v="0.30964947895520373"/>
    <d v="2025-03-01T00:00:00"/>
    <s v="Artisans Co."/>
    <s v="India"/>
    <n v="15.5"/>
  </r>
  <r>
    <s v="ORD_2025_0090"/>
    <s v="Mar-2025"/>
    <s v="Johnson, Emma"/>
    <s v="South Africa"/>
    <x v="7"/>
    <s v="Home Decor"/>
    <n v="6"/>
    <n v="21.79"/>
    <n v="130.74"/>
    <n v="7.75"/>
    <n v="29.99"/>
    <s v="Sea"/>
    <s v="High"/>
    <x v="4"/>
    <n v="0.22938656876242922"/>
    <d v="2025-03-01T00:00:00"/>
    <s v="Artisans Co."/>
    <s v="India"/>
    <n v="15.5"/>
  </r>
  <r>
    <s v="ORD_2025_0091"/>
    <s v="Jul-2024"/>
    <s v="Johnson, James"/>
    <s v="France"/>
    <x v="0"/>
    <s v="Accessories"/>
    <n v="23"/>
    <n v="58.43"/>
    <n v="1343.89"/>
    <n v="38.729999999999997"/>
    <n v="500.16"/>
    <s v="Sea"/>
    <s v="Low"/>
    <x v="1"/>
    <n v="0.37217331775666163"/>
    <d v="2024-07-01T00:00:00"/>
    <s v="CarryPro"/>
    <s v="Vietnam"/>
    <n v="35"/>
  </r>
  <r>
    <s v="ORD_2025_0092"/>
    <s v="Sep-2024"/>
    <s v="Martinez, Sophia"/>
    <s v="Singapore"/>
    <x v="3"/>
    <s v="Apparel"/>
    <n v="19"/>
    <n v="67.06"/>
    <n v="1274.1400000000001"/>
    <n v="85.73"/>
    <n v="428.41"/>
    <s v="Land"/>
    <s v="Medium"/>
    <x v="3"/>
    <n v="0.33623463669612441"/>
    <d v="2024-09-01T00:00:00"/>
    <s v="BlueWear"/>
    <s v="Bangladesh"/>
    <n v="40"/>
  </r>
  <r>
    <s v="ORD_2025_0093"/>
    <s v="Jul-2024"/>
    <s v="Davis, Emily"/>
    <s v="Italy"/>
    <x v="1"/>
    <s v="Accessories"/>
    <n v="4"/>
    <n v="25.13"/>
    <n v="100.52"/>
    <n v="5.6"/>
    <n v="22.92"/>
    <s v="Sea"/>
    <s v="High"/>
    <x v="1"/>
    <n v="0.22801432550736175"/>
    <d v="2024-07-01T00:00:00"/>
    <s v="CraftLine"/>
    <s v="Italy"/>
    <n v="18"/>
  </r>
  <r>
    <s v="ORD_2025_0094"/>
    <s v="Apr-2025"/>
    <s v="Miller, Sarah"/>
    <s v="Italy"/>
    <x v="7"/>
    <s v="Home Decor"/>
    <n v="26"/>
    <n v="19.34"/>
    <n v="502.84"/>
    <n v="26.51"/>
    <n v="73.33"/>
    <s v="Sea"/>
    <s v="Low"/>
    <x v="1"/>
    <n v="0.14583167607986636"/>
    <d v="2025-04-01T00:00:00"/>
    <s v="Artisans Co."/>
    <s v="India"/>
    <n v="15.5"/>
  </r>
  <r>
    <s v="ORD_2025_0095"/>
    <s v="Sep-2024"/>
    <s v="Williams, James"/>
    <s v="South Africa"/>
    <x v="4"/>
    <s v="Electronics"/>
    <n v="26"/>
    <n v="35.81"/>
    <n v="931.06"/>
    <n v="61.06"/>
    <n v="350"/>
    <s v="Land"/>
    <s v="Low"/>
    <x v="4"/>
    <n v="0.37591562305329412"/>
    <d v="2024-09-01T00:00:00"/>
    <s v="ClickTech"/>
    <s v="China"/>
    <n v="20"/>
  </r>
  <r>
    <s v="ORD_2025_0096"/>
    <s v="Mar-2025"/>
    <s v="Garcia, Emma"/>
    <s v="Singapore"/>
    <x v="5"/>
    <s v="Home Decor"/>
    <n v="42"/>
    <n v="39.950000000000003"/>
    <n v="1677.9"/>
    <n v="93.95"/>
    <n v="638.95000000000005"/>
    <s v="Sea"/>
    <s v="Medium"/>
    <x v="3"/>
    <n v="0.38080338518386081"/>
    <d v="2025-03-01T00:00:00"/>
    <s v="ClearCraft"/>
    <s v="India"/>
    <n v="22.5"/>
  </r>
  <r>
    <s v="ORD_2025_0097"/>
    <s v="Jul-2024"/>
    <s v="Davis, David"/>
    <s v="Uae"/>
    <x v="0"/>
    <s v="Accessories"/>
    <n v="38"/>
    <n v="49.98"/>
    <n v="1899.24"/>
    <n v="112.91"/>
    <n v="456.33"/>
    <s v="Air"/>
    <s v="High"/>
    <x v="3"/>
    <n v="0.24026979212737726"/>
    <d v="2024-07-01T00:00:00"/>
    <s v="CarryPro"/>
    <s v="Vietnam"/>
    <n v="35"/>
  </r>
  <r>
    <s v="ORD_2025_0098"/>
    <s v="Aug-2024"/>
    <s v="Smith, Michael"/>
    <s v="Japan"/>
    <x v="9"/>
    <s v="Home Decor"/>
    <n v="1"/>
    <n v="45.84"/>
    <n v="45.84"/>
    <n v="1.26"/>
    <n v="16.579999999999998"/>
    <s v="Air"/>
    <s v="Low"/>
    <x v="3"/>
    <n v="0.3616928446771378"/>
    <d v="2024-08-01T00:00:00"/>
    <s v="BrightHome"/>
    <s v="India"/>
    <n v="28"/>
  </r>
  <r>
    <s v="ORD_2025_0099"/>
    <s v="Apr-2025"/>
    <s v="Davis, Emma"/>
    <s v="Australia"/>
    <x v="1"/>
    <s v="Accessories"/>
    <n v="38"/>
    <n v="26.34"/>
    <n v="1000.92"/>
    <n v="47.88"/>
    <n v="269.04000000000002"/>
    <s v="Land"/>
    <s v="Medium"/>
    <x v="5"/>
    <n v="0.26879271070615035"/>
    <d v="2025-04-01T00:00:00"/>
    <s v="CraftLine"/>
    <s v="Italy"/>
    <n v="18"/>
  </r>
  <r>
    <s v="ORD_2025_0100"/>
    <s v="Oct-2024"/>
    <s v="Martinez, Daniel"/>
    <s v="France"/>
    <x v="6"/>
    <s v="Textiles"/>
    <n v="30"/>
    <n v="36.43"/>
    <n v="1092.9000000000001"/>
    <n v="61.97"/>
    <n v="280.93"/>
    <s v="Air"/>
    <s v="Medium"/>
    <x v="1"/>
    <n v="0.25705005032482386"/>
    <d v="2024-10-01T00:00:00"/>
    <s v="SoftWeave"/>
    <s v="Turkey"/>
    <n v="25"/>
  </r>
  <r>
    <s v="ORD_2025_0101"/>
    <s v="Jun-2024"/>
    <s v="Hernandez, Laura"/>
    <s v="Italy"/>
    <x v="8"/>
    <s v="Electronics"/>
    <n v="9"/>
    <n v="22.27"/>
    <n v="200.43"/>
    <n v="13.21"/>
    <n v="72.47"/>
    <s v="Sea"/>
    <s v="Medium"/>
    <x v="1"/>
    <n v="0.36157261886943071"/>
    <d v="2024-06-01T00:00:00"/>
    <s v="BrightHome"/>
    <s v="Vietnam"/>
    <n v="12.75"/>
  </r>
  <r>
    <s v="ORD_2025_0102"/>
    <s v="Sep-2024"/>
    <s v="Jones, Laura"/>
    <s v="Australia"/>
    <x v="7"/>
    <s v="Home Decor"/>
    <n v="26"/>
    <n v="27.65"/>
    <n v="718.9"/>
    <n v="46.25"/>
    <n v="269.64999999999998"/>
    <s v="Sea"/>
    <s v="High"/>
    <x v="5"/>
    <n v="0.37508693837807761"/>
    <d v="2024-09-01T00:00:00"/>
    <s v="Artisans Co."/>
    <s v="India"/>
    <n v="15.5"/>
  </r>
  <r>
    <s v="ORD_2025_0103"/>
    <s v="Jul-2024"/>
    <s v="Davis, Emma"/>
    <s v="Uk"/>
    <x v="7"/>
    <s v="Home Decor"/>
    <n v="23"/>
    <n v="22.45"/>
    <n v="516.35"/>
    <n v="15.68"/>
    <n v="144.16999999999999"/>
    <s v="Air"/>
    <s v="High"/>
    <x v="1"/>
    <n v="0.2792098382879829"/>
    <d v="2024-07-01T00:00:00"/>
    <s v="Artisans Co."/>
    <s v="India"/>
    <n v="15.5"/>
  </r>
  <r>
    <s v="ORD_2025_0104"/>
    <s v="Aug-2024"/>
    <s v="Garcia, Emily"/>
    <s v="Uk"/>
    <x v="7"/>
    <s v="Home Decor"/>
    <n v="30"/>
    <n v="21.93"/>
    <n v="657.9"/>
    <n v="24.66"/>
    <n v="168.24"/>
    <s v="Sea"/>
    <s v="Low"/>
    <x v="1"/>
    <n v="0.25572275421796625"/>
    <d v="2024-08-01T00:00:00"/>
    <s v="Artisans Co."/>
    <s v="India"/>
    <n v="15.5"/>
  </r>
  <r>
    <s v="ORD_2025_0105"/>
    <s v="Sep-2024"/>
    <s v="Johnson, David"/>
    <s v="Singapore"/>
    <x v="8"/>
    <s v="Electronics"/>
    <n v="43"/>
    <n v="21.92"/>
    <n v="942.56"/>
    <n v="51.15"/>
    <n v="343.16"/>
    <s v="Land"/>
    <s v="High"/>
    <x v="3"/>
    <n v="0.36407231369886273"/>
    <d v="2024-09-01T00:00:00"/>
    <s v="BrightHome"/>
    <s v="Vietnam"/>
    <n v="12.75"/>
  </r>
  <r>
    <s v="ORD_2025_0106"/>
    <s v="Feb-2025"/>
    <s v="Martinez, Laura"/>
    <s v="Brazil"/>
    <x v="3"/>
    <s v="Apparel"/>
    <n v="3"/>
    <n v="56.21"/>
    <n v="168.63"/>
    <n v="7.56"/>
    <n v="41.07"/>
    <s v="Air"/>
    <s v="Low"/>
    <x v="2"/>
    <n v="0.24355096957836686"/>
    <d v="2025-02-01T00:00:00"/>
    <s v="BlueWear"/>
    <s v="Bangladesh"/>
    <n v="40"/>
  </r>
  <r>
    <s v="ORD_2025_0107"/>
    <s v="Apr-2024"/>
    <s v="Smith, Emily"/>
    <s v="Italy"/>
    <x v="8"/>
    <s v="Electronics"/>
    <n v="33"/>
    <n v="15.44"/>
    <n v="509.52"/>
    <n v="19.7"/>
    <n v="69.069999999999993"/>
    <s v="Land"/>
    <s v="High"/>
    <x v="1"/>
    <n v="0.13555895745014915"/>
    <d v="2024-04-01T00:00:00"/>
    <s v="BrightHome"/>
    <s v="Vietnam"/>
    <n v="12.75"/>
  </r>
  <r>
    <s v="ORD_2025_0108"/>
    <s v="Sep-2024"/>
    <s v="Hernandez, Sophia"/>
    <s v="South Africa"/>
    <x v="7"/>
    <s v="Home Decor"/>
    <n v="50"/>
    <n v="23.02"/>
    <n v="1151"/>
    <n v="69.3"/>
    <n v="306.7"/>
    <s v="Sea"/>
    <s v="Medium"/>
    <x v="4"/>
    <n v="0.26646394439617721"/>
    <d v="2024-09-01T00:00:00"/>
    <s v="Artisans Co."/>
    <s v="India"/>
    <n v="15.5"/>
  </r>
  <r>
    <s v="ORD_2025_0109"/>
    <s v="Mar-2024"/>
    <s v="Miller, Emily"/>
    <s v="Brazil"/>
    <x v="8"/>
    <s v="Electronics"/>
    <n v="8"/>
    <n v="17.010000000000002"/>
    <n v="136.08000000000001"/>
    <n v="8.84"/>
    <n v="25.24"/>
    <s v="Land"/>
    <s v="High"/>
    <x v="2"/>
    <n v="0.18547912992357435"/>
    <d v="2024-03-01T00:00:00"/>
    <s v="BrightHome"/>
    <s v="Vietnam"/>
    <n v="12.75"/>
  </r>
  <r>
    <s v="ORD_2025_0110"/>
    <s v="Oct-2024"/>
    <s v="Davis, Emma"/>
    <s v="France"/>
    <x v="1"/>
    <s v="Accessories"/>
    <n v="16"/>
    <n v="26.47"/>
    <n v="423.52"/>
    <n v="15.87"/>
    <n v="119.65"/>
    <s v="Sea"/>
    <s v="Low"/>
    <x v="1"/>
    <n v="0.28251322251605593"/>
    <d v="2024-10-01T00:00:00"/>
    <s v="CraftLine"/>
    <s v="Italy"/>
    <n v="18"/>
  </r>
  <r>
    <s v="ORD_2025_0111"/>
    <s v="Sep-2024"/>
    <s v="Jones, Michael"/>
    <s v="Brazil"/>
    <x v="2"/>
    <s v="Electronics"/>
    <n v="32"/>
    <n v="43.18"/>
    <n v="1381.76"/>
    <n v="88.54"/>
    <n v="269.22000000000003"/>
    <s v="Sea"/>
    <s v="High"/>
    <x v="2"/>
    <n v="0.19483846688281614"/>
    <d v="2024-09-01T00:00:00"/>
    <s v="AudioTech Ltd."/>
    <s v="China"/>
    <n v="32"/>
  </r>
  <r>
    <s v="ORD_2025_0112"/>
    <s v="Jun-2024"/>
    <s v="Smith, Sophia"/>
    <s v="Australia"/>
    <x v="7"/>
    <s v="Home Decor"/>
    <n v="29"/>
    <n v="18.850000000000001"/>
    <n v="546.65"/>
    <n v="13.22"/>
    <n v="83.93"/>
    <s v="Land"/>
    <s v="High"/>
    <x v="5"/>
    <n v="0.153535168755145"/>
    <d v="2024-06-01T00:00:00"/>
    <s v="Artisans Co."/>
    <s v="India"/>
    <n v="15.5"/>
  </r>
  <r>
    <s v="ORD_2025_0113"/>
    <s v="Jan-2025"/>
    <s v="Martinez, Emily"/>
    <s v="France"/>
    <x v="3"/>
    <s v="Apparel"/>
    <n v="16"/>
    <n v="64.400000000000006"/>
    <n v="1030.4000000000001"/>
    <n v="61.72"/>
    <n v="328.68"/>
    <s v="Sea"/>
    <s v="Medium"/>
    <x v="1"/>
    <n v="0.31898291925465838"/>
    <d v="2025-01-01T00:00:00"/>
    <s v="BlueWear"/>
    <s v="Bangladesh"/>
    <n v="40"/>
  </r>
  <r>
    <s v="ORD_2025_0114"/>
    <s v="Nov-2024"/>
    <s v="Hernandez, Daniel"/>
    <s v="Singapore"/>
    <x v="7"/>
    <s v="Home Decor"/>
    <n v="15"/>
    <n v="19.53"/>
    <n v="292.95"/>
    <n v="7.15"/>
    <n v="53.3"/>
    <s v="Air"/>
    <s v="Medium"/>
    <x v="3"/>
    <n v="0.18194231097456903"/>
    <d v="2024-11-01T00:00:00"/>
    <s v="Artisans Co."/>
    <s v="India"/>
    <n v="15.5"/>
  </r>
  <r>
    <s v="ORD_2025_0115"/>
    <s v="Jul-2024"/>
    <s v="Hernandez, John"/>
    <s v="Germany"/>
    <x v="4"/>
    <s v="Electronics"/>
    <n v="36"/>
    <n v="26.05"/>
    <n v="937.8"/>
    <n v="32.799999999999997"/>
    <n v="185"/>
    <s v="Land"/>
    <s v="High"/>
    <x v="1"/>
    <n v="0.19727020686713587"/>
    <d v="2024-07-01T00:00:00"/>
    <s v="ClickTech"/>
    <s v="China"/>
    <n v="20"/>
  </r>
  <r>
    <s v="ORD_2025_0116"/>
    <s v="Feb-2024"/>
    <s v="Miller, John"/>
    <s v="South Africa"/>
    <x v="2"/>
    <s v="Electronics"/>
    <n v="26"/>
    <n v="47.52"/>
    <n v="1235.52"/>
    <n v="31.41"/>
    <n v="372.11"/>
    <s v="Sea"/>
    <s v="Low"/>
    <x v="4"/>
    <n v="0.30117683242683246"/>
    <d v="2024-02-01T00:00:00"/>
    <s v="AudioTech Ltd."/>
    <s v="China"/>
    <n v="32"/>
  </r>
  <r>
    <s v="ORD_2025_0117"/>
    <s v="Sep-2024"/>
    <s v="Garcia, Emma"/>
    <s v="France"/>
    <x v="1"/>
    <s v="Accessories"/>
    <n v="38"/>
    <n v="26.38"/>
    <n v="1002.44"/>
    <n v="33.049999999999997"/>
    <n v="285.39"/>
    <s v="Sea"/>
    <s v="Low"/>
    <x v="1"/>
    <n v="0.28469534336219621"/>
    <d v="2024-09-01T00:00:00"/>
    <s v="CraftLine"/>
    <s v="Italy"/>
    <n v="18"/>
  </r>
  <r>
    <s v="ORD_2025_0118"/>
    <s v="Apr-2025"/>
    <s v="Brown, Sarah"/>
    <s v="Japan"/>
    <x v="8"/>
    <s v="Electronics"/>
    <n v="7"/>
    <n v="17.66"/>
    <n v="123.62"/>
    <n v="6.95"/>
    <n v="27.42"/>
    <s v="Land"/>
    <s v="Low"/>
    <x v="3"/>
    <n v="0.22180876880763631"/>
    <d v="2025-04-01T00:00:00"/>
    <s v="BrightHome"/>
    <s v="Vietnam"/>
    <n v="12.75"/>
  </r>
  <r>
    <s v="ORD_2025_0119"/>
    <s v="Nov-2024"/>
    <s v="Martinez, Emma"/>
    <s v="Australia"/>
    <x v="0"/>
    <s v="Accessories"/>
    <n v="26"/>
    <n v="51.5"/>
    <n v="1339"/>
    <n v="92.09"/>
    <n v="336.91"/>
    <s v="Sea"/>
    <s v="Medium"/>
    <x v="5"/>
    <n v="0.25161314413741598"/>
    <d v="2024-11-01T00:00:00"/>
    <s v="CarryPro"/>
    <s v="Vietnam"/>
    <n v="35"/>
  </r>
  <r>
    <s v="ORD_2025_0120"/>
    <s v="Apr-2025"/>
    <s v="Hernandez, David"/>
    <s v="Usa"/>
    <x v="7"/>
    <s v="Home Decor"/>
    <n v="27"/>
    <n v="25"/>
    <n v="675"/>
    <n v="15.49"/>
    <n v="241.01"/>
    <s v="Sea"/>
    <s v="Medium"/>
    <x v="0"/>
    <n v="0.35705185185185184"/>
    <d v="2025-04-01T00:00:00"/>
    <s v="Artisans Co."/>
    <s v="India"/>
    <n v="15.5"/>
  </r>
  <r>
    <s v="ORD_2025_0121"/>
    <s v="Jul-2024"/>
    <s v="Johnson, Michael"/>
    <s v="South Africa"/>
    <x v="8"/>
    <s v="Electronics"/>
    <n v="4"/>
    <n v="19"/>
    <n v="76"/>
    <n v="3.78"/>
    <n v="21.22"/>
    <s v="Sea"/>
    <s v="High"/>
    <x v="4"/>
    <n v="0.27921052631578946"/>
    <d v="2024-07-01T00:00:00"/>
    <s v="BrightHome"/>
    <s v="Vietnam"/>
    <n v="12.75"/>
  </r>
  <r>
    <s v="ORD_2025_0122"/>
    <s v="May-2024"/>
    <s v="Hernandez, Laura"/>
    <s v="Canada"/>
    <x v="7"/>
    <s v="Home Decor"/>
    <n v="24"/>
    <n v="26.63"/>
    <n v="639.12"/>
    <n v="31.92"/>
    <n v="235.2"/>
    <s v="Air"/>
    <s v="High"/>
    <x v="0"/>
    <n v="0.36800600826135937"/>
    <d v="2024-05-01T00:00:00"/>
    <s v="Artisans Co."/>
    <s v="India"/>
    <n v="15.5"/>
  </r>
  <r>
    <s v="ORD_2025_0123"/>
    <s v="Jan-2025"/>
    <s v="Smith, Sarah"/>
    <s v="Singapore"/>
    <x v="6"/>
    <s v="Textiles"/>
    <n v="26"/>
    <n v="43.14"/>
    <n v="1121.6400000000001"/>
    <n v="48.08"/>
    <n v="423.56"/>
    <s v="Land"/>
    <s v="Medium"/>
    <x v="3"/>
    <n v="0.37762561962840124"/>
    <d v="2025-01-01T00:00:00"/>
    <s v="SoftWeave"/>
    <s v="Turkey"/>
    <n v="25"/>
  </r>
  <r>
    <s v="ORD_2025_0124"/>
    <s v="Dec-2024"/>
    <s v="Davis, Emily"/>
    <s v="Canada"/>
    <x v="6"/>
    <s v="Textiles"/>
    <n v="39"/>
    <n v="30.01"/>
    <n v="1170.3900000000001"/>
    <n v="60.43"/>
    <n v="134.96"/>
    <s v="Sea"/>
    <s v="Low"/>
    <x v="0"/>
    <n v="0.11531199002042054"/>
    <d v="2024-12-01T00:00:00"/>
    <s v="SoftWeave"/>
    <s v="Turkey"/>
    <n v="25"/>
  </r>
  <r>
    <s v="ORD_2025_0125"/>
    <s v="Dec-2024"/>
    <s v="Martinez, John"/>
    <s v="Germany"/>
    <x v="5"/>
    <s v="Home Decor"/>
    <n v="5"/>
    <n v="31.31"/>
    <n v="156.55000000000001"/>
    <n v="4.04"/>
    <n v="40.01"/>
    <s v="Air"/>
    <s v="High"/>
    <x v="1"/>
    <n v="0.25557329926541039"/>
    <d v="2024-12-01T00:00:00"/>
    <s v="ClearCraft"/>
    <s v="India"/>
    <n v="22.5"/>
  </r>
  <r>
    <s v="ORD_2025_0126"/>
    <s v="Aug-2024"/>
    <s v="Davis, Michael"/>
    <s v="Usa"/>
    <x v="9"/>
    <s v="Home Decor"/>
    <n v="42"/>
    <n v="36.950000000000003"/>
    <n v="1551.9"/>
    <n v="74.260000000000005"/>
    <n v="301.64"/>
    <s v="Sea"/>
    <s v="Medium"/>
    <x v="0"/>
    <n v="0.19436819382692183"/>
    <d v="2024-08-01T00:00:00"/>
    <s v="BrightHome"/>
    <s v="India"/>
    <n v="28"/>
  </r>
  <r>
    <s v="ORD_2025_0127"/>
    <s v="Jan-2025"/>
    <s v="Garcia, David"/>
    <s v="Singapore"/>
    <x v="3"/>
    <s v="Apparel"/>
    <n v="36"/>
    <n v="57.37"/>
    <n v="2065.3200000000002"/>
    <n v="94.34"/>
    <n v="530.98"/>
    <s v="Air"/>
    <s v="Low"/>
    <x v="3"/>
    <n v="0.25709333178393662"/>
    <d v="2025-01-01T00:00:00"/>
    <s v="BlueWear"/>
    <s v="Bangladesh"/>
    <n v="40"/>
  </r>
  <r>
    <s v="ORD_2025_0128"/>
    <s v="Nov-2024"/>
    <s v="Miller, Daniel"/>
    <s v="Uae"/>
    <x v="9"/>
    <s v="Home Decor"/>
    <n v="13"/>
    <n v="40.18"/>
    <n v="522.34"/>
    <n v="37.369999999999997"/>
    <n v="120.97"/>
    <s v="Sea"/>
    <s v="High"/>
    <x v="3"/>
    <n v="0.23159244936248419"/>
    <d v="2024-11-01T00:00:00"/>
    <s v="BrightHome"/>
    <s v="India"/>
    <n v="28"/>
  </r>
  <r>
    <s v="ORD_2025_0129"/>
    <s v="Apr-2025"/>
    <s v="Miller, Sarah"/>
    <s v="Japan"/>
    <x v="2"/>
    <s v="Electronics"/>
    <n v="37"/>
    <n v="39.299999999999997"/>
    <n v="1454.1"/>
    <n v="67.08"/>
    <n v="203.02"/>
    <s v="Air"/>
    <s v="Low"/>
    <x v="3"/>
    <n v="0.13961900832129842"/>
    <d v="2025-04-01T00:00:00"/>
    <s v="AudioTech Ltd."/>
    <s v="China"/>
    <n v="32"/>
  </r>
  <r>
    <s v="ORD_2025_0130"/>
    <s v="Apr-2025"/>
    <s v="Hernandez, Laura"/>
    <s v="Canada"/>
    <x v="2"/>
    <s v="Electronics"/>
    <n v="17"/>
    <n v="43.28"/>
    <n v="735.76"/>
    <n v="50.96"/>
    <n v="140.80000000000001"/>
    <s v="Sea"/>
    <s v="Medium"/>
    <x v="0"/>
    <n v="0.19136675002718279"/>
    <d v="2025-04-01T00:00:00"/>
    <s v="AudioTech Ltd."/>
    <s v="China"/>
    <n v="32"/>
  </r>
  <r>
    <s v="ORD_2025_0131"/>
    <s v="Oct-2024"/>
    <s v="Smith, Emily"/>
    <s v="Uae"/>
    <x v="0"/>
    <s v="Accessories"/>
    <n v="22"/>
    <n v="62.79"/>
    <n v="1381.38"/>
    <n v="75.84"/>
    <n v="535.54"/>
    <s v="Air"/>
    <s v="High"/>
    <x v="3"/>
    <n v="0.38768477898912673"/>
    <d v="2024-10-01T00:00:00"/>
    <s v="CarryPro"/>
    <s v="Vietnam"/>
    <n v="35"/>
  </r>
  <r>
    <s v="ORD_2025_0132"/>
    <s v="Apr-2025"/>
    <s v="Hernandez, James"/>
    <s v="Germany"/>
    <x v="3"/>
    <s v="Apparel"/>
    <n v="23"/>
    <n v="56.76"/>
    <n v="1305.48"/>
    <n v="62.93"/>
    <n v="322.55"/>
    <s v="Air"/>
    <s v="High"/>
    <x v="1"/>
    <n v="0.24707387321138585"/>
    <d v="2025-04-01T00:00:00"/>
    <s v="BlueWear"/>
    <s v="Bangladesh"/>
    <n v="40"/>
  </r>
  <r>
    <s v="ORD_2025_0133"/>
    <s v="Jul-2024"/>
    <s v="Davis, John"/>
    <s v="Uk"/>
    <x v="3"/>
    <s v="Apparel"/>
    <n v="22"/>
    <n v="60.13"/>
    <n v="1322.86"/>
    <n v="54.06"/>
    <n v="388.8"/>
    <s v="Air"/>
    <s v="Medium"/>
    <x v="1"/>
    <n v="0.2939086524651135"/>
    <d v="2024-07-01T00:00:00"/>
    <s v="BlueWear"/>
    <s v="Bangladesh"/>
    <n v="40"/>
  </r>
  <r>
    <s v="ORD_2025_0134"/>
    <s v="Jan-2025"/>
    <s v="Smith, James"/>
    <s v="Singapore"/>
    <x v="6"/>
    <s v="Textiles"/>
    <n v="21"/>
    <n v="40.98"/>
    <n v="860.58"/>
    <n v="37.01"/>
    <n v="298.57"/>
    <s v="Land"/>
    <s v="High"/>
    <x v="3"/>
    <n v="0.34694043552023052"/>
    <d v="2025-01-01T00:00:00"/>
    <s v="SoftWeave"/>
    <s v="Turkey"/>
    <n v="25"/>
  </r>
  <r>
    <s v="ORD_2025_0135"/>
    <s v="Dec-2024"/>
    <s v="Miller, David"/>
    <s v="Brazil"/>
    <x v="3"/>
    <s v="Apparel"/>
    <n v="36"/>
    <n v="54.6"/>
    <n v="1965.6"/>
    <n v="150.34"/>
    <n v="375.26"/>
    <s v="Sea"/>
    <s v="Low"/>
    <x v="2"/>
    <n v="0.19091371591371592"/>
    <d v="2024-12-01T00:00:00"/>
    <s v="BlueWear"/>
    <s v="Bangladesh"/>
    <n v="40"/>
  </r>
  <r>
    <s v="ORD_2025_0136"/>
    <s v="Jul-2024"/>
    <s v="Miller, Emily"/>
    <s v="Italy"/>
    <x v="7"/>
    <s v="Home Decor"/>
    <n v="1"/>
    <n v="27.49"/>
    <n v="27.49"/>
    <n v="0.63"/>
    <n v="11.36"/>
    <s v="Sea"/>
    <s v="High"/>
    <x v="1"/>
    <n v="0.41324117861040377"/>
    <d v="2024-07-01T00:00:00"/>
    <s v="Artisans Co."/>
    <s v="India"/>
    <n v="15.5"/>
  </r>
  <r>
    <s v="ORD_2025_0137"/>
    <s v="Jan-2024"/>
    <s v="Brown, Emily"/>
    <s v="Singapore"/>
    <x v="2"/>
    <s v="Electronics"/>
    <n v="50"/>
    <n v="41.11"/>
    <n v="2055.5"/>
    <n v="95.61"/>
    <n v="359.89"/>
    <s v="Air"/>
    <s v="Medium"/>
    <x v="3"/>
    <n v="0.17508635368523473"/>
    <d v="2024-01-01T00:00:00"/>
    <s v="AudioTech Ltd."/>
    <s v="China"/>
    <n v="32"/>
  </r>
  <r>
    <s v="ORD_2025_0138"/>
    <s v="Dec-2024"/>
    <s v="Smith, Michael"/>
    <s v="China"/>
    <x v="7"/>
    <s v="Home Decor"/>
    <n v="18"/>
    <n v="25.54"/>
    <n v="459.72"/>
    <n v="27.02"/>
    <n v="153.69999999999999"/>
    <s v="Sea"/>
    <s v="Low"/>
    <x v="3"/>
    <n v="0.33433394239972153"/>
    <d v="2024-12-01T00:00:00"/>
    <s v="Artisans Co."/>
    <s v="India"/>
    <n v="15.5"/>
  </r>
  <r>
    <s v="ORD_2025_0139"/>
    <s v="Jan-2025"/>
    <s v="Martinez, Emily"/>
    <s v="Japan"/>
    <x v="9"/>
    <s v="Home Decor"/>
    <n v="4"/>
    <n v="47.52"/>
    <n v="190.08"/>
    <n v="10.23"/>
    <n v="67.849999999999994"/>
    <s v="Land"/>
    <s v="Low"/>
    <x v="3"/>
    <n v="0.35695496632996626"/>
    <d v="2025-01-01T00:00:00"/>
    <s v="BrightHome"/>
    <s v="India"/>
    <n v="28"/>
  </r>
  <r>
    <s v="ORD_2025_0140"/>
    <s v="Aug-2024"/>
    <s v="Jones, Michael"/>
    <s v="Italy"/>
    <x v="6"/>
    <s v="Textiles"/>
    <n v="29"/>
    <n v="30.48"/>
    <n v="883.92"/>
    <n v="33.15"/>
    <n v="125.77"/>
    <s v="Air"/>
    <s v="Low"/>
    <x v="1"/>
    <n v="0.14228663227441399"/>
    <d v="2024-08-01T00:00:00"/>
    <s v="SoftWeave"/>
    <s v="Turkey"/>
    <n v="25"/>
  </r>
  <r>
    <s v="ORD_2025_0141"/>
    <s v="Mar-2024"/>
    <s v="Martinez, Daniel"/>
    <s v="South Africa"/>
    <x v="3"/>
    <s v="Apparel"/>
    <n v="27"/>
    <n v="50.39"/>
    <n v="1360.53"/>
    <n v="106.4"/>
    <n v="174.13"/>
    <s v="Sea"/>
    <s v="Medium"/>
    <x v="4"/>
    <n v="0.12798688746297399"/>
    <d v="2024-03-01T00:00:00"/>
    <s v="BlueWear"/>
    <s v="Bangladesh"/>
    <n v="40"/>
  </r>
  <r>
    <s v="ORD_2025_0142"/>
    <s v="Jan-2025"/>
    <s v="Johnson, Daniel"/>
    <s v="Germany"/>
    <x v="6"/>
    <s v="Textiles"/>
    <n v="34"/>
    <n v="37.68"/>
    <n v="1281.1199999999999"/>
    <n v="54.86"/>
    <n v="376.26"/>
    <s v="Air"/>
    <s v="Low"/>
    <x v="1"/>
    <n v="0.2936961408767329"/>
    <d v="2025-01-01T00:00:00"/>
    <s v="SoftWeave"/>
    <s v="Turkey"/>
    <n v="25"/>
  </r>
  <r>
    <s v="ORD_2025_0143"/>
    <s v="Apr-2025"/>
    <s v="Brown, James"/>
    <s v="Japan"/>
    <x v="6"/>
    <s v="Textiles"/>
    <n v="3"/>
    <n v="39.32"/>
    <n v="117.96"/>
    <n v="6.97"/>
    <n v="35.99"/>
    <s v="Sea"/>
    <s v="Medium"/>
    <x v="3"/>
    <n v="0.3051034248897932"/>
    <d v="2025-04-01T00:00:00"/>
    <s v="SoftWeave"/>
    <s v="Turkey"/>
    <n v="25"/>
  </r>
  <r>
    <s v="ORD_2025_0144"/>
    <s v="Dec-2024"/>
    <s v="Hernandez, Daniel"/>
    <s v="Canada"/>
    <x v="8"/>
    <s v="Electronics"/>
    <n v="24"/>
    <n v="18"/>
    <n v="432"/>
    <n v="22.68"/>
    <n v="103.32"/>
    <s v="Land"/>
    <s v="High"/>
    <x v="0"/>
    <n v="0.23916666666666664"/>
    <d v="2024-12-01T00:00:00"/>
    <s v="BrightHome"/>
    <s v="Vietnam"/>
    <n v="12.75"/>
  </r>
  <r>
    <s v="ORD_2025_0145"/>
    <s v="Dec-2024"/>
    <s v="Jones, Laura"/>
    <s v="Uk"/>
    <x v="5"/>
    <s v="Home Decor"/>
    <n v="5"/>
    <n v="36.43"/>
    <n v="182.15"/>
    <n v="7.82"/>
    <n v="61.83"/>
    <s v="Land"/>
    <s v="High"/>
    <x v="1"/>
    <n v="0.33944551194070821"/>
    <d v="2024-12-01T00:00:00"/>
    <s v="ClearCraft"/>
    <s v="India"/>
    <n v="22.5"/>
  </r>
  <r>
    <s v="ORD_2025_0146"/>
    <s v="Jul-2024"/>
    <s v="Miller, Laura"/>
    <s v="China"/>
    <x v="5"/>
    <s v="Home Decor"/>
    <n v="27"/>
    <n v="38.39"/>
    <n v="1036.53"/>
    <n v="28.6"/>
    <n v="400.43"/>
    <s v="Sea"/>
    <s v="Low"/>
    <x v="3"/>
    <n v="0.38631781038657831"/>
    <d v="2024-07-01T00:00:00"/>
    <s v="ClearCraft"/>
    <s v="India"/>
    <n v="22.5"/>
  </r>
  <r>
    <s v="ORD_2025_0147"/>
    <s v="May-2024"/>
    <s v="Jones, David"/>
    <s v="Brazil"/>
    <x v="9"/>
    <s v="Home Decor"/>
    <n v="10"/>
    <n v="47.5"/>
    <n v="475"/>
    <n v="15.95"/>
    <n v="179.05"/>
    <s v="Land"/>
    <s v="Low"/>
    <x v="2"/>
    <n v="0.37694736842105264"/>
    <d v="2024-05-01T00:00:00"/>
    <s v="BrightHome"/>
    <s v="India"/>
    <n v="28"/>
  </r>
  <r>
    <s v="ORD_2025_0148"/>
    <s v="Jun-2024"/>
    <s v="Johnson, Sophia"/>
    <s v="Uae"/>
    <x v="2"/>
    <s v="Electronics"/>
    <n v="47"/>
    <n v="50.13"/>
    <n v="2356.11"/>
    <n v="166.22"/>
    <n v="685.89"/>
    <s v="Land"/>
    <s v="Low"/>
    <x v="3"/>
    <n v="0.29111119599679131"/>
    <d v="2024-06-01T00:00:00"/>
    <s v="AudioTech Ltd."/>
    <s v="China"/>
    <n v="32"/>
  </r>
  <r>
    <s v="ORD_2025_0149"/>
    <s v="Oct-2024"/>
    <s v="Davis, Sophia"/>
    <s v="Mexico"/>
    <x v="9"/>
    <s v="Home Decor"/>
    <n v="47"/>
    <n v="42.25"/>
    <n v="1985.75"/>
    <n v="116.75"/>
    <n v="553"/>
    <s v="Sea"/>
    <s v="Low"/>
    <x v="0"/>
    <n v="0.27848419992446177"/>
    <d v="2024-10-01T00:00:00"/>
    <s v="BrightHome"/>
    <s v="India"/>
    <n v="28"/>
  </r>
  <r>
    <s v="ORD_2025_0150"/>
    <s v="Mar-2024"/>
    <s v="Jones, Daniel"/>
    <s v="China"/>
    <x v="6"/>
    <s v="Textiles"/>
    <n v="18"/>
    <n v="38.26"/>
    <n v="688.68"/>
    <n v="18.78"/>
    <n v="219.9"/>
    <s v="Sea"/>
    <s v="Low"/>
    <x v="3"/>
    <n v="0.31930649939013767"/>
    <d v="2024-03-01T00:00:00"/>
    <s v="SoftWeave"/>
    <s v="Turkey"/>
    <n v="25"/>
  </r>
  <r>
    <s v="ORD_2025_0151"/>
    <s v="Feb-2024"/>
    <s v="Miller, Michael"/>
    <s v="Singapore"/>
    <x v="9"/>
    <s v="Home Decor"/>
    <n v="31"/>
    <n v="46.66"/>
    <n v="1446.46"/>
    <n v="109.24"/>
    <n v="469.22"/>
    <s v="Land"/>
    <s v="High"/>
    <x v="3"/>
    <n v="0.32439196382893409"/>
    <d v="2024-02-01T00:00:00"/>
    <s v="BrightHome"/>
    <s v="India"/>
    <n v="28"/>
  </r>
  <r>
    <s v="ORD_2025_0152"/>
    <s v="Mar-2024"/>
    <s v="Davis, Laura"/>
    <s v="South Africa"/>
    <x v="2"/>
    <s v="Electronics"/>
    <n v="41"/>
    <n v="52.65"/>
    <n v="2158.65"/>
    <n v="110.1"/>
    <n v="736.55"/>
    <s v="Sea"/>
    <s v="High"/>
    <x v="4"/>
    <n v="0.34120862576147126"/>
    <d v="2024-03-01T00:00:00"/>
    <s v="AudioTech Ltd."/>
    <s v="China"/>
    <n v="32"/>
  </r>
  <r>
    <s v="ORD_2025_0153"/>
    <s v="Mar-2024"/>
    <s v="Williams, Laura"/>
    <s v="Japan"/>
    <x v="1"/>
    <s v="Accessories"/>
    <n v="28"/>
    <n v="22.66"/>
    <n v="634.48"/>
    <n v="15.55"/>
    <n v="114.93"/>
    <s v="Air"/>
    <s v="Low"/>
    <x v="3"/>
    <n v="0.1811404614802673"/>
    <d v="2024-03-01T00:00:00"/>
    <s v="CraftLine"/>
    <s v="Italy"/>
    <n v="18"/>
  </r>
  <r>
    <s v="ORD_2025_0154"/>
    <s v="Feb-2025"/>
    <s v="Brown, James"/>
    <s v="Mexico"/>
    <x v="7"/>
    <s v="Home Decor"/>
    <n v="48"/>
    <n v="25.07"/>
    <n v="1203.3599999999999"/>
    <n v="29.93"/>
    <n v="429.43"/>
    <s v="Sea"/>
    <s v="Medium"/>
    <x v="0"/>
    <n v="0.35685912777556178"/>
    <d v="2025-02-01T00:00:00"/>
    <s v="Artisans Co."/>
    <s v="India"/>
    <n v="15.5"/>
  </r>
  <r>
    <s v="ORD_2025_0155"/>
    <s v="May-2024"/>
    <s v="Miller, Daniel"/>
    <s v="Brazil"/>
    <x v="1"/>
    <s v="Accessories"/>
    <n v="31"/>
    <n v="30.53"/>
    <n v="946.43"/>
    <n v="72.150000000000006"/>
    <n v="316.27999999999997"/>
    <s v="Air"/>
    <s v="Medium"/>
    <x v="2"/>
    <n v="0.33418213708356664"/>
    <d v="2024-05-01T00:00:00"/>
    <s v="CraftLine"/>
    <s v="Italy"/>
    <n v="18"/>
  </r>
  <r>
    <s v="ORD_2025_0156"/>
    <s v="Dec-2024"/>
    <s v="Hernandez, Michael"/>
    <s v="South Africa"/>
    <x v="5"/>
    <s v="Home Decor"/>
    <n v="33"/>
    <n v="31"/>
    <n v="1023"/>
    <n v="63.94"/>
    <n v="216.56"/>
    <s v="Sea"/>
    <s v="Low"/>
    <x v="4"/>
    <n v="0.21169110459433041"/>
    <d v="2024-12-01T00:00:00"/>
    <s v="ClearCraft"/>
    <s v="India"/>
    <n v="22.5"/>
  </r>
  <r>
    <s v="ORD_2025_0157"/>
    <s v="Oct-2024"/>
    <s v="Smith, Michael"/>
    <s v="Uk"/>
    <x v="7"/>
    <s v="Home Decor"/>
    <n v="32"/>
    <n v="20.86"/>
    <n v="667.52"/>
    <n v="21.62"/>
    <n v="149.9"/>
    <s v="Air"/>
    <s v="High"/>
    <x v="1"/>
    <n v="0.22456255992329818"/>
    <d v="2024-10-01T00:00:00"/>
    <s v="Artisans Co."/>
    <s v="India"/>
    <n v="15.5"/>
  </r>
  <r>
    <s v="ORD_2025_0158"/>
    <s v="Sep-2024"/>
    <s v="Brown, Sarah"/>
    <s v="Germany"/>
    <x v="4"/>
    <s v="Electronics"/>
    <n v="18"/>
    <n v="24.61"/>
    <n v="442.98"/>
    <n v="26.99"/>
    <n v="55.99"/>
    <s v="Air"/>
    <s v="Low"/>
    <x v="1"/>
    <n v="0.12639396812497178"/>
    <d v="2024-09-01T00:00:00"/>
    <s v="ClickTech"/>
    <s v="China"/>
    <n v="20"/>
  </r>
  <r>
    <s v="ORD_2025_0159"/>
    <s v="Oct-2024"/>
    <s v="Williams, Daniel"/>
    <s v="Singapore"/>
    <x v="3"/>
    <s v="Apparel"/>
    <n v="18"/>
    <n v="64.83"/>
    <n v="1166.94"/>
    <n v="34.28"/>
    <n v="412.66"/>
    <s v="Air"/>
    <s v="Low"/>
    <x v="3"/>
    <n v="0.35362572197370901"/>
    <d v="2024-10-01T00:00:00"/>
    <s v="BlueWear"/>
    <s v="Bangladesh"/>
    <n v="40"/>
  </r>
  <r>
    <s v="ORD_2025_0160"/>
    <s v="Jul-2024"/>
    <s v="Brown, John"/>
    <s v="Mexico"/>
    <x v="4"/>
    <s v="Electronics"/>
    <n v="49"/>
    <n v="29.52"/>
    <n v="1446.48"/>
    <n v="104.7"/>
    <n v="361.78"/>
    <s v="Air"/>
    <s v="High"/>
    <x v="0"/>
    <n v="0.25011061335103146"/>
    <d v="2024-07-01T00:00:00"/>
    <s v="ClickTech"/>
    <s v="China"/>
    <n v="20"/>
  </r>
  <r>
    <s v="ORD_2025_0161"/>
    <s v="Jul-2024"/>
    <s v="Martinez, David"/>
    <s v="South Africa"/>
    <x v="4"/>
    <s v="Electronics"/>
    <n v="10"/>
    <n v="26.73"/>
    <n v="267.3"/>
    <n v="10.210000000000001"/>
    <n v="57.09"/>
    <s v="Air"/>
    <s v="High"/>
    <x v="4"/>
    <n v="0.21358024691358024"/>
    <d v="2024-07-01T00:00:00"/>
    <s v="ClickTech"/>
    <s v="China"/>
    <n v="20"/>
  </r>
  <r>
    <s v="ORD_2025_0162"/>
    <s v="Feb-2024"/>
    <s v="Martinez, Laura"/>
    <s v="Uk"/>
    <x v="2"/>
    <s v="Electronics"/>
    <n v="10"/>
    <n v="54.45"/>
    <n v="544.5"/>
    <n v="16.59"/>
    <n v="207.91"/>
    <s v="Land"/>
    <s v="Low"/>
    <x v="1"/>
    <n v="0.38183654729109273"/>
    <d v="2024-02-01T00:00:00"/>
    <s v="AudioTech Ltd."/>
    <s v="China"/>
    <n v="32"/>
  </r>
  <r>
    <s v="ORD_2025_0163"/>
    <s v="Jun-2024"/>
    <s v="Martinez, Laura"/>
    <s v="India"/>
    <x v="1"/>
    <s v="Accessories"/>
    <n v="46"/>
    <n v="30.06"/>
    <n v="1382.76"/>
    <n v="77.17"/>
    <n v="477.59"/>
    <s v="Sea"/>
    <s v="Medium"/>
    <x v="3"/>
    <n v="0.34538893228036677"/>
    <d v="2024-06-01T00:00:00"/>
    <s v="CraftLine"/>
    <s v="Italy"/>
    <n v="18"/>
  </r>
  <r>
    <s v="ORD_2025_0164"/>
    <s v="Feb-2024"/>
    <s v="Johnson, Emily"/>
    <s v="Mexico"/>
    <x v="7"/>
    <s v="Home Decor"/>
    <n v="25"/>
    <n v="21.52"/>
    <n v="538"/>
    <n v="26.73"/>
    <n v="123.77"/>
    <s v="Sea"/>
    <s v="Low"/>
    <x v="0"/>
    <n v="0.23005576208178438"/>
    <d v="2024-02-01T00:00:00"/>
    <s v="Artisans Co."/>
    <s v="India"/>
    <n v="15.5"/>
  </r>
  <r>
    <s v="ORD_2025_0165"/>
    <s v="Feb-2024"/>
    <s v="Garcia, Emma"/>
    <s v="India"/>
    <x v="1"/>
    <s v="Accessories"/>
    <n v="5"/>
    <n v="26.25"/>
    <n v="131.25"/>
    <n v="3.35"/>
    <n v="37.9"/>
    <s v="Sea"/>
    <s v="Medium"/>
    <x v="3"/>
    <n v="0.28876190476190478"/>
    <d v="2024-02-01T00:00:00"/>
    <s v="CraftLine"/>
    <s v="Italy"/>
    <n v="18"/>
  </r>
  <r>
    <s v="ORD_2025_0166"/>
    <s v="Jun-2024"/>
    <s v="Garcia, John"/>
    <s v="Uk"/>
    <x v="6"/>
    <s v="Textiles"/>
    <n v="10"/>
    <n v="31.48"/>
    <n v="314.8"/>
    <n v="10.23"/>
    <n v="54.57"/>
    <s v="Air"/>
    <s v="High"/>
    <x v="1"/>
    <n v="0.17334815756035576"/>
    <d v="2024-06-01T00:00:00"/>
    <s v="SoftWeave"/>
    <s v="Turkey"/>
    <n v="25"/>
  </r>
  <r>
    <s v="ORD_2025_0167"/>
    <s v="Aug-2024"/>
    <s v="Smith, Sophia"/>
    <s v="Brazil"/>
    <x v="4"/>
    <s v="Electronics"/>
    <n v="21"/>
    <n v="30.91"/>
    <n v="649.11"/>
    <n v="38.42"/>
    <n v="190.69"/>
    <s v="Sea"/>
    <s v="High"/>
    <x v="2"/>
    <n v="0.29377147170741474"/>
    <d v="2024-08-01T00:00:00"/>
    <s v="ClickTech"/>
    <s v="China"/>
    <n v="20"/>
  </r>
  <r>
    <s v="ORD_2025_0168"/>
    <s v="May-2025"/>
    <s v="Jones, Emily"/>
    <s v="Singapore"/>
    <x v="8"/>
    <s v="Electronics"/>
    <n v="29"/>
    <n v="18.47"/>
    <n v="535.63"/>
    <n v="13.21"/>
    <n v="152.66999999999999"/>
    <s v="Land"/>
    <s v="Low"/>
    <x v="3"/>
    <n v="0.28502884453820732"/>
    <d v="2025-05-01T00:00:00"/>
    <s v="BrightHome"/>
    <s v="Vietnam"/>
    <n v="12.75"/>
  </r>
  <r>
    <s v="ORD_2025_0169"/>
    <s v="Nov-2024"/>
    <s v="Williams, Laura"/>
    <s v="Mexico"/>
    <x v="0"/>
    <s v="Accessories"/>
    <n v="36"/>
    <n v="44.79"/>
    <n v="1612.44"/>
    <n v="68.599999999999994"/>
    <n v="283.83999999999997"/>
    <s v="Air"/>
    <s v="Medium"/>
    <x v="0"/>
    <n v="0.1760313562055022"/>
    <d v="2024-11-01T00:00:00"/>
    <s v="CarryPro"/>
    <s v="Vietnam"/>
    <n v="35"/>
  </r>
  <r>
    <s v="ORD_2025_0170"/>
    <s v="Apr-2024"/>
    <s v="Miller, James"/>
    <s v="Brazil"/>
    <x v="7"/>
    <s v="Home Decor"/>
    <n v="3"/>
    <n v="18.86"/>
    <n v="56.58"/>
    <n v="2.61"/>
    <n v="7.47"/>
    <s v="Sea"/>
    <s v="High"/>
    <x v="2"/>
    <n v="0.1320254506892895"/>
    <d v="2024-04-01T00:00:00"/>
    <s v="Artisans Co."/>
    <s v="India"/>
    <n v="15.5"/>
  </r>
  <r>
    <s v="ORD_2025_0171"/>
    <s v="Nov-2024"/>
    <s v="Hernandez, Emma"/>
    <s v="China"/>
    <x v="9"/>
    <s v="Home Decor"/>
    <n v="10"/>
    <n v="45.86"/>
    <n v="458.6"/>
    <n v="14.4"/>
    <n v="164.2"/>
    <s v="Air"/>
    <s v="Low"/>
    <x v="3"/>
    <n v="0.35804622764936761"/>
    <d v="2024-11-01T00:00:00"/>
    <s v="BrightHome"/>
    <s v="India"/>
    <n v="28"/>
  </r>
  <r>
    <s v="ORD_2025_0172"/>
    <s v="Feb-2024"/>
    <s v="Miller, James"/>
    <s v="Italy"/>
    <x v="1"/>
    <s v="Accessories"/>
    <n v="1"/>
    <n v="24.64"/>
    <n v="24.64"/>
    <n v="0.65"/>
    <n v="5.99"/>
    <s v="Air"/>
    <s v="Medium"/>
    <x v="1"/>
    <n v="0.24310064935064934"/>
    <d v="2024-02-01T00:00:00"/>
    <s v="CraftLine"/>
    <s v="Italy"/>
    <n v="18"/>
  </r>
  <r>
    <s v="ORD_2025_0173"/>
    <s v="Jul-2024"/>
    <s v="Williams, Michael"/>
    <s v="Italy"/>
    <x v="7"/>
    <s v="Home Decor"/>
    <n v="49"/>
    <n v="22.8"/>
    <n v="1117.2"/>
    <n v="51.06"/>
    <n v="306.64"/>
    <s v="Land"/>
    <s v="Medium"/>
    <x v="1"/>
    <n v="0.27447189402076616"/>
    <d v="2024-07-01T00:00:00"/>
    <s v="Artisans Co."/>
    <s v="India"/>
    <n v="15.5"/>
  </r>
  <r>
    <s v="ORD_2025_0174"/>
    <s v="Oct-2024"/>
    <s v="Hernandez, Laura"/>
    <s v="Mexico"/>
    <x v="0"/>
    <s v="Accessories"/>
    <n v="32"/>
    <n v="44.5"/>
    <n v="1424"/>
    <n v="43.92"/>
    <n v="260.08"/>
    <s v="Air"/>
    <s v="Medium"/>
    <x v="0"/>
    <n v="0.18264044943820223"/>
    <d v="2024-10-01T00:00:00"/>
    <s v="CarryPro"/>
    <s v="Vietnam"/>
    <n v="35"/>
  </r>
  <r>
    <s v="ORD_2025_0175"/>
    <s v="Aug-2024"/>
    <s v="Williams, James"/>
    <s v="Brazil"/>
    <x v="0"/>
    <s v="Accessories"/>
    <n v="43"/>
    <n v="55.74"/>
    <n v="2396.8200000000002"/>
    <n v="63.85"/>
    <n v="827.97"/>
    <s v="Sea"/>
    <s v="High"/>
    <x v="2"/>
    <n v="0.34544521490975544"/>
    <d v="2024-08-01T00:00:00"/>
    <s v="CarryPro"/>
    <s v="Vietnam"/>
    <n v="35"/>
  </r>
  <r>
    <s v="ORD_2025_0176"/>
    <s v="Oct-2024"/>
    <s v="Miller, Laura"/>
    <s v="Singapore"/>
    <x v="7"/>
    <s v="Home Decor"/>
    <n v="19"/>
    <n v="25.78"/>
    <n v="489.82"/>
    <n v="28.4"/>
    <n v="166.92"/>
    <s v="Air"/>
    <s v="Medium"/>
    <x v="3"/>
    <n v="0.3407782450696174"/>
    <d v="2024-10-01T00:00:00"/>
    <s v="Artisans Co."/>
    <s v="India"/>
    <n v="15.5"/>
  </r>
  <r>
    <s v="ORD_2025_0177"/>
    <s v="Feb-2024"/>
    <s v="Martinez, John"/>
    <s v="Mexico"/>
    <x v="1"/>
    <s v="Accessories"/>
    <n v="43"/>
    <n v="30.43"/>
    <n v="1308.49"/>
    <n v="35.340000000000003"/>
    <n v="499.15"/>
    <s v="Sea"/>
    <s v="Medium"/>
    <x v="0"/>
    <n v="0.38147024432743082"/>
    <d v="2024-02-01T00:00:00"/>
    <s v="CraftLine"/>
    <s v="Italy"/>
    <n v="18"/>
  </r>
  <r>
    <s v="ORD_2025_0178"/>
    <s v="Dec-2024"/>
    <s v="Hernandez, Sarah"/>
    <s v="France"/>
    <x v="7"/>
    <s v="Home Decor"/>
    <n v="17"/>
    <n v="18.71"/>
    <n v="318.07"/>
    <n v="22.03"/>
    <n v="32.54"/>
    <s v="Air"/>
    <s v="Low"/>
    <x v="1"/>
    <n v="0.10230452416134814"/>
    <d v="2024-12-01T00:00:00"/>
    <s v="Artisans Co."/>
    <s v="India"/>
    <n v="15.5"/>
  </r>
  <r>
    <s v="ORD_2025_0179"/>
    <s v="Mar-2024"/>
    <s v="Johnson, Emma"/>
    <s v="China"/>
    <x v="7"/>
    <s v="Home Decor"/>
    <n v="44"/>
    <n v="23.87"/>
    <n v="1050.28"/>
    <n v="33.51"/>
    <n v="334.77"/>
    <s v="Land"/>
    <s v="Medium"/>
    <x v="3"/>
    <n v="0.31874357314240009"/>
    <d v="2024-03-01T00:00:00"/>
    <s v="Artisans Co."/>
    <s v="India"/>
    <n v="15.5"/>
  </r>
  <r>
    <s v="ORD_2025_0180"/>
    <s v="Sep-2024"/>
    <s v="Martinez, Sarah"/>
    <s v="Australia"/>
    <x v="2"/>
    <s v="Electronics"/>
    <n v="12"/>
    <n v="42.91"/>
    <n v="514.91999999999996"/>
    <n v="15.18"/>
    <n v="115.74"/>
    <s v="Air"/>
    <s v="High"/>
    <x v="5"/>
    <n v="0.22477278023770683"/>
    <d v="2024-09-01T00:00:00"/>
    <s v="AudioTech Ltd."/>
    <s v="China"/>
    <n v="32"/>
  </r>
  <r>
    <s v="ORD_2025_0181"/>
    <s v="Nov-2024"/>
    <s v="Davis, Daniel"/>
    <s v="India"/>
    <x v="3"/>
    <s v="Apparel"/>
    <n v="21"/>
    <n v="50.49"/>
    <n v="1060.29"/>
    <n v="32.340000000000003"/>
    <n v="187.95"/>
    <s v="Air"/>
    <s v="Low"/>
    <x v="3"/>
    <n v="0.17726282432164783"/>
    <d v="2024-11-01T00:00:00"/>
    <s v="BlueWear"/>
    <s v="Bangladesh"/>
    <n v="40"/>
  </r>
  <r>
    <s v="ORD_2025_0182"/>
    <s v="Dec-2024"/>
    <s v="Hernandez, Laura"/>
    <s v="Italy"/>
    <x v="0"/>
    <s v="Accessories"/>
    <n v="41"/>
    <n v="43.18"/>
    <n v="1770.38"/>
    <n v="128.4"/>
    <n v="206.98"/>
    <s v="Sea"/>
    <s v="High"/>
    <x v="1"/>
    <n v="0.11691275319422947"/>
    <d v="2024-12-01T00:00:00"/>
    <s v="CarryPro"/>
    <s v="Vietnam"/>
    <n v="35"/>
  </r>
  <r>
    <s v="ORD_2025_0183"/>
    <s v="Mar-2024"/>
    <s v="Jones, Laura"/>
    <s v="Australia"/>
    <x v="8"/>
    <s v="Electronics"/>
    <n v="37"/>
    <n v="19.8"/>
    <n v="732.6"/>
    <n v="54.68"/>
    <n v="206.17"/>
    <s v="Land"/>
    <s v="Medium"/>
    <x v="5"/>
    <n v="0.28142233142233142"/>
    <d v="2024-03-01T00:00:00"/>
    <s v="BrightHome"/>
    <s v="Vietnam"/>
    <n v="12.75"/>
  </r>
  <r>
    <s v="ORD_2025_0184"/>
    <s v="Mar-2024"/>
    <s v="Miller, Emma"/>
    <s v="Mexico"/>
    <x v="8"/>
    <s v="Electronics"/>
    <n v="4"/>
    <n v="18.059999999999999"/>
    <n v="72.239999999999995"/>
    <n v="4.66"/>
    <n v="16.579999999999998"/>
    <s v="Land"/>
    <s v="Low"/>
    <x v="0"/>
    <n v="0.22951273532668881"/>
    <d v="2024-03-01T00:00:00"/>
    <s v="BrightHome"/>
    <s v="Vietnam"/>
    <n v="12.75"/>
  </r>
  <r>
    <s v="ORD_2025_0185"/>
    <s v="Dec-2024"/>
    <s v="Martinez, John"/>
    <s v="Usa"/>
    <x v="0"/>
    <s v="Accessories"/>
    <n v="40"/>
    <n v="55.59"/>
    <n v="2223.6"/>
    <n v="74.569999999999993"/>
    <n v="749.03"/>
    <s v="Land"/>
    <s v="Low"/>
    <x v="0"/>
    <n v="0.3368546501169275"/>
    <d v="2024-12-01T00:00:00"/>
    <s v="CarryPro"/>
    <s v="Vietnam"/>
    <n v="35"/>
  </r>
  <r>
    <s v="ORD_2025_0186"/>
    <s v="Apr-2025"/>
    <s v="Smith, Emily"/>
    <s v="Japan"/>
    <x v="6"/>
    <s v="Textiles"/>
    <n v="5"/>
    <n v="31.58"/>
    <n v="157.9"/>
    <n v="3.73"/>
    <n v="29.17"/>
    <s v="Land"/>
    <s v="Medium"/>
    <x v="3"/>
    <n v="0.18473717542748574"/>
    <d v="2025-04-01T00:00:00"/>
    <s v="SoftWeave"/>
    <s v="Turkey"/>
    <n v="25"/>
  </r>
  <r>
    <s v="ORD_2025_0187"/>
    <s v="Apr-2024"/>
    <s v="Miller, David"/>
    <s v="Canada"/>
    <x v="1"/>
    <s v="Accessories"/>
    <n v="50"/>
    <n v="26.67"/>
    <n v="1333.5"/>
    <n v="80.150000000000006"/>
    <n v="353.35"/>
    <s v="Air"/>
    <s v="Low"/>
    <x v="0"/>
    <n v="0.26497937757780277"/>
    <d v="2024-04-01T00:00:00"/>
    <s v="CraftLine"/>
    <s v="Italy"/>
    <n v="18"/>
  </r>
  <r>
    <s v="ORD_2025_0188"/>
    <s v="Mar-2024"/>
    <s v="Johnson, David"/>
    <s v="Singapore"/>
    <x v="7"/>
    <s v="Home Decor"/>
    <n v="17"/>
    <n v="20.68"/>
    <n v="351.56"/>
    <n v="18.47"/>
    <n v="69.59"/>
    <s v="Air"/>
    <s v="Medium"/>
    <x v="3"/>
    <n v="0.19794629650699738"/>
    <d v="2024-03-01T00:00:00"/>
    <s v="Artisans Co."/>
    <s v="India"/>
    <n v="15.5"/>
  </r>
  <r>
    <s v="ORD_2025_0189"/>
    <s v="Apr-2025"/>
    <s v="Davis, Sophia"/>
    <s v="South Africa"/>
    <x v="0"/>
    <s v="Accessories"/>
    <n v="29"/>
    <n v="55.19"/>
    <n v="1600.51"/>
    <n v="103.06"/>
    <n v="482.45"/>
    <s v="Land"/>
    <s v="High"/>
    <x v="4"/>
    <n v="0.30143516754034649"/>
    <d v="2025-04-01T00:00:00"/>
    <s v="CarryPro"/>
    <s v="Vietnam"/>
    <n v="35"/>
  </r>
  <r>
    <s v="ORD_2025_0190"/>
    <s v="Apr-2024"/>
    <s v="Garcia, Daniel"/>
    <s v="Singapore"/>
    <x v="0"/>
    <s v="Accessories"/>
    <n v="34"/>
    <n v="61.62"/>
    <n v="2095.08"/>
    <n v="80.13"/>
    <n v="824.95"/>
    <s v="Sea"/>
    <s v="Low"/>
    <x v="3"/>
    <n v="0.39375584703209426"/>
    <d v="2024-04-01T00:00:00"/>
    <s v="CarryPro"/>
    <s v="Vietnam"/>
    <n v="35"/>
  </r>
  <r>
    <s v="ORD_2025_0191"/>
    <s v="Nov-2024"/>
    <s v="Garcia, Michael"/>
    <s v="Mexico"/>
    <x v="5"/>
    <s v="Home Decor"/>
    <n v="10"/>
    <n v="40.03"/>
    <n v="400.3"/>
    <n v="25.8"/>
    <n v="149.5"/>
    <s v="Air"/>
    <s v="Low"/>
    <x v="0"/>
    <n v="0.37346989757681737"/>
    <d v="2024-11-01T00:00:00"/>
    <s v="ClearCraft"/>
    <s v="India"/>
    <n v="22.5"/>
  </r>
  <r>
    <s v="ORD_2025_0192"/>
    <s v="Mar-2025"/>
    <s v="Smith, Sarah"/>
    <s v="Uae"/>
    <x v="4"/>
    <s v="Electronics"/>
    <n v="23"/>
    <n v="31.3"/>
    <n v="719.9"/>
    <n v="47.88"/>
    <n v="212.02"/>
    <s v="Sea"/>
    <s v="Medium"/>
    <x v="3"/>
    <n v="0.29451312682316994"/>
    <d v="2025-03-01T00:00:00"/>
    <s v="ClickTech"/>
    <s v="China"/>
    <n v="20"/>
  </r>
  <r>
    <s v="ORD_2025_0193"/>
    <s v="May-2025"/>
    <s v="Johnson, Sarah"/>
    <s v="Mexico"/>
    <x v="0"/>
    <s v="Accessories"/>
    <n v="37"/>
    <n v="50.39"/>
    <n v="1864.43"/>
    <n v="60.06"/>
    <n v="509.37"/>
    <s v="Sea"/>
    <s v="Medium"/>
    <x v="0"/>
    <n v="0.27320414282113031"/>
    <d v="2025-05-01T00:00:00"/>
    <s v="CarryPro"/>
    <s v="Vietnam"/>
    <n v="35"/>
  </r>
  <r>
    <s v="ORD_2025_0194"/>
    <s v="Dec-2024"/>
    <s v="Jones, Daniel"/>
    <s v="Usa"/>
    <x v="8"/>
    <s v="Electronics"/>
    <n v="38"/>
    <n v="16.97"/>
    <n v="644.86"/>
    <n v="40"/>
    <n v="120.36"/>
    <s v="Air"/>
    <s v="Low"/>
    <x v="0"/>
    <n v="0.18664516329125702"/>
    <d v="2024-12-01T00:00:00"/>
    <s v="BrightHome"/>
    <s v="Vietnam"/>
    <n v="12.75"/>
  </r>
  <r>
    <s v="ORD_2025_0195"/>
    <s v="Jul-2024"/>
    <s v="Miller, Sarah"/>
    <s v="South Africa"/>
    <x v="4"/>
    <s v="Electronics"/>
    <n v="2"/>
    <n v="35.92"/>
    <n v="71.84"/>
    <n v="2.34"/>
    <n v="29.5"/>
    <s v="Air"/>
    <s v="Medium"/>
    <x v="4"/>
    <n v="0.41063474387527837"/>
    <d v="2024-07-01T00:00:00"/>
    <s v="ClickTech"/>
    <s v="China"/>
    <n v="20"/>
  </r>
  <r>
    <s v="ORD_2025_0196"/>
    <s v="May-2024"/>
    <s v="Martinez, Laura"/>
    <s v="Brazil"/>
    <x v="4"/>
    <s v="Electronics"/>
    <n v="48"/>
    <n v="31.87"/>
    <n v="1529.76"/>
    <n v="89.85"/>
    <n v="479.91"/>
    <s v="Air"/>
    <s v="Low"/>
    <x v="2"/>
    <n v="0.31371587700031378"/>
    <d v="2024-05-01T00:00:00"/>
    <s v="ClickTech"/>
    <s v="China"/>
    <n v="20"/>
  </r>
  <r>
    <s v="ORD_2025_0197"/>
    <s v="Dec-2024"/>
    <s v="Johnson, David"/>
    <s v="Australia"/>
    <x v="3"/>
    <s v="Apparel"/>
    <n v="46"/>
    <n v="70"/>
    <n v="3220"/>
    <n v="160.11000000000001"/>
    <n v="1219.8900000000001"/>
    <s v="Sea"/>
    <s v="Medium"/>
    <x v="5"/>
    <n v="0.37884782608695655"/>
    <d v="2024-12-01T00:00:00"/>
    <s v="BlueWear"/>
    <s v="Bangladesh"/>
    <n v="40"/>
  </r>
  <r>
    <s v="ORD_2025_0198"/>
    <s v="Apr-2025"/>
    <s v="Jones, Emily"/>
    <s v="Singapore"/>
    <x v="0"/>
    <s v="Accessories"/>
    <n v="45"/>
    <n v="57.7"/>
    <n v="2596.5"/>
    <n v="102.52"/>
    <n v="918.98"/>
    <s v="Sea"/>
    <s v="Low"/>
    <x v="3"/>
    <n v="0.35393029077604471"/>
    <d v="2025-04-01T00:00:00"/>
    <s v="CarryPro"/>
    <s v="Vietnam"/>
    <n v="35"/>
  </r>
  <r>
    <s v="ORD_2025_0199"/>
    <s v="May-2025"/>
    <s v="Smith, Michael"/>
    <s v="Japan"/>
    <x v="8"/>
    <s v="Electronics"/>
    <n v="23"/>
    <n v="20.23"/>
    <n v="465.29"/>
    <n v="17.29"/>
    <n v="154.75"/>
    <s v="Air"/>
    <s v="Low"/>
    <x v="3"/>
    <n v="0.33258827827806314"/>
    <d v="2025-05-01T00:00:00"/>
    <s v="BrightHome"/>
    <s v="Vietnam"/>
    <n v="12.75"/>
  </r>
  <r>
    <s v="ORD_2025_0200"/>
    <s v="Apr-2025"/>
    <s v="Martinez, Sarah"/>
    <s v="Italy"/>
    <x v="1"/>
    <s v="Accessories"/>
    <n v="10"/>
    <n v="22.96"/>
    <n v="229.6"/>
    <n v="18.260000000000002"/>
    <n v="31.34"/>
    <s v="Land"/>
    <s v="High"/>
    <x v="1"/>
    <n v="0.13649825783972125"/>
    <d v="2025-04-01T00:00:00"/>
    <s v="CraftLine"/>
    <s v="Italy"/>
    <n v="18"/>
  </r>
  <r>
    <s v="ORD_2025_0201"/>
    <s v="Aug-2024"/>
    <s v="Jones, Sarah"/>
    <s v="Brazil"/>
    <x v="0"/>
    <s v="Accessories"/>
    <n v="40"/>
    <n v="54.84"/>
    <n v="2193.6"/>
    <n v="89.26"/>
    <n v="704.34"/>
    <s v="Sea"/>
    <s v="Low"/>
    <x v="2"/>
    <n v="0.32108862144420136"/>
    <d v="2024-08-01T00:00:00"/>
    <s v="CarryPro"/>
    <s v="Vietnam"/>
    <n v="35"/>
  </r>
  <r>
    <s v="ORD_2025_0202"/>
    <s v="Apr-2024"/>
    <s v="Brown, Daniel"/>
    <s v="Singapore"/>
    <x v="6"/>
    <s v="Textiles"/>
    <n v="7"/>
    <n v="36.43"/>
    <n v="255.01"/>
    <n v="6.3"/>
    <n v="73.709999999999994"/>
    <s v="Land"/>
    <s v="Medium"/>
    <x v="3"/>
    <n v="0.28904748833379079"/>
    <d v="2024-04-01T00:00:00"/>
    <s v="SoftWeave"/>
    <s v="Turkey"/>
    <n v="25"/>
  </r>
  <r>
    <s v="ORD_2025_0203"/>
    <s v="Mar-2025"/>
    <s v="Miller, Sarah"/>
    <s v="Mexico"/>
    <x v="8"/>
    <s v="Electronics"/>
    <n v="39"/>
    <n v="19.48"/>
    <n v="759.72"/>
    <n v="40.090000000000003"/>
    <n v="222.38"/>
    <s v="Air"/>
    <s v="Medium"/>
    <x v="0"/>
    <n v="0.29271310482809454"/>
    <d v="2025-03-01T00:00:00"/>
    <s v="BrightHome"/>
    <s v="Vietnam"/>
    <n v="12.75"/>
  </r>
  <r>
    <s v="ORD_2025_0204"/>
    <s v="Feb-2024"/>
    <s v="Brown, James"/>
    <s v="South Africa"/>
    <x v="5"/>
    <s v="Home Decor"/>
    <n v="35"/>
    <n v="38.83"/>
    <n v="1359.05"/>
    <n v="93.92"/>
    <n v="477.63"/>
    <s v="Air"/>
    <s v="Medium"/>
    <x v="4"/>
    <n v="0.35144402339869762"/>
    <d v="2024-02-01T00:00:00"/>
    <s v="ClearCraft"/>
    <s v="India"/>
    <n v="22.5"/>
  </r>
  <r>
    <s v="ORD_2025_0205"/>
    <s v="Oct-2024"/>
    <s v="Johnson, Daniel"/>
    <s v="China"/>
    <x v="4"/>
    <s v="Electronics"/>
    <n v="39"/>
    <n v="32.76"/>
    <n v="1277.6400000000001"/>
    <n v="35.81"/>
    <n v="461.83"/>
    <s v="Sea"/>
    <s v="High"/>
    <x v="3"/>
    <n v="0.36147114993268836"/>
    <d v="2024-10-01T00:00:00"/>
    <s v="ClickTech"/>
    <s v="China"/>
    <n v="20"/>
  </r>
  <r>
    <s v="ORD_2025_0206"/>
    <s v="Jan-2025"/>
    <s v="Davis, Emma"/>
    <s v="Usa"/>
    <x v="2"/>
    <s v="Electronics"/>
    <n v="8"/>
    <n v="39.869999999999997"/>
    <n v="318.95999999999998"/>
    <n v="15.95"/>
    <n v="47.01"/>
    <s v="Air"/>
    <s v="High"/>
    <x v="0"/>
    <n v="0.14738525206922498"/>
    <d v="2025-01-01T00:00:00"/>
    <s v="AudioTech Ltd."/>
    <s v="China"/>
    <n v="32"/>
  </r>
  <r>
    <s v="ORD_2025_0207"/>
    <s v="Apr-2025"/>
    <s v="Brown, Emily"/>
    <s v="Uae"/>
    <x v="3"/>
    <s v="Apparel"/>
    <n v="10"/>
    <n v="63.1"/>
    <n v="631"/>
    <n v="26.93"/>
    <n v="204.07"/>
    <s v="Sea"/>
    <s v="Medium"/>
    <x v="3"/>
    <n v="0.32340729001584784"/>
    <d v="2025-04-01T00:00:00"/>
    <s v="BlueWear"/>
    <s v="Bangladesh"/>
    <n v="40"/>
  </r>
  <r>
    <s v="ORD_2025_0208"/>
    <s v="May-2024"/>
    <s v="Jones, Laura"/>
    <s v="Germany"/>
    <x v="2"/>
    <s v="Electronics"/>
    <n v="3"/>
    <n v="55.1"/>
    <n v="165.3"/>
    <n v="9.17"/>
    <n v="60.13"/>
    <s v="Land"/>
    <s v="Low"/>
    <x v="1"/>
    <n v="0.36376285541439807"/>
    <d v="2024-05-01T00:00:00"/>
    <s v="AudioTech Ltd."/>
    <s v="China"/>
    <n v="32"/>
  </r>
  <r>
    <s v="ORD_2025_0209"/>
    <s v="Feb-2024"/>
    <s v="Smith, Emma"/>
    <s v="India"/>
    <x v="7"/>
    <s v="Home Decor"/>
    <n v="26"/>
    <n v="19.809999999999999"/>
    <n v="515.05999999999995"/>
    <n v="10.3"/>
    <n v="101.76"/>
    <s v="Air"/>
    <s v="Medium"/>
    <x v="3"/>
    <n v="0.19756921523705978"/>
    <d v="2024-02-01T00:00:00"/>
    <s v="Artisans Co."/>
    <s v="India"/>
    <n v="15.5"/>
  </r>
  <r>
    <s v="ORD_2025_0210"/>
    <s v="Apr-2025"/>
    <s v="Garcia, Sophia"/>
    <s v="Uae"/>
    <x v="3"/>
    <s v="Apparel"/>
    <n v="17"/>
    <n v="53.34"/>
    <n v="906.78"/>
    <n v="30.6"/>
    <n v="196.18"/>
    <s v="Land"/>
    <s v="Medium"/>
    <x v="3"/>
    <n v="0.21634795650543684"/>
    <d v="2025-04-01T00:00:00"/>
    <s v="BlueWear"/>
    <s v="Bangladesh"/>
    <n v="40"/>
  </r>
  <r>
    <s v="ORD_2025_0211"/>
    <s v="Jul-2024"/>
    <s v="Hernandez, Sophia"/>
    <s v="China"/>
    <x v="4"/>
    <s v="Electronics"/>
    <n v="17"/>
    <n v="28.23"/>
    <n v="479.91"/>
    <n v="31.88"/>
    <n v="108.03"/>
    <s v="Sea"/>
    <s v="Low"/>
    <x v="3"/>
    <n v="0.22510470713258734"/>
    <d v="2024-07-01T00:00:00"/>
    <s v="ClickTech"/>
    <s v="China"/>
    <n v="20"/>
  </r>
  <r>
    <s v="ORD_2025_0212"/>
    <s v="Mar-2024"/>
    <s v="Brown, David"/>
    <s v="Germany"/>
    <x v="1"/>
    <s v="Accessories"/>
    <n v="42"/>
    <n v="25.26"/>
    <n v="1060.92"/>
    <n v="77.05"/>
    <n v="227.87"/>
    <s v="Land"/>
    <s v="High"/>
    <x v="1"/>
    <n v="0.21478528069976999"/>
    <d v="2024-03-01T00:00:00"/>
    <s v="CraftLine"/>
    <s v="Italy"/>
    <n v="18"/>
  </r>
  <r>
    <s v="ORD_2025_0213"/>
    <s v="Sep-2024"/>
    <s v="Garcia, Sarah"/>
    <s v="India"/>
    <x v="1"/>
    <s v="Accessories"/>
    <n v="2"/>
    <n v="27.27"/>
    <n v="54.54"/>
    <n v="1.45"/>
    <n v="17.09"/>
    <s v="Land"/>
    <s v="High"/>
    <x v="3"/>
    <n v="0.31334800146681335"/>
    <d v="2024-09-01T00:00:00"/>
    <s v="CraftLine"/>
    <s v="Italy"/>
    <n v="18"/>
  </r>
  <r>
    <s v="ORD_2025_0214"/>
    <s v="Nov-2024"/>
    <s v="Martinez, Emily"/>
    <s v="Uae"/>
    <x v="9"/>
    <s v="Home Decor"/>
    <n v="48"/>
    <n v="44.95"/>
    <n v="2157.6"/>
    <n v="148.41"/>
    <n v="665.19"/>
    <s v="Land"/>
    <s v="Low"/>
    <x v="3"/>
    <n v="0.30830088987764187"/>
    <d v="2024-11-01T00:00:00"/>
    <s v="BrightHome"/>
    <s v="India"/>
    <n v="28"/>
  </r>
  <r>
    <s v="ORD_2025_0215"/>
    <s v="Apr-2025"/>
    <s v="Brown, David"/>
    <s v="Singapore"/>
    <x v="4"/>
    <s v="Electronics"/>
    <n v="23"/>
    <n v="28.6"/>
    <n v="657.8"/>
    <n v="13.36"/>
    <n v="184.44"/>
    <s v="Land"/>
    <s v="High"/>
    <x v="3"/>
    <n v="0.28038917604135"/>
    <d v="2025-04-01T00:00:00"/>
    <s v="ClickTech"/>
    <s v="China"/>
    <n v="20"/>
  </r>
  <r>
    <s v="ORD_2025_0216"/>
    <s v="Nov-2024"/>
    <s v="Garcia, Sophia"/>
    <s v="France"/>
    <x v="7"/>
    <s v="Home Decor"/>
    <n v="18"/>
    <n v="26.1"/>
    <n v="469.8"/>
    <n v="19.52"/>
    <n v="171.28"/>
    <s v="Air"/>
    <s v="Low"/>
    <x v="1"/>
    <n v="0.36458067262664962"/>
    <d v="2024-11-01T00:00:00"/>
    <s v="Artisans Co."/>
    <s v="India"/>
    <n v="15.5"/>
  </r>
  <r>
    <s v="ORD_2025_0217"/>
    <s v="Oct-2024"/>
    <s v="Johnson, John"/>
    <s v="Mexico"/>
    <x v="9"/>
    <s v="Home Decor"/>
    <n v="21"/>
    <n v="37.450000000000003"/>
    <n v="786.45"/>
    <n v="62.4"/>
    <n v="136.05000000000001"/>
    <s v="Land"/>
    <s v="High"/>
    <x v="0"/>
    <n v="0.17299256151058554"/>
    <d v="2024-10-01T00:00:00"/>
    <s v="BrightHome"/>
    <s v="India"/>
    <n v="28"/>
  </r>
  <r>
    <s v="ORD_2025_0218"/>
    <s v="Dec-2024"/>
    <s v="Miller, Emma"/>
    <s v="Singapore"/>
    <x v="4"/>
    <s v="Electronics"/>
    <n v="25"/>
    <n v="28.54"/>
    <n v="713.5"/>
    <n v="50.38"/>
    <n v="163.12"/>
    <s v="Land"/>
    <s v="Low"/>
    <x v="3"/>
    <n v="0.22861948142957253"/>
    <d v="2024-12-01T00:00:00"/>
    <s v="ClickTech"/>
    <s v="China"/>
    <n v="20"/>
  </r>
  <r>
    <s v="ORD_2025_0219"/>
    <s v="Feb-2025"/>
    <s v="Hernandez, John"/>
    <s v="Usa"/>
    <x v="6"/>
    <s v="Textiles"/>
    <n v="11"/>
    <n v="38.07"/>
    <n v="418.77"/>
    <n v="29.02"/>
    <n v="114.75"/>
    <s v="Sea"/>
    <s v="Low"/>
    <x v="0"/>
    <n v="0.27401676337846553"/>
    <d v="2025-02-01T00:00:00"/>
    <s v="SoftWeave"/>
    <s v="Turkey"/>
    <n v="25"/>
  </r>
  <r>
    <s v="ORD_2025_0220"/>
    <s v="Oct-2024"/>
    <s v="Brown, Sophia"/>
    <s v="Canada"/>
    <x v="7"/>
    <s v="Home Decor"/>
    <n v="18"/>
    <n v="19.32"/>
    <n v="347.76"/>
    <n v="21.34"/>
    <n v="47.42"/>
    <s v="Sea"/>
    <s v="Low"/>
    <x v="0"/>
    <n v="0.13635840809753855"/>
    <d v="2024-10-01T00:00:00"/>
    <s v="Artisans Co."/>
    <s v="India"/>
    <n v="15.5"/>
  </r>
  <r>
    <s v="ORD_2025_0221"/>
    <s v="Jun-2024"/>
    <s v="Martinez, James"/>
    <s v="Uk"/>
    <x v="9"/>
    <s v="Home Decor"/>
    <n v="42"/>
    <n v="50.02"/>
    <n v="2100.84"/>
    <n v="89.65"/>
    <n v="835.19"/>
    <s v="Sea"/>
    <s v="Medium"/>
    <x v="1"/>
    <n v="0.39755050360808059"/>
    <d v="2024-06-01T00:00:00"/>
    <s v="BrightHome"/>
    <s v="India"/>
    <n v="28"/>
  </r>
  <r>
    <s v="ORD_2025_0222"/>
    <s v="Jan-2025"/>
    <s v="Smith, James"/>
    <s v="Australia"/>
    <x v="9"/>
    <s v="Home Decor"/>
    <n v="13"/>
    <n v="49.39"/>
    <n v="642.07000000000005"/>
    <n v="38.32"/>
    <n v="239.75"/>
    <s v="Sea"/>
    <s v="Low"/>
    <x v="5"/>
    <n v="0.37340165402526199"/>
    <d v="2025-01-01T00:00:00"/>
    <s v="BrightHome"/>
    <s v="India"/>
    <n v="28"/>
  </r>
  <r>
    <s v="ORD_2025_0223"/>
    <s v="May-2025"/>
    <s v="Miller, David"/>
    <s v="Uk"/>
    <x v="1"/>
    <s v="Accessories"/>
    <n v="15"/>
    <n v="22.86"/>
    <n v="342.9"/>
    <n v="27.16"/>
    <n v="45.74"/>
    <s v="Air"/>
    <s v="High"/>
    <x v="1"/>
    <n v="0.13339165937591135"/>
    <d v="2025-05-01T00:00:00"/>
    <s v="CraftLine"/>
    <s v="Italy"/>
    <n v="18"/>
  </r>
  <r>
    <s v="ORD_2025_0224"/>
    <s v="Sep-2024"/>
    <s v="Johnson, John"/>
    <s v="India"/>
    <x v="6"/>
    <s v="Textiles"/>
    <n v="37"/>
    <n v="37.270000000000003"/>
    <n v="1378.99"/>
    <n v="92.92"/>
    <n v="361.07"/>
    <s v="Land"/>
    <s v="Low"/>
    <x v="3"/>
    <n v="0.26183656154141799"/>
    <d v="2024-09-01T00:00:00"/>
    <s v="SoftWeave"/>
    <s v="Turkey"/>
    <n v="25"/>
  </r>
  <r>
    <s v="ORD_2025_0225"/>
    <s v="Mar-2024"/>
    <s v="Johnson, Michael"/>
    <s v="France"/>
    <x v="0"/>
    <s v="Accessories"/>
    <n v="49"/>
    <n v="54.05"/>
    <n v="2648.45"/>
    <n v="66.8"/>
    <n v="866.65"/>
    <s v="Air"/>
    <s v="Low"/>
    <x v="1"/>
    <n v="0.32722913402178633"/>
    <d v="2024-03-01T00:00:00"/>
    <s v="CarryPro"/>
    <s v="Vietnam"/>
    <n v="35"/>
  </r>
  <r>
    <s v="ORD_2025_0226"/>
    <s v="Aug-2024"/>
    <s v="Jones, Emma"/>
    <s v="Uk"/>
    <x v="8"/>
    <s v="Electronics"/>
    <n v="33"/>
    <n v="20.059999999999999"/>
    <n v="661.98"/>
    <n v="50.02"/>
    <n v="191.21"/>
    <s v="Air"/>
    <s v="Medium"/>
    <x v="1"/>
    <n v="0.28884558445874498"/>
    <d v="2024-08-01T00:00:00"/>
    <s v="BrightHome"/>
    <s v="Vietnam"/>
    <n v="12.75"/>
  </r>
  <r>
    <s v="ORD_2025_0227"/>
    <s v="Nov-2024"/>
    <s v="Miller, Sarah"/>
    <s v="Germany"/>
    <x v="9"/>
    <s v="Home Decor"/>
    <n v="49"/>
    <n v="35.68"/>
    <n v="1748.32"/>
    <n v="124.47"/>
    <n v="251.85"/>
    <s v="Air"/>
    <s v="High"/>
    <x v="1"/>
    <n v="0.14405257618742565"/>
    <d v="2024-11-01T00:00:00"/>
    <s v="BrightHome"/>
    <s v="India"/>
    <n v="28"/>
  </r>
  <r>
    <s v="ORD_2025_0228"/>
    <s v="Mar-2025"/>
    <s v="Davis, John"/>
    <s v="India"/>
    <x v="6"/>
    <s v="Textiles"/>
    <n v="23"/>
    <n v="30.89"/>
    <n v="710.47"/>
    <n v="18.739999999999998"/>
    <n v="116.73"/>
    <s v="Sea"/>
    <s v="Low"/>
    <x v="3"/>
    <n v="0.16429968893830843"/>
    <d v="2025-03-01T00:00:00"/>
    <s v="SoftWeave"/>
    <s v="Turkey"/>
    <n v="25"/>
  </r>
  <r>
    <s v="ORD_2025_0229"/>
    <s v="Oct-2024"/>
    <s v="Miller, Daniel"/>
    <s v="France"/>
    <x v="0"/>
    <s v="Accessories"/>
    <n v="14"/>
    <n v="59.6"/>
    <n v="834.4"/>
    <n v="19.11"/>
    <n v="325.29000000000002"/>
    <s v="Sea"/>
    <s v="Medium"/>
    <x v="1"/>
    <n v="0.38984899328859063"/>
    <d v="2024-10-01T00:00:00"/>
    <s v="CarryPro"/>
    <s v="Vietnam"/>
    <n v="35"/>
  </r>
  <r>
    <s v="ORD_2025_0230"/>
    <s v="Feb-2025"/>
    <s v="Jones, Emily"/>
    <s v="Germany"/>
    <x v="5"/>
    <s v="Home Decor"/>
    <n v="3"/>
    <n v="28.36"/>
    <n v="85.08"/>
    <n v="4.46"/>
    <n v="13.12"/>
    <s v="Land"/>
    <s v="Medium"/>
    <x v="1"/>
    <n v="0.15420780441936999"/>
    <d v="2025-02-01T00:00:00"/>
    <s v="ClearCraft"/>
    <s v="India"/>
    <n v="22.5"/>
  </r>
  <r>
    <s v="ORD_2025_0231"/>
    <s v="Nov-2024"/>
    <s v="Smith, Daniel"/>
    <s v="Germany"/>
    <x v="8"/>
    <s v="Electronics"/>
    <n v="28"/>
    <n v="22.13"/>
    <n v="619.64"/>
    <n v="17.2"/>
    <n v="245.44"/>
    <s v="Sea"/>
    <s v="High"/>
    <x v="1"/>
    <n v="0.39610096184881544"/>
    <d v="2024-11-01T00:00:00"/>
    <s v="BrightHome"/>
    <s v="Vietnam"/>
    <n v="12.75"/>
  </r>
  <r>
    <s v="ORD_2025_0232"/>
    <s v="Dec-2024"/>
    <s v="Hernandez, Daniel"/>
    <s v="Usa"/>
    <x v="1"/>
    <s v="Accessories"/>
    <n v="28"/>
    <n v="27.62"/>
    <n v="773.36"/>
    <n v="29.88"/>
    <n v="239.48"/>
    <s v="Land"/>
    <s v="Low"/>
    <x v="0"/>
    <n v="0.30966173580221368"/>
    <d v="2024-12-01T00:00:00"/>
    <s v="CraftLine"/>
    <s v="Italy"/>
    <n v="18"/>
  </r>
  <r>
    <s v="ORD_2025_0233"/>
    <s v="Mar-2025"/>
    <s v="Martinez, Sarah"/>
    <s v="Canada"/>
    <x v="6"/>
    <s v="Textiles"/>
    <n v="40"/>
    <n v="34.229999999999997"/>
    <n v="1369.2"/>
    <n v="78.03"/>
    <n v="291.17"/>
    <s v="Land"/>
    <s v="Low"/>
    <x v="0"/>
    <n v="0.21265702600058428"/>
    <d v="2025-03-01T00:00:00"/>
    <s v="SoftWeave"/>
    <s v="Turkey"/>
    <n v="25"/>
  </r>
  <r>
    <s v="ORD_2025_0234"/>
    <s v="Jan-2025"/>
    <s v="Miller, Sophia"/>
    <s v="Japan"/>
    <x v="3"/>
    <s v="Apparel"/>
    <n v="9"/>
    <n v="52.2"/>
    <n v="469.8"/>
    <n v="31.5"/>
    <n v="78.3"/>
    <s v="Air"/>
    <s v="High"/>
    <x v="3"/>
    <n v="0.16666666666666666"/>
    <d v="2025-01-01T00:00:00"/>
    <s v="BlueWear"/>
    <s v="Bangladesh"/>
    <n v="40"/>
  </r>
  <r>
    <s v="ORD_2025_0235"/>
    <s v="Mar-2025"/>
    <s v="Hernandez, Daniel"/>
    <s v="France"/>
    <x v="6"/>
    <s v="Textiles"/>
    <n v="31"/>
    <n v="43.54"/>
    <n v="1349.74"/>
    <n v="99.86"/>
    <n v="474.88"/>
    <s v="Land"/>
    <s v="Medium"/>
    <x v="1"/>
    <n v="0.35183072295405038"/>
    <d v="2025-03-01T00:00:00"/>
    <s v="SoftWeave"/>
    <s v="Turkey"/>
    <n v="25"/>
  </r>
  <r>
    <s v="ORD_2025_0236"/>
    <s v="May-2025"/>
    <s v="Williams, Laura"/>
    <s v="Uae"/>
    <x v="7"/>
    <s v="Home Decor"/>
    <n v="31"/>
    <n v="18.63"/>
    <n v="577.53"/>
    <n v="36.65"/>
    <n v="60.38"/>
    <s v="Air"/>
    <s v="Low"/>
    <x v="3"/>
    <n v="0.1045486814537773"/>
    <d v="2025-05-01T00:00:00"/>
    <s v="Artisans Co."/>
    <s v="India"/>
    <n v="15.5"/>
  </r>
  <r>
    <s v="ORD_2025_0237"/>
    <s v="Feb-2024"/>
    <s v="Jones, Daniel"/>
    <s v="Japan"/>
    <x v="4"/>
    <s v="Electronics"/>
    <n v="38"/>
    <n v="27.28"/>
    <n v="1036.6400000000001"/>
    <n v="38.770000000000003"/>
    <n v="237.87"/>
    <s v="Land"/>
    <s v="High"/>
    <x v="3"/>
    <n v="0.22946249421206974"/>
    <d v="2024-02-01T00:00:00"/>
    <s v="ClickTech"/>
    <s v="China"/>
    <n v="20"/>
  </r>
  <r>
    <s v="ORD_2025_0238"/>
    <s v="Nov-2024"/>
    <s v="Miller, Sarah"/>
    <s v="Brazil"/>
    <x v="1"/>
    <s v="Accessories"/>
    <n v="50"/>
    <n v="30.97"/>
    <n v="1548.5"/>
    <n v="82.09"/>
    <n v="566.41"/>
    <s v="Sea"/>
    <s v="Medium"/>
    <x v="2"/>
    <n v="0.36577978689053919"/>
    <d v="2024-11-01T00:00:00"/>
    <s v="CraftLine"/>
    <s v="Italy"/>
    <n v="18"/>
  </r>
  <r>
    <s v="ORD_2025_0239"/>
    <s v="Feb-2024"/>
    <s v="Williams, David"/>
    <s v="Japan"/>
    <x v="3"/>
    <s v="Apparel"/>
    <n v="17"/>
    <n v="60.91"/>
    <n v="1035.47"/>
    <n v="54.09"/>
    <n v="301.38"/>
    <s v="Air"/>
    <s v="Low"/>
    <x v="3"/>
    <n v="0.29105623533274744"/>
    <d v="2024-02-01T00:00:00"/>
    <s v="BlueWear"/>
    <s v="Bangladesh"/>
    <n v="40"/>
  </r>
  <r>
    <s v="ORD_2025_0240"/>
    <s v="May-2025"/>
    <s v="Johnson, Sophia"/>
    <s v="China"/>
    <x v="4"/>
    <s v="Electronics"/>
    <n v="25"/>
    <n v="31.15"/>
    <n v="778.75"/>
    <n v="47.45"/>
    <n v="231.3"/>
    <s v="Land"/>
    <s v="High"/>
    <x v="3"/>
    <n v="0.29701444622792939"/>
    <d v="2025-05-01T00:00:00"/>
    <s v="ClickTech"/>
    <s v="China"/>
    <n v="20"/>
  </r>
  <r>
    <s v="ORD_2025_0241"/>
    <s v="Jul-2024"/>
    <s v="Brown, John"/>
    <s v="France"/>
    <x v="1"/>
    <s v="Accessories"/>
    <n v="30"/>
    <n v="31.12"/>
    <n v="933.6"/>
    <n v="50.88"/>
    <n v="342.72"/>
    <s v="Sea"/>
    <s v="Medium"/>
    <x v="1"/>
    <n v="0.36709511568123393"/>
    <d v="2024-07-01T00:00:00"/>
    <s v="CraftLine"/>
    <s v="Italy"/>
    <n v="18"/>
  </r>
  <r>
    <s v="ORD_2025_0242"/>
    <s v="Feb-2025"/>
    <s v="Hernandez, John"/>
    <s v="Mexico"/>
    <x v="7"/>
    <s v="Home Decor"/>
    <n v="17"/>
    <n v="19.64"/>
    <n v="333.88"/>
    <n v="22.23"/>
    <n v="48.15"/>
    <s v="Air"/>
    <s v="High"/>
    <x v="0"/>
    <n v="0.14421348987660237"/>
    <d v="2025-02-01T00:00:00"/>
    <s v="Artisans Co."/>
    <s v="India"/>
    <n v="15.5"/>
  </r>
  <r>
    <s v="ORD_2025_0243"/>
    <s v="Jun-2024"/>
    <s v="Johnson, Laura"/>
    <s v="Usa"/>
    <x v="2"/>
    <s v="Electronics"/>
    <n v="37"/>
    <n v="57.35"/>
    <n v="2121.9499999999998"/>
    <n v="147.38999999999999"/>
    <n v="790.56"/>
    <s v="Land"/>
    <s v="Low"/>
    <x v="0"/>
    <n v="0.37256297273734068"/>
    <d v="2024-06-01T00:00:00"/>
    <s v="AudioTech Ltd."/>
    <s v="China"/>
    <n v="32"/>
  </r>
  <r>
    <s v="ORD_2025_0244"/>
    <s v="Feb-2025"/>
    <s v="Smith, Emily"/>
    <s v="Italy"/>
    <x v="0"/>
    <s v="Accessories"/>
    <n v="45"/>
    <n v="42.6"/>
    <n v="1917"/>
    <n v="104.27"/>
    <n v="237.73"/>
    <s v="Sea"/>
    <s v="High"/>
    <x v="1"/>
    <n v="0.12401147626499738"/>
    <d v="2025-02-01T00:00:00"/>
    <s v="CarryPro"/>
    <s v="Vietnam"/>
    <n v="35"/>
  </r>
  <r>
    <s v="ORD_2025_0245"/>
    <s v="Jun-2024"/>
    <s v="Brown, Michael"/>
    <s v="Uk"/>
    <x v="4"/>
    <s v="Electronics"/>
    <n v="25"/>
    <n v="31.82"/>
    <n v="795.5"/>
    <n v="37.33"/>
    <n v="258.17"/>
    <s v="Land"/>
    <s v="Medium"/>
    <x v="1"/>
    <n v="0.32453802639849155"/>
    <d v="2024-06-01T00:00:00"/>
    <s v="ClickTech"/>
    <s v="China"/>
    <n v="20"/>
  </r>
  <r>
    <s v="ORD_2025_0246"/>
    <s v="May-2025"/>
    <s v="Williams, Emma"/>
    <s v="India"/>
    <x v="6"/>
    <s v="Textiles"/>
    <n v="17"/>
    <n v="36.270000000000003"/>
    <n v="616.59"/>
    <n v="22.76"/>
    <n v="168.83"/>
    <s v="Air"/>
    <s v="Low"/>
    <x v="3"/>
    <n v="0.27381241992247685"/>
    <d v="2025-05-01T00:00:00"/>
    <s v="SoftWeave"/>
    <s v="Turkey"/>
    <n v="25"/>
  </r>
  <r>
    <s v="ORD_2025_0247"/>
    <s v="Nov-2024"/>
    <s v="Garcia, Emma"/>
    <s v="Uae"/>
    <x v="1"/>
    <s v="Accessories"/>
    <n v="4"/>
    <n v="27.01"/>
    <n v="108.04"/>
    <n v="4.7300000000000004"/>
    <n v="31.31"/>
    <s v="Air"/>
    <s v="High"/>
    <x v="3"/>
    <n v="0.28980007404664937"/>
    <d v="2024-11-01T00:00:00"/>
    <s v="CraftLine"/>
    <s v="Italy"/>
    <n v="18"/>
  </r>
  <r>
    <s v="ORD_2025_0248"/>
    <s v="May-2024"/>
    <s v="Martinez, Emily"/>
    <s v="Mexico"/>
    <x v="0"/>
    <s v="Accessories"/>
    <n v="22"/>
    <n v="57.6"/>
    <n v="1267.2"/>
    <n v="35.32"/>
    <n v="461.88"/>
    <s v="Air"/>
    <s v="Low"/>
    <x v="0"/>
    <n v="0.36448863636363632"/>
    <d v="2024-05-01T00:00:00"/>
    <s v="CarryPro"/>
    <s v="Vietnam"/>
    <n v="35"/>
  </r>
  <r>
    <s v="ORD_2025_0249"/>
    <s v="Jan-2024"/>
    <s v="Brown, Emily"/>
    <s v="Germany"/>
    <x v="6"/>
    <s v="Textiles"/>
    <n v="24"/>
    <n v="43.34"/>
    <n v="1040.1600000000001"/>
    <n v="41.18"/>
    <n v="398.98"/>
    <s v="Land"/>
    <s v="High"/>
    <x v="1"/>
    <n v="0.38357560375326871"/>
    <d v="2024-01-01T00:00:00"/>
    <s v="SoftWeave"/>
    <s v="Turkey"/>
    <n v="25"/>
  </r>
  <r>
    <s v="ORD_2025_0250"/>
    <s v="Feb-2025"/>
    <s v="Brown, Daniel"/>
    <s v="Mexico"/>
    <x v="3"/>
    <s v="Apparel"/>
    <n v="37"/>
    <n v="71.8"/>
    <n v="2656.6"/>
    <n v="60.3"/>
    <n v="1116.3"/>
    <s v="Sea"/>
    <s v="Low"/>
    <x v="0"/>
    <n v="0.42019875028231574"/>
    <d v="2025-02-01T00:00:00"/>
    <s v="BlueWear"/>
    <s v="Bangladesh"/>
    <n v="40"/>
  </r>
  <r>
    <s v="ORD_2025_0251"/>
    <s v="Jun-2024"/>
    <s v="Johnson, Laura"/>
    <s v="Uae"/>
    <x v="4"/>
    <s v="Electronics"/>
    <n v="24"/>
    <n v="29.11"/>
    <n v="698.64"/>
    <n v="53.99"/>
    <n v="164.65"/>
    <s v="Air"/>
    <s v="High"/>
    <x v="3"/>
    <n v="0.23567216305965877"/>
    <d v="2024-06-01T00:00:00"/>
    <s v="ClickTech"/>
    <s v="China"/>
    <n v="20"/>
  </r>
  <r>
    <s v="ORD_2025_0252"/>
    <s v="Jan-2024"/>
    <s v="Smith, John"/>
    <s v="Japan"/>
    <x v="5"/>
    <s v="Home Decor"/>
    <n v="6"/>
    <n v="27.91"/>
    <n v="167.46"/>
    <n v="10.01"/>
    <n v="22.45"/>
    <s v="Land"/>
    <s v="Low"/>
    <x v="3"/>
    <n v="0.1340618655201242"/>
    <d v="2024-01-01T00:00:00"/>
    <s v="ClearCraft"/>
    <s v="India"/>
    <n v="22.5"/>
  </r>
  <r>
    <s v="ORD_2025_0253"/>
    <s v="Feb-2024"/>
    <s v="Miller, Daniel"/>
    <s v="China"/>
    <x v="5"/>
    <s v="Home Decor"/>
    <n v="28"/>
    <n v="27.29"/>
    <n v="764.12"/>
    <n v="25.78"/>
    <n v="108.34"/>
    <s v="Air"/>
    <s v="Low"/>
    <x v="3"/>
    <n v="0.1417840129822541"/>
    <d v="2024-02-01T00:00:00"/>
    <s v="ClearCraft"/>
    <s v="India"/>
    <n v="22.5"/>
  </r>
  <r>
    <s v="ORD_2025_0254"/>
    <s v="Feb-2024"/>
    <s v="Davis, Daniel"/>
    <s v="Mexico"/>
    <x v="5"/>
    <s v="Home Decor"/>
    <n v="47"/>
    <n v="35.880000000000003"/>
    <n v="1686.36"/>
    <n v="70.3"/>
    <n v="558.55999999999995"/>
    <s v="Land"/>
    <s v="Medium"/>
    <x v="0"/>
    <n v="0.33122227756825351"/>
    <d v="2024-02-01T00:00:00"/>
    <s v="ClearCraft"/>
    <s v="India"/>
    <n v="22.5"/>
  </r>
  <r>
    <s v="ORD_2025_0255"/>
    <s v="Jun-2024"/>
    <s v="Davis, Emily"/>
    <s v="France"/>
    <x v="7"/>
    <s v="Home Decor"/>
    <n v="19"/>
    <n v="27.47"/>
    <n v="521.92999999999995"/>
    <n v="31.29"/>
    <n v="196.14"/>
    <s v="Sea"/>
    <s v="High"/>
    <x v="1"/>
    <n v="0.37579752074032918"/>
    <d v="2024-06-01T00:00:00"/>
    <s v="Artisans Co."/>
    <s v="India"/>
    <n v="15.5"/>
  </r>
  <r>
    <s v="ORD_2025_0256"/>
    <s v="Nov-2024"/>
    <s v="Smith, Daniel"/>
    <s v="Australia"/>
    <x v="4"/>
    <s v="Electronics"/>
    <n v="13"/>
    <n v="29.26"/>
    <n v="380.38"/>
    <n v="9.4700000000000006"/>
    <n v="110.91"/>
    <s v="Sea"/>
    <s v="High"/>
    <x v="5"/>
    <n v="0.29157684420842317"/>
    <d v="2024-11-01T00:00:00"/>
    <s v="ClickTech"/>
    <s v="China"/>
    <n v="20"/>
  </r>
  <r>
    <s v="ORD_2025_0257"/>
    <s v="Jan-2025"/>
    <s v="Miller, James"/>
    <s v="Germany"/>
    <x v="1"/>
    <s v="Accessories"/>
    <n v="4"/>
    <n v="26.17"/>
    <n v="104.68"/>
    <n v="6.33"/>
    <n v="26.35"/>
    <s v="Land"/>
    <s v="Medium"/>
    <x v="1"/>
    <n v="0.25171952617500953"/>
    <d v="2025-01-01T00:00:00"/>
    <s v="CraftLine"/>
    <s v="Italy"/>
    <n v="18"/>
  </r>
  <r>
    <s v="ORD_2025_0258"/>
    <s v="Jan-2024"/>
    <s v="Brown, Daniel"/>
    <s v="Germany"/>
    <x v="5"/>
    <s v="Home Decor"/>
    <n v="43"/>
    <n v="37.32"/>
    <n v="1604.76"/>
    <n v="61.01"/>
    <n v="576.25"/>
    <s v="Land"/>
    <s v="Medium"/>
    <x v="1"/>
    <n v="0.35908796330915527"/>
    <d v="2024-01-01T00:00:00"/>
    <s v="ClearCraft"/>
    <s v="India"/>
    <n v="22.5"/>
  </r>
  <r>
    <s v="ORD_2025_0259"/>
    <s v="Sep-2024"/>
    <s v="Martinez, David"/>
    <s v="South Africa"/>
    <x v="1"/>
    <s v="Accessories"/>
    <n v="27"/>
    <n v="23.05"/>
    <n v="622.35"/>
    <n v="20.440000000000001"/>
    <n v="115.91"/>
    <s v="Air"/>
    <s v="Medium"/>
    <x v="4"/>
    <n v="0.18624568169036715"/>
    <d v="2024-09-01T00:00:00"/>
    <s v="CraftLine"/>
    <s v="Italy"/>
    <n v="18"/>
  </r>
  <r>
    <s v="ORD_2025_0260"/>
    <s v="Oct-2024"/>
    <s v="Williams, Sophia"/>
    <s v="Japan"/>
    <x v="8"/>
    <s v="Electronics"/>
    <n v="38"/>
    <n v="19.02"/>
    <n v="722.76"/>
    <n v="14.63"/>
    <n v="223.63"/>
    <s v="Sea"/>
    <s v="Medium"/>
    <x v="3"/>
    <n v="0.30941114616193482"/>
    <d v="2024-10-01T00:00:00"/>
    <s v="BrightHome"/>
    <s v="Vietnam"/>
    <n v="12.75"/>
  </r>
  <r>
    <s v="ORD_2025_0261"/>
    <s v="Jun-2024"/>
    <s v="Garcia, James"/>
    <s v="Canada"/>
    <x v="3"/>
    <s v="Apparel"/>
    <n v="10"/>
    <n v="70.94"/>
    <n v="709.4"/>
    <n v="18.64"/>
    <n v="290.76"/>
    <s v="Sea"/>
    <s v="High"/>
    <x v="0"/>
    <n v="0.40986749365661124"/>
    <d v="2024-06-01T00:00:00"/>
    <s v="BlueWear"/>
    <s v="Bangladesh"/>
    <n v="40"/>
  </r>
  <r>
    <s v="ORD_2025_0262"/>
    <s v="Jan-2024"/>
    <s v="Jones, Daniel"/>
    <s v="Singapore"/>
    <x v="6"/>
    <s v="Textiles"/>
    <n v="17"/>
    <n v="38.28"/>
    <n v="650.76"/>
    <n v="38.43"/>
    <n v="187.33"/>
    <s v="Sea"/>
    <s v="High"/>
    <x v="3"/>
    <n v="0.28786342123056119"/>
    <d v="2024-01-01T00:00:00"/>
    <s v="SoftWeave"/>
    <s v="Turkey"/>
    <n v="25"/>
  </r>
  <r>
    <s v="ORD_2025_0263"/>
    <s v="Sep-2024"/>
    <s v="Brown, Sophia"/>
    <s v="Usa"/>
    <x v="2"/>
    <s v="Electronics"/>
    <n v="10"/>
    <n v="38.799999999999997"/>
    <n v="388"/>
    <n v="16.39"/>
    <n v="51.61"/>
    <s v="Air"/>
    <s v="Medium"/>
    <x v="0"/>
    <n v="0.13301546391752578"/>
    <d v="2024-09-01T00:00:00"/>
    <s v="AudioTech Ltd."/>
    <s v="China"/>
    <n v="32"/>
  </r>
  <r>
    <s v="ORD_2025_0264"/>
    <s v="May-2024"/>
    <s v="Brown, Daniel"/>
    <s v="China"/>
    <x v="6"/>
    <s v="Textiles"/>
    <n v="3"/>
    <n v="33.840000000000003"/>
    <n v="101.52"/>
    <n v="2.3199999999999998"/>
    <n v="24.2"/>
    <s v="Air"/>
    <s v="High"/>
    <x v="3"/>
    <n v="0.23837667454688732"/>
    <d v="2024-05-01T00:00:00"/>
    <s v="SoftWeave"/>
    <s v="Turkey"/>
    <n v="25"/>
  </r>
  <r>
    <s v="ORD_2025_0265"/>
    <s v="Mar-2024"/>
    <s v="Davis, Emily"/>
    <s v="Germany"/>
    <x v="7"/>
    <s v="Home Decor"/>
    <n v="20"/>
    <n v="21.12"/>
    <n v="422.4"/>
    <n v="22.08"/>
    <n v="90.32"/>
    <s v="Sea"/>
    <s v="High"/>
    <x v="1"/>
    <n v="0.21382575757575756"/>
    <d v="2024-03-01T00:00:00"/>
    <s v="Artisans Co."/>
    <s v="India"/>
    <n v="15.5"/>
  </r>
  <r>
    <s v="ORD_2025_0266"/>
    <s v="Dec-2024"/>
    <s v="Davis, Sophia"/>
    <s v="South Africa"/>
    <x v="0"/>
    <s v="Accessories"/>
    <n v="1"/>
    <n v="58.15"/>
    <n v="58.15"/>
    <n v="4.2"/>
    <n v="18.95"/>
    <s v="Sea"/>
    <s v="Medium"/>
    <x v="4"/>
    <n v="0.32588134135855545"/>
    <d v="2024-12-01T00:00:00"/>
    <s v="CarryPro"/>
    <s v="Vietnam"/>
    <n v="35"/>
  </r>
  <r>
    <s v="ORD_2025_0267"/>
    <s v="Mar-2024"/>
    <s v="Martinez, Michael"/>
    <s v="Brazil"/>
    <x v="2"/>
    <s v="Electronics"/>
    <n v="32"/>
    <n v="45.96"/>
    <n v="1470.72"/>
    <n v="82.77"/>
    <n v="363.95"/>
    <s v="Land"/>
    <s v="Medium"/>
    <x v="2"/>
    <n v="0.24746382724107918"/>
    <d v="2024-03-01T00:00:00"/>
    <s v="AudioTech Ltd."/>
    <s v="China"/>
    <n v="32"/>
  </r>
  <r>
    <s v="ORD_2025_0268"/>
    <s v="Apr-2025"/>
    <s v="Johnson, Emily"/>
    <s v="Italy"/>
    <x v="8"/>
    <s v="Electronics"/>
    <n v="37"/>
    <n v="16.82"/>
    <n v="622.34"/>
    <n v="32.9"/>
    <n v="117.69"/>
    <s v="Air"/>
    <s v="Medium"/>
    <x v="1"/>
    <n v="0.18910884725391264"/>
    <d v="2025-04-01T00:00:00"/>
    <s v="BrightHome"/>
    <s v="Vietnam"/>
    <n v="12.75"/>
  </r>
  <r>
    <s v="ORD_2025_0269"/>
    <s v="Apr-2024"/>
    <s v="Hernandez, Emma"/>
    <s v="Italy"/>
    <x v="2"/>
    <s v="Electronics"/>
    <n v="18"/>
    <n v="54.62"/>
    <n v="983.16"/>
    <n v="22.61"/>
    <n v="384.55"/>
    <s v="Air"/>
    <s v="Medium"/>
    <x v="1"/>
    <n v="0.39113674274787424"/>
    <d v="2024-04-01T00:00:00"/>
    <s v="AudioTech Ltd."/>
    <s v="China"/>
    <n v="32"/>
  </r>
  <r>
    <s v="ORD_2025_0270"/>
    <s v="Mar-2025"/>
    <s v="Miller, Laura"/>
    <s v="Italy"/>
    <x v="8"/>
    <s v="Electronics"/>
    <n v="30"/>
    <n v="22.83"/>
    <n v="684.9"/>
    <n v="32.31"/>
    <n v="270.08999999999997"/>
    <s v="Land"/>
    <s v="Medium"/>
    <x v="1"/>
    <n v="0.3943495400788436"/>
    <d v="2025-03-01T00:00:00"/>
    <s v="BrightHome"/>
    <s v="Vietnam"/>
    <n v="12.75"/>
  </r>
  <r>
    <s v="ORD_2025_0271"/>
    <s v="Dec-2024"/>
    <s v="Smith, Laura"/>
    <s v="France"/>
    <x v="2"/>
    <s v="Electronics"/>
    <n v="39"/>
    <n v="47.02"/>
    <n v="1833.78"/>
    <n v="50.01"/>
    <n v="535.77"/>
    <s v="Air"/>
    <s v="Medium"/>
    <x v="1"/>
    <n v="0.29216699931289469"/>
    <d v="2024-12-01T00:00:00"/>
    <s v="AudioTech Ltd."/>
    <s v="China"/>
    <n v="32"/>
  </r>
  <r>
    <s v="ORD_2025_0272"/>
    <s v="Apr-2025"/>
    <s v="Davis, David"/>
    <s v="Usa"/>
    <x v="9"/>
    <s v="Home Decor"/>
    <n v="22"/>
    <n v="43.32"/>
    <n v="953.04"/>
    <n v="71.3"/>
    <n v="265.74"/>
    <s v="Sea"/>
    <s v="High"/>
    <x v="0"/>
    <n v="0.27883404683958701"/>
    <d v="2025-04-01T00:00:00"/>
    <s v="BrightHome"/>
    <s v="India"/>
    <n v="28"/>
  </r>
  <r>
    <s v="ORD_2025_0273"/>
    <s v="Oct-2024"/>
    <s v="Garcia, John"/>
    <s v="Japan"/>
    <x v="5"/>
    <s v="Home Decor"/>
    <n v="6"/>
    <n v="31.69"/>
    <n v="190.14"/>
    <n v="12.52"/>
    <n v="42.62"/>
    <s v="Air"/>
    <s v="Medium"/>
    <x v="3"/>
    <n v="0.22415062585463344"/>
    <d v="2024-10-01T00:00:00"/>
    <s v="ClearCraft"/>
    <s v="India"/>
    <n v="22.5"/>
  </r>
  <r>
    <s v="ORD_2025_0274"/>
    <s v="Jun-2024"/>
    <s v="Davis, Emily"/>
    <s v="Germany"/>
    <x v="0"/>
    <s v="Accessories"/>
    <n v="19"/>
    <n v="53.28"/>
    <n v="1012.32"/>
    <n v="27.24"/>
    <n v="320.08"/>
    <s v="Air"/>
    <s v="Medium"/>
    <x v="1"/>
    <n v="0.31618460565828982"/>
    <d v="2024-06-01T00:00:00"/>
    <s v="CarryPro"/>
    <s v="Vietnam"/>
    <n v="35"/>
  </r>
  <r>
    <s v="ORD_2025_0275"/>
    <s v="May-2024"/>
    <s v="Williams, Michael"/>
    <s v="Usa"/>
    <x v="0"/>
    <s v="Accessories"/>
    <n v="47"/>
    <n v="47.53"/>
    <n v="2233.91"/>
    <n v="128.91"/>
    <n v="460"/>
    <s v="Sea"/>
    <s v="Low"/>
    <x v="0"/>
    <n v="0.20591697964555422"/>
    <d v="2024-05-01T00:00:00"/>
    <s v="CarryPro"/>
    <s v="Vietnam"/>
    <n v="35"/>
  </r>
  <r>
    <s v="ORD_2025_0276"/>
    <s v="Nov-2024"/>
    <s v="Hernandez, Michael"/>
    <s v="Singapore"/>
    <x v="4"/>
    <s v="Electronics"/>
    <n v="12"/>
    <n v="24.02"/>
    <n v="288.24"/>
    <n v="9.8000000000000007"/>
    <n v="38.44"/>
    <s v="Land"/>
    <s v="High"/>
    <x v="3"/>
    <n v="0.133361087982237"/>
    <d v="2024-11-01T00:00:00"/>
    <s v="ClickTech"/>
    <s v="China"/>
    <n v="20"/>
  </r>
  <r>
    <s v="ORD_2025_0277"/>
    <s v="Jan-2025"/>
    <s v="Brown, Sophia"/>
    <s v="Singapore"/>
    <x v="8"/>
    <s v="Electronics"/>
    <n v="32"/>
    <n v="15.64"/>
    <n v="500.48"/>
    <n v="24.69"/>
    <n v="67.790000000000006"/>
    <s v="Air"/>
    <s v="Low"/>
    <x v="3"/>
    <n v="0.13544996803069054"/>
    <d v="2025-01-01T00:00:00"/>
    <s v="BrightHome"/>
    <s v="Vietnam"/>
    <n v="12.75"/>
  </r>
  <r>
    <s v="ORD_2025_0278"/>
    <s v="Oct-2024"/>
    <s v="Hernandez, David"/>
    <s v="Australia"/>
    <x v="2"/>
    <s v="Electronics"/>
    <n v="22"/>
    <n v="42.54"/>
    <n v="935.88"/>
    <n v="45.37"/>
    <n v="186.51"/>
    <s v="Land"/>
    <s v="High"/>
    <x v="5"/>
    <n v="0.1992883703038851"/>
    <d v="2024-10-01T00:00:00"/>
    <s v="AudioTech Ltd."/>
    <s v="China"/>
    <n v="32"/>
  </r>
  <r>
    <s v="ORD_2025_0279"/>
    <s v="Jun-2024"/>
    <s v="Hernandez, Sarah"/>
    <s v="India"/>
    <x v="6"/>
    <s v="Textiles"/>
    <n v="37"/>
    <n v="43.55"/>
    <n v="1611.35"/>
    <n v="67.78"/>
    <n v="618.57000000000005"/>
    <s v="Sea"/>
    <s v="Medium"/>
    <x v="3"/>
    <n v="0.38388307940546751"/>
    <d v="2024-06-01T00:00:00"/>
    <s v="SoftWeave"/>
    <s v="Turkey"/>
    <n v="25"/>
  </r>
  <r>
    <s v="ORD_2025_0280"/>
    <s v="Aug-2024"/>
    <s v="Hernandez, John"/>
    <s v="Brazil"/>
    <x v="7"/>
    <s v="Home Decor"/>
    <n v="42"/>
    <n v="20.260000000000002"/>
    <n v="850.92"/>
    <n v="22.43"/>
    <n v="177.49"/>
    <s v="Air"/>
    <s v="High"/>
    <x v="2"/>
    <n v="0.20858600103417479"/>
    <d v="2024-08-01T00:00:00"/>
    <s v="Artisans Co."/>
    <s v="India"/>
    <n v="15.5"/>
  </r>
  <r>
    <s v="ORD_2025_0281"/>
    <s v="May-2025"/>
    <s v="Davis, James"/>
    <s v="Canada"/>
    <x v="1"/>
    <s v="Accessories"/>
    <n v="43"/>
    <n v="24.08"/>
    <n v="1035.44"/>
    <n v="35.07"/>
    <n v="226.37"/>
    <s v="Sea"/>
    <s v="High"/>
    <x v="0"/>
    <n v="0.21862203507687553"/>
    <d v="2025-05-01T00:00:00"/>
    <s v="CraftLine"/>
    <s v="Italy"/>
    <n v="18"/>
  </r>
  <r>
    <s v="ORD_2025_0282"/>
    <s v="Jun-2024"/>
    <s v="Johnson, Emily"/>
    <s v="Germany"/>
    <x v="3"/>
    <s v="Apparel"/>
    <n v="14"/>
    <n v="69.010000000000005"/>
    <n v="966.14"/>
    <n v="32.67"/>
    <n v="373.47"/>
    <s v="Sea"/>
    <s v="Low"/>
    <x v="1"/>
    <n v="0.38655888380565967"/>
    <d v="2024-06-01T00:00:00"/>
    <s v="BlueWear"/>
    <s v="Bangladesh"/>
    <n v="40"/>
  </r>
  <r>
    <s v="ORD_2025_0283"/>
    <s v="May-2024"/>
    <s v="Miller, David"/>
    <s v="Australia"/>
    <x v="4"/>
    <s v="Electronics"/>
    <n v="29"/>
    <n v="28.29"/>
    <n v="820.41"/>
    <n v="63.15"/>
    <n v="177.26"/>
    <s v="Air"/>
    <s v="High"/>
    <x v="5"/>
    <n v="0.21606270035713851"/>
    <d v="2024-05-01T00:00:00"/>
    <s v="ClickTech"/>
    <s v="China"/>
    <n v="20"/>
  </r>
  <r>
    <s v="ORD_2025_0284"/>
    <s v="Jan-2024"/>
    <s v="Johnson, David"/>
    <s v="Mexico"/>
    <x v="7"/>
    <s v="Home Decor"/>
    <n v="29"/>
    <n v="26.51"/>
    <n v="768.79"/>
    <n v="15.66"/>
    <n v="303.63"/>
    <s v="Sea"/>
    <s v="Low"/>
    <x v="0"/>
    <n v="0.3949453036589966"/>
    <d v="2024-01-01T00:00:00"/>
    <s v="Artisans Co."/>
    <s v="India"/>
    <n v="15.5"/>
  </r>
  <r>
    <s v="ORD_2025_0285"/>
    <s v="Dec-2024"/>
    <s v="Martinez, Sarah"/>
    <s v="Canada"/>
    <x v="0"/>
    <s v="Accessories"/>
    <n v="11"/>
    <n v="58.07"/>
    <n v="638.77"/>
    <n v="43.89"/>
    <n v="209.88"/>
    <s v="Land"/>
    <s v="Medium"/>
    <x v="0"/>
    <n v="0.32856896848630962"/>
    <d v="2024-12-01T00:00:00"/>
    <s v="CarryPro"/>
    <s v="Vietnam"/>
    <n v="35"/>
  </r>
  <r>
    <s v="ORD_2025_0286"/>
    <s v="May-2025"/>
    <s v="Smith, Sophia"/>
    <s v="Uk"/>
    <x v="2"/>
    <s v="Electronics"/>
    <n v="3"/>
    <n v="48.76"/>
    <n v="146.28"/>
    <n v="10.45"/>
    <n v="39.83"/>
    <s v="Air"/>
    <s v="Medium"/>
    <x v="1"/>
    <n v="0.2722860267979218"/>
    <d v="2025-05-01T00:00:00"/>
    <s v="AudioTech Ltd."/>
    <s v="China"/>
    <n v="32"/>
  </r>
  <r>
    <s v="ORD_2025_0287"/>
    <s v="May-2024"/>
    <s v="Williams, Emily"/>
    <s v="India"/>
    <x v="4"/>
    <s v="Electronics"/>
    <n v="49"/>
    <n v="30.46"/>
    <n v="1492.54"/>
    <n v="51.82"/>
    <n v="460.72"/>
    <s v="Sea"/>
    <s v="Low"/>
    <x v="3"/>
    <n v="0.30868184437268015"/>
    <d v="2024-05-01T00:00:00"/>
    <s v="ClickTech"/>
    <s v="China"/>
    <n v="20"/>
  </r>
  <r>
    <s v="ORD_2025_0288"/>
    <s v="Sep-2024"/>
    <s v="Davis, John"/>
    <s v="China"/>
    <x v="9"/>
    <s v="Home Decor"/>
    <n v="25"/>
    <n v="35.21"/>
    <n v="880.25"/>
    <n v="39.799999999999997"/>
    <n v="140.44999999999999"/>
    <s v="Air"/>
    <s v="Medium"/>
    <x v="3"/>
    <n v="0.1595569440499858"/>
    <d v="2024-09-01T00:00:00"/>
    <s v="BrightHome"/>
    <s v="India"/>
    <n v="28"/>
  </r>
  <r>
    <s v="ORD_2025_0289"/>
    <s v="Jan-2024"/>
    <s v="Johnson, David"/>
    <s v="Usa"/>
    <x v="9"/>
    <s v="Home Decor"/>
    <n v="37"/>
    <n v="44.82"/>
    <n v="1658.34"/>
    <n v="65.75"/>
    <n v="556.59"/>
    <s v="Sea"/>
    <s v="Medium"/>
    <x v="0"/>
    <n v="0.33563081153442603"/>
    <d v="2024-01-01T00:00:00"/>
    <s v="BrightHome"/>
    <s v="India"/>
    <n v="28"/>
  </r>
  <r>
    <s v="ORD_2025_0290"/>
    <s v="Jun-2024"/>
    <s v="Miller, James"/>
    <s v="Germany"/>
    <x v="7"/>
    <s v="Home Decor"/>
    <n v="11"/>
    <n v="18.75"/>
    <n v="206.25"/>
    <n v="11.67"/>
    <n v="24.08"/>
    <s v="Land"/>
    <s v="Low"/>
    <x v="1"/>
    <n v="0.11675151515151515"/>
    <d v="2024-06-01T00:00:00"/>
    <s v="Artisans Co."/>
    <s v="India"/>
    <n v="15.5"/>
  </r>
  <r>
    <s v="ORD_2025_0291"/>
    <s v="Feb-2024"/>
    <s v="Johnson, David"/>
    <s v="Brazil"/>
    <x v="4"/>
    <s v="Electronics"/>
    <n v="37"/>
    <n v="31.66"/>
    <n v="1171.42"/>
    <n v="58.95"/>
    <n v="372.47"/>
    <s v="Air"/>
    <s v="Low"/>
    <x v="2"/>
    <n v="0.31796452169162215"/>
    <d v="2024-02-01T00:00:00"/>
    <s v="ClickTech"/>
    <s v="China"/>
    <n v="20"/>
  </r>
  <r>
    <s v="ORD_2025_0292"/>
    <s v="Jul-2024"/>
    <s v="Garcia, John"/>
    <s v="Uk"/>
    <x v="4"/>
    <s v="Electronics"/>
    <n v="17"/>
    <n v="32.74"/>
    <n v="556.58000000000004"/>
    <n v="14.68"/>
    <n v="201.9"/>
    <s v="Sea"/>
    <s v="Medium"/>
    <x v="1"/>
    <n v="0.36275108699558012"/>
    <d v="2024-07-01T00:00:00"/>
    <s v="ClickTech"/>
    <s v="China"/>
    <n v="20"/>
  </r>
  <r>
    <s v="ORD_2025_0293"/>
    <s v="Apr-2024"/>
    <s v="Davis, James"/>
    <s v="Usa"/>
    <x v="9"/>
    <s v="Home Decor"/>
    <n v="7"/>
    <n v="46.64"/>
    <n v="326.48"/>
    <n v="25.19"/>
    <n v="105.29"/>
    <s v="Sea"/>
    <s v="High"/>
    <x v="0"/>
    <n v="0.32250061259495222"/>
    <d v="2024-04-01T00:00:00"/>
    <s v="BrightHome"/>
    <s v="India"/>
    <n v="28"/>
  </r>
  <r>
    <s v="ORD_2025_0294"/>
    <s v="Feb-2025"/>
    <s v="Smith, Daniel"/>
    <s v="Uae"/>
    <x v="1"/>
    <s v="Accessories"/>
    <n v="16"/>
    <n v="24.77"/>
    <n v="396.32"/>
    <n v="15.6"/>
    <n v="92.72"/>
    <s v="Land"/>
    <s v="High"/>
    <x v="3"/>
    <n v="0.23395236172789666"/>
    <d v="2025-02-01T00:00:00"/>
    <s v="CraftLine"/>
    <s v="Italy"/>
    <n v="18"/>
  </r>
  <r>
    <s v="ORD_2025_0295"/>
    <s v="Apr-2025"/>
    <s v="Martinez, Laura"/>
    <s v="Mexico"/>
    <x v="3"/>
    <s v="Apparel"/>
    <n v="39"/>
    <n v="56.5"/>
    <n v="2203.5"/>
    <n v="141.58000000000001"/>
    <n v="501.92"/>
    <s v="Air"/>
    <s v="Low"/>
    <x v="0"/>
    <n v="0.2277830723848423"/>
    <d v="2025-04-01T00:00:00"/>
    <s v="BlueWear"/>
    <s v="Bangladesh"/>
    <n v="40"/>
  </r>
  <r>
    <s v="ORD_2025_0296"/>
    <s v="Sep-2024"/>
    <s v="Brown, Sophia"/>
    <s v="India"/>
    <x v="7"/>
    <s v="Home Decor"/>
    <n v="1"/>
    <n v="24.01"/>
    <n v="24.01"/>
    <n v="1.58"/>
    <n v="6.93"/>
    <s v="Land"/>
    <s v="Low"/>
    <x v="3"/>
    <n v="0.28862973760932942"/>
    <d v="2024-09-01T00:00:00"/>
    <s v="Artisans Co."/>
    <s v="India"/>
    <n v="15.5"/>
  </r>
  <r>
    <s v="ORD_2025_0297"/>
    <s v="Dec-2024"/>
    <s v="Jones, Laura"/>
    <s v="India"/>
    <x v="6"/>
    <s v="Textiles"/>
    <n v="45"/>
    <n v="35.99"/>
    <n v="1619.55"/>
    <n v="49.95"/>
    <n v="444.6"/>
    <s v="Land"/>
    <s v="Medium"/>
    <x v="3"/>
    <n v="0.27452070019449848"/>
    <d v="2024-12-01T00:00:00"/>
    <s v="SoftWeave"/>
    <s v="Turkey"/>
    <n v="25"/>
  </r>
  <r>
    <s v="ORD_2025_0298"/>
    <s v="Feb-2025"/>
    <s v="Brown, Daniel"/>
    <s v="Singapore"/>
    <x v="4"/>
    <s v="Electronics"/>
    <n v="5"/>
    <n v="25.45"/>
    <n v="127.25"/>
    <n v="7.22"/>
    <n v="20.03"/>
    <s v="Air"/>
    <s v="High"/>
    <x v="3"/>
    <n v="0.15740667976424363"/>
    <d v="2025-02-01T00:00:00"/>
    <s v="ClickTech"/>
    <s v="China"/>
    <n v="20"/>
  </r>
  <r>
    <s v="ORD_2025_0299"/>
    <s v="Jan-2025"/>
    <s v="Jones, Laura"/>
    <s v="Japan"/>
    <x v="7"/>
    <s v="Home Decor"/>
    <n v="24"/>
    <n v="19.53"/>
    <n v="468.72"/>
    <n v="14.12"/>
    <n v="82.6"/>
    <s v="Land"/>
    <s v="Low"/>
    <x v="3"/>
    <n v="0.17622461170848266"/>
    <d v="2025-01-01T00:00:00"/>
    <s v="Artisans Co."/>
    <s v="India"/>
    <n v="15.5"/>
  </r>
  <r>
    <s v="ORD_2025_0300"/>
    <s v="Jan-2025"/>
    <s v="Brown, Laura"/>
    <s v="Canada"/>
    <x v="8"/>
    <s v="Electronics"/>
    <n v="28"/>
    <n v="22.33"/>
    <n v="625.24"/>
    <n v="44.24"/>
    <n v="224"/>
    <s v="Land"/>
    <s v="Low"/>
    <x v="0"/>
    <n v="0.35826242722794449"/>
    <d v="2025-01-01T00:00:00"/>
    <s v="BrightHome"/>
    <s v="Vietnam"/>
    <n v="12.75"/>
  </r>
  <r>
    <s v="ORD_2025_0301"/>
    <s v="Nov-2024"/>
    <s v="Johnson, Sarah"/>
    <s v="Italy"/>
    <x v="2"/>
    <s v="Electronics"/>
    <n v="49"/>
    <n v="39.31"/>
    <n v="1926.19"/>
    <n v="69.7"/>
    <n v="288.49"/>
    <s v="Sea"/>
    <s v="Low"/>
    <x v="1"/>
    <n v="0.14977234852221225"/>
    <d v="2024-11-01T00:00:00"/>
    <s v="AudioTech Ltd."/>
    <s v="China"/>
    <n v="32"/>
  </r>
  <r>
    <s v="ORD_2025_0302"/>
    <s v="Jul-2024"/>
    <s v="Davis, Michael"/>
    <s v="India"/>
    <x v="7"/>
    <s v="Home Decor"/>
    <n v="6"/>
    <n v="22.95"/>
    <n v="137.69999999999999"/>
    <n v="5.63"/>
    <n v="39.07"/>
    <s v="Sea"/>
    <s v="Medium"/>
    <x v="3"/>
    <n v="0.28373275236020334"/>
    <d v="2024-07-01T00:00:00"/>
    <s v="Artisans Co."/>
    <s v="India"/>
    <n v="15.5"/>
  </r>
  <r>
    <s v="ORD_2025_0303"/>
    <s v="Jun-2024"/>
    <s v="Williams, Michael"/>
    <s v="Mexico"/>
    <x v="4"/>
    <s v="Electronics"/>
    <n v="35"/>
    <n v="27.72"/>
    <n v="970.2"/>
    <n v="61.74"/>
    <n v="208.46"/>
    <s v="Land"/>
    <s v="High"/>
    <x v="0"/>
    <n v="0.21486291486291487"/>
    <d v="2024-06-01T00:00:00"/>
    <s v="ClickTech"/>
    <s v="China"/>
    <n v="20"/>
  </r>
  <r>
    <s v="ORD_2025_0304"/>
    <s v="Oct-2024"/>
    <s v="Johnson, Daniel"/>
    <s v="China"/>
    <x v="3"/>
    <s v="Apparel"/>
    <n v="34"/>
    <n v="64.75"/>
    <n v="2201.5"/>
    <n v="68.05"/>
    <n v="773.45"/>
    <s v="Air"/>
    <s v="High"/>
    <x v="3"/>
    <n v="0.35132863956393368"/>
    <d v="2024-10-01T00:00:00"/>
    <s v="BlueWear"/>
    <s v="Bangladesh"/>
    <n v="40"/>
  </r>
  <r>
    <s v="ORD_2025_0305"/>
    <s v="Apr-2025"/>
    <s v="Smith, Michael"/>
    <s v="Australia"/>
    <x v="4"/>
    <s v="Electronics"/>
    <n v="49"/>
    <n v="26.02"/>
    <n v="1274.98"/>
    <n v="61.84"/>
    <n v="233.14"/>
    <s v="Air"/>
    <s v="Medium"/>
    <x v="5"/>
    <n v="0.18285777031796577"/>
    <d v="2025-04-01T00:00:00"/>
    <s v="ClickTech"/>
    <s v="China"/>
    <n v="20"/>
  </r>
  <r>
    <s v="ORD_2025_0306"/>
    <s v="Dec-2024"/>
    <s v="Martinez, John"/>
    <s v="Brazil"/>
    <x v="6"/>
    <s v="Textiles"/>
    <n v="1"/>
    <n v="32.979999999999997"/>
    <n v="32.979999999999997"/>
    <n v="1.89"/>
    <n v="6.09"/>
    <s v="Air"/>
    <s v="Medium"/>
    <x v="2"/>
    <n v="0.18465736810187994"/>
    <d v="2024-12-01T00:00:00"/>
    <s v="SoftWeave"/>
    <s v="Turkey"/>
    <n v="25"/>
  </r>
  <r>
    <s v="ORD_2025_0307"/>
    <s v="Nov-2024"/>
    <s v="Hernandez, Sarah"/>
    <s v="Brazil"/>
    <x v="8"/>
    <s v="Electronics"/>
    <n v="18"/>
    <n v="20.09"/>
    <n v="361.62"/>
    <n v="8.3800000000000008"/>
    <n v="123.74"/>
    <s v="Land"/>
    <s v="Low"/>
    <x v="2"/>
    <n v="0.34218240141585088"/>
    <d v="2024-11-01T00:00:00"/>
    <s v="BrightHome"/>
    <s v="Vietnam"/>
    <n v="12.75"/>
  </r>
  <r>
    <s v="ORD_2025_0308"/>
    <s v="Jun-2024"/>
    <s v="Brown, Daniel"/>
    <s v="India"/>
    <x v="0"/>
    <s v="Accessories"/>
    <n v="39"/>
    <n v="49.59"/>
    <n v="1934.01"/>
    <n v="62.79"/>
    <n v="506.22"/>
    <s v="Sea"/>
    <s v="Medium"/>
    <x v="3"/>
    <n v="0.26174631982254487"/>
    <d v="2024-06-01T00:00:00"/>
    <s v="CarryPro"/>
    <s v="Vietnam"/>
    <n v="35"/>
  </r>
  <r>
    <s v="ORD_2025_0309"/>
    <s v="Apr-2025"/>
    <s v="Brown, John"/>
    <s v="Canada"/>
    <x v="2"/>
    <s v="Electronics"/>
    <n v="6"/>
    <n v="41.99"/>
    <n v="251.94"/>
    <n v="10.76"/>
    <n v="49.18"/>
    <s v="Land"/>
    <s v="Low"/>
    <x v="0"/>
    <n v="0.19520520758910853"/>
    <d v="2025-04-01T00:00:00"/>
    <s v="AudioTech Ltd."/>
    <s v="China"/>
    <n v="32"/>
  </r>
  <r>
    <s v="ORD_2025_0310"/>
    <s v="May-2024"/>
    <s v="Davis, James"/>
    <s v="Singapore"/>
    <x v="0"/>
    <s v="Accessories"/>
    <n v="12"/>
    <n v="47.4"/>
    <n v="568.79999999999995"/>
    <n v="23.31"/>
    <n v="125.49"/>
    <s v="Air"/>
    <s v="Low"/>
    <x v="3"/>
    <n v="0.22062236286919831"/>
    <d v="2024-05-01T00:00:00"/>
    <s v="CarryPro"/>
    <s v="Vietnam"/>
    <n v="35"/>
  </r>
  <r>
    <s v="ORD_2025_0311"/>
    <s v="Jul-2024"/>
    <s v="Garcia, David"/>
    <s v="Uae"/>
    <x v="4"/>
    <s v="Electronics"/>
    <n v="50"/>
    <n v="34.28"/>
    <n v="1714"/>
    <n v="59.84"/>
    <n v="654.16"/>
    <s v="Land"/>
    <s v="Low"/>
    <x v="3"/>
    <n v="0.38165694282380397"/>
    <d v="2024-07-01T00:00:00"/>
    <s v="ClickTech"/>
    <s v="China"/>
    <n v="20"/>
  </r>
  <r>
    <s v="ORD_2025_0312"/>
    <s v="Mar-2025"/>
    <s v="Martinez, Sophia"/>
    <s v="South Africa"/>
    <x v="1"/>
    <s v="Accessories"/>
    <n v="50"/>
    <n v="29.39"/>
    <n v="1469.5"/>
    <n v="101.51"/>
    <n v="467.99"/>
    <s v="Air"/>
    <s v="High"/>
    <x v="4"/>
    <n v="0.31846886696155158"/>
    <d v="2025-03-01T00:00:00"/>
    <s v="CraftLine"/>
    <s v="Italy"/>
    <n v="18"/>
  </r>
  <r>
    <s v="ORD_2025_0313"/>
    <s v="Aug-2024"/>
    <s v="Hernandez, John"/>
    <s v="Brazil"/>
    <x v="1"/>
    <s v="Accessories"/>
    <n v="46"/>
    <n v="30.34"/>
    <n v="1395.64"/>
    <n v="104.2"/>
    <n v="463.44"/>
    <s v="Land"/>
    <s v="Medium"/>
    <x v="2"/>
    <n v="0.33206270958126732"/>
    <d v="2024-08-01T00:00:00"/>
    <s v="CraftLine"/>
    <s v="Italy"/>
    <n v="18"/>
  </r>
  <r>
    <s v="ORD_2025_0314"/>
    <s v="Mar-2024"/>
    <s v="Jones, James"/>
    <s v="Singapore"/>
    <x v="8"/>
    <s v="Electronics"/>
    <n v="50"/>
    <n v="18.809999999999999"/>
    <n v="940.5"/>
    <n v="40.25"/>
    <n v="262.75"/>
    <s v="Sea"/>
    <s v="Medium"/>
    <x v="3"/>
    <n v="0.27937267410951622"/>
    <d v="2024-03-01T00:00:00"/>
    <s v="BrightHome"/>
    <s v="Vietnam"/>
    <n v="12.75"/>
  </r>
  <r>
    <s v="ORD_2025_0315"/>
    <s v="Jul-2024"/>
    <s v="Martinez, Sophia"/>
    <s v="Australia"/>
    <x v="5"/>
    <s v="Home Decor"/>
    <n v="2"/>
    <n v="29.64"/>
    <n v="59.28"/>
    <n v="4.59"/>
    <n v="9.69"/>
    <s v="Sea"/>
    <s v="High"/>
    <x v="5"/>
    <n v="0.16346153846153846"/>
    <d v="2024-07-01T00:00:00"/>
    <s v="ClearCraft"/>
    <s v="India"/>
    <n v="22.5"/>
  </r>
  <r>
    <s v="ORD_2025_0316"/>
    <s v="Jan-2024"/>
    <s v="Brown, Sophia"/>
    <s v="Singapore"/>
    <x v="5"/>
    <s v="Home Decor"/>
    <n v="48"/>
    <n v="27.9"/>
    <n v="1339.2"/>
    <n v="66.31"/>
    <n v="192.89"/>
    <s v="Sea"/>
    <s v="High"/>
    <x v="3"/>
    <n v="0.1440337514934289"/>
    <d v="2024-01-01T00:00:00"/>
    <s v="ClearCraft"/>
    <s v="India"/>
    <n v="22.5"/>
  </r>
  <r>
    <s v="ORD_2025_0317"/>
    <s v="Dec-2024"/>
    <s v="Martinez, David"/>
    <s v="France"/>
    <x v="6"/>
    <s v="Textiles"/>
    <n v="28"/>
    <n v="38.520000000000003"/>
    <n v="1078.56"/>
    <n v="64.510000000000005"/>
    <n v="314.05"/>
    <s v="Land"/>
    <s v="Medium"/>
    <x v="1"/>
    <n v="0.29117527073134553"/>
    <d v="2024-12-01T00:00:00"/>
    <s v="SoftWeave"/>
    <s v="Turkey"/>
    <n v="25"/>
  </r>
  <r>
    <s v="ORD_2025_0318"/>
    <s v="Mar-2024"/>
    <s v="Garcia, Laura"/>
    <s v="Uk"/>
    <x v="5"/>
    <s v="Home Decor"/>
    <n v="11"/>
    <n v="31.08"/>
    <n v="341.88"/>
    <n v="17.18"/>
    <n v="77.2"/>
    <s v="Air"/>
    <s v="High"/>
    <x v="1"/>
    <n v="0.22581022581022583"/>
    <d v="2024-03-01T00:00:00"/>
    <s v="ClearCraft"/>
    <s v="India"/>
    <n v="22.5"/>
  </r>
  <r>
    <s v="ORD_2025_0319"/>
    <s v="Oct-2024"/>
    <s v="Martinez, John"/>
    <s v="Mexico"/>
    <x v="4"/>
    <s v="Electronics"/>
    <n v="42"/>
    <n v="25.95"/>
    <n v="1089.9000000000001"/>
    <n v="27.5"/>
    <n v="222.4"/>
    <s v="Air"/>
    <s v="High"/>
    <x v="0"/>
    <n v="0.2040554179282503"/>
    <d v="2024-10-01T00:00:00"/>
    <s v="ClickTech"/>
    <s v="China"/>
    <n v="20"/>
  </r>
  <r>
    <s v="ORD_2025_0320"/>
    <s v="Aug-2024"/>
    <s v="Smith, John"/>
    <s v="Singapore"/>
    <x v="6"/>
    <s v="Textiles"/>
    <n v="30"/>
    <n v="30.16"/>
    <n v="904.8"/>
    <n v="70.13"/>
    <n v="84.67"/>
    <s v="Sea"/>
    <s v="Low"/>
    <x v="3"/>
    <n v="9.3578691423519017E-2"/>
    <d v="2024-08-01T00:00:00"/>
    <s v="SoftWeave"/>
    <s v="Turkey"/>
    <n v="25"/>
  </r>
  <r>
    <s v="ORD_2025_0321"/>
    <s v="Jul-2024"/>
    <s v="Jones, John"/>
    <s v="Brazil"/>
    <x v="4"/>
    <s v="Electronics"/>
    <n v="40"/>
    <n v="30.03"/>
    <n v="1201.2"/>
    <n v="71.97"/>
    <n v="329.23"/>
    <s v="Sea"/>
    <s v="Low"/>
    <x v="2"/>
    <n v="0.27408424908424911"/>
    <d v="2024-07-01T00:00:00"/>
    <s v="ClickTech"/>
    <s v="China"/>
    <n v="20"/>
  </r>
  <r>
    <s v="ORD_2025_0322"/>
    <s v="Oct-2024"/>
    <s v="Jones, Laura"/>
    <s v="South Africa"/>
    <x v="4"/>
    <s v="Electronics"/>
    <n v="15"/>
    <n v="27.12"/>
    <n v="406.8"/>
    <n v="24.28"/>
    <n v="82.52"/>
    <s v="Sea"/>
    <s v="Medium"/>
    <x v="4"/>
    <n v="0.20285152409046212"/>
    <d v="2024-10-01T00:00:00"/>
    <s v="ClickTech"/>
    <s v="China"/>
    <n v="20"/>
  </r>
  <r>
    <s v="ORD_2025_0323"/>
    <s v="Oct-2024"/>
    <s v="Williams, Emily"/>
    <s v="France"/>
    <x v="8"/>
    <s v="Electronics"/>
    <n v="35"/>
    <n v="18.350000000000001"/>
    <n v="642.25"/>
    <n v="29.35"/>
    <n v="166.65"/>
    <s v="Land"/>
    <s v="Medium"/>
    <x v="1"/>
    <n v="0.2594783962631374"/>
    <d v="2024-10-01T00:00:00"/>
    <s v="BrightHome"/>
    <s v="Vietnam"/>
    <n v="12.75"/>
  </r>
  <r>
    <s v="ORD_2025_0324"/>
    <s v="Jun-2024"/>
    <s v="Garcia, James"/>
    <s v="South Africa"/>
    <x v="0"/>
    <s v="Accessories"/>
    <n v="21"/>
    <n v="52.59"/>
    <n v="1104.3900000000001"/>
    <n v="57.06"/>
    <n v="312.33"/>
    <s v="Sea"/>
    <s v="Medium"/>
    <x v="4"/>
    <n v="0.28280770380028791"/>
    <d v="2024-06-01T00:00:00"/>
    <s v="CarryPro"/>
    <s v="Vietnam"/>
    <n v="35"/>
  </r>
  <r>
    <s v="ORD_2025_0325"/>
    <s v="Sep-2024"/>
    <s v="Brown, Sophia"/>
    <s v="China"/>
    <x v="9"/>
    <s v="Home Decor"/>
    <n v="10"/>
    <n v="44.2"/>
    <n v="442"/>
    <n v="18.45"/>
    <n v="143.55000000000001"/>
    <s v="Land"/>
    <s v="Low"/>
    <x v="3"/>
    <n v="0.32477375565610861"/>
    <d v="2024-09-01T00:00:00"/>
    <s v="BrightHome"/>
    <s v="India"/>
    <n v="28"/>
  </r>
  <r>
    <s v="ORD_2025_0326"/>
    <s v="Dec-2024"/>
    <s v="Williams, James"/>
    <s v="China"/>
    <x v="0"/>
    <s v="Accessories"/>
    <n v="11"/>
    <n v="60.9"/>
    <n v="669.9"/>
    <n v="26.28"/>
    <n v="258.62"/>
    <s v="Sea"/>
    <s v="Medium"/>
    <x v="3"/>
    <n v="0.38605762054037918"/>
    <d v="2024-12-01T00:00:00"/>
    <s v="CarryPro"/>
    <s v="Vietnam"/>
    <n v="35"/>
  </r>
  <r>
    <s v="ORD_2025_0327"/>
    <s v="Sep-2024"/>
    <s v="Miller, John"/>
    <s v="Uae"/>
    <x v="8"/>
    <s v="Electronics"/>
    <n v="26"/>
    <n v="22.32"/>
    <n v="580.32000000000005"/>
    <n v="45.08"/>
    <n v="203.74"/>
    <s v="Sea"/>
    <s v="Medium"/>
    <x v="3"/>
    <n v="0.3510821615660325"/>
    <d v="2024-09-01T00:00:00"/>
    <s v="BrightHome"/>
    <s v="Vietnam"/>
    <n v="12.75"/>
  </r>
  <r>
    <s v="ORD_2025_0328"/>
    <s v="Jan-2025"/>
    <s v="Brown, Emily"/>
    <s v="China"/>
    <x v="9"/>
    <s v="Home Decor"/>
    <n v="46"/>
    <n v="41.89"/>
    <n v="1926.94"/>
    <n v="97.39"/>
    <n v="541.54999999999995"/>
    <s v="Land"/>
    <s v="High"/>
    <x v="3"/>
    <n v="0.28104144394739844"/>
    <d v="2025-01-01T00:00:00"/>
    <s v="BrightHome"/>
    <s v="India"/>
    <n v="28"/>
  </r>
  <r>
    <s v="ORD_2025_0329"/>
    <s v="Oct-2024"/>
    <s v="Garcia, Michael"/>
    <s v="Uk"/>
    <x v="8"/>
    <s v="Electronics"/>
    <n v="43"/>
    <n v="21.24"/>
    <n v="913.32"/>
    <n v="50.32"/>
    <n v="314.75"/>
    <s v="Sea"/>
    <s v="Low"/>
    <x v="1"/>
    <n v="0.34462181929663205"/>
    <d v="2024-10-01T00:00:00"/>
    <s v="BrightHome"/>
    <s v="Vietnam"/>
    <n v="12.75"/>
  </r>
  <r>
    <s v="ORD_2025_0330"/>
    <s v="Mar-2024"/>
    <s v="Hernandez, Emily"/>
    <s v="Germany"/>
    <x v="5"/>
    <s v="Home Decor"/>
    <n v="28"/>
    <n v="33.700000000000003"/>
    <n v="943.6"/>
    <n v="20.170000000000002"/>
    <n v="293.43"/>
    <s v="Land"/>
    <s v="Medium"/>
    <x v="1"/>
    <n v="0.31096863077575243"/>
    <d v="2024-03-01T00:00:00"/>
    <s v="ClearCraft"/>
    <s v="India"/>
    <n v="22.5"/>
  </r>
  <r>
    <s v="ORD_2025_0331"/>
    <s v="Aug-2024"/>
    <s v="Garcia, Emma"/>
    <s v="India"/>
    <x v="0"/>
    <s v="Accessories"/>
    <n v="41"/>
    <n v="42.74"/>
    <n v="1752.34"/>
    <n v="92.09"/>
    <n v="225.25"/>
    <s v="Air"/>
    <s v="Low"/>
    <x v="3"/>
    <n v="0.12854240615405688"/>
    <d v="2024-08-01T00:00:00"/>
    <s v="CarryPro"/>
    <s v="Vietnam"/>
    <n v="35"/>
  </r>
  <r>
    <s v="ORD_2025_0332"/>
    <s v="Sep-2024"/>
    <s v="Garcia, James"/>
    <s v="Uk"/>
    <x v="4"/>
    <s v="Electronics"/>
    <n v="24"/>
    <n v="30.18"/>
    <n v="724.32"/>
    <n v="44.97"/>
    <n v="199.35"/>
    <s v="Land"/>
    <s v="Low"/>
    <x v="1"/>
    <n v="0.27522365805168986"/>
    <d v="2024-09-01T00:00:00"/>
    <s v="ClickTech"/>
    <s v="China"/>
    <n v="20"/>
  </r>
  <r>
    <s v="ORD_2025_0333"/>
    <s v="Feb-2025"/>
    <s v="Smith, Sophia"/>
    <s v="Japan"/>
    <x v="7"/>
    <s v="Home Decor"/>
    <n v="44"/>
    <n v="20.02"/>
    <n v="880.88"/>
    <n v="60.27"/>
    <n v="138.61000000000001"/>
    <s v="Sea"/>
    <s v="Medium"/>
    <x v="3"/>
    <n v="0.15735400962673693"/>
    <d v="2025-02-01T00:00:00"/>
    <s v="Artisans Co."/>
    <s v="India"/>
    <n v="15.5"/>
  </r>
  <r>
    <s v="ORD_2025_0334"/>
    <s v="Aug-2024"/>
    <s v="Garcia, Sophia"/>
    <s v="Uk"/>
    <x v="4"/>
    <s v="Electronics"/>
    <n v="12"/>
    <n v="27.45"/>
    <n v="329.4"/>
    <n v="13.22"/>
    <n v="76.180000000000007"/>
    <s v="Air"/>
    <s v="High"/>
    <x v="1"/>
    <n v="0.23126897389192475"/>
    <d v="2024-08-01T00:00:00"/>
    <s v="ClickTech"/>
    <s v="China"/>
    <n v="20"/>
  </r>
  <r>
    <s v="ORD_2025_0335"/>
    <s v="Nov-2024"/>
    <s v="Davis, David"/>
    <s v="South Africa"/>
    <x v="4"/>
    <s v="Electronics"/>
    <n v="26"/>
    <n v="30.57"/>
    <n v="794.82"/>
    <n v="19.45"/>
    <n v="255.37"/>
    <s v="Air"/>
    <s v="Medium"/>
    <x v="4"/>
    <n v="0.32129287134193907"/>
    <d v="2024-11-01T00:00:00"/>
    <s v="ClickTech"/>
    <s v="China"/>
    <n v="20"/>
  </r>
  <r>
    <s v="ORD_2025_0336"/>
    <s v="Sep-2024"/>
    <s v="Williams, Laura"/>
    <s v="Japan"/>
    <x v="6"/>
    <s v="Textiles"/>
    <n v="46"/>
    <n v="32.19"/>
    <n v="1480.74"/>
    <n v="111.13"/>
    <n v="219.61"/>
    <s v="Air"/>
    <s v="Medium"/>
    <x v="3"/>
    <n v="0.14831097964531248"/>
    <d v="2024-09-01T00:00:00"/>
    <s v="SoftWeave"/>
    <s v="Turkey"/>
    <n v="25"/>
  </r>
  <r>
    <s v="ORD_2025_0337"/>
    <s v="Mar-2025"/>
    <s v="Miller, Michael"/>
    <s v="Singapore"/>
    <x v="1"/>
    <s v="Accessories"/>
    <n v="20"/>
    <n v="31.79"/>
    <n v="635.79999999999995"/>
    <n v="38.43"/>
    <n v="237.37"/>
    <s v="Land"/>
    <s v="Medium"/>
    <x v="3"/>
    <n v="0.37334067316766284"/>
    <d v="2025-03-01T00:00:00"/>
    <s v="CraftLine"/>
    <s v="Italy"/>
    <n v="18"/>
  </r>
  <r>
    <s v="ORD_2025_0338"/>
    <s v="Mar-2025"/>
    <s v="Smith, Emily"/>
    <s v="Australia"/>
    <x v="1"/>
    <s v="Accessories"/>
    <n v="8"/>
    <n v="28.94"/>
    <n v="231.52"/>
    <n v="7"/>
    <n v="80.52"/>
    <s v="Air"/>
    <s v="Medium"/>
    <x v="5"/>
    <n v="0.34778852798894261"/>
    <d v="2025-03-01T00:00:00"/>
    <s v="CraftLine"/>
    <s v="Italy"/>
    <n v="18"/>
  </r>
  <r>
    <s v="ORD_2025_0339"/>
    <s v="Oct-2024"/>
    <s v="Garcia, Emma"/>
    <s v="France"/>
    <x v="1"/>
    <s v="Accessories"/>
    <n v="40"/>
    <n v="30.66"/>
    <n v="1226.4000000000001"/>
    <n v="85.24"/>
    <n v="421.16"/>
    <s v="Land"/>
    <s v="Low"/>
    <x v="1"/>
    <n v="0.34341161121983038"/>
    <d v="2024-10-01T00:00:00"/>
    <s v="CraftLine"/>
    <s v="Italy"/>
    <n v="18"/>
  </r>
  <r>
    <s v="ORD_2025_0340"/>
    <s v="Mar-2025"/>
    <s v="Jones, Sarah"/>
    <s v="Australia"/>
    <x v="2"/>
    <s v="Electronics"/>
    <n v="44"/>
    <n v="54.09"/>
    <n v="2379.96"/>
    <n v="106.39"/>
    <n v="865.57"/>
    <s v="Land"/>
    <s v="Medium"/>
    <x v="5"/>
    <n v="0.36369098640313285"/>
    <d v="2025-03-01T00:00:00"/>
    <s v="AudioTech Ltd."/>
    <s v="China"/>
    <n v="32"/>
  </r>
  <r>
    <s v="ORD_2025_0341"/>
    <s v="Feb-2025"/>
    <s v="Smith, Sophia"/>
    <s v="Singapore"/>
    <x v="3"/>
    <s v="Apparel"/>
    <n v="32"/>
    <n v="68.89"/>
    <n v="2204.48"/>
    <n v="152.05000000000001"/>
    <n v="772.43"/>
    <s v="Land"/>
    <s v="Medium"/>
    <x v="3"/>
    <n v="0.35039102191900129"/>
    <d v="2025-02-01T00:00:00"/>
    <s v="BlueWear"/>
    <s v="Bangladesh"/>
    <n v="40"/>
  </r>
  <r>
    <s v="ORD_2025_0342"/>
    <s v="May-2024"/>
    <s v="Jones, James"/>
    <s v="India"/>
    <x v="0"/>
    <s v="Accessories"/>
    <n v="44"/>
    <n v="43.35"/>
    <n v="1907.4"/>
    <n v="99.05"/>
    <n v="268.35000000000002"/>
    <s v="Air"/>
    <s v="Medium"/>
    <x v="3"/>
    <n v="0.1406888958792073"/>
    <d v="2024-05-01T00:00:00"/>
    <s v="CarryPro"/>
    <s v="Vietnam"/>
    <n v="35"/>
  </r>
  <r>
    <s v="ORD_2025_0343"/>
    <s v="Jul-2024"/>
    <s v="Brown, Laura"/>
    <s v="Mexico"/>
    <x v="9"/>
    <s v="Home Decor"/>
    <n v="24"/>
    <n v="34"/>
    <n v="816"/>
    <n v="42.15"/>
    <n v="101.85"/>
    <s v="Air"/>
    <s v="Low"/>
    <x v="0"/>
    <n v="0.12481617647058822"/>
    <d v="2024-07-01T00:00:00"/>
    <s v="BrightHome"/>
    <s v="India"/>
    <n v="28"/>
  </r>
  <r>
    <s v="ORD_2025_0344"/>
    <s v="Feb-2024"/>
    <s v="Garcia, Sarah"/>
    <s v="China"/>
    <x v="1"/>
    <s v="Accessories"/>
    <n v="41"/>
    <n v="30.25"/>
    <n v="1240.25"/>
    <n v="92.86"/>
    <n v="409.39"/>
    <s v="Land"/>
    <s v="Low"/>
    <x v="3"/>
    <n v="0.33008667607337228"/>
    <d v="2024-02-01T00:00:00"/>
    <s v="CraftLine"/>
    <s v="Italy"/>
    <n v="18"/>
  </r>
  <r>
    <s v="ORD_2025_0345"/>
    <s v="Mar-2025"/>
    <s v="Smith, Emily"/>
    <s v="South Africa"/>
    <x v="7"/>
    <s v="Home Decor"/>
    <n v="15"/>
    <n v="23.71"/>
    <n v="355.65"/>
    <n v="7.22"/>
    <n v="115.93"/>
    <s v="Sea"/>
    <s v="Medium"/>
    <x v="4"/>
    <n v="0.32596654013777593"/>
    <d v="2025-03-01T00:00:00"/>
    <s v="Artisans Co."/>
    <s v="India"/>
    <n v="15.5"/>
  </r>
  <r>
    <s v="ORD_2025_0346"/>
    <s v="Aug-2024"/>
    <s v="Garcia, Emily"/>
    <s v="Singapore"/>
    <x v="2"/>
    <s v="Electronics"/>
    <n v="33"/>
    <n v="48.64"/>
    <n v="1605.12"/>
    <n v="98.71"/>
    <n v="450.41"/>
    <s v="Land"/>
    <s v="Medium"/>
    <x v="3"/>
    <n v="0.28060830342902715"/>
    <d v="2024-08-01T00:00:00"/>
    <s v="AudioTech Ltd."/>
    <s v="China"/>
    <n v="32"/>
  </r>
  <r>
    <s v="ORD_2025_0347"/>
    <s v="Apr-2024"/>
    <s v="Miller, Daniel"/>
    <s v="Germany"/>
    <x v="0"/>
    <s v="Accessories"/>
    <n v="7"/>
    <n v="50.94"/>
    <n v="356.58"/>
    <n v="11.19"/>
    <n v="100.39"/>
    <s v="Sea"/>
    <s v="Low"/>
    <x v="1"/>
    <n v="0.28153570026361546"/>
    <d v="2024-04-01T00:00:00"/>
    <s v="CarryPro"/>
    <s v="Vietnam"/>
    <n v="35"/>
  </r>
  <r>
    <s v="ORD_2025_0348"/>
    <s v="Jan-2025"/>
    <s v="Martinez, Sophia"/>
    <s v="Australia"/>
    <x v="4"/>
    <s v="Electronics"/>
    <n v="1"/>
    <n v="31.4"/>
    <n v="31.4"/>
    <n v="1.1399999999999999"/>
    <n v="10.26"/>
    <s v="Air"/>
    <s v="Medium"/>
    <x v="5"/>
    <n v="0.32675159235668788"/>
    <d v="2025-01-01T00:00:00"/>
    <s v="ClickTech"/>
    <s v="China"/>
    <n v="20"/>
  </r>
  <r>
    <s v="ORD_2025_0349"/>
    <s v="Jul-2024"/>
    <s v="Davis, Emily"/>
    <s v="Italy"/>
    <x v="8"/>
    <s v="Electronics"/>
    <n v="28"/>
    <n v="18.59"/>
    <n v="520.52"/>
    <n v="14.08"/>
    <n v="149.44"/>
    <s v="Land"/>
    <s v="Low"/>
    <x v="1"/>
    <n v="0.28709751786674864"/>
    <d v="2024-07-01T00:00:00"/>
    <s v="BrightHome"/>
    <s v="Vietnam"/>
    <n v="12.75"/>
  </r>
  <r>
    <s v="ORD_2025_0350"/>
    <s v="Mar-2025"/>
    <s v="Williams, John"/>
    <s v="France"/>
    <x v="7"/>
    <s v="Home Decor"/>
    <n v="50"/>
    <n v="20.66"/>
    <n v="1033"/>
    <n v="34.130000000000003"/>
    <n v="223.87"/>
    <s v="Air"/>
    <s v="Medium"/>
    <x v="1"/>
    <n v="0.21671829622458857"/>
    <d v="2025-03-01T00:00:00"/>
    <s v="Artisans Co."/>
    <s v="India"/>
    <n v="15.5"/>
  </r>
  <r>
    <s v="ORD_2025_0351"/>
    <s v="Jan-2025"/>
    <s v="Hernandez, James"/>
    <s v="China"/>
    <x v="0"/>
    <s v="Accessories"/>
    <n v="4"/>
    <n v="46.62"/>
    <n v="186.48"/>
    <n v="13.29"/>
    <n v="33.19"/>
    <s v="Sea"/>
    <s v="Low"/>
    <x v="3"/>
    <n v="0.17798155298155299"/>
    <d v="2025-01-01T00:00:00"/>
    <s v="CarryPro"/>
    <s v="Vietnam"/>
    <n v="35"/>
  </r>
  <r>
    <s v="ORD_2025_0352"/>
    <s v="Jan-2025"/>
    <s v="Jones, James"/>
    <s v="South Africa"/>
    <x v="7"/>
    <s v="Home Decor"/>
    <n v="37"/>
    <n v="21.81"/>
    <n v="806.97"/>
    <n v="19.63"/>
    <n v="213.84"/>
    <s v="Air"/>
    <s v="High"/>
    <x v="4"/>
    <n v="0.26499126361574782"/>
    <d v="2025-01-01T00:00:00"/>
    <s v="Artisans Co."/>
    <s v="India"/>
    <n v="15.5"/>
  </r>
  <r>
    <s v="ORD_2025_0353"/>
    <s v="Apr-2024"/>
    <s v="Smith, Daniel"/>
    <s v="China"/>
    <x v="7"/>
    <s v="Home Decor"/>
    <n v="48"/>
    <n v="26.68"/>
    <n v="1280.6400000000001"/>
    <n v="55.36"/>
    <n v="481.28"/>
    <s v="Land"/>
    <s v="Medium"/>
    <x v="3"/>
    <n v="0.37581209395302345"/>
    <d v="2024-04-01T00:00:00"/>
    <s v="Artisans Co."/>
    <s v="India"/>
    <n v="15.5"/>
  </r>
  <r>
    <s v="ORD_2025_0354"/>
    <s v="May-2025"/>
    <s v="Smith, Michael"/>
    <s v="Brazil"/>
    <x v="6"/>
    <s v="Textiles"/>
    <n v="24"/>
    <n v="42.82"/>
    <n v="1027.68"/>
    <n v="69.95"/>
    <n v="357.73"/>
    <s v="Land"/>
    <s v="Low"/>
    <x v="2"/>
    <n v="0.34809473766152887"/>
    <d v="2025-05-01T00:00:00"/>
    <s v="SoftWeave"/>
    <s v="Turkey"/>
    <n v="25"/>
  </r>
  <r>
    <s v="ORD_2025_0355"/>
    <s v="Jan-2025"/>
    <s v="Martinez, Sarah"/>
    <s v="Australia"/>
    <x v="5"/>
    <s v="Home Decor"/>
    <n v="26"/>
    <n v="34.4"/>
    <n v="894.4"/>
    <n v="40.42"/>
    <n v="268.98"/>
    <s v="Land"/>
    <s v="Low"/>
    <x v="5"/>
    <n v="0.3007379248658319"/>
    <d v="2025-01-01T00:00:00"/>
    <s v="ClearCraft"/>
    <s v="India"/>
    <n v="22.5"/>
  </r>
  <r>
    <s v="ORD_2025_0356"/>
    <s v="Jun-2024"/>
    <s v="Johnson, James"/>
    <s v="Italy"/>
    <x v="0"/>
    <s v="Accessories"/>
    <n v="47"/>
    <n v="44.89"/>
    <n v="2109.83"/>
    <n v="45.91"/>
    <n v="418.92"/>
    <s v="Land"/>
    <s v="Medium"/>
    <x v="1"/>
    <n v="0.19855628178573631"/>
    <d v="2024-06-01T00:00:00"/>
    <s v="CarryPro"/>
    <s v="Vietnam"/>
    <n v="35"/>
  </r>
  <r>
    <s v="ORD_2025_0357"/>
    <s v="Dec-2024"/>
    <s v="Miller, Sophia"/>
    <s v="China"/>
    <x v="7"/>
    <s v="Home Decor"/>
    <n v="1"/>
    <n v="18.739999999999998"/>
    <n v="18.739999999999998"/>
    <n v="0.5"/>
    <n v="2.74"/>
    <s v="Air"/>
    <s v="Medium"/>
    <x v="3"/>
    <n v="0.14621131270010676"/>
    <d v="2024-12-01T00:00:00"/>
    <s v="Artisans Co."/>
    <s v="India"/>
    <n v="15.5"/>
  </r>
  <r>
    <s v="ORD_2025_0358"/>
    <s v="Dec-2024"/>
    <s v="Jones, Michael"/>
    <s v="Singapore"/>
    <x v="5"/>
    <s v="Home Decor"/>
    <n v="27"/>
    <n v="36.270000000000003"/>
    <n v="979.29"/>
    <n v="54.58"/>
    <n v="317.20999999999998"/>
    <s v="Sea"/>
    <s v="Medium"/>
    <x v="3"/>
    <n v="0.32391834900795474"/>
    <d v="2024-12-01T00:00:00"/>
    <s v="ClearCraft"/>
    <s v="India"/>
    <n v="22.5"/>
  </r>
  <r>
    <s v="ORD_2025_0359"/>
    <s v="Oct-2024"/>
    <s v="Hernandez, Sophia"/>
    <s v="Germany"/>
    <x v="8"/>
    <s v="Electronics"/>
    <n v="13"/>
    <n v="18.82"/>
    <n v="244.66"/>
    <n v="6.49"/>
    <n v="72.42"/>
    <s v="Air"/>
    <s v="Medium"/>
    <x v="1"/>
    <n v="0.29600261587509197"/>
    <d v="2024-10-01T00:00:00"/>
    <s v="BrightHome"/>
    <s v="Vietnam"/>
    <n v="12.75"/>
  </r>
  <r>
    <s v="ORD_2025_0360"/>
    <s v="Feb-2025"/>
    <s v="Jones, Sarah"/>
    <s v="Australia"/>
    <x v="9"/>
    <s v="Home Decor"/>
    <n v="41"/>
    <n v="43.19"/>
    <n v="1770.79"/>
    <n v="83.28"/>
    <n v="539.51"/>
    <s v="Sea"/>
    <s v="Low"/>
    <x v="5"/>
    <n v="0.30467192608948551"/>
    <d v="2025-02-01T00:00:00"/>
    <s v="BrightHome"/>
    <s v="India"/>
    <n v="28"/>
  </r>
  <r>
    <s v="ORD_2025_0361"/>
    <s v="Mar-2024"/>
    <s v="Martinez, James"/>
    <s v="China"/>
    <x v="9"/>
    <s v="Home Decor"/>
    <n v="40"/>
    <n v="42.31"/>
    <n v="1692.4"/>
    <n v="118.59"/>
    <n v="453.81"/>
    <s v="Sea"/>
    <s v="High"/>
    <x v="3"/>
    <n v="0.26814582840935947"/>
    <d v="2024-03-01T00:00:00"/>
    <s v="BrightHome"/>
    <s v="India"/>
    <n v="28"/>
  </r>
  <r>
    <s v="ORD_2025_0362"/>
    <s v="May-2025"/>
    <s v="Davis, Sophia"/>
    <s v="India"/>
    <x v="2"/>
    <s v="Electronics"/>
    <n v="1"/>
    <n v="57.15"/>
    <n v="57.15"/>
    <n v="4.1100000000000003"/>
    <n v="-21"/>
    <s v="Sea"/>
    <s v="Low"/>
    <x v="3"/>
    <n v="-0.36745406824146981"/>
    <d v="2025-05-01T00:00:00"/>
    <s v="AudioTech Ltd."/>
    <s v="China"/>
    <n v="32"/>
  </r>
  <r>
    <s v="ORD_2025_0363"/>
    <s v="May-2024"/>
    <s v="Martinez, Daniel"/>
    <s v="Canada"/>
    <x v="4"/>
    <s v="Electronics"/>
    <n v="15"/>
    <n v="30.03"/>
    <n v="450.45"/>
    <n v="29.99"/>
    <n v="120.46"/>
    <s v="Air"/>
    <s v="Medium"/>
    <x v="0"/>
    <n v="0.26742146742146744"/>
    <d v="2024-05-01T00:00:00"/>
    <s v="ClickTech"/>
    <s v="China"/>
    <n v="20"/>
  </r>
  <r>
    <s v="ORD_2025_0364"/>
    <s v="May-2024"/>
    <s v="Williams, Emily"/>
    <s v="Brazil"/>
    <x v="4"/>
    <s v="Electronics"/>
    <n v="48"/>
    <n v="30.91"/>
    <n v="1483.68"/>
    <n v="85.5"/>
    <n v="438.18"/>
    <s v="Land"/>
    <s v="Medium"/>
    <x v="2"/>
    <n v="0.29533322549336782"/>
    <d v="2024-05-01T00:00:00"/>
    <s v="ClickTech"/>
    <s v="China"/>
    <n v="20"/>
  </r>
  <r>
    <s v="ORD_2025_0365"/>
    <s v="Jan-2024"/>
    <s v="Miller, Emma"/>
    <s v="Mexico"/>
    <x v="5"/>
    <s v="Home Decor"/>
    <n v="8"/>
    <n v="32.19"/>
    <n v="257.52"/>
    <n v="11.85"/>
    <n v="65.67"/>
    <s v="Land"/>
    <s v="Low"/>
    <x v="0"/>
    <n v="0.25500931966449208"/>
    <d v="2024-01-01T00:00:00"/>
    <s v="ClearCraft"/>
    <s v="India"/>
    <n v="22.5"/>
  </r>
  <r>
    <s v="ORD_2025_0366"/>
    <s v="Aug-2024"/>
    <s v="Jones, Sophia"/>
    <s v="Uae"/>
    <x v="3"/>
    <s v="Apparel"/>
    <n v="22"/>
    <n v="60.75"/>
    <n v="1336.5"/>
    <n v="38.340000000000003"/>
    <n v="418.16"/>
    <s v="Land"/>
    <s v="Medium"/>
    <x v="3"/>
    <n v="0.3128769173213618"/>
    <d v="2024-08-01T00:00:00"/>
    <s v="BlueWear"/>
    <s v="Bangladesh"/>
    <n v="40"/>
  </r>
  <r>
    <s v="ORD_2025_0367"/>
    <s v="Mar-2025"/>
    <s v="Smith, Michael"/>
    <s v="Italy"/>
    <x v="3"/>
    <s v="Apparel"/>
    <n v="38"/>
    <n v="66.06"/>
    <n v="2510.2800000000002"/>
    <n v="50.37"/>
    <n v="939.91"/>
    <s v="Land"/>
    <s v="Low"/>
    <x v="1"/>
    <n v="0.37442436700288412"/>
    <d v="2025-03-01T00:00:00"/>
    <s v="BlueWear"/>
    <s v="Bangladesh"/>
    <n v="40"/>
  </r>
  <r>
    <s v="ORD_2025_0368"/>
    <s v="Sep-2024"/>
    <s v="Martinez, Michael"/>
    <s v="Usa"/>
    <x v="0"/>
    <s v="Accessories"/>
    <n v="33"/>
    <n v="50.88"/>
    <n v="1679.04"/>
    <n v="61.48"/>
    <n v="462.56"/>
    <s v="Land"/>
    <s v="Medium"/>
    <x v="0"/>
    <n v="0.27549075662283212"/>
    <d v="2024-09-01T00:00:00"/>
    <s v="CarryPro"/>
    <s v="Vietnam"/>
    <n v="35"/>
  </r>
  <r>
    <s v="ORD_2025_0369"/>
    <s v="Jul-2024"/>
    <s v="Brown, Emily"/>
    <s v="China"/>
    <x v="9"/>
    <s v="Home Decor"/>
    <n v="49"/>
    <n v="34.479999999999997"/>
    <n v="1689.52"/>
    <n v="53.06"/>
    <n v="264.45999999999998"/>
    <s v="Air"/>
    <s v="High"/>
    <x v="3"/>
    <n v="0.15652966523036127"/>
    <d v="2024-07-01T00:00:00"/>
    <s v="BrightHome"/>
    <s v="India"/>
    <n v="28"/>
  </r>
  <r>
    <s v="ORD_2025_0370"/>
    <s v="Jan-2024"/>
    <s v="Martinez, Daniel"/>
    <s v="Japan"/>
    <x v="4"/>
    <s v="Electronics"/>
    <n v="31"/>
    <n v="25.43"/>
    <n v="788.33"/>
    <n v="57.81"/>
    <n v="110.52"/>
    <s v="Land"/>
    <s v="Medium"/>
    <x v="3"/>
    <n v="0.14019509596235077"/>
    <d v="2024-01-01T00:00:00"/>
    <s v="ClickTech"/>
    <s v="China"/>
    <n v="20"/>
  </r>
  <r>
    <s v="ORD_2025_0371"/>
    <s v="Feb-2024"/>
    <s v="Miller, Emily"/>
    <s v="Germany"/>
    <x v="4"/>
    <s v="Electronics"/>
    <n v="29"/>
    <n v="31.68"/>
    <n v="918.72"/>
    <n v="22.22"/>
    <n v="316.5"/>
    <s v="Air"/>
    <s v="Low"/>
    <x v="1"/>
    <n v="0.34450104493207939"/>
    <d v="2024-02-01T00:00:00"/>
    <s v="ClickTech"/>
    <s v="China"/>
    <n v="20"/>
  </r>
  <r>
    <s v="ORD_2025_0372"/>
    <s v="Mar-2025"/>
    <s v="Brown, David"/>
    <s v="Singapore"/>
    <x v="9"/>
    <s v="Home Decor"/>
    <n v="42"/>
    <n v="33.89"/>
    <n v="1423.38"/>
    <n v="85.4"/>
    <n v="161.97999999999999"/>
    <s v="Air"/>
    <s v="Low"/>
    <x v="3"/>
    <n v="0.11379954755581782"/>
    <d v="2025-03-01T00:00:00"/>
    <s v="BrightHome"/>
    <s v="India"/>
    <n v="28"/>
  </r>
  <r>
    <s v="ORD_2025_0373"/>
    <s v="Sep-2024"/>
    <s v="Hernandez, Emma"/>
    <s v="Singapore"/>
    <x v="1"/>
    <s v="Accessories"/>
    <n v="13"/>
    <n v="21.75"/>
    <n v="282.75"/>
    <n v="12.5"/>
    <n v="36.25"/>
    <s v="Air"/>
    <s v="Medium"/>
    <x v="3"/>
    <n v="0.12820512820512819"/>
    <d v="2024-09-01T00:00:00"/>
    <s v="CraftLine"/>
    <s v="Italy"/>
    <n v="18"/>
  </r>
  <r>
    <s v="ORD_2025_0374"/>
    <s v="Mar-2024"/>
    <s v="Jones, Laura"/>
    <s v="Japan"/>
    <x v="5"/>
    <s v="Home Decor"/>
    <n v="25"/>
    <n v="37.58"/>
    <n v="939.5"/>
    <n v="48.44"/>
    <n v="328.56"/>
    <s v="Air"/>
    <s v="High"/>
    <x v="3"/>
    <n v="0.34971793507184673"/>
    <d v="2024-03-01T00:00:00"/>
    <s v="ClearCraft"/>
    <s v="India"/>
    <n v="22.5"/>
  </r>
  <r>
    <s v="ORD_2025_0375"/>
    <s v="Feb-2025"/>
    <s v="Jones, Emily"/>
    <s v="Germany"/>
    <x v="4"/>
    <s v="Electronics"/>
    <n v="16"/>
    <n v="25.25"/>
    <n v="404"/>
    <n v="18.75"/>
    <n v="65.25"/>
    <s v="Sea"/>
    <s v="High"/>
    <x v="1"/>
    <n v="0.16150990099009901"/>
    <d v="2025-02-01T00:00:00"/>
    <s v="ClickTech"/>
    <s v="China"/>
    <n v="20"/>
  </r>
  <r>
    <s v="ORD_2025_0376"/>
    <s v="Sep-2024"/>
    <s v="Hernandez, David"/>
    <s v="Japan"/>
    <x v="7"/>
    <s v="Home Decor"/>
    <n v="37"/>
    <n v="25.85"/>
    <n v="956.45"/>
    <n v="31.7"/>
    <n v="351.25"/>
    <s v="Air"/>
    <s v="High"/>
    <x v="3"/>
    <n v="0.3672434523498353"/>
    <d v="2024-09-01T00:00:00"/>
    <s v="Artisans Co."/>
    <s v="India"/>
    <n v="15.5"/>
  </r>
  <r>
    <s v="ORD_2025_0377"/>
    <s v="Jan-2025"/>
    <s v="Miller, John"/>
    <s v="Singapore"/>
    <x v="4"/>
    <s v="Electronics"/>
    <n v="1"/>
    <n v="25.72"/>
    <n v="25.72"/>
    <n v="2.04"/>
    <n v="3.68"/>
    <s v="Air"/>
    <s v="High"/>
    <x v="3"/>
    <n v="0.14307931570762053"/>
    <d v="2025-01-01T00:00:00"/>
    <s v="ClickTech"/>
    <s v="China"/>
    <n v="20"/>
  </r>
  <r>
    <s v="ORD_2025_0378"/>
    <s v="Nov-2024"/>
    <s v="Jones, Sarah"/>
    <s v="Singapore"/>
    <x v="9"/>
    <s v="Home Decor"/>
    <n v="48"/>
    <n v="47.05"/>
    <n v="2258.4"/>
    <n v="179.44"/>
    <n v="734.96"/>
    <s v="Sea"/>
    <s v="Medium"/>
    <x v="3"/>
    <n v="0.32543393552957844"/>
    <d v="2024-11-01T00:00:00"/>
    <s v="BrightHome"/>
    <s v="India"/>
    <n v="28"/>
  </r>
  <r>
    <s v="ORD_2025_0379"/>
    <s v="Mar-2024"/>
    <s v="Garcia, Emily"/>
    <s v="Brazil"/>
    <x v="4"/>
    <s v="Electronics"/>
    <n v="48"/>
    <n v="29.94"/>
    <n v="1437.12"/>
    <n v="30.14"/>
    <n v="446.98"/>
    <s v="Sea"/>
    <s v="Medium"/>
    <x v="2"/>
    <n v="0.31102482743264309"/>
    <d v="2024-03-01T00:00:00"/>
    <s v="ClickTech"/>
    <s v="China"/>
    <n v="20"/>
  </r>
  <r>
    <s v="ORD_2025_0380"/>
    <s v="Aug-2024"/>
    <s v="Jones, Emma"/>
    <s v="Italy"/>
    <x v="5"/>
    <s v="Home Decor"/>
    <n v="12"/>
    <n v="35.68"/>
    <n v="428.16"/>
    <n v="13.07"/>
    <n v="145.09"/>
    <s v="Sea"/>
    <s v="High"/>
    <x v="1"/>
    <n v="0.33886864723467863"/>
    <d v="2024-08-01T00:00:00"/>
    <s v="ClearCraft"/>
    <s v="India"/>
    <n v="22.5"/>
  </r>
  <r>
    <s v="ORD_2025_0381"/>
    <s v="Sep-2024"/>
    <s v="Hernandez, Michael"/>
    <s v="Usa"/>
    <x v="2"/>
    <s v="Electronics"/>
    <n v="30"/>
    <n v="49.32"/>
    <n v="1479.6"/>
    <n v="105.97"/>
    <n v="413.63"/>
    <s v="Sea"/>
    <s v="Medium"/>
    <x v="0"/>
    <n v="0.27955528521221951"/>
    <d v="2024-09-01T00:00:00"/>
    <s v="AudioTech Ltd."/>
    <s v="China"/>
    <n v="32"/>
  </r>
  <r>
    <s v="ORD_2025_0382"/>
    <s v="Jan-2024"/>
    <s v="Garcia, John"/>
    <s v="France"/>
    <x v="9"/>
    <s v="Home Decor"/>
    <n v="27"/>
    <n v="37.68"/>
    <n v="1017.36"/>
    <n v="80.739999999999995"/>
    <n v="180.62"/>
    <s v="Air"/>
    <s v="Low"/>
    <x v="1"/>
    <n v="0.17753794133836598"/>
    <d v="2024-01-01T00:00:00"/>
    <s v="BrightHome"/>
    <s v="India"/>
    <n v="28"/>
  </r>
  <r>
    <s v="ORD_2025_0383"/>
    <s v="Mar-2025"/>
    <s v="Garcia, Michael"/>
    <s v="Italy"/>
    <x v="6"/>
    <s v="Textiles"/>
    <n v="39"/>
    <n v="36.340000000000003"/>
    <n v="1417.26"/>
    <n v="67"/>
    <n v="375.26"/>
    <s v="Air"/>
    <s v="Medium"/>
    <x v="1"/>
    <n v="0.26477851629200005"/>
    <d v="2025-03-01T00:00:00"/>
    <s v="SoftWeave"/>
    <s v="Turkey"/>
    <n v="25"/>
  </r>
  <r>
    <s v="ORD_2025_0384"/>
    <s v="May-2024"/>
    <s v="Miller, John"/>
    <s v="China"/>
    <x v="7"/>
    <s v="Home Decor"/>
    <n v="16"/>
    <n v="24.33"/>
    <n v="389.28"/>
    <n v="22.33"/>
    <n v="118.95"/>
    <s v="Land"/>
    <s v="High"/>
    <x v="3"/>
    <n v="0.30556411837237979"/>
    <d v="2024-05-01T00:00:00"/>
    <s v="Artisans Co."/>
    <s v="India"/>
    <n v="15.5"/>
  </r>
  <r>
    <s v="ORD_2025_0385"/>
    <s v="Jan-2025"/>
    <s v="Garcia, John"/>
    <s v="Uae"/>
    <x v="7"/>
    <s v="Home Decor"/>
    <n v="40"/>
    <n v="22.28"/>
    <n v="891.2"/>
    <n v="32.729999999999997"/>
    <n v="238.47"/>
    <s v="Land"/>
    <s v="Medium"/>
    <x v="3"/>
    <n v="0.26758303411131057"/>
    <d v="2025-01-01T00:00:00"/>
    <s v="Artisans Co."/>
    <s v="India"/>
    <n v="15.5"/>
  </r>
  <r>
    <s v="ORD_2025_0386"/>
    <s v="Aug-2024"/>
    <s v="Miller, Laura"/>
    <s v="Japan"/>
    <x v="8"/>
    <s v="Electronics"/>
    <n v="45"/>
    <n v="21.71"/>
    <n v="976.95"/>
    <n v="51.6"/>
    <n v="351.6"/>
    <s v="Land"/>
    <s v="Low"/>
    <x v="3"/>
    <n v="0.35989559342852756"/>
    <d v="2024-08-01T00:00:00"/>
    <s v="BrightHome"/>
    <s v="Vietnam"/>
    <n v="12.75"/>
  </r>
  <r>
    <s v="ORD_2025_0387"/>
    <s v="Aug-2024"/>
    <s v="Garcia, Laura"/>
    <s v="Germany"/>
    <x v="6"/>
    <s v="Textiles"/>
    <n v="8"/>
    <n v="31.07"/>
    <n v="248.56"/>
    <n v="10.97"/>
    <n v="37.590000000000003"/>
    <s v="Land"/>
    <s v="Medium"/>
    <x v="1"/>
    <n v="0.15123109108464758"/>
    <d v="2024-08-01T00:00:00"/>
    <s v="SoftWeave"/>
    <s v="Turkey"/>
    <n v="25"/>
  </r>
  <r>
    <s v="ORD_2025_0388"/>
    <s v="Feb-2024"/>
    <s v="Martinez, Emily"/>
    <s v="France"/>
    <x v="8"/>
    <s v="Electronics"/>
    <n v="47"/>
    <n v="21.93"/>
    <n v="1030.71"/>
    <n v="70.989999999999995"/>
    <n v="360.47"/>
    <s v="Air"/>
    <s v="Low"/>
    <x v="1"/>
    <n v="0.3497297979062976"/>
    <d v="2024-02-01T00:00:00"/>
    <s v="BrightHome"/>
    <s v="Vietnam"/>
    <n v="12.75"/>
  </r>
  <r>
    <s v="ORD_2025_0389"/>
    <s v="Jul-2024"/>
    <s v="Brown, Michael"/>
    <s v="France"/>
    <x v="8"/>
    <s v="Electronics"/>
    <n v="46"/>
    <n v="21.46"/>
    <n v="987.16"/>
    <n v="21.64"/>
    <n v="379.02"/>
    <s v="Sea"/>
    <s v="Low"/>
    <x v="1"/>
    <n v="0.38394991693342517"/>
    <d v="2024-07-01T00:00:00"/>
    <s v="BrightHome"/>
    <s v="Vietnam"/>
    <n v="12.75"/>
  </r>
  <r>
    <s v="ORD_2025_0390"/>
    <s v="Feb-2025"/>
    <s v="Williams, David"/>
    <s v="Usa"/>
    <x v="9"/>
    <s v="Home Decor"/>
    <n v="45"/>
    <n v="47.1"/>
    <n v="2119.5"/>
    <n v="120.16"/>
    <n v="739.34"/>
    <s v="Sea"/>
    <s v="Medium"/>
    <x v="0"/>
    <n v="0.34882755366831802"/>
    <d v="2025-02-01T00:00:00"/>
    <s v="BrightHome"/>
    <s v="India"/>
    <n v="28"/>
  </r>
  <r>
    <s v="ORD_2025_0391"/>
    <s v="Mar-2025"/>
    <s v="Smith, Emily"/>
    <s v="India"/>
    <x v="0"/>
    <s v="Accessories"/>
    <n v="2"/>
    <n v="58.32"/>
    <n v="116.64"/>
    <n v="8.99"/>
    <n v="37.65"/>
    <s v="Land"/>
    <s v="Medium"/>
    <x v="3"/>
    <n v="0.32278806584362141"/>
    <d v="2025-03-01T00:00:00"/>
    <s v="CarryPro"/>
    <s v="Vietnam"/>
    <n v="35"/>
  </r>
  <r>
    <s v="ORD_2025_0392"/>
    <s v="Feb-2024"/>
    <s v="Garcia, John"/>
    <s v="France"/>
    <x v="0"/>
    <s v="Accessories"/>
    <n v="31"/>
    <n v="61.34"/>
    <n v="1901.54"/>
    <n v="147.43"/>
    <n v="669.11"/>
    <s v="Sea"/>
    <s v="Low"/>
    <x v="1"/>
    <n v="0.35187795155505541"/>
    <d v="2024-02-01T00:00:00"/>
    <s v="CarryPro"/>
    <s v="Vietnam"/>
    <n v="35"/>
  </r>
  <r>
    <s v="ORD_2025_0393"/>
    <s v="Mar-2024"/>
    <s v="Brown, Daniel"/>
    <s v="Canada"/>
    <x v="6"/>
    <s v="Textiles"/>
    <n v="15"/>
    <n v="43.9"/>
    <n v="658.5"/>
    <n v="36.479999999999997"/>
    <n v="247.02"/>
    <s v="Air"/>
    <s v="Medium"/>
    <x v="0"/>
    <n v="0.37512528473804102"/>
    <d v="2024-03-01T00:00:00"/>
    <s v="SoftWeave"/>
    <s v="Turkey"/>
    <n v="25"/>
  </r>
  <r>
    <s v="ORD_2025_0394"/>
    <s v="Nov-2024"/>
    <s v="Brown, Daniel"/>
    <s v="Italy"/>
    <x v="8"/>
    <s v="Electronics"/>
    <n v="4"/>
    <n v="20.53"/>
    <n v="82.12"/>
    <n v="4.05"/>
    <n v="27.07"/>
    <s v="Land"/>
    <s v="High"/>
    <x v="1"/>
    <n v="0.32963955187530442"/>
    <d v="2024-11-01T00:00:00"/>
    <s v="BrightHome"/>
    <s v="Vietnam"/>
    <n v="12.75"/>
  </r>
  <r>
    <s v="ORD_2025_0395"/>
    <s v="Jul-2024"/>
    <s v="Garcia, Sarah"/>
    <s v="Australia"/>
    <x v="4"/>
    <s v="Electronics"/>
    <n v="6"/>
    <n v="24.7"/>
    <n v="148.19999999999999"/>
    <n v="3.76"/>
    <n v="24.44"/>
    <s v="Air"/>
    <s v="Low"/>
    <x v="5"/>
    <n v="0.1649122807017544"/>
    <d v="2024-07-01T00:00:00"/>
    <s v="ClickTech"/>
    <s v="China"/>
    <n v="20"/>
  </r>
  <r>
    <s v="ORD_2025_0396"/>
    <s v="Dec-2024"/>
    <s v="Garcia, Daniel"/>
    <s v="Brazil"/>
    <x v="8"/>
    <s v="Electronics"/>
    <n v="19"/>
    <n v="19.170000000000002"/>
    <n v="364.23"/>
    <n v="15.16"/>
    <n v="106.82"/>
    <s v="Sea"/>
    <s v="Medium"/>
    <x v="2"/>
    <n v="0.29327622656014052"/>
    <d v="2024-12-01T00:00:00"/>
    <s v="BrightHome"/>
    <s v="Vietnam"/>
    <n v="12.75"/>
  </r>
  <r>
    <s v="ORD_2025_0397"/>
    <s v="May-2024"/>
    <s v="Smith, John"/>
    <s v="China"/>
    <x v="3"/>
    <s v="Apparel"/>
    <n v="2"/>
    <n v="55.28"/>
    <n v="110.56"/>
    <n v="5.37"/>
    <n v="25.19"/>
    <s v="Air"/>
    <s v="Medium"/>
    <x v="3"/>
    <n v="0.22784008683068019"/>
    <d v="2024-05-01T00:00:00"/>
    <s v="BlueWear"/>
    <s v="Bangladesh"/>
    <n v="40"/>
  </r>
  <r>
    <s v="ORD_2025_0398"/>
    <s v="Jun-2024"/>
    <s v="Garcia, Emma"/>
    <s v="Brazil"/>
    <x v="6"/>
    <s v="Textiles"/>
    <n v="49"/>
    <n v="43.91"/>
    <n v="2151.59"/>
    <n v="63.55"/>
    <n v="863.04"/>
    <s v="Land"/>
    <s v="Medium"/>
    <x v="2"/>
    <n v="0.40111731324276462"/>
    <d v="2024-06-01T00:00:00"/>
    <s v="SoftWeave"/>
    <s v="Turkey"/>
    <n v="25"/>
  </r>
  <r>
    <s v="ORD_2025_0399"/>
    <s v="Apr-2024"/>
    <s v="Hernandez, Laura"/>
    <s v="Brazil"/>
    <x v="6"/>
    <s v="Textiles"/>
    <n v="29"/>
    <n v="41.84"/>
    <n v="1213.3599999999999"/>
    <n v="56.83"/>
    <n v="431.53"/>
    <s v="Air"/>
    <s v="High"/>
    <x v="2"/>
    <n v="0.35564877694995717"/>
    <d v="2024-04-01T00:00:00"/>
    <s v="SoftWeave"/>
    <s v="Turkey"/>
    <n v="25"/>
  </r>
  <r>
    <s v="ORD_2025_0400"/>
    <s v="Jun-2024"/>
    <s v="Smith, David"/>
    <s v="South Africa"/>
    <x v="7"/>
    <s v="Home Decor"/>
    <n v="43"/>
    <n v="27.41"/>
    <n v="1178.6300000000001"/>
    <n v="55.82"/>
    <n v="456.31"/>
    <s v="Air"/>
    <s v="Medium"/>
    <x v="4"/>
    <n v="0.38715288088713162"/>
    <d v="2024-06-01T00:00:00"/>
    <s v="Artisans Co."/>
    <s v="India"/>
    <n v="15.5"/>
  </r>
  <r>
    <s v="ORD_2025_0401"/>
    <s v="Aug-2024"/>
    <s v="Jones, John"/>
    <s v="Mexico"/>
    <x v="4"/>
    <s v="Electronics"/>
    <n v="28"/>
    <n v="31.84"/>
    <n v="891.52"/>
    <n v="54.24"/>
    <n v="277.27999999999997"/>
    <s v="Land"/>
    <s v="Medium"/>
    <x v="0"/>
    <n v="0.31101938262742279"/>
    <d v="2024-08-01T00:00:00"/>
    <s v="ClickTech"/>
    <s v="China"/>
    <n v="20"/>
  </r>
  <r>
    <s v="ORD_2025_0402"/>
    <s v="Dec-2024"/>
    <s v="Brown, John"/>
    <s v="China"/>
    <x v="6"/>
    <s v="Textiles"/>
    <n v="42"/>
    <n v="35.840000000000003"/>
    <n v="1505.28"/>
    <n v="60.65"/>
    <n v="394.63"/>
    <s v="Air"/>
    <s v="Medium"/>
    <x v="3"/>
    <n v="0.262163849914966"/>
    <d v="2024-12-01T00:00:00"/>
    <s v="SoftWeave"/>
    <s v="Turkey"/>
    <n v="25"/>
  </r>
  <r>
    <s v="ORD_2025_0403"/>
    <s v="Sep-2024"/>
    <s v="Martinez, Laura"/>
    <s v="Singapore"/>
    <x v="5"/>
    <s v="Home Decor"/>
    <n v="22"/>
    <n v="30.55"/>
    <n v="672.1"/>
    <n v="46.8"/>
    <n v="130.30000000000001"/>
    <s v="Sea"/>
    <s v="High"/>
    <x v="3"/>
    <n v="0.19386995982740665"/>
    <d v="2024-09-01T00:00:00"/>
    <s v="ClearCraft"/>
    <s v="India"/>
    <n v="22.5"/>
  </r>
  <r>
    <s v="ORD_2025_0404"/>
    <s v="Apr-2025"/>
    <s v="Johnson, David"/>
    <s v="Japan"/>
    <x v="9"/>
    <s v="Home Decor"/>
    <n v="13"/>
    <n v="45.16"/>
    <n v="587.08000000000004"/>
    <n v="29.68"/>
    <n v="193.4"/>
    <s v="Sea"/>
    <s v="Medium"/>
    <x v="3"/>
    <n v="0.32942699461742864"/>
    <d v="2025-04-01T00:00:00"/>
    <s v="BrightHome"/>
    <s v="India"/>
    <n v="28"/>
  </r>
  <r>
    <s v="ORD_2025_0405"/>
    <s v="Jun-2024"/>
    <s v="Martinez, Emma"/>
    <s v="Australia"/>
    <x v="0"/>
    <s v="Accessories"/>
    <n v="40"/>
    <n v="45.23"/>
    <n v="1809.2"/>
    <n v="136.25"/>
    <n v="272.95"/>
    <s v="Air"/>
    <s v="High"/>
    <x v="5"/>
    <n v="0.15086778686712357"/>
    <d v="2024-06-01T00:00:00"/>
    <s v="CarryPro"/>
    <s v="Vietnam"/>
    <n v="35"/>
  </r>
  <r>
    <s v="ORD_2025_0406"/>
    <s v="Jan-2024"/>
    <s v="Smith, James"/>
    <s v="Japan"/>
    <x v="1"/>
    <s v="Accessories"/>
    <n v="41"/>
    <n v="22.78"/>
    <n v="933.98"/>
    <n v="38.369999999999997"/>
    <n v="157.61000000000001"/>
    <s v="Sea"/>
    <s v="Low"/>
    <x v="3"/>
    <n v="0.16875093685089618"/>
    <d v="2024-01-01T00:00:00"/>
    <s v="CraftLine"/>
    <s v="Italy"/>
    <n v="18"/>
  </r>
  <r>
    <s v="ORD_2025_0407"/>
    <s v="Jul-2024"/>
    <s v="Brown, Michael"/>
    <s v="France"/>
    <x v="7"/>
    <s v="Home Decor"/>
    <n v="34"/>
    <n v="24.21"/>
    <n v="823.14"/>
    <n v="58.25"/>
    <n v="237.89"/>
    <s v="Land"/>
    <s v="Low"/>
    <x v="1"/>
    <n v="0.28900308574483075"/>
    <d v="2024-07-01T00:00:00"/>
    <s v="Artisans Co."/>
    <s v="India"/>
    <n v="15.5"/>
  </r>
  <r>
    <s v="ORD_2025_0408"/>
    <s v="Apr-2025"/>
    <s v="Williams, Laura"/>
    <s v="Uk"/>
    <x v="4"/>
    <s v="Electronics"/>
    <n v="46"/>
    <n v="34.64"/>
    <n v="1593.44"/>
    <n v="45.93"/>
    <n v="627.51"/>
    <s v="Air"/>
    <s v="Low"/>
    <x v="1"/>
    <n v="0.39380836429360377"/>
    <d v="2025-04-01T00:00:00"/>
    <s v="ClickTech"/>
    <s v="China"/>
    <n v="20"/>
  </r>
  <r>
    <s v="ORD_2025_0409"/>
    <s v="Jan-2024"/>
    <s v="Martinez, Emma"/>
    <s v="Canada"/>
    <x v="4"/>
    <s v="Electronics"/>
    <n v="10"/>
    <n v="27.06"/>
    <n v="270.60000000000002"/>
    <n v="15.35"/>
    <n v="55.25"/>
    <s v="Land"/>
    <s v="High"/>
    <x v="0"/>
    <n v="0.20417590539541758"/>
    <d v="2024-01-01T00:00:00"/>
    <s v="ClickTech"/>
    <s v="China"/>
    <n v="20"/>
  </r>
  <r>
    <s v="ORD_2025_0410"/>
    <s v="Oct-2024"/>
    <s v="Brown, Sarah"/>
    <s v="Uk"/>
    <x v="1"/>
    <s v="Accessories"/>
    <n v="11"/>
    <n v="27.74"/>
    <n v="305.14"/>
    <n v="10.81"/>
    <n v="96.33"/>
    <s v="Sea"/>
    <s v="High"/>
    <x v="1"/>
    <n v="0.31569115815691157"/>
    <d v="2024-10-01T00:00:00"/>
    <s v="CraftLine"/>
    <s v="Italy"/>
    <n v="18"/>
  </r>
  <r>
    <s v="ORD_2025_0411"/>
    <s v="Jan-2024"/>
    <s v="Martinez, Michael"/>
    <s v="Canada"/>
    <x v="9"/>
    <s v="Home Decor"/>
    <n v="29"/>
    <n v="38.08"/>
    <n v="1104.32"/>
    <n v="25.63"/>
    <n v="266.69"/>
    <s v="Sea"/>
    <s v="High"/>
    <x v="0"/>
    <n v="0.24149702984642135"/>
    <d v="2024-01-01T00:00:00"/>
    <s v="BrightHome"/>
    <s v="India"/>
    <n v="28"/>
  </r>
  <r>
    <s v="ORD_2025_0412"/>
    <s v="Apr-2025"/>
    <s v="Smith, Michael"/>
    <s v="Canada"/>
    <x v="9"/>
    <s v="Home Decor"/>
    <n v="18"/>
    <n v="43.65"/>
    <n v="785.7"/>
    <n v="54.52"/>
    <n v="227.18"/>
    <s v="Sea"/>
    <s v="Low"/>
    <x v="0"/>
    <n v="0.28914343897161765"/>
    <d v="2025-04-01T00:00:00"/>
    <s v="BrightHome"/>
    <s v="India"/>
    <n v="28"/>
  </r>
  <r>
    <s v="ORD_2025_0413"/>
    <s v="Feb-2024"/>
    <s v="Brown, David"/>
    <s v="France"/>
    <x v="0"/>
    <s v="Accessories"/>
    <n v="49"/>
    <n v="51.97"/>
    <n v="2546.5300000000002"/>
    <n v="112.26"/>
    <n v="719.27"/>
    <s v="Sea"/>
    <s v="Medium"/>
    <x v="1"/>
    <n v="0.28245102158623692"/>
    <d v="2024-02-01T00:00:00"/>
    <s v="CarryPro"/>
    <s v="Vietnam"/>
    <n v="35"/>
  </r>
  <r>
    <s v="ORD_2025_0414"/>
    <s v="Jan-2025"/>
    <s v="Garcia, Emily"/>
    <s v="Singapore"/>
    <x v="6"/>
    <s v="Textiles"/>
    <n v="13"/>
    <n v="36.85"/>
    <n v="479.05"/>
    <n v="10.15"/>
    <n v="143.9"/>
    <s v="Land"/>
    <s v="High"/>
    <x v="3"/>
    <n v="0.30038618098319592"/>
    <d v="2025-01-01T00:00:00"/>
    <s v="SoftWeave"/>
    <s v="Turkey"/>
    <n v="25"/>
  </r>
  <r>
    <s v="ORD_2025_0415"/>
    <s v="May-2024"/>
    <s v="Davis, Sarah"/>
    <s v="Canada"/>
    <x v="2"/>
    <s v="Electronics"/>
    <n v="33"/>
    <n v="38.520000000000003"/>
    <n v="1271.1600000000001"/>
    <n v="81.459999999999994"/>
    <n v="133.69999999999999"/>
    <s v="Land"/>
    <s v="Low"/>
    <x v="0"/>
    <n v="0.10517952106737152"/>
    <d v="2024-05-01T00:00:00"/>
    <s v="AudioTech Ltd."/>
    <s v="China"/>
    <n v="32"/>
  </r>
  <r>
    <s v="ORD_2025_0416"/>
    <s v="Apr-2025"/>
    <s v="Hernandez, David"/>
    <s v="China"/>
    <x v="7"/>
    <s v="Home Decor"/>
    <n v="41"/>
    <n v="26.98"/>
    <n v="1106.18"/>
    <n v="51.77"/>
    <n v="418.91"/>
    <s v="Air"/>
    <s v="Medium"/>
    <x v="3"/>
    <n v="0.37869966913160608"/>
    <d v="2025-04-01T00:00:00"/>
    <s v="Artisans Co."/>
    <s v="India"/>
    <n v="15.5"/>
  </r>
  <r>
    <s v="ORD_2025_0417"/>
    <s v="Feb-2024"/>
    <s v="Martinez, Michael"/>
    <s v="France"/>
    <x v="7"/>
    <s v="Home Decor"/>
    <n v="4"/>
    <n v="23.56"/>
    <n v="94.24"/>
    <n v="7.03"/>
    <n v="25.21"/>
    <s v="Air"/>
    <s v="High"/>
    <x v="1"/>
    <n v="0.26750848896434637"/>
    <d v="2024-02-01T00:00:00"/>
    <s v="Artisans Co."/>
    <s v="India"/>
    <n v="15.5"/>
  </r>
  <r>
    <s v="ORD_2025_0418"/>
    <s v="Jul-2024"/>
    <s v="Johnson, Emily"/>
    <s v="India"/>
    <x v="2"/>
    <s v="Electronics"/>
    <n v="17"/>
    <n v="57.14"/>
    <n v="971.38"/>
    <n v="70.010000000000005"/>
    <n v="357.37"/>
    <s v="Air"/>
    <s v="Medium"/>
    <x v="3"/>
    <n v="0.36789927731680705"/>
    <d v="2024-07-01T00:00:00"/>
    <s v="AudioTech Ltd."/>
    <s v="China"/>
    <n v="32"/>
  </r>
  <r>
    <s v="ORD_2025_0419"/>
    <s v="Feb-2025"/>
    <s v="Hernandez, John"/>
    <s v="Australia"/>
    <x v="6"/>
    <s v="Textiles"/>
    <n v="44"/>
    <n v="38.14"/>
    <n v="1678.16"/>
    <n v="124.49"/>
    <n v="453.67"/>
    <s v="Air"/>
    <s v="Low"/>
    <x v="5"/>
    <n v="0.27033775087000045"/>
    <d v="2025-02-01T00:00:00"/>
    <s v="SoftWeave"/>
    <s v="Turkey"/>
    <n v="25"/>
  </r>
  <r>
    <s v="ORD_2025_0420"/>
    <s v="Jul-2024"/>
    <s v="Brown, Michael"/>
    <s v="South Africa"/>
    <x v="1"/>
    <s v="Accessories"/>
    <n v="14"/>
    <n v="24"/>
    <n v="336"/>
    <n v="22.88"/>
    <n v="61.12"/>
    <s v="Sea"/>
    <s v="Medium"/>
    <x v="4"/>
    <n v="0.1819047619047619"/>
    <d v="2024-07-01T00:00:00"/>
    <s v="CraftLine"/>
    <s v="Italy"/>
    <n v="18"/>
  </r>
  <r>
    <s v="ORD_2025_0421"/>
    <s v="Feb-2024"/>
    <s v="Williams, David"/>
    <s v="China"/>
    <x v="7"/>
    <s v="Home Decor"/>
    <n v="50"/>
    <n v="26.91"/>
    <n v="1345.5"/>
    <n v="91.7"/>
    <n v="478.8"/>
    <s v="Air"/>
    <s v="Low"/>
    <x v="3"/>
    <n v="0.35585284280936458"/>
    <d v="2024-02-01T00:00:00"/>
    <s v="Artisans Co."/>
    <s v="India"/>
    <n v="15.5"/>
  </r>
  <r>
    <s v="ORD_2025_0422"/>
    <s v="May-2025"/>
    <s v="Hernandez, Michael"/>
    <s v="Italy"/>
    <x v="3"/>
    <s v="Apparel"/>
    <n v="7"/>
    <n v="59.41"/>
    <n v="415.87"/>
    <n v="25.51"/>
    <n v="110.36"/>
    <s v="Land"/>
    <s v="High"/>
    <x v="1"/>
    <n v="0.26537139009786714"/>
    <d v="2025-05-01T00:00:00"/>
    <s v="BlueWear"/>
    <s v="Bangladesh"/>
    <n v="40"/>
  </r>
  <r>
    <s v="ORD_2025_0423"/>
    <s v="Jan-2024"/>
    <s v="Garcia, David"/>
    <s v="Japan"/>
    <x v="6"/>
    <s v="Textiles"/>
    <n v="48"/>
    <n v="37.31"/>
    <n v="1790.88"/>
    <n v="67.45"/>
    <n v="523.42999999999995"/>
    <s v="Land"/>
    <s v="Medium"/>
    <x v="3"/>
    <n v="0.29227530599481816"/>
    <d v="2024-01-01T00:00:00"/>
    <s v="SoftWeave"/>
    <s v="Turkey"/>
    <n v="25"/>
  </r>
  <r>
    <s v="ORD_2025_0424"/>
    <s v="Jul-2024"/>
    <s v="Miller, Sophia"/>
    <s v="Uae"/>
    <x v="3"/>
    <s v="Apparel"/>
    <n v="38"/>
    <n v="52.91"/>
    <n v="2010.58"/>
    <n v="94.22"/>
    <n v="396.36"/>
    <s v="Land"/>
    <s v="Low"/>
    <x v="3"/>
    <n v="0.19713714450556558"/>
    <d v="2024-07-01T00:00:00"/>
    <s v="BlueWear"/>
    <s v="Bangladesh"/>
    <n v="40"/>
  </r>
  <r>
    <s v="ORD_2025_0425"/>
    <s v="May-2025"/>
    <s v="Davis, James"/>
    <s v="Uk"/>
    <x v="1"/>
    <s v="Accessories"/>
    <n v="14"/>
    <n v="27.09"/>
    <n v="379.26"/>
    <n v="14.42"/>
    <n v="112.84"/>
    <s v="Air"/>
    <s v="High"/>
    <x v="1"/>
    <n v="0.29752676264304173"/>
    <d v="2025-05-01T00:00:00"/>
    <s v="CraftLine"/>
    <s v="Italy"/>
    <n v="18"/>
  </r>
  <r>
    <s v="ORD_2025_0426"/>
    <s v="Feb-2024"/>
    <s v="Hernandez, John"/>
    <s v="Japan"/>
    <x v="5"/>
    <s v="Home Decor"/>
    <n v="41"/>
    <n v="30.52"/>
    <n v="1251.32"/>
    <n v="56.88"/>
    <n v="271.94"/>
    <s v="Land"/>
    <s v="High"/>
    <x v="3"/>
    <n v="0.21732250743215165"/>
    <d v="2024-02-01T00:00:00"/>
    <s v="ClearCraft"/>
    <s v="India"/>
    <n v="22.5"/>
  </r>
  <r>
    <s v="ORD_2025_0427"/>
    <s v="May-2024"/>
    <s v="Martinez, Emily"/>
    <s v="Canada"/>
    <x v="9"/>
    <s v="Home Decor"/>
    <n v="23"/>
    <n v="40.94"/>
    <n v="941.62"/>
    <n v="71.66"/>
    <n v="225.96"/>
    <s v="Sea"/>
    <s v="High"/>
    <x v="0"/>
    <n v="0.23996941441345768"/>
    <d v="2024-05-01T00:00:00"/>
    <s v="BrightHome"/>
    <s v="India"/>
    <n v="28"/>
  </r>
  <r>
    <s v="ORD_2025_0428"/>
    <s v="Jun-2024"/>
    <s v="Johnson, Emily"/>
    <s v="Germany"/>
    <x v="9"/>
    <s v="Home Decor"/>
    <n v="34"/>
    <n v="41.77"/>
    <n v="1420.18"/>
    <n v="112.45"/>
    <n v="355.73"/>
    <s v="Sea"/>
    <s v="High"/>
    <x v="1"/>
    <n v="0.25048233322536578"/>
    <d v="2024-06-01T00:00:00"/>
    <s v="BrightHome"/>
    <s v="India"/>
    <n v="28"/>
  </r>
  <r>
    <s v="ORD_2025_0429"/>
    <s v="Aug-2024"/>
    <s v="Brown, Michael"/>
    <s v="India"/>
    <x v="3"/>
    <s v="Apparel"/>
    <n v="32"/>
    <n v="69.98"/>
    <n v="2239.36"/>
    <n v="133.51"/>
    <n v="825.85"/>
    <s v="Air"/>
    <s v="Low"/>
    <x v="3"/>
    <n v="0.3687884038296656"/>
    <d v="2024-08-01T00:00:00"/>
    <s v="BlueWear"/>
    <s v="Bangladesh"/>
    <n v="40"/>
  </r>
  <r>
    <s v="ORD_2025_0430"/>
    <s v="Jan-2024"/>
    <s v="Brown, Daniel"/>
    <s v="Uk"/>
    <x v="0"/>
    <s v="Accessories"/>
    <n v="25"/>
    <n v="42.91"/>
    <n v="1072.75"/>
    <n v="80.02"/>
    <n v="117.73"/>
    <s v="Sea"/>
    <s v="Medium"/>
    <x v="1"/>
    <n v="0.10974597995805174"/>
    <d v="2024-01-01T00:00:00"/>
    <s v="CarryPro"/>
    <s v="Vietnam"/>
    <n v="35"/>
  </r>
  <r>
    <s v="ORD_2025_0431"/>
    <s v="Dec-2024"/>
    <s v="Williams, Sophia"/>
    <s v="Canada"/>
    <x v="8"/>
    <s v="Electronics"/>
    <n v="7"/>
    <n v="22.6"/>
    <n v="158.19999999999999"/>
    <n v="7.04"/>
    <n v="61.91"/>
    <s v="Air"/>
    <s v="Low"/>
    <x v="0"/>
    <n v="0.39134007585335018"/>
    <d v="2024-12-01T00:00:00"/>
    <s v="BrightHome"/>
    <s v="Vietnam"/>
    <n v="12.75"/>
  </r>
  <r>
    <s v="ORD_2025_0432"/>
    <s v="Jun-2024"/>
    <s v="Davis, David"/>
    <s v="Usa"/>
    <x v="8"/>
    <s v="Electronics"/>
    <n v="48"/>
    <n v="19.5"/>
    <n v="936"/>
    <n v="70.069999999999993"/>
    <n v="253.93"/>
    <s v="Land"/>
    <s v="Medium"/>
    <x v="0"/>
    <n v="0.27129273504273504"/>
    <d v="2024-06-01T00:00:00"/>
    <s v="BrightHome"/>
    <s v="Vietnam"/>
    <n v="12.75"/>
  </r>
  <r>
    <s v="ORD_2025_0433"/>
    <s v="Sep-2024"/>
    <s v="Davis, John"/>
    <s v="Australia"/>
    <x v="3"/>
    <s v="Apparel"/>
    <n v="32"/>
    <n v="49.97"/>
    <n v="1599.04"/>
    <n v="43.1"/>
    <n v="275.94"/>
    <s v="Sea"/>
    <s v="High"/>
    <x v="5"/>
    <n v="0.17256603962377426"/>
    <d v="2024-09-01T00:00:00"/>
    <s v="BlueWear"/>
    <s v="Bangladesh"/>
    <n v="40"/>
  </r>
  <r>
    <s v="ORD_2025_0434"/>
    <s v="Jan-2025"/>
    <s v="Smith, Emily"/>
    <s v="France"/>
    <x v="7"/>
    <s v="Home Decor"/>
    <n v="41"/>
    <n v="25.62"/>
    <n v="1050.42"/>
    <n v="79.2"/>
    <n v="335.72"/>
    <s v="Land"/>
    <s v="Medium"/>
    <x v="1"/>
    <n v="0.31960549113687858"/>
    <d v="2025-01-01T00:00:00"/>
    <s v="Artisans Co."/>
    <s v="India"/>
    <n v="15.5"/>
  </r>
  <r>
    <s v="ORD_2025_0435"/>
    <s v="Feb-2024"/>
    <s v="Martinez, David"/>
    <s v="Usa"/>
    <x v="8"/>
    <s v="Electronics"/>
    <n v="46"/>
    <n v="16.78"/>
    <n v="771.88"/>
    <n v="18.04"/>
    <n v="167.34"/>
    <s v="Air"/>
    <s v="High"/>
    <x v="0"/>
    <n v="0.21679535679121106"/>
    <d v="2024-02-01T00:00:00"/>
    <s v="BrightHome"/>
    <s v="Vietnam"/>
    <n v="12.75"/>
  </r>
  <r>
    <s v="ORD_2025_0436"/>
    <s v="Feb-2024"/>
    <s v="Davis, Daniel"/>
    <s v="Italy"/>
    <x v="2"/>
    <s v="Electronics"/>
    <n v="16"/>
    <n v="42.18"/>
    <n v="674.88"/>
    <n v="19.100000000000001"/>
    <n v="143.78"/>
    <s v="Land"/>
    <s v="High"/>
    <x v="1"/>
    <n v="0.21304528212422949"/>
    <d v="2024-02-01T00:00:00"/>
    <s v="AudioTech Ltd."/>
    <s v="China"/>
    <n v="32"/>
  </r>
  <r>
    <s v="ORD_2025_0437"/>
    <s v="Aug-2024"/>
    <s v="Davis, James"/>
    <s v="France"/>
    <x v="6"/>
    <s v="Textiles"/>
    <n v="12"/>
    <n v="34.97"/>
    <n v="419.64"/>
    <n v="28.48"/>
    <n v="91.16"/>
    <s v="Land"/>
    <s v="Low"/>
    <x v="1"/>
    <n v="0.21723381946430273"/>
    <d v="2024-08-01T00:00:00"/>
    <s v="SoftWeave"/>
    <s v="Turkey"/>
    <n v="25"/>
  </r>
  <r>
    <s v="ORD_2025_0438"/>
    <s v="Dec-2024"/>
    <s v="Jones, David"/>
    <s v="Brazil"/>
    <x v="4"/>
    <s v="Electronics"/>
    <n v="31"/>
    <n v="33.619999999999997"/>
    <n v="1042.22"/>
    <n v="26.33"/>
    <n v="395.89"/>
    <s v="Air"/>
    <s v="High"/>
    <x v="2"/>
    <n v="0.37985262228704109"/>
    <d v="2024-12-01T00:00:00"/>
    <s v="ClickTech"/>
    <s v="China"/>
    <n v="20"/>
  </r>
  <r>
    <s v="ORD_2025_0439"/>
    <s v="Nov-2024"/>
    <s v="Smith, Laura"/>
    <s v="Uae"/>
    <x v="5"/>
    <s v="Home Decor"/>
    <n v="40"/>
    <n v="30.56"/>
    <n v="1222.4000000000001"/>
    <n v="26.42"/>
    <n v="295.98"/>
    <s v="Land"/>
    <s v="Low"/>
    <x v="3"/>
    <n v="0.24213023560209423"/>
    <d v="2024-11-01T00:00:00"/>
    <s v="ClearCraft"/>
    <s v="India"/>
    <n v="22.5"/>
  </r>
  <r>
    <s v="ORD_2025_0440"/>
    <s v="Jan-2025"/>
    <s v="Martinez, Emma"/>
    <s v="Germany"/>
    <x v="0"/>
    <s v="Accessories"/>
    <n v="15"/>
    <n v="61.93"/>
    <n v="928.95"/>
    <n v="25.68"/>
    <n v="378.27"/>
    <s v="Sea"/>
    <s v="High"/>
    <x v="1"/>
    <n v="0.407201679315356"/>
    <d v="2025-01-01T00:00:00"/>
    <s v="CarryPro"/>
    <s v="Vietnam"/>
    <n v="35"/>
  </r>
  <r>
    <s v="ORD_2025_0441"/>
    <s v="Jan-2024"/>
    <s v="Martinez, Sarah"/>
    <s v="China"/>
    <x v="4"/>
    <s v="Electronics"/>
    <n v="20"/>
    <n v="35.770000000000003"/>
    <n v="715.4"/>
    <n v="39.229999999999997"/>
    <n v="276.17"/>
    <s v="Land"/>
    <s v="Low"/>
    <x v="3"/>
    <n v="0.38603578417668438"/>
    <d v="2024-01-01T00:00:00"/>
    <s v="ClickTech"/>
    <s v="China"/>
    <n v="20"/>
  </r>
  <r>
    <s v="ORD_2025_0442"/>
    <s v="Jun-2024"/>
    <s v="Martinez, John"/>
    <s v="Uk"/>
    <x v="8"/>
    <s v="Electronics"/>
    <n v="21"/>
    <n v="22.48"/>
    <n v="472.08"/>
    <n v="12.96"/>
    <n v="191.37"/>
    <s v="Sea"/>
    <s v="Low"/>
    <x v="1"/>
    <n v="0.40537620742247077"/>
    <d v="2024-06-01T00:00:00"/>
    <s v="BrightHome"/>
    <s v="Vietnam"/>
    <n v="12.75"/>
  </r>
  <r>
    <s v="ORD_2025_0443"/>
    <s v="Jan-2025"/>
    <s v="Johnson, Sophia"/>
    <s v="China"/>
    <x v="1"/>
    <s v="Accessories"/>
    <n v="8"/>
    <n v="27.53"/>
    <n v="220.24"/>
    <n v="12.66"/>
    <n v="63.58"/>
    <s v="Sea"/>
    <s v="Medium"/>
    <x v="3"/>
    <n v="0.28868507083181982"/>
    <d v="2025-01-01T00:00:00"/>
    <s v="CraftLine"/>
    <s v="Italy"/>
    <n v="18"/>
  </r>
  <r>
    <s v="ORD_2025_0444"/>
    <s v="Sep-2024"/>
    <s v="Miller, Emily"/>
    <s v="India"/>
    <x v="5"/>
    <s v="Home Decor"/>
    <n v="35"/>
    <n v="39.65"/>
    <n v="1387.75"/>
    <n v="60.95"/>
    <n v="539.29999999999995"/>
    <s v="Air"/>
    <s v="Medium"/>
    <x v="3"/>
    <n v="0.38861466402450007"/>
    <d v="2024-09-01T00:00:00"/>
    <s v="ClearCraft"/>
    <s v="India"/>
    <n v="22.5"/>
  </r>
  <r>
    <s v="ORD_2025_0445"/>
    <s v="Feb-2024"/>
    <s v="Garcia, Laura"/>
    <s v="South Africa"/>
    <x v="7"/>
    <s v="Home Decor"/>
    <n v="50"/>
    <n v="23.68"/>
    <n v="1184"/>
    <n v="46.62"/>
    <n v="362.38"/>
    <s v="Sea"/>
    <s v="Medium"/>
    <x v="4"/>
    <n v="0.30606418918918921"/>
    <d v="2024-02-01T00:00:00"/>
    <s v="Artisans Co."/>
    <s v="India"/>
    <n v="15.5"/>
  </r>
  <r>
    <s v="ORD_2025_0446"/>
    <s v="Feb-2025"/>
    <s v="Davis, Michael"/>
    <s v="Uae"/>
    <x v="8"/>
    <s v="Electronics"/>
    <n v="5"/>
    <n v="19.809999999999999"/>
    <n v="99.05"/>
    <n v="5.91"/>
    <n v="29.39"/>
    <s v="Sea"/>
    <s v="High"/>
    <x v="3"/>
    <n v="0.2967188288743059"/>
    <d v="2025-02-01T00:00:00"/>
    <s v="BrightHome"/>
    <s v="Vietnam"/>
    <n v="12.75"/>
  </r>
  <r>
    <s v="ORD_2025_0447"/>
    <s v="May-2024"/>
    <s v="Williams, David"/>
    <s v="Brazil"/>
    <x v="8"/>
    <s v="Electronics"/>
    <n v="27"/>
    <n v="18.03"/>
    <n v="486.81"/>
    <n v="36.630000000000003"/>
    <n v="105.93"/>
    <s v="Land"/>
    <s v="High"/>
    <x v="2"/>
    <n v="0.21760029580329082"/>
    <d v="2024-05-01T00:00:00"/>
    <s v="BrightHome"/>
    <s v="Vietnam"/>
    <n v="12.75"/>
  </r>
  <r>
    <s v="ORD_2025_0448"/>
    <s v="Apr-2024"/>
    <s v="Brown, Emily"/>
    <s v="South Africa"/>
    <x v="1"/>
    <s v="Accessories"/>
    <n v="45"/>
    <n v="26.93"/>
    <n v="1211.8499999999999"/>
    <n v="62.85"/>
    <n v="339"/>
    <s v="Sea"/>
    <s v="Medium"/>
    <x v="4"/>
    <n v="0.2797375912860503"/>
    <d v="2024-04-01T00:00:00"/>
    <s v="CraftLine"/>
    <s v="Italy"/>
    <n v="18"/>
  </r>
  <r>
    <s v="ORD_2025_0449"/>
    <s v="Jun-2024"/>
    <s v="Davis, Daniel"/>
    <s v="Italy"/>
    <x v="4"/>
    <s v="Electronics"/>
    <n v="40"/>
    <n v="32.54"/>
    <n v="1301.5999999999999"/>
    <n v="47.06"/>
    <n v="454.54"/>
    <s v="Land"/>
    <s v="Medium"/>
    <x v="1"/>
    <n v="0.34921634910878924"/>
    <d v="2024-06-01T00:00:00"/>
    <s v="ClickTech"/>
    <s v="China"/>
    <n v="20"/>
  </r>
  <r>
    <s v="ORD_2025_0450"/>
    <s v="May-2025"/>
    <s v="Miller, Michael"/>
    <s v="India"/>
    <x v="5"/>
    <s v="Home Decor"/>
    <n v="26"/>
    <n v="35.32"/>
    <n v="918.32"/>
    <n v="60.02"/>
    <n v="273.3"/>
    <s v="Air"/>
    <s v="Low"/>
    <x v="3"/>
    <n v="0.29760867671399949"/>
    <d v="2025-05-01T00:00:00"/>
    <s v="ClearCraft"/>
    <s v="India"/>
    <n v="22.5"/>
  </r>
  <r>
    <s v="ORD_2025_0451"/>
    <s v="Jan-2025"/>
    <s v="Hernandez, Sophia"/>
    <s v="Brazil"/>
    <x v="8"/>
    <s v="Electronics"/>
    <n v="16"/>
    <n v="16.440000000000001"/>
    <n v="263.04000000000002"/>
    <n v="17.64"/>
    <n v="41.4"/>
    <s v="Land"/>
    <s v="Low"/>
    <x v="2"/>
    <n v="0.1573905109489051"/>
    <d v="2025-01-01T00:00:00"/>
    <s v="BrightHome"/>
    <s v="Vietnam"/>
    <n v="12.75"/>
  </r>
  <r>
    <s v="ORD_2025_0452"/>
    <s v="Mar-2025"/>
    <s v="Miller, Emily"/>
    <s v="France"/>
    <x v="9"/>
    <s v="Home Decor"/>
    <n v="39"/>
    <n v="46.27"/>
    <n v="1804.53"/>
    <n v="38.57"/>
    <n v="673.96"/>
    <s v="Air"/>
    <s v="High"/>
    <x v="1"/>
    <n v="0.37348229178788939"/>
    <d v="2025-03-01T00:00:00"/>
    <s v="BrightHome"/>
    <s v="India"/>
    <n v="28"/>
  </r>
  <r>
    <s v="ORD_2025_0453"/>
    <s v="Oct-2024"/>
    <s v="Williams, Michael"/>
    <s v="Uk"/>
    <x v="6"/>
    <s v="Textiles"/>
    <n v="15"/>
    <n v="33.22"/>
    <n v="498.3"/>
    <n v="36.85"/>
    <n v="86.45"/>
    <s v="Air"/>
    <s v="High"/>
    <x v="1"/>
    <n v="0.17348986554284568"/>
    <d v="2024-10-01T00:00:00"/>
    <s v="SoftWeave"/>
    <s v="Turkey"/>
    <n v="25"/>
  </r>
  <r>
    <s v="ORD_2025_0454"/>
    <s v="Jun-2024"/>
    <s v="Miller, Sarah"/>
    <s v="South Africa"/>
    <x v="3"/>
    <s v="Apparel"/>
    <n v="35"/>
    <n v="71.02"/>
    <n v="2485.6999999999998"/>
    <n v="137.22"/>
    <n v="948.48"/>
    <s v="Sea"/>
    <s v="Medium"/>
    <x v="4"/>
    <n v="0.38157460675061355"/>
    <d v="2024-06-01T00:00:00"/>
    <s v="BlueWear"/>
    <s v="Bangladesh"/>
    <n v="40"/>
  </r>
  <r>
    <s v="ORD_2025_0455"/>
    <s v="Sep-2024"/>
    <s v="Brown, Michael"/>
    <s v="Uae"/>
    <x v="9"/>
    <s v="Home Decor"/>
    <n v="2"/>
    <n v="42.31"/>
    <n v="84.62"/>
    <n v="4.28"/>
    <n v="24.34"/>
    <s v="Sea"/>
    <s v="Medium"/>
    <x v="3"/>
    <n v="0.28763885606239659"/>
    <d v="2024-09-01T00:00:00"/>
    <s v="BrightHome"/>
    <s v="India"/>
    <n v="28"/>
  </r>
  <r>
    <s v="ORD_2025_0456"/>
    <s v="Apr-2025"/>
    <s v="Johnson, Sarah"/>
    <s v="Singapore"/>
    <x v="6"/>
    <s v="Textiles"/>
    <n v="8"/>
    <n v="41.36"/>
    <n v="330.88"/>
    <n v="11.78"/>
    <n v="119.1"/>
    <s v="Land"/>
    <s v="Low"/>
    <x v="3"/>
    <n v="0.35994922630560927"/>
    <d v="2025-04-01T00:00:00"/>
    <s v="SoftWeave"/>
    <s v="Turkey"/>
    <n v="25"/>
  </r>
  <r>
    <s v="ORD_2025_0457"/>
    <s v="Sep-2024"/>
    <s v="Martinez, Sarah"/>
    <s v="Canada"/>
    <x v="1"/>
    <s v="Accessories"/>
    <n v="3"/>
    <n v="31.39"/>
    <n v="94.17"/>
    <n v="2.52"/>
    <n v="37.65"/>
    <s v="Air"/>
    <s v="High"/>
    <x v="0"/>
    <n v="0.39980885632366991"/>
    <d v="2024-09-01T00:00:00"/>
    <s v="CraftLine"/>
    <s v="Italy"/>
    <n v="18"/>
  </r>
  <r>
    <s v="ORD_2025_0458"/>
    <s v="Jan-2025"/>
    <s v="Johnson, Daniel"/>
    <s v="France"/>
    <x v="5"/>
    <s v="Home Decor"/>
    <n v="48"/>
    <n v="33.61"/>
    <n v="1613.28"/>
    <n v="109.92"/>
    <n v="423.36"/>
    <s v="Land"/>
    <s v="High"/>
    <x v="1"/>
    <n v="0.26242189824457007"/>
    <d v="2025-01-01T00:00:00"/>
    <s v="ClearCraft"/>
    <s v="India"/>
    <n v="22.5"/>
  </r>
  <r>
    <s v="ORD_2025_0459"/>
    <s v="Feb-2024"/>
    <s v="Garcia, Michael"/>
    <s v="Germany"/>
    <x v="2"/>
    <s v="Electronics"/>
    <n v="9"/>
    <n v="50.29"/>
    <n v="452.61"/>
    <n v="32.93"/>
    <n v="131.68"/>
    <s v="Sea"/>
    <s v="High"/>
    <x v="1"/>
    <n v="0.29093480038001812"/>
    <d v="2024-02-01T00:00:00"/>
    <s v="AudioTech Ltd."/>
    <s v="China"/>
    <n v="32"/>
  </r>
  <r>
    <s v="ORD_2025_0460"/>
    <s v="Oct-2024"/>
    <s v="Johnson, Daniel"/>
    <s v="Usa"/>
    <x v="5"/>
    <s v="Home Decor"/>
    <n v="12"/>
    <n v="34.96"/>
    <n v="419.52"/>
    <n v="15.43"/>
    <n v="134.09"/>
    <s v="Sea"/>
    <s v="High"/>
    <x v="0"/>
    <n v="0.31962719298245618"/>
    <d v="2024-10-01T00:00:00"/>
    <s v="ClearCraft"/>
    <s v="India"/>
    <n v="22.5"/>
  </r>
  <r>
    <s v="ORD_2025_0461"/>
    <s v="Feb-2025"/>
    <s v="Jones, Emma"/>
    <s v="Australia"/>
    <x v="0"/>
    <s v="Accessories"/>
    <n v="29"/>
    <n v="52.72"/>
    <n v="1528.88"/>
    <n v="96.91"/>
    <n v="416.97"/>
    <s v="Sea"/>
    <s v="High"/>
    <x v="5"/>
    <n v="0.27272905656428237"/>
    <d v="2025-02-01T00:00:00"/>
    <s v="CarryPro"/>
    <s v="Vietnam"/>
    <n v="35"/>
  </r>
  <r>
    <s v="ORD_2025_0462"/>
    <s v="Feb-2025"/>
    <s v="Garcia, Daniel"/>
    <s v="Canada"/>
    <x v="7"/>
    <s v="Home Decor"/>
    <n v="39"/>
    <n v="22.18"/>
    <n v="865.02"/>
    <n v="26.23"/>
    <n v="234.29"/>
    <s v="Land"/>
    <s v="High"/>
    <x v="0"/>
    <n v="0.27084922891956253"/>
    <d v="2025-02-01T00:00:00"/>
    <s v="Artisans Co."/>
    <s v="India"/>
    <n v="15.5"/>
  </r>
  <r>
    <s v="ORD_2025_0463"/>
    <s v="Feb-2025"/>
    <s v="Miller, Emma"/>
    <s v="Singapore"/>
    <x v="7"/>
    <s v="Home Decor"/>
    <n v="11"/>
    <n v="21.4"/>
    <n v="235.4"/>
    <n v="11.64"/>
    <n v="53.26"/>
    <s v="Land"/>
    <s v="High"/>
    <x v="3"/>
    <n v="0.22625318606627015"/>
    <d v="2025-02-01T00:00:00"/>
    <s v="Artisans Co."/>
    <s v="India"/>
    <n v="15.5"/>
  </r>
  <r>
    <s v="ORD_2025_0464"/>
    <s v="Apr-2024"/>
    <s v="Brown, John"/>
    <s v="Singapore"/>
    <x v="6"/>
    <s v="Textiles"/>
    <n v="21"/>
    <n v="36.26"/>
    <n v="761.46"/>
    <n v="56.99"/>
    <n v="179.47"/>
    <s v="Sea"/>
    <s v="Low"/>
    <x v="3"/>
    <n v="0.23569196018175609"/>
    <d v="2024-04-01T00:00:00"/>
    <s v="SoftWeave"/>
    <s v="Turkey"/>
    <n v="25"/>
  </r>
  <r>
    <s v="ORD_2025_0465"/>
    <s v="Oct-2024"/>
    <s v="Miller, Sarah"/>
    <s v="China"/>
    <x v="5"/>
    <s v="Home Decor"/>
    <n v="39"/>
    <n v="35.409999999999997"/>
    <n v="1380.99"/>
    <n v="84.56"/>
    <n v="418.93"/>
    <s v="Sea"/>
    <s v="Low"/>
    <x v="3"/>
    <n v="0.30335483964402349"/>
    <d v="2024-10-01T00:00:00"/>
    <s v="ClearCraft"/>
    <s v="India"/>
    <n v="22.5"/>
  </r>
  <r>
    <s v="ORD_2025_0466"/>
    <s v="Apr-2024"/>
    <s v="Smith, Sophia"/>
    <s v="China"/>
    <x v="1"/>
    <s v="Accessories"/>
    <n v="13"/>
    <n v="27.35"/>
    <n v="355.55"/>
    <n v="26.23"/>
    <n v="95.32"/>
    <s v="Sea"/>
    <s v="High"/>
    <x v="3"/>
    <n v="0.26809168893263957"/>
    <d v="2024-04-01T00:00:00"/>
    <s v="CraftLine"/>
    <s v="Italy"/>
    <n v="18"/>
  </r>
  <r>
    <s v="ORD_2025_0467"/>
    <s v="Jan-2024"/>
    <s v="Johnson, Sarah"/>
    <s v="Brazil"/>
    <x v="8"/>
    <s v="Electronics"/>
    <n v="40"/>
    <n v="21.08"/>
    <n v="843.2"/>
    <n v="66.81"/>
    <n v="266.39"/>
    <s v="Air"/>
    <s v="Medium"/>
    <x v="2"/>
    <n v="0.3159274193548387"/>
    <d v="2024-01-01T00:00:00"/>
    <s v="BrightHome"/>
    <s v="Vietnam"/>
    <n v="12.75"/>
  </r>
  <r>
    <s v="ORD_2025_0468"/>
    <s v="Oct-2024"/>
    <s v="Jones, Emma"/>
    <s v="Mexico"/>
    <x v="7"/>
    <s v="Home Decor"/>
    <n v="47"/>
    <n v="27.54"/>
    <n v="1294.3800000000001"/>
    <n v="62.78"/>
    <n v="503.1"/>
    <s v="Land"/>
    <s v="Low"/>
    <x v="0"/>
    <n v="0.38868029481296062"/>
    <d v="2024-10-01T00:00:00"/>
    <s v="Artisans Co."/>
    <s v="India"/>
    <n v="15.5"/>
  </r>
  <r>
    <s v="ORD_2025_0469"/>
    <s v="Mar-2024"/>
    <s v="Miller, Daniel"/>
    <s v="India"/>
    <x v="2"/>
    <s v="Electronics"/>
    <n v="16"/>
    <n v="45.08"/>
    <n v="721.28"/>
    <n v="21.61"/>
    <n v="187.67"/>
    <s v="Sea"/>
    <s v="High"/>
    <x v="3"/>
    <n v="0.26019021739130432"/>
    <d v="2024-03-01T00:00:00"/>
    <s v="AudioTech Ltd."/>
    <s v="China"/>
    <n v="32"/>
  </r>
  <r>
    <s v="ORD_2025_0470"/>
    <s v="Apr-2025"/>
    <s v="Garcia, Emily"/>
    <s v="Uae"/>
    <x v="5"/>
    <s v="Home Decor"/>
    <n v="37"/>
    <n v="33.200000000000003"/>
    <n v="1228.4000000000001"/>
    <n v="41.34"/>
    <n v="354.56"/>
    <s v="Air"/>
    <s v="Medium"/>
    <x v="3"/>
    <n v="0.28863562357538258"/>
    <d v="2025-04-01T00:00:00"/>
    <s v="ClearCraft"/>
    <s v="India"/>
    <n v="22.5"/>
  </r>
  <r>
    <s v="ORD_2025_0471"/>
    <s v="Dec-2024"/>
    <s v="Smith, Emily"/>
    <s v="Uae"/>
    <x v="1"/>
    <s v="Accessories"/>
    <n v="8"/>
    <n v="27.31"/>
    <n v="218.48"/>
    <n v="9.51"/>
    <n v="64.97"/>
    <s v="Air"/>
    <s v="Low"/>
    <x v="3"/>
    <n v="0.29737275723178325"/>
    <d v="2024-12-01T00:00:00"/>
    <s v="CraftLine"/>
    <s v="Italy"/>
    <n v="18"/>
  </r>
  <r>
    <s v="ORD_2025_0472"/>
    <s v="Apr-2024"/>
    <s v="Martinez, Michael"/>
    <s v="South Africa"/>
    <x v="1"/>
    <s v="Accessories"/>
    <n v="19"/>
    <n v="29.14"/>
    <n v="553.66"/>
    <n v="19.7"/>
    <n v="191.96"/>
    <s v="Land"/>
    <s v="Medium"/>
    <x v="4"/>
    <n v="0.34671097785644622"/>
    <d v="2024-04-01T00:00:00"/>
    <s v="CraftLine"/>
    <s v="Italy"/>
    <n v="18"/>
  </r>
  <r>
    <s v="ORD_2025_0473"/>
    <s v="Sep-2024"/>
    <s v="Williams, James"/>
    <s v="Singapore"/>
    <x v="0"/>
    <s v="Accessories"/>
    <n v="6"/>
    <n v="55.41"/>
    <n v="332.46"/>
    <n v="15.57"/>
    <n v="106.89"/>
    <s v="Land"/>
    <s v="Low"/>
    <x v="3"/>
    <n v="0.3215123623894604"/>
    <d v="2024-09-01T00:00:00"/>
    <s v="CarryPro"/>
    <s v="Vietnam"/>
    <n v="35"/>
  </r>
  <r>
    <s v="ORD_2025_0474"/>
    <s v="Apr-2025"/>
    <s v="Hernandez, Laura"/>
    <s v="Uae"/>
    <x v="1"/>
    <s v="Accessories"/>
    <n v="48"/>
    <n v="29.07"/>
    <n v="1395.36"/>
    <n v="70.38"/>
    <n v="460.98"/>
    <s v="Sea"/>
    <s v="High"/>
    <x v="3"/>
    <n v="0.33036635706914347"/>
    <d v="2025-04-01T00:00:00"/>
    <s v="CraftLine"/>
    <s v="Italy"/>
    <n v="18"/>
  </r>
  <r>
    <s v="ORD_2025_0475"/>
    <s v="May-2024"/>
    <s v="Hernandez, Michael"/>
    <s v="Brazil"/>
    <x v="5"/>
    <s v="Home Decor"/>
    <n v="26"/>
    <n v="27.17"/>
    <n v="706.42"/>
    <n v="33.94"/>
    <n v="87.48"/>
    <s v="Air"/>
    <s v="Medium"/>
    <x v="2"/>
    <n v="0.12383567849154895"/>
    <d v="2024-05-01T00:00:00"/>
    <s v="ClearCraft"/>
    <s v="India"/>
    <n v="22.5"/>
  </r>
  <r>
    <s v="ORD_2025_0476"/>
    <s v="May-2024"/>
    <s v="Miller, Laura"/>
    <s v="Japan"/>
    <x v="0"/>
    <s v="Accessories"/>
    <n v="9"/>
    <n v="48.76"/>
    <n v="438.84"/>
    <n v="16.91"/>
    <n v="106.93"/>
    <s v="Air"/>
    <s v="Low"/>
    <x v="3"/>
    <n v="0.24366511712697114"/>
    <d v="2024-05-01T00:00:00"/>
    <s v="CarryPro"/>
    <s v="Vietnam"/>
    <n v="35"/>
  </r>
  <r>
    <s v="ORD_2025_0477"/>
    <s v="Jan-2024"/>
    <s v="Miller, Emily"/>
    <s v="Uk"/>
    <x v="5"/>
    <s v="Home Decor"/>
    <n v="37"/>
    <n v="33.21"/>
    <n v="1228.77"/>
    <n v="96.12"/>
    <n v="300.14999999999998"/>
    <s v="Air"/>
    <s v="Medium"/>
    <x v="1"/>
    <n v="0.24426865890280522"/>
    <d v="2024-01-01T00:00:00"/>
    <s v="ClearCraft"/>
    <s v="India"/>
    <n v="22.5"/>
  </r>
  <r>
    <s v="ORD_2025_0478"/>
    <s v="Jun-2024"/>
    <s v="Miller, Laura"/>
    <s v="Brazil"/>
    <x v="8"/>
    <s v="Electronics"/>
    <n v="29"/>
    <n v="16.54"/>
    <n v="479.66"/>
    <n v="30.23"/>
    <n v="79.680000000000007"/>
    <s v="Sea"/>
    <s v="High"/>
    <x v="2"/>
    <n v="0.16611766668056541"/>
    <d v="2024-06-01T00:00:00"/>
    <s v="BrightHome"/>
    <s v="Vietnam"/>
    <n v="12.75"/>
  </r>
  <r>
    <s v="ORD_2025_0479"/>
    <s v="Apr-2025"/>
    <s v="Williams, David"/>
    <s v="Australia"/>
    <x v="6"/>
    <s v="Textiles"/>
    <n v="11"/>
    <n v="44.56"/>
    <n v="490.16"/>
    <n v="23.97"/>
    <n v="191.19"/>
    <s v="Sea"/>
    <s v="High"/>
    <x v="5"/>
    <n v="0.39005630814427938"/>
    <d v="2025-04-01T00:00:00"/>
    <s v="SoftWeave"/>
    <s v="Turkey"/>
    <n v="25"/>
  </r>
  <r>
    <s v="ORD_2025_0480"/>
    <s v="Nov-2024"/>
    <s v="Hernandez, Emma"/>
    <s v="Mexico"/>
    <x v="2"/>
    <s v="Electronics"/>
    <n v="50"/>
    <n v="44.78"/>
    <n v="2239"/>
    <n v="169.97"/>
    <n v="469.03"/>
    <s v="Land"/>
    <s v="High"/>
    <x v="0"/>
    <n v="0.20948191156766413"/>
    <d v="2024-11-01T00:00:00"/>
    <s v="AudioTech Ltd."/>
    <s v="China"/>
    <n v="32"/>
  </r>
  <r>
    <s v="ORD_2025_0481"/>
    <s v="Dec-2024"/>
    <s v="Davis, Sarah"/>
    <s v="Usa"/>
    <x v="1"/>
    <s v="Accessories"/>
    <n v="30"/>
    <n v="22.51"/>
    <n v="675.3"/>
    <n v="26.26"/>
    <n v="109.04"/>
    <s v="Land"/>
    <s v="Low"/>
    <x v="0"/>
    <n v="0.16146897675107361"/>
    <d v="2024-12-01T00:00:00"/>
    <s v="CraftLine"/>
    <s v="Italy"/>
    <n v="18"/>
  </r>
  <r>
    <s v="ORD_2025_0482"/>
    <s v="Mar-2024"/>
    <s v="Martinez, John"/>
    <s v="Australia"/>
    <x v="7"/>
    <s v="Home Decor"/>
    <n v="50"/>
    <n v="27.18"/>
    <n v="1359"/>
    <n v="45.67"/>
    <n v="538.33000000000004"/>
    <s v="Land"/>
    <s v="High"/>
    <x v="5"/>
    <n v="0.39612214863870499"/>
    <d v="2024-03-01T00:00:00"/>
    <s v="Artisans Co."/>
    <s v="India"/>
    <n v="15.5"/>
  </r>
  <r>
    <s v="ORD_2025_0483"/>
    <s v="Sep-2024"/>
    <s v="Smith, Daniel"/>
    <s v="Italy"/>
    <x v="9"/>
    <s v="Home Decor"/>
    <n v="28"/>
    <n v="37.51"/>
    <n v="1050.28"/>
    <n v="45.83"/>
    <n v="220.45"/>
    <s v="Air"/>
    <s v="Medium"/>
    <x v="1"/>
    <n v="0.20989640857676048"/>
    <d v="2024-09-01T00:00:00"/>
    <s v="BrightHome"/>
    <s v="India"/>
    <n v="28"/>
  </r>
  <r>
    <s v="ORD_2025_0484"/>
    <s v="Mar-2024"/>
    <s v="Davis, James"/>
    <s v="Australia"/>
    <x v="3"/>
    <s v="Apparel"/>
    <n v="50"/>
    <n v="53.71"/>
    <n v="2685.5"/>
    <n v="197.89"/>
    <n v="487.61"/>
    <s v="Sea"/>
    <s v="High"/>
    <x v="5"/>
    <n v="0.18157140197356172"/>
    <d v="2024-03-01T00:00:00"/>
    <s v="BlueWear"/>
    <s v="Bangladesh"/>
    <n v="40"/>
  </r>
  <r>
    <s v="ORD_2025_0485"/>
    <s v="Dec-2024"/>
    <s v="Smith, John"/>
    <s v="South Africa"/>
    <x v="7"/>
    <s v="Home Decor"/>
    <n v="24"/>
    <n v="18.62"/>
    <n v="446.88"/>
    <n v="26.91"/>
    <n v="47.97"/>
    <s v="Sea"/>
    <s v="Medium"/>
    <x v="4"/>
    <n v="0.10734425349087003"/>
    <d v="2024-12-01T00:00:00"/>
    <s v="Artisans Co."/>
    <s v="India"/>
    <n v="15.5"/>
  </r>
  <r>
    <s v="ORD_2025_0486"/>
    <s v="Jan-2025"/>
    <s v="Davis, Michael"/>
    <s v="Singapore"/>
    <x v="3"/>
    <s v="Apparel"/>
    <n v="10"/>
    <n v="49.15"/>
    <n v="491.5"/>
    <n v="13.3"/>
    <n v="78.2"/>
    <s v="Air"/>
    <s v="High"/>
    <x v="3"/>
    <n v="0.15910478128179045"/>
    <d v="2025-01-01T00:00:00"/>
    <s v="BlueWear"/>
    <s v="Bangladesh"/>
    <n v="40"/>
  </r>
  <r>
    <s v="ORD_2025_0487"/>
    <s v="Dec-2024"/>
    <s v="Miller, Sarah"/>
    <s v="China"/>
    <x v="3"/>
    <s v="Apparel"/>
    <n v="42"/>
    <n v="50.96"/>
    <n v="2140.3200000000002"/>
    <n v="127.85"/>
    <n v="332.47"/>
    <s v="Land"/>
    <s v="Medium"/>
    <x v="3"/>
    <n v="0.15533658518352397"/>
    <d v="2024-12-01T00:00:00"/>
    <s v="BlueWear"/>
    <s v="Bangladesh"/>
    <n v="40"/>
  </r>
  <r>
    <s v="ORD_2025_0488"/>
    <s v="Jan-2024"/>
    <s v="Martinez, Sophia"/>
    <s v="China"/>
    <x v="6"/>
    <s v="Textiles"/>
    <n v="39"/>
    <n v="37.46"/>
    <n v="1460.94"/>
    <n v="82.25"/>
    <n v="403.69"/>
    <s v="Air"/>
    <s v="Low"/>
    <x v="3"/>
    <n v="0.27632209399427765"/>
    <d v="2024-01-01T00:00:00"/>
    <s v="SoftWeave"/>
    <s v="Turkey"/>
    <n v="25"/>
  </r>
  <r>
    <s v="ORD_2025_0489"/>
    <s v="May-2025"/>
    <s v="Garcia, Sophia"/>
    <s v="France"/>
    <x v="8"/>
    <s v="Electronics"/>
    <n v="7"/>
    <n v="20.2"/>
    <n v="141.4"/>
    <n v="4.3499999999999996"/>
    <n v="47.8"/>
    <s v="Sea"/>
    <s v="High"/>
    <x v="1"/>
    <n v="0.33804809052333801"/>
    <d v="2025-05-01T00:00:00"/>
    <s v="BrightHome"/>
    <s v="Vietnam"/>
    <n v="12.75"/>
  </r>
  <r>
    <s v="ORD_2025_0490"/>
    <s v="Sep-2024"/>
    <s v="Garcia, Emily"/>
    <s v="Canada"/>
    <x v="8"/>
    <s v="Electronics"/>
    <n v="18"/>
    <n v="18.63"/>
    <n v="335.34"/>
    <n v="26.18"/>
    <n v="79.66"/>
    <s v="Sea"/>
    <s v="Low"/>
    <x v="0"/>
    <n v="0.23754994930518281"/>
    <d v="2024-09-01T00:00:00"/>
    <s v="BrightHome"/>
    <s v="Vietnam"/>
    <n v="12.75"/>
  </r>
  <r>
    <s v="ORD_2025_0491"/>
    <s v="May-2024"/>
    <s v="Brown, John"/>
    <s v="Australia"/>
    <x v="5"/>
    <s v="Home Decor"/>
    <n v="12"/>
    <n v="27.08"/>
    <n v="324.95999999999998"/>
    <n v="15.59"/>
    <n v="39.369999999999997"/>
    <s v="Sea"/>
    <s v="High"/>
    <x v="5"/>
    <n v="0.12115337272279665"/>
    <d v="2024-05-01T00:00:00"/>
    <s v="ClearCraft"/>
    <s v="India"/>
    <n v="22.5"/>
  </r>
  <r>
    <s v="ORD_2025_0492"/>
    <s v="Apr-2025"/>
    <s v="Hernandez, Sarah"/>
    <s v="France"/>
    <x v="6"/>
    <s v="Textiles"/>
    <n v="50"/>
    <n v="32.21"/>
    <n v="1610.5"/>
    <n v="32.68"/>
    <n v="327.82"/>
    <s v="Sea"/>
    <s v="High"/>
    <x v="1"/>
    <n v="0.20355169202111145"/>
    <d v="2025-04-01T00:00:00"/>
    <s v="SoftWeave"/>
    <s v="Turkey"/>
    <n v="25"/>
  </r>
  <r>
    <s v="ORD_2025_0493"/>
    <s v="Mar-2025"/>
    <s v="Garcia, James"/>
    <s v="South Africa"/>
    <x v="8"/>
    <s v="Electronics"/>
    <n v="49"/>
    <n v="20.59"/>
    <n v="1008.91"/>
    <n v="78.03"/>
    <n v="306.13"/>
    <s v="Sea"/>
    <s v="High"/>
    <x v="4"/>
    <n v="0.30342647015095497"/>
    <d v="2025-03-01T00:00:00"/>
    <s v="BrightHome"/>
    <s v="Vietnam"/>
    <n v="12.75"/>
  </r>
  <r>
    <s v="ORD_2025_0494"/>
    <s v="Apr-2024"/>
    <s v="Miller, Michael"/>
    <s v="Italy"/>
    <x v="4"/>
    <s v="Electronics"/>
    <n v="22"/>
    <n v="28.63"/>
    <n v="629.86"/>
    <n v="29.08"/>
    <n v="160.78"/>
    <s v="Sea"/>
    <s v="Medium"/>
    <x v="1"/>
    <n v="0.25526307433397899"/>
    <d v="2024-04-01T00:00:00"/>
    <s v="ClickTech"/>
    <s v="China"/>
    <n v="20"/>
  </r>
  <r>
    <s v="ORD_2025_0495"/>
    <s v="Feb-2025"/>
    <s v="Davis, Michael"/>
    <s v="China"/>
    <x v="3"/>
    <s v="Apparel"/>
    <n v="11"/>
    <n v="56.12"/>
    <n v="617.32000000000005"/>
    <n v="38.26"/>
    <n v="139.06"/>
    <s v="Sea"/>
    <s v="Medium"/>
    <x v="3"/>
    <n v="0.22526404457979651"/>
    <d v="2025-02-01T00:00:00"/>
    <s v="BlueWear"/>
    <s v="Bangladesh"/>
    <n v="40"/>
  </r>
  <r>
    <s v="ORD_2025_0496"/>
    <s v="Apr-2024"/>
    <s v="Johnson, Emma"/>
    <s v="Usa"/>
    <x v="6"/>
    <s v="Textiles"/>
    <n v="2"/>
    <n v="30.88"/>
    <n v="61.76"/>
    <n v="4.42"/>
    <n v="7.34"/>
    <s v="Air"/>
    <s v="Medium"/>
    <x v="0"/>
    <n v="0.11884715025906736"/>
    <d v="2024-04-01T00:00:00"/>
    <s v="SoftWeave"/>
    <s v="Turkey"/>
    <n v="25"/>
  </r>
  <r>
    <s v="ORD_2025_0497"/>
    <s v="Jul-2024"/>
    <s v="Johnson, Emily"/>
    <s v="Australia"/>
    <x v="3"/>
    <s v="Apparel"/>
    <n v="34"/>
    <n v="63.8"/>
    <n v="2169.1999999999998"/>
    <n v="69.650000000000006"/>
    <n v="739.55"/>
    <s v="Sea"/>
    <s v="High"/>
    <x v="5"/>
    <n v="0.34093214088143092"/>
    <d v="2024-07-01T00:00:00"/>
    <s v="BlueWear"/>
    <s v="Bangladesh"/>
    <n v="40"/>
  </r>
  <r>
    <s v="ORD_2025_0498"/>
    <s v="Dec-2024"/>
    <s v="Smith, David"/>
    <s v="Mexico"/>
    <x v="9"/>
    <s v="Home Decor"/>
    <n v="50"/>
    <n v="44.61"/>
    <n v="2230.5"/>
    <n v="91.32"/>
    <n v="739.18"/>
    <s v="Air"/>
    <s v="Low"/>
    <x v="0"/>
    <n v="0.33139654785922434"/>
    <d v="2024-12-01T00:00:00"/>
    <s v="BrightHome"/>
    <s v="India"/>
    <n v="28"/>
  </r>
  <r>
    <s v="ORD_2025_0499"/>
    <s v="Sep-2024"/>
    <s v="Smith, Emma"/>
    <s v="Uae"/>
    <x v="8"/>
    <s v="Electronics"/>
    <n v="14"/>
    <n v="18.61"/>
    <n v="260.54000000000002"/>
    <n v="5.39"/>
    <n v="76.650000000000006"/>
    <s v="Sea"/>
    <s v="High"/>
    <x v="3"/>
    <n v="0.29419666845781839"/>
    <d v="2024-09-01T00:00:00"/>
    <s v="BrightHome"/>
    <s v="Vietnam"/>
    <n v="12.75"/>
  </r>
  <r>
    <s v="ORD_2025_0500"/>
    <s v="Jul-2024"/>
    <s v="Hernandez, Michael"/>
    <s v="Uk"/>
    <x v="7"/>
    <s v="Home Decor"/>
    <n v="7"/>
    <n v="24.61"/>
    <n v="172.27"/>
    <n v="9.64"/>
    <n v="54.13"/>
    <s v="Air"/>
    <s v="High"/>
    <x v="1"/>
    <n v="0.31421605619086318"/>
    <d v="2024-07-01T00:00:00"/>
    <s v="Artisans Co."/>
    <s v="India"/>
    <n v="15.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ORD_2025_0001"/>
    <s v="Jan-2025"/>
    <s v="Smith, Emily"/>
    <s v="Usa"/>
    <s v="Travel Backpack"/>
    <s v="Accessories"/>
    <n v="20"/>
    <n v="55.22"/>
    <n v="1104.4000000000001"/>
    <n v="49.36"/>
    <n v="355.04"/>
    <s v="Land"/>
    <s v="Low"/>
    <s v="NA"/>
    <x v="0"/>
  </r>
  <r>
    <s v="ORD_2025_0002"/>
    <s v="Feb-2025"/>
    <s v="Brown, Laura"/>
    <s v="Uk"/>
    <s v="Leather Wallet"/>
    <s v="Accessories"/>
    <n v="33"/>
    <n v="32.03"/>
    <n v="1056.99"/>
    <n v="59.59"/>
    <n v="403.4"/>
    <s v="Sea"/>
    <s v="Medium"/>
    <s v="EU"/>
    <x v="1"/>
  </r>
  <r>
    <s v="ORD_2025_0003"/>
    <s v="Apr-2024"/>
    <s v="Davis, John"/>
    <s v="Italy"/>
    <s v="Leather Wallet"/>
    <s v="Accessories"/>
    <n v="34"/>
    <n v="28.48"/>
    <n v="968.32"/>
    <n v="73.95"/>
    <n v="282.37"/>
    <s v="Land"/>
    <s v="High"/>
    <s v="EU"/>
    <x v="2"/>
  </r>
  <r>
    <s v="ORD_2025_0004"/>
    <s v="Oct-2024"/>
    <s v="Miller, Daniel"/>
    <s v="Brazil"/>
    <s v="Bluetooth Speaker"/>
    <s v="Electronics"/>
    <n v="6"/>
    <n v="56.36"/>
    <n v="338.16"/>
    <n v="11.39"/>
    <n v="134.77000000000001"/>
    <s v="Air"/>
    <s v="Medium"/>
    <s v="SA"/>
    <x v="3"/>
  </r>
  <r>
    <s v="ORD_2025_0005"/>
    <s v="Feb-2025"/>
    <s v="Johnson, Emma"/>
    <s v="Canada"/>
    <s v="Denim Jacket"/>
    <s v="Apparel"/>
    <n v="17"/>
    <n v="69.22"/>
    <n v="1176.74"/>
    <n v="65.94"/>
    <n v="430.8"/>
    <s v="Sea"/>
    <s v="Low"/>
    <s v="NA"/>
    <x v="1"/>
  </r>
  <r>
    <s v="ORD_2025_0006"/>
    <s v="Feb-2025"/>
    <s v="Johnson, Michael"/>
    <s v="Mexico"/>
    <s v="Wireless Mouse"/>
    <s v="Electronics"/>
    <n v="13"/>
    <n v="27.94"/>
    <n v="363.22"/>
    <n v="15.36"/>
    <n v="87.86"/>
    <s v="Sea"/>
    <s v="Low"/>
    <s v="NA"/>
    <x v="1"/>
  </r>
  <r>
    <s v="ORD_2025_0007"/>
    <s v="Jun-2024"/>
    <s v="Hernandez, Emma"/>
    <s v="Uk"/>
    <s v="Glass Bowl Set"/>
    <s v="Home Decor"/>
    <n v="3"/>
    <n v="31.52"/>
    <n v="94.56"/>
    <n v="6.98"/>
    <n v="20.079999999999998"/>
    <s v="Land"/>
    <s v="High"/>
    <s v="EU"/>
    <x v="4"/>
  </r>
  <r>
    <s v="ORD_2025_0008"/>
    <s v="May-2025"/>
    <s v="Miller, John"/>
    <s v="China"/>
    <s v="Cotton Bedsheet"/>
    <s v="Textiles"/>
    <n v="14"/>
    <n v="30.71"/>
    <n v="429.94"/>
    <n v="13.03"/>
    <n v="66.91"/>
    <s v="Sea"/>
    <s v="Low"/>
    <s v="AS"/>
    <x v="5"/>
  </r>
  <r>
    <s v="ORD_2025_0009"/>
    <s v="Sep-2024"/>
    <s v="Davis, John"/>
    <s v="Usa"/>
    <s v="Ceramic Vase"/>
    <s v="Home Decor"/>
    <n v="47"/>
    <n v="24.47"/>
    <n v="1150.0899999999999"/>
    <n v="61.3"/>
    <n v="360.29"/>
    <s v="Sea"/>
    <s v="Low"/>
    <s v="NA"/>
    <x v="6"/>
  </r>
  <r>
    <s v="ORD_2025_0010"/>
    <s v="Aug-2024"/>
    <s v="Martinez, Laura"/>
    <s v="Italy"/>
    <s v="LED Lamp"/>
    <s v="Electronics"/>
    <n v="27"/>
    <n v="18.98"/>
    <n v="512.46"/>
    <n v="28.89"/>
    <n v="139.32"/>
    <s v="Sea"/>
    <s v="High"/>
    <s v="EU"/>
    <x v="7"/>
  </r>
  <r>
    <s v="ORD_2025_0011"/>
    <s v="Apr-2025"/>
    <s v="Martinez, James"/>
    <s v="China"/>
    <s v="Travel Backpack"/>
    <s v="Accessories"/>
    <n v="32"/>
    <n v="57.84"/>
    <n v="1850.88"/>
    <n v="55.15"/>
    <n v="675.73"/>
    <s v="Land"/>
    <s v="Low"/>
    <s v="AS"/>
    <x v="8"/>
  </r>
  <r>
    <s v="ORD_2025_0012"/>
    <s v="Dec-2024"/>
    <s v="Davis, James"/>
    <s v="Canada"/>
    <s v="Denim Jacket"/>
    <s v="Apparel"/>
    <n v="49"/>
    <n v="58.77"/>
    <n v="2879.73"/>
    <n v="140.29"/>
    <n v="779.44"/>
    <s v="Air"/>
    <s v="High"/>
    <s v="NA"/>
    <x v="9"/>
  </r>
  <r>
    <s v="ORD_2025_0013"/>
    <s v="Sep-2024"/>
    <s v="Martinez, James"/>
    <s v="Singapore"/>
    <s v="Travel Backpack"/>
    <s v="Accessories"/>
    <n v="43"/>
    <n v="56.92"/>
    <n v="2447.56"/>
    <n v="140.4"/>
    <n v="802.16"/>
    <s v="Land"/>
    <s v="Medium"/>
    <s v="AS"/>
    <x v="6"/>
  </r>
  <r>
    <s v="ORD_2025_0014"/>
    <s v="Feb-2024"/>
    <s v="Smith, Emma"/>
    <s v="Italy"/>
    <s v="Cotton Bedsheet"/>
    <s v="Textiles"/>
    <n v="32"/>
    <n v="43.45"/>
    <n v="1390.4"/>
    <n v="30.04"/>
    <n v="560.36"/>
    <s v="Land"/>
    <s v="High"/>
    <s v="EU"/>
    <x v="10"/>
  </r>
  <r>
    <s v="ORD_2025_0015"/>
    <s v="Mar-2024"/>
    <s v="Davis, Sarah"/>
    <s v="Uae"/>
    <s v="Cotton Bedsheet"/>
    <s v="Textiles"/>
    <n v="22"/>
    <n v="42.59"/>
    <n v="936.98"/>
    <n v="29.87"/>
    <n v="357.11"/>
    <s v="Sea"/>
    <s v="High"/>
    <s v="AS"/>
    <x v="11"/>
  </r>
  <r>
    <s v="ORD_2025_0016"/>
    <s v="Sep-2024"/>
    <s v="Williams, David"/>
    <s v="Japan"/>
    <s v="Wireless Mouse"/>
    <s v="Electronics"/>
    <n v="48"/>
    <n v="25.36"/>
    <n v="1217.28"/>
    <n v="49.68"/>
    <n v="207.6"/>
    <s v="Sea"/>
    <s v="Low"/>
    <s v="AS"/>
    <x v="6"/>
  </r>
  <r>
    <s v="ORD_2025_0017"/>
    <s v="Aug-2024"/>
    <s v="Martinez, James"/>
    <s v="Uae"/>
    <s v="Leather Wallet"/>
    <s v="Accessories"/>
    <n v="48"/>
    <n v="30.07"/>
    <n v="1443.36"/>
    <n v="102.31"/>
    <n v="477.05"/>
    <s v="Air"/>
    <s v="Low"/>
    <s v="AS"/>
    <x v="7"/>
  </r>
  <r>
    <s v="ORD_2025_0018"/>
    <s v="Sep-2024"/>
    <s v="Johnson, Michael"/>
    <s v="Uae"/>
    <s v="Wireless Mouse"/>
    <s v="Electronics"/>
    <n v="6"/>
    <n v="32.17"/>
    <n v="193.02"/>
    <n v="14.45"/>
    <n v="58.57"/>
    <s v="Air"/>
    <s v="Low"/>
    <s v="AS"/>
    <x v="6"/>
  </r>
  <r>
    <s v="ORD_2025_0019"/>
    <s v="Jul-2024"/>
    <s v="Smith, Sarah"/>
    <s v="Singapore"/>
    <s v="Leather Wallet"/>
    <s v="Accessories"/>
    <n v="37"/>
    <n v="24.14"/>
    <n v="893.18"/>
    <n v="31.39"/>
    <n v="195.79"/>
    <s v="Sea"/>
    <s v="Medium"/>
    <s v="AS"/>
    <x v="12"/>
  </r>
  <r>
    <s v="ORD_2025_0020"/>
    <s v="Apr-2025"/>
    <s v="Johnson, Emma"/>
    <s v="Uk"/>
    <s v="Table Lamp"/>
    <s v="Home Decor"/>
    <n v="39"/>
    <n v="37.840000000000003"/>
    <n v="1475.76"/>
    <n v="73.400000000000006"/>
    <n v="310.36"/>
    <s v="Sea"/>
    <s v="High"/>
    <s v="EU"/>
    <x v="8"/>
  </r>
  <r>
    <s v="ORD_2025_0021"/>
    <s v="Feb-2025"/>
    <s v="Miller, Michael"/>
    <s v="South Africa"/>
    <s v="Denim Jacket"/>
    <s v="Apparel"/>
    <n v="6"/>
    <n v="68.77"/>
    <n v="412.62"/>
    <n v="17.18"/>
    <n v="155.44"/>
    <s v="Sea"/>
    <s v="Low"/>
    <s v="AF"/>
    <x v="1"/>
  </r>
  <r>
    <s v="ORD_2025_0022"/>
    <s v="Mar-2025"/>
    <s v="Davis, David"/>
    <s v="Canada"/>
    <s v="LED Lamp"/>
    <s v="Electronics"/>
    <n v="6"/>
    <n v="18.5"/>
    <n v="111"/>
    <n v="5.26"/>
    <n v="29.24"/>
    <s v="Air"/>
    <s v="Medium"/>
    <s v="NA"/>
    <x v="13"/>
  </r>
  <r>
    <s v="ORD_2025_0023"/>
    <s v="May-2024"/>
    <s v="Johnson, Sarah"/>
    <s v="Italy"/>
    <s v="Glass Bowl Set"/>
    <s v="Home Decor"/>
    <n v="33"/>
    <n v="28.96"/>
    <n v="955.68"/>
    <n v="49.07"/>
    <n v="164.11"/>
    <s v="Sea"/>
    <s v="Low"/>
    <s v="EU"/>
    <x v="14"/>
  </r>
  <r>
    <s v="ORD_2025_0024"/>
    <s v="Feb-2024"/>
    <s v="Hernandez, Sophia"/>
    <s v="Canada"/>
    <s v="Glass Bowl Set"/>
    <s v="Home Decor"/>
    <n v="31"/>
    <n v="35.020000000000003"/>
    <n v="1085.6199999999999"/>
    <n v="74.650000000000006"/>
    <n v="313.47000000000003"/>
    <s v="Air"/>
    <s v="Low"/>
    <s v="NA"/>
    <x v="10"/>
  </r>
  <r>
    <s v="ORD_2025_0025"/>
    <s v="Apr-2025"/>
    <s v="Williams, Daniel"/>
    <s v="Canada"/>
    <s v="Wireless Mouse"/>
    <s v="Electronics"/>
    <n v="25"/>
    <n v="31.57"/>
    <n v="789.25"/>
    <n v="56.47"/>
    <n v="232.78"/>
    <s v="Sea"/>
    <s v="Medium"/>
    <s v="NA"/>
    <x v="8"/>
  </r>
  <r>
    <s v="ORD_2025_0026"/>
    <s v="Dec-2024"/>
    <s v="Martinez, Michael"/>
    <s v="Italy"/>
    <s v="Ceramic Vase"/>
    <s v="Home Decor"/>
    <n v="14"/>
    <n v="27.08"/>
    <n v="379.12"/>
    <n v="11.12"/>
    <n v="151"/>
    <s v="Sea"/>
    <s v="High"/>
    <s v="EU"/>
    <x v="9"/>
  </r>
  <r>
    <s v="ORD_2025_0027"/>
    <s v="Jun-2024"/>
    <s v="Miller, Daniel"/>
    <s v="Italy"/>
    <s v="Table Lamp"/>
    <s v="Home Decor"/>
    <n v="39"/>
    <n v="35.32"/>
    <n v="1377.48"/>
    <n v="63.72"/>
    <n v="221.76"/>
    <s v="Sea"/>
    <s v="Medium"/>
    <s v="EU"/>
    <x v="4"/>
  </r>
  <r>
    <s v="ORD_2025_0028"/>
    <s v="Aug-2024"/>
    <s v="Jones, Laura"/>
    <s v="China"/>
    <s v="Glass Bowl Set"/>
    <s v="Home Decor"/>
    <n v="6"/>
    <n v="39.630000000000003"/>
    <n v="237.78"/>
    <n v="8.08"/>
    <n v="94.7"/>
    <s v="Land"/>
    <s v="High"/>
    <s v="AS"/>
    <x v="7"/>
  </r>
  <r>
    <s v="ORD_2025_0029"/>
    <s v="Jan-2025"/>
    <s v="Brown, Michael"/>
    <s v="South Africa"/>
    <s v="Denim Jacket"/>
    <s v="Apparel"/>
    <n v="36"/>
    <n v="68.400000000000006"/>
    <n v="2462.4"/>
    <n v="150.83000000000001"/>
    <n v="871.57"/>
    <s v="Sea"/>
    <s v="Low"/>
    <s v="AF"/>
    <x v="0"/>
  </r>
  <r>
    <s v="ORD_2025_0030"/>
    <s v="Jul-2024"/>
    <s v="Williams, David"/>
    <s v="Italy"/>
    <s v="Cotton Bedsheet"/>
    <s v="Textiles"/>
    <n v="1"/>
    <n v="44.98"/>
    <n v="44.98"/>
    <n v="2.81"/>
    <n v="17.170000000000002"/>
    <s v="Sea"/>
    <s v="Medium"/>
    <s v="EU"/>
    <x v="12"/>
  </r>
  <r>
    <s v="ORD_2025_0031"/>
    <s v="Apr-2025"/>
    <s v="Miller, Laura"/>
    <s v="France"/>
    <s v="Table Lamp"/>
    <s v="Home Decor"/>
    <n v="3"/>
    <n v="37.74"/>
    <n v="113.22"/>
    <n v="4.04"/>
    <n v="25.18"/>
    <s v="Sea"/>
    <s v="Medium"/>
    <s v="EU"/>
    <x v="8"/>
  </r>
  <r>
    <s v="ORD_2025_0032"/>
    <s v="May-2024"/>
    <s v="Garcia, Sophia"/>
    <s v="France"/>
    <s v="Cotton Bedsheet"/>
    <s v="Textiles"/>
    <n v="12"/>
    <n v="39.799999999999997"/>
    <n v="477.6"/>
    <n v="20.54"/>
    <n v="157.06"/>
    <s v="Air"/>
    <s v="Medium"/>
    <s v="EU"/>
    <x v="14"/>
  </r>
  <r>
    <s v="ORD_2025_0033"/>
    <s v="Apr-2024"/>
    <s v="Smith, Sophia"/>
    <s v="China"/>
    <s v="Bluetooth Speaker"/>
    <s v="Electronics"/>
    <n v="26"/>
    <n v="43.23"/>
    <n v="1123.98"/>
    <n v="57.2"/>
    <n v="234.78"/>
    <s v="Sea"/>
    <s v="High"/>
    <s v="AS"/>
    <x v="2"/>
  </r>
  <r>
    <s v="ORD_2025_0034"/>
    <s v="Jan-2025"/>
    <s v="Miller, Daniel"/>
    <s v="Italy"/>
    <s v="Denim Jacket"/>
    <s v="Apparel"/>
    <n v="17"/>
    <n v="66.34"/>
    <n v="1127.78"/>
    <n v="81.150000000000006"/>
    <n v="366.63"/>
    <s v="Sea"/>
    <s v="High"/>
    <s v="EU"/>
    <x v="0"/>
  </r>
  <r>
    <s v="ORD_2025_0035"/>
    <s v="Oct-2024"/>
    <s v="Hernandez, John"/>
    <s v="Singapore"/>
    <s v="Cotton Bedsheet"/>
    <s v="Textiles"/>
    <n v="4"/>
    <n v="33.869999999999997"/>
    <n v="135.47999999999999"/>
    <n v="6.59"/>
    <n v="28.89"/>
    <s v="Land"/>
    <s v="High"/>
    <s v="AS"/>
    <x v="3"/>
  </r>
  <r>
    <s v="ORD_2025_0036"/>
    <s v="Nov-2024"/>
    <s v="Williams, Laura"/>
    <s v="Italy"/>
    <s v="Denim Jacket"/>
    <s v="Apparel"/>
    <n v="10"/>
    <n v="64.650000000000006"/>
    <n v="646.5"/>
    <n v="17.89"/>
    <n v="228.61"/>
    <s v="Air"/>
    <s v="Low"/>
    <s v="EU"/>
    <x v="15"/>
  </r>
  <r>
    <s v="ORD_2025_0037"/>
    <s v="Dec-2024"/>
    <s v="Miller, David"/>
    <s v="South Africa"/>
    <s v="Glass Bowl Set"/>
    <s v="Home Decor"/>
    <n v="12"/>
    <n v="29.56"/>
    <n v="354.72"/>
    <n v="21.4"/>
    <n v="63.32"/>
    <s v="Sea"/>
    <s v="Low"/>
    <s v="AF"/>
    <x v="9"/>
  </r>
  <r>
    <s v="ORD_2025_0038"/>
    <s v="May-2024"/>
    <s v="Smith, Michael"/>
    <s v="Usa"/>
    <s v="Cotton Bedsheet"/>
    <s v="Textiles"/>
    <n v="4"/>
    <n v="35.36"/>
    <n v="141.44"/>
    <n v="8.66"/>
    <n v="32.78"/>
    <s v="Air"/>
    <s v="Medium"/>
    <s v="NA"/>
    <x v="14"/>
  </r>
  <r>
    <s v="ORD_2025_0039"/>
    <s v="Jan-2025"/>
    <s v="Martinez, Sarah"/>
    <s v="Italy"/>
    <s v="Wireless Mouse"/>
    <s v="Electronics"/>
    <n v="28"/>
    <n v="31.42"/>
    <n v="879.76"/>
    <n v="69.319999999999993"/>
    <n v="250.44"/>
    <s v="Land"/>
    <s v="High"/>
    <s v="EU"/>
    <x v="0"/>
  </r>
  <r>
    <s v="ORD_2025_0040"/>
    <s v="May-2024"/>
    <s v="Garcia, Emily"/>
    <s v="Usa"/>
    <s v="Travel Backpack"/>
    <s v="Accessories"/>
    <n v="35"/>
    <n v="55.12"/>
    <n v="1929.2"/>
    <n v="58.22"/>
    <n v="645.98"/>
    <s v="Land"/>
    <s v="Low"/>
    <s v="NA"/>
    <x v="14"/>
  </r>
  <r>
    <s v="ORD_2025_0041"/>
    <s v="Apr-2025"/>
    <s v="Williams, Emma"/>
    <s v="Uae"/>
    <s v="Glass Bowl Set"/>
    <s v="Home Decor"/>
    <n v="41"/>
    <n v="33.94"/>
    <n v="1391.54"/>
    <n v="33.26"/>
    <n v="435.78"/>
    <s v="Land"/>
    <s v="High"/>
    <s v="AS"/>
    <x v="8"/>
  </r>
  <r>
    <s v="ORD_2025_0042"/>
    <s v="Aug-2024"/>
    <s v="Smith, Emma"/>
    <s v="Singapore"/>
    <s v="Glass Bowl Set"/>
    <s v="Home Decor"/>
    <n v="20"/>
    <n v="38.43"/>
    <n v="768.6"/>
    <n v="60.07"/>
    <n v="258.52999999999997"/>
    <s v="Air"/>
    <s v="High"/>
    <s v="AS"/>
    <x v="7"/>
  </r>
  <r>
    <s v="ORD_2025_0043"/>
    <s v="May-2024"/>
    <s v="Davis, Sarah"/>
    <s v="Brazil"/>
    <s v="Cotton Bedsheet"/>
    <s v="Textiles"/>
    <n v="23"/>
    <n v="35.07"/>
    <n v="806.61"/>
    <n v="21.23"/>
    <n v="210.38"/>
    <s v="Land"/>
    <s v="High"/>
    <s v="SA"/>
    <x v="14"/>
  </r>
  <r>
    <s v="ORD_2025_0044"/>
    <s v="Mar-2025"/>
    <s v="Davis, James"/>
    <s v="Australia"/>
    <s v="Denim Jacket"/>
    <s v="Apparel"/>
    <n v="35"/>
    <n v="71.44"/>
    <n v="2500.4"/>
    <n v="166.81"/>
    <n v="933.59"/>
    <s v="Sea"/>
    <s v="Medium"/>
    <s v="OC"/>
    <x v="13"/>
  </r>
  <r>
    <s v="ORD_2025_0045"/>
    <s v="Dec-2024"/>
    <s v="Williams, Laura"/>
    <s v="Canada"/>
    <s v="Leather Wallet"/>
    <s v="Accessories"/>
    <n v="11"/>
    <n v="26.05"/>
    <n v="286.55"/>
    <n v="13.39"/>
    <n v="75.16"/>
    <s v="Sea"/>
    <s v="Low"/>
    <s v="NA"/>
    <x v="9"/>
  </r>
  <r>
    <s v="ORD_2025_0046"/>
    <s v="Feb-2024"/>
    <s v="Johnson, Emma"/>
    <s v="Uk"/>
    <s v="Ceramic Vase"/>
    <s v="Home Decor"/>
    <n v="46"/>
    <n v="26.67"/>
    <n v="1226.82"/>
    <n v="83.55"/>
    <n v="430.27"/>
    <s v="Land"/>
    <s v="High"/>
    <s v="EU"/>
    <x v="10"/>
  </r>
  <r>
    <s v="ORD_2025_0047"/>
    <s v="Nov-2024"/>
    <s v="Johnson, Sarah"/>
    <s v="Uk"/>
    <s v="Table Lamp"/>
    <s v="Home Decor"/>
    <n v="12"/>
    <n v="42.84"/>
    <n v="514.08000000000004"/>
    <n v="22.74"/>
    <n v="155.34"/>
    <s v="Air"/>
    <s v="Low"/>
    <s v="EU"/>
    <x v="15"/>
  </r>
  <r>
    <s v="ORD_2025_0048"/>
    <s v="Jul-2024"/>
    <s v="Smith, Daniel"/>
    <s v="Singapore"/>
    <s v="Leather Wallet"/>
    <s v="Accessories"/>
    <n v="18"/>
    <n v="30.89"/>
    <n v="556.02"/>
    <n v="12"/>
    <n v="220.02"/>
    <s v="Sea"/>
    <s v="Low"/>
    <s v="AS"/>
    <x v="12"/>
  </r>
  <r>
    <s v="ORD_2025_0049"/>
    <s v="Dec-2024"/>
    <s v="Jones, David"/>
    <s v="Canada"/>
    <s v="Travel Backpack"/>
    <s v="Accessories"/>
    <n v="21"/>
    <n v="52.41"/>
    <n v="1100.6099999999999"/>
    <n v="81.099999999999994"/>
    <n v="284.51"/>
    <s v="Air"/>
    <s v="Medium"/>
    <s v="NA"/>
    <x v="9"/>
  </r>
  <r>
    <s v="ORD_2025_0050"/>
    <s v="Jan-2024"/>
    <s v="Brown, Sarah"/>
    <s v="Australia"/>
    <s v="Table Lamp"/>
    <s v="Home Decor"/>
    <n v="17"/>
    <n v="38.64"/>
    <n v="656.88"/>
    <n v="13.86"/>
    <n v="167.02"/>
    <s v="Sea"/>
    <s v="Low"/>
    <s v="OC"/>
    <x v="16"/>
  </r>
  <r>
    <s v="ORD_2025_0051"/>
    <s v="Apr-2025"/>
    <s v="Smith, Michael"/>
    <s v="Japan"/>
    <s v="Leather Wallet"/>
    <s v="Accessories"/>
    <n v="41"/>
    <n v="25.79"/>
    <n v="1057.3900000000001"/>
    <n v="71.22"/>
    <n v="248.17"/>
    <s v="Sea"/>
    <s v="Medium"/>
    <s v="AS"/>
    <x v="8"/>
  </r>
  <r>
    <s v="ORD_2025_0052"/>
    <s v="Jul-2024"/>
    <s v="Martinez, Emma"/>
    <s v="Japan"/>
    <s v="Table Lamp"/>
    <s v="Home Decor"/>
    <n v="41"/>
    <n v="41.13"/>
    <n v="1686.33"/>
    <n v="80.12"/>
    <n v="458.21"/>
    <s v="Sea"/>
    <s v="High"/>
    <s v="AS"/>
    <x v="12"/>
  </r>
  <r>
    <s v="ORD_2025_0053"/>
    <s v="Nov-2024"/>
    <s v="Davis, James"/>
    <s v="China"/>
    <s v="Denim Jacket"/>
    <s v="Apparel"/>
    <n v="33"/>
    <n v="55.67"/>
    <n v="1837.11"/>
    <n v="144.32"/>
    <n v="372.79"/>
    <s v="Land"/>
    <s v="Low"/>
    <s v="AS"/>
    <x v="15"/>
  </r>
  <r>
    <s v="ORD_2025_0054"/>
    <s v="Nov-2024"/>
    <s v="Johnson, Daniel"/>
    <s v="Japan"/>
    <s v="Denim Jacket"/>
    <s v="Apparel"/>
    <n v="18"/>
    <n v="50.87"/>
    <n v="915.66"/>
    <n v="49.93"/>
    <n v="145.72999999999999"/>
    <s v="Land"/>
    <s v="Medium"/>
    <s v="AS"/>
    <x v="15"/>
  </r>
  <r>
    <s v="ORD_2025_0055"/>
    <s v="Apr-2025"/>
    <s v="Jones, Sophia"/>
    <s v="South Africa"/>
    <s v="Ceramic Vase"/>
    <s v="Home Decor"/>
    <n v="14"/>
    <n v="26.7"/>
    <n v="373.8"/>
    <n v="11.84"/>
    <n v="144.96"/>
    <s v="Air"/>
    <s v="Low"/>
    <s v="AF"/>
    <x v="8"/>
  </r>
  <r>
    <s v="ORD_2025_0056"/>
    <s v="Sep-2024"/>
    <s v="Garcia, Sarah"/>
    <s v="Usa"/>
    <s v="Leather Wallet"/>
    <s v="Accessories"/>
    <n v="16"/>
    <n v="28.96"/>
    <n v="463.36"/>
    <n v="35.65"/>
    <n v="139.71"/>
    <s v="Land"/>
    <s v="High"/>
    <s v="NA"/>
    <x v="6"/>
  </r>
  <r>
    <s v="ORD_2025_0057"/>
    <s v="May-2024"/>
    <s v="Davis, James"/>
    <s v="Germany"/>
    <s v="Leather Wallet"/>
    <s v="Accessories"/>
    <n v="47"/>
    <n v="23.03"/>
    <n v="1082.4100000000001"/>
    <n v="50.12"/>
    <n v="186.29"/>
    <s v="Air"/>
    <s v="Low"/>
    <s v="EU"/>
    <x v="14"/>
  </r>
  <r>
    <s v="ORD_2025_0058"/>
    <s v="May-2024"/>
    <s v="Garcia, Sarah"/>
    <s v="Australia"/>
    <s v="Travel Backpack"/>
    <s v="Accessories"/>
    <n v="18"/>
    <n v="50.03"/>
    <n v="900.54"/>
    <n v="68.44"/>
    <n v="202.1"/>
    <s v="Air"/>
    <s v="Low"/>
    <s v="OC"/>
    <x v="14"/>
  </r>
  <r>
    <s v="ORD_2025_0059"/>
    <s v="Jul-2024"/>
    <s v="Williams, Michael"/>
    <s v="Uk"/>
    <s v="Cotton Bedsheet"/>
    <s v="Textiles"/>
    <n v="38"/>
    <n v="32.07"/>
    <n v="1218.6600000000001"/>
    <n v="54.49"/>
    <n v="214.17"/>
    <s v="Air"/>
    <s v="High"/>
    <s v="EU"/>
    <x v="12"/>
  </r>
  <r>
    <s v="ORD_2025_0060"/>
    <s v="Apr-2025"/>
    <s v="Hernandez, James"/>
    <s v="Brazil"/>
    <s v="Bluetooth Speaker"/>
    <s v="Electronics"/>
    <n v="23"/>
    <n v="50.96"/>
    <n v="1172.08"/>
    <n v="61"/>
    <n v="375.08"/>
    <s v="Air"/>
    <s v="Medium"/>
    <s v="SA"/>
    <x v="8"/>
  </r>
  <r>
    <s v="ORD_2025_0061"/>
    <s v="Mar-2025"/>
    <s v="Williams, Sarah"/>
    <s v="Japan"/>
    <s v="Denim Jacket"/>
    <s v="Apparel"/>
    <n v="46"/>
    <n v="70.599999999999994"/>
    <n v="3247.6"/>
    <n v="166.91"/>
    <n v="1240.69"/>
    <s v="Air"/>
    <s v="Medium"/>
    <s v="AS"/>
    <x v="13"/>
  </r>
  <r>
    <s v="ORD_2025_0062"/>
    <s v="Aug-2024"/>
    <s v="Johnson, Sarah"/>
    <s v="Japan"/>
    <s v="Denim Jacket"/>
    <s v="Apparel"/>
    <n v="15"/>
    <n v="53.36"/>
    <n v="800.4"/>
    <n v="56.29"/>
    <n v="144.11000000000001"/>
    <s v="Land"/>
    <s v="Low"/>
    <s v="AS"/>
    <x v="7"/>
  </r>
  <r>
    <s v="ORD_2025_0063"/>
    <s v="Mar-2024"/>
    <s v="Williams, Emily"/>
    <s v="Australia"/>
    <s v="Bluetooth Speaker"/>
    <s v="Electronics"/>
    <n v="42"/>
    <n v="39.840000000000003"/>
    <n v="1673.28"/>
    <n v="132.74"/>
    <n v="196.54"/>
    <s v="Land"/>
    <s v="High"/>
    <s v="OC"/>
    <x v="11"/>
  </r>
  <r>
    <s v="ORD_2025_0064"/>
    <s v="Apr-2025"/>
    <s v="Johnson, Daniel"/>
    <s v="Japan"/>
    <s v="Cotton Bedsheet"/>
    <s v="Textiles"/>
    <n v="31"/>
    <n v="38.26"/>
    <n v="1186.06"/>
    <n v="69.33"/>
    <n v="341.73"/>
    <s v="Sea"/>
    <s v="Low"/>
    <s v="AS"/>
    <x v="8"/>
  </r>
  <r>
    <s v="ORD_2025_0065"/>
    <s v="Oct-2024"/>
    <s v="Jones, Sophia"/>
    <s v="France"/>
    <s v="Ceramic Vase"/>
    <s v="Home Decor"/>
    <n v="2"/>
    <n v="23.09"/>
    <n v="46.18"/>
    <n v="2.52"/>
    <n v="12.66"/>
    <s v="Sea"/>
    <s v="Medium"/>
    <s v="EU"/>
    <x v="3"/>
  </r>
  <r>
    <s v="ORD_2025_0066"/>
    <s v="Dec-2024"/>
    <s v="Hernandez, Emma"/>
    <s v="Uae"/>
    <s v="Bluetooth Speaker"/>
    <s v="Electronics"/>
    <n v="40"/>
    <n v="46.81"/>
    <n v="1872.4"/>
    <n v="43.01"/>
    <n v="549.39"/>
    <s v="Land"/>
    <s v="High"/>
    <s v="AS"/>
    <x v="9"/>
  </r>
  <r>
    <s v="ORD_2025_0067"/>
    <s v="Mar-2025"/>
    <s v="Brown, Daniel"/>
    <s v="China"/>
    <s v="Bluetooth Speaker"/>
    <s v="Electronics"/>
    <n v="43"/>
    <n v="57.01"/>
    <n v="2451.4299999999998"/>
    <n v="115.04"/>
    <n v="960.39"/>
    <s v="Sea"/>
    <s v="Low"/>
    <s v="AS"/>
    <x v="13"/>
  </r>
  <r>
    <s v="ORD_2025_0068"/>
    <s v="Mar-2024"/>
    <s v="Martinez, Daniel"/>
    <s v="Mexico"/>
    <s v="LED Lamp"/>
    <s v="Electronics"/>
    <n v="15"/>
    <n v="22.23"/>
    <n v="333.45"/>
    <n v="16.89"/>
    <n v="125.31"/>
    <s v="Air"/>
    <s v="Medium"/>
    <s v="NA"/>
    <x v="11"/>
  </r>
  <r>
    <s v="ORD_2025_0069"/>
    <s v="Aug-2024"/>
    <s v="Jones, Michael"/>
    <s v="France"/>
    <s v="Ceramic Vase"/>
    <s v="Home Decor"/>
    <n v="15"/>
    <n v="19.23"/>
    <n v="288.45"/>
    <n v="20.22"/>
    <n v="35.729999999999997"/>
    <s v="Land"/>
    <s v="Low"/>
    <s v="EU"/>
    <x v="7"/>
  </r>
  <r>
    <s v="ORD_2025_0070"/>
    <s v="Jun-2024"/>
    <s v="Hernandez, Sophia"/>
    <s v="Italy"/>
    <s v="Table Lamp"/>
    <s v="Home Decor"/>
    <n v="34"/>
    <n v="45.54"/>
    <n v="1548.36"/>
    <n v="36.76"/>
    <n v="559.6"/>
    <s v="Land"/>
    <s v="Low"/>
    <s v="EU"/>
    <x v="4"/>
  </r>
  <r>
    <s v="ORD_2025_0071"/>
    <s v="Aug-2024"/>
    <s v="Garcia, Michael"/>
    <s v="France"/>
    <s v="Denim Jacket"/>
    <s v="Apparel"/>
    <n v="33"/>
    <n v="63.88"/>
    <n v="2108.04"/>
    <n v="111.7"/>
    <n v="676.34"/>
    <s v="Land"/>
    <s v="High"/>
    <s v="EU"/>
    <x v="7"/>
  </r>
  <r>
    <s v="ORD_2025_0072"/>
    <s v="Jun-2024"/>
    <s v="Johnson, Sarah"/>
    <s v="Germany"/>
    <s v="Leather Wallet"/>
    <s v="Accessories"/>
    <n v="39"/>
    <n v="25.38"/>
    <n v="989.82"/>
    <n v="50.82"/>
    <n v="237"/>
    <s v="Sea"/>
    <s v="Medium"/>
    <s v="EU"/>
    <x v="4"/>
  </r>
  <r>
    <s v="ORD_2025_0073"/>
    <s v="Jun-2024"/>
    <s v="Smith, David"/>
    <s v="India"/>
    <s v="Cotton Bedsheet"/>
    <s v="Textiles"/>
    <n v="9"/>
    <n v="38.979999999999997"/>
    <n v="350.82"/>
    <n v="25.56"/>
    <n v="100.26"/>
    <s v="Land"/>
    <s v="Low"/>
    <s v="AS"/>
    <x v="4"/>
  </r>
  <r>
    <s v="ORD_2025_0074"/>
    <s v="Oct-2024"/>
    <s v="Miller, Sophia"/>
    <s v="South Africa"/>
    <s v="Wireless Mouse"/>
    <s v="Electronics"/>
    <n v="14"/>
    <n v="35.86"/>
    <n v="502.04"/>
    <n v="40.130000000000003"/>
    <n v="181.91"/>
    <s v="Air"/>
    <s v="High"/>
    <s v="AF"/>
    <x v="3"/>
  </r>
  <r>
    <s v="ORD_2025_0075"/>
    <s v="Jan-2024"/>
    <s v="Garcia, Laura"/>
    <s v="Japan"/>
    <s v="Ceramic Vase"/>
    <s v="Home Decor"/>
    <n v="49"/>
    <n v="21.37"/>
    <n v="1047.1300000000001"/>
    <n v="65.98"/>
    <n v="221.65"/>
    <s v="Air"/>
    <s v="High"/>
    <s v="AS"/>
    <x v="16"/>
  </r>
  <r>
    <s v="ORD_2025_0076"/>
    <s v="Mar-2025"/>
    <s v="Davis, Michael"/>
    <s v="Mexico"/>
    <s v="Leather Wallet"/>
    <s v="Accessories"/>
    <n v="42"/>
    <n v="24.57"/>
    <n v="1031.94"/>
    <n v="56.45"/>
    <n v="219.49"/>
    <s v="Sea"/>
    <s v="Low"/>
    <s v="NA"/>
    <x v="13"/>
  </r>
  <r>
    <s v="ORD_2025_0077"/>
    <s v="Nov-2024"/>
    <s v="Davis, Michael"/>
    <s v="Singapore"/>
    <s v="Leather Wallet"/>
    <s v="Accessories"/>
    <n v="42"/>
    <n v="26.39"/>
    <n v="1108.3800000000001"/>
    <n v="44.56"/>
    <n v="307.82"/>
    <s v="Sea"/>
    <s v="Low"/>
    <s v="AS"/>
    <x v="15"/>
  </r>
  <r>
    <s v="ORD_2025_0078"/>
    <s v="Nov-2024"/>
    <s v="Garcia, Laura"/>
    <s v="Canada"/>
    <s v="Wireless Mouse"/>
    <s v="Electronics"/>
    <n v="50"/>
    <n v="29.73"/>
    <n v="1486.5"/>
    <n v="96.77"/>
    <n v="389.73"/>
    <s v="Air"/>
    <s v="Low"/>
    <s v="NA"/>
    <x v="15"/>
  </r>
  <r>
    <s v="ORD_2025_0079"/>
    <s v="Mar-2025"/>
    <s v="Miller, Sophia"/>
    <s v="China"/>
    <s v="Ceramic Vase"/>
    <s v="Home Decor"/>
    <n v="39"/>
    <n v="20.56"/>
    <n v="801.84"/>
    <n v="43.55"/>
    <n v="153.79"/>
    <s v="Land"/>
    <s v="Low"/>
    <s v="AS"/>
    <x v="13"/>
  </r>
  <r>
    <s v="ORD_2025_0080"/>
    <s v="Jan-2024"/>
    <s v="Brown, Laura"/>
    <s v="China"/>
    <s v="Ceramic Vase"/>
    <s v="Home Decor"/>
    <n v="48"/>
    <n v="24.36"/>
    <n v="1169.28"/>
    <n v="81.599999999999994"/>
    <n v="343.68"/>
    <s v="Air"/>
    <s v="High"/>
    <s v="AS"/>
    <x v="16"/>
  </r>
  <r>
    <s v="ORD_2025_0081"/>
    <s v="Sep-2024"/>
    <s v="Davis, Emma"/>
    <s v="Germany"/>
    <s v="Glass Bowl Set"/>
    <s v="Home Decor"/>
    <n v="40"/>
    <n v="27.95"/>
    <n v="1118"/>
    <n v="37.590000000000003"/>
    <n v="180.41"/>
    <s v="Air"/>
    <s v="High"/>
    <s v="EU"/>
    <x v="6"/>
  </r>
  <r>
    <s v="ORD_2025_0082"/>
    <s v="Feb-2025"/>
    <s v="Smith, Michael"/>
    <s v="India"/>
    <s v="Table Lamp"/>
    <s v="Home Decor"/>
    <n v="21"/>
    <n v="40.19"/>
    <n v="843.99"/>
    <n v="32.4"/>
    <n v="223.59"/>
    <s v="Sea"/>
    <s v="Medium"/>
    <s v="AS"/>
    <x v="1"/>
  </r>
  <r>
    <s v="ORD_2025_0083"/>
    <s v="Jun-2024"/>
    <s v="Davis, David"/>
    <s v="Singapore"/>
    <s v="LED Lamp"/>
    <s v="Electronics"/>
    <n v="26"/>
    <n v="16.670000000000002"/>
    <n v="433.42"/>
    <n v="32.79"/>
    <n v="69.13"/>
    <s v="Air"/>
    <s v="Medium"/>
    <s v="AS"/>
    <x v="4"/>
  </r>
  <r>
    <s v="ORD_2025_0084"/>
    <s v="Nov-2024"/>
    <s v="Hernandez, Laura"/>
    <s v="Brazil"/>
    <s v="Bluetooth Speaker"/>
    <s v="Electronics"/>
    <n v="28"/>
    <n v="39.85"/>
    <n v="1115.8"/>
    <n v="43.87"/>
    <n v="175.93"/>
    <s v="Air"/>
    <s v="Low"/>
    <s v="SA"/>
    <x v="15"/>
  </r>
  <r>
    <s v="ORD_2025_0085"/>
    <s v="Nov-2024"/>
    <s v="Hernandez, Laura"/>
    <s v="Mexico"/>
    <s v="LED Lamp"/>
    <s v="Electronics"/>
    <n v="47"/>
    <n v="15.97"/>
    <n v="750.59"/>
    <n v="48.55"/>
    <n v="102.79"/>
    <s v="Air"/>
    <s v="High"/>
    <s v="NA"/>
    <x v="15"/>
  </r>
  <r>
    <s v="ORD_2025_0086"/>
    <s v="Nov-2024"/>
    <s v="Smith, Daniel"/>
    <s v="China"/>
    <s v="Denim Jacket"/>
    <s v="Apparel"/>
    <n v="28"/>
    <n v="53.6"/>
    <n v="1500.8"/>
    <n v="68.55"/>
    <n v="312.25"/>
    <s v="Sea"/>
    <s v="Medium"/>
    <s v="AS"/>
    <x v="15"/>
  </r>
  <r>
    <s v="ORD_2025_0087"/>
    <s v="Dec-2024"/>
    <s v="Garcia, Sophia"/>
    <s v="India"/>
    <s v="Table Lamp"/>
    <s v="Home Decor"/>
    <n v="37"/>
    <n v="40.049999999999997"/>
    <n v="1481.85"/>
    <n v="45.6"/>
    <n v="400.25"/>
    <s v="Land"/>
    <s v="High"/>
    <s v="AS"/>
    <x v="9"/>
  </r>
  <r>
    <s v="ORD_2025_0088"/>
    <s v="Feb-2025"/>
    <s v="Brown, Sarah"/>
    <s v="Italy"/>
    <s v="Travel Backpack"/>
    <s v="Accessories"/>
    <n v="45"/>
    <n v="43.74"/>
    <n v="1968.3"/>
    <n v="80.55"/>
    <n v="312.75"/>
    <s v="Sea"/>
    <s v="High"/>
    <s v="EU"/>
    <x v="1"/>
  </r>
  <r>
    <s v="ORD_2025_0089"/>
    <s v="Mar-2025"/>
    <s v="Davis, Emily"/>
    <s v="Uk"/>
    <s v="Ceramic Vase"/>
    <s v="Home Decor"/>
    <n v="9"/>
    <n v="24.63"/>
    <n v="221.67"/>
    <n v="13.53"/>
    <n v="68.64"/>
    <s v="Sea"/>
    <s v="High"/>
    <s v="EU"/>
    <x v="13"/>
  </r>
  <r>
    <s v="ORD_2025_0090"/>
    <s v="Mar-2025"/>
    <s v="Johnson, Emma"/>
    <s v="South Africa"/>
    <s v="Ceramic Vase"/>
    <s v="Home Decor"/>
    <n v="6"/>
    <n v="21.79"/>
    <n v="130.74"/>
    <n v="7.75"/>
    <n v="29.99"/>
    <s v="Sea"/>
    <s v="High"/>
    <s v="AF"/>
    <x v="13"/>
  </r>
  <r>
    <s v="ORD_2025_0091"/>
    <s v="Jul-2024"/>
    <s v="Johnson, James"/>
    <s v="France"/>
    <s v="Travel Backpack"/>
    <s v="Accessories"/>
    <n v="23"/>
    <n v="58.43"/>
    <n v="1343.89"/>
    <n v="38.729999999999997"/>
    <n v="500.16"/>
    <s v="Sea"/>
    <s v="Low"/>
    <s v="EU"/>
    <x v="12"/>
  </r>
  <r>
    <s v="ORD_2025_0092"/>
    <s v="Sep-2024"/>
    <s v="Martinez, Sophia"/>
    <s v="Singapore"/>
    <s v="Denim Jacket"/>
    <s v="Apparel"/>
    <n v="19"/>
    <n v="67.06"/>
    <n v="1274.1400000000001"/>
    <n v="85.73"/>
    <n v="428.41"/>
    <s v="Land"/>
    <s v="Medium"/>
    <s v="AS"/>
    <x v="6"/>
  </r>
  <r>
    <s v="ORD_2025_0093"/>
    <s v="Jul-2024"/>
    <s v="Davis, Emily"/>
    <s v="Italy"/>
    <s v="Leather Wallet"/>
    <s v="Accessories"/>
    <n v="4"/>
    <n v="25.13"/>
    <n v="100.52"/>
    <n v="5.6"/>
    <n v="22.92"/>
    <s v="Sea"/>
    <s v="High"/>
    <s v="EU"/>
    <x v="12"/>
  </r>
  <r>
    <s v="ORD_2025_0094"/>
    <s v="Apr-2025"/>
    <s v="Miller, Sarah"/>
    <s v="Italy"/>
    <s v="Ceramic Vase"/>
    <s v="Home Decor"/>
    <n v="26"/>
    <n v="19.34"/>
    <n v="502.84"/>
    <n v="26.51"/>
    <n v="73.33"/>
    <s v="Sea"/>
    <s v="Low"/>
    <s v="EU"/>
    <x v="8"/>
  </r>
  <r>
    <s v="ORD_2025_0095"/>
    <s v="Sep-2024"/>
    <s v="Williams, James"/>
    <s v="South Africa"/>
    <s v="Wireless Mouse"/>
    <s v="Electronics"/>
    <n v="26"/>
    <n v="35.81"/>
    <n v="931.06"/>
    <n v="61.06"/>
    <n v="350"/>
    <s v="Land"/>
    <s v="Low"/>
    <s v="AF"/>
    <x v="6"/>
  </r>
  <r>
    <s v="ORD_2025_0096"/>
    <s v="Mar-2025"/>
    <s v="Garcia, Emma"/>
    <s v="Singapore"/>
    <s v="Glass Bowl Set"/>
    <s v="Home Decor"/>
    <n v="42"/>
    <n v="39.950000000000003"/>
    <n v="1677.9"/>
    <n v="93.95"/>
    <n v="638.95000000000005"/>
    <s v="Sea"/>
    <s v="Medium"/>
    <s v="AS"/>
    <x v="13"/>
  </r>
  <r>
    <s v="ORD_2025_0097"/>
    <s v="Jul-2024"/>
    <s v="Davis, David"/>
    <s v="Uae"/>
    <s v="Travel Backpack"/>
    <s v="Accessories"/>
    <n v="38"/>
    <n v="49.98"/>
    <n v="1899.24"/>
    <n v="112.91"/>
    <n v="456.33"/>
    <s v="Air"/>
    <s v="High"/>
    <s v="AS"/>
    <x v="12"/>
  </r>
  <r>
    <s v="ORD_2025_0098"/>
    <s v="Aug-2024"/>
    <s v="Smith, Michael"/>
    <s v="Japan"/>
    <s v="Table Lamp"/>
    <s v="Home Decor"/>
    <n v="1"/>
    <n v="45.84"/>
    <n v="45.84"/>
    <n v="1.26"/>
    <n v="16.579999999999998"/>
    <s v="Air"/>
    <s v="Low"/>
    <s v="AS"/>
    <x v="7"/>
  </r>
  <r>
    <s v="ORD_2025_0099"/>
    <s v="Apr-2025"/>
    <s v="Davis, Emma"/>
    <s v="Australia"/>
    <s v="Leather Wallet"/>
    <s v="Accessories"/>
    <n v="38"/>
    <n v="26.34"/>
    <n v="1000.92"/>
    <n v="47.88"/>
    <n v="269.04000000000002"/>
    <s v="Land"/>
    <s v="Medium"/>
    <s v="OC"/>
    <x v="8"/>
  </r>
  <r>
    <s v="ORD_2025_0100"/>
    <s v="Oct-2024"/>
    <s v="Martinez, Daniel"/>
    <s v="France"/>
    <s v="Cotton Bedsheet"/>
    <s v="Textiles"/>
    <n v="30"/>
    <n v="36.43"/>
    <n v="1092.9000000000001"/>
    <n v="61.97"/>
    <n v="280.93"/>
    <s v="Air"/>
    <s v="Medium"/>
    <s v="EU"/>
    <x v="3"/>
  </r>
  <r>
    <s v="ORD_2025_0101"/>
    <s v="Jun-2024"/>
    <s v="Hernandez, Laura"/>
    <s v="Italy"/>
    <s v="LED Lamp"/>
    <s v="Electronics"/>
    <n v="9"/>
    <n v="22.27"/>
    <n v="200.43"/>
    <n v="13.21"/>
    <n v="72.47"/>
    <s v="Sea"/>
    <s v="Medium"/>
    <s v="EU"/>
    <x v="4"/>
  </r>
  <r>
    <s v="ORD_2025_0102"/>
    <s v="Sep-2024"/>
    <s v="Jones, Laura"/>
    <s v="Australia"/>
    <s v="Ceramic Vase"/>
    <s v="Home Decor"/>
    <n v="26"/>
    <n v="27.65"/>
    <n v="718.9"/>
    <n v="46.25"/>
    <n v="269.64999999999998"/>
    <s v="Sea"/>
    <s v="High"/>
    <s v="OC"/>
    <x v="6"/>
  </r>
  <r>
    <s v="ORD_2025_0103"/>
    <s v="Jul-2024"/>
    <s v="Davis, Emma"/>
    <s v="Uk"/>
    <s v="Ceramic Vase"/>
    <s v="Home Decor"/>
    <n v="23"/>
    <n v="22.45"/>
    <n v="516.35"/>
    <n v="15.68"/>
    <n v="144.16999999999999"/>
    <s v="Air"/>
    <s v="High"/>
    <s v="EU"/>
    <x v="12"/>
  </r>
  <r>
    <s v="ORD_2025_0104"/>
    <s v="Aug-2024"/>
    <s v="Garcia, Emily"/>
    <s v="Uk"/>
    <s v="Ceramic Vase"/>
    <s v="Home Decor"/>
    <n v="30"/>
    <n v="21.93"/>
    <n v="657.9"/>
    <n v="24.66"/>
    <n v="168.24"/>
    <s v="Sea"/>
    <s v="Low"/>
    <s v="EU"/>
    <x v="7"/>
  </r>
  <r>
    <s v="ORD_2025_0105"/>
    <s v="Sep-2024"/>
    <s v="Johnson, David"/>
    <s v="Singapore"/>
    <s v="LED Lamp"/>
    <s v="Electronics"/>
    <n v="43"/>
    <n v="21.92"/>
    <n v="942.56"/>
    <n v="51.15"/>
    <n v="343.16"/>
    <s v="Land"/>
    <s v="High"/>
    <s v="AS"/>
    <x v="6"/>
  </r>
  <r>
    <s v="ORD_2025_0106"/>
    <s v="Feb-2025"/>
    <s v="Martinez, Laura"/>
    <s v="Brazil"/>
    <s v="Denim Jacket"/>
    <s v="Apparel"/>
    <n v="3"/>
    <n v="56.21"/>
    <n v="168.63"/>
    <n v="7.56"/>
    <n v="41.07"/>
    <s v="Air"/>
    <s v="Low"/>
    <s v="SA"/>
    <x v="1"/>
  </r>
  <r>
    <s v="ORD_2025_0107"/>
    <s v="Apr-2024"/>
    <s v="Smith, Emily"/>
    <s v="Italy"/>
    <s v="LED Lamp"/>
    <s v="Electronics"/>
    <n v="33"/>
    <n v="15.44"/>
    <n v="509.52"/>
    <n v="19.7"/>
    <n v="69.069999999999993"/>
    <s v="Land"/>
    <s v="High"/>
    <s v="EU"/>
    <x v="2"/>
  </r>
  <r>
    <s v="ORD_2025_0108"/>
    <s v="Sep-2024"/>
    <s v="Hernandez, Sophia"/>
    <s v="South Africa"/>
    <s v="Ceramic Vase"/>
    <s v="Home Decor"/>
    <n v="50"/>
    <n v="23.02"/>
    <n v="1151"/>
    <n v="69.3"/>
    <n v="306.7"/>
    <s v="Sea"/>
    <s v="Medium"/>
    <s v="AF"/>
    <x v="6"/>
  </r>
  <r>
    <s v="ORD_2025_0109"/>
    <s v="Mar-2024"/>
    <s v="Miller, Emily"/>
    <s v="Brazil"/>
    <s v="LED Lamp"/>
    <s v="Electronics"/>
    <n v="8"/>
    <n v="17.010000000000002"/>
    <n v="136.08000000000001"/>
    <n v="8.84"/>
    <n v="25.24"/>
    <s v="Land"/>
    <s v="High"/>
    <s v="SA"/>
    <x v="11"/>
  </r>
  <r>
    <s v="ORD_2025_0110"/>
    <s v="Oct-2024"/>
    <s v="Davis, Emma"/>
    <s v="France"/>
    <s v="Leather Wallet"/>
    <s v="Accessories"/>
    <n v="16"/>
    <n v="26.47"/>
    <n v="423.52"/>
    <n v="15.87"/>
    <n v="119.65"/>
    <s v="Sea"/>
    <s v="Low"/>
    <s v="EU"/>
    <x v="3"/>
  </r>
  <r>
    <s v="ORD_2025_0111"/>
    <s v="Sep-2024"/>
    <s v="Jones, Michael"/>
    <s v="Brazil"/>
    <s v="Bluetooth Speaker"/>
    <s v="Electronics"/>
    <n v="32"/>
    <n v="43.18"/>
    <n v="1381.76"/>
    <n v="88.54"/>
    <n v="269.22000000000003"/>
    <s v="Sea"/>
    <s v="High"/>
    <s v="SA"/>
    <x v="6"/>
  </r>
  <r>
    <s v="ORD_2025_0112"/>
    <s v="Jun-2024"/>
    <s v="Smith, Sophia"/>
    <s v="Australia"/>
    <s v="Ceramic Vase"/>
    <s v="Home Decor"/>
    <n v="29"/>
    <n v="18.850000000000001"/>
    <n v="546.65"/>
    <n v="13.22"/>
    <n v="83.93"/>
    <s v="Land"/>
    <s v="High"/>
    <s v="OC"/>
    <x v="4"/>
  </r>
  <r>
    <s v="ORD_2025_0113"/>
    <s v="Jan-2025"/>
    <s v="Martinez, Emily"/>
    <s v="France"/>
    <s v="Denim Jacket"/>
    <s v="Apparel"/>
    <n v="16"/>
    <n v="64.400000000000006"/>
    <n v="1030.4000000000001"/>
    <n v="61.72"/>
    <n v="328.68"/>
    <s v="Sea"/>
    <s v="Medium"/>
    <s v="EU"/>
    <x v="0"/>
  </r>
  <r>
    <s v="ORD_2025_0114"/>
    <s v="Nov-2024"/>
    <s v="Hernandez, Daniel"/>
    <s v="Singapore"/>
    <s v="Ceramic Vase"/>
    <s v="Home Decor"/>
    <n v="15"/>
    <n v="19.53"/>
    <n v="292.95"/>
    <n v="7.15"/>
    <n v="53.3"/>
    <s v="Air"/>
    <s v="Medium"/>
    <s v="AS"/>
    <x v="15"/>
  </r>
  <r>
    <s v="ORD_2025_0115"/>
    <s v="Jul-2024"/>
    <s v="Hernandez, John"/>
    <s v="Germany"/>
    <s v="Wireless Mouse"/>
    <s v="Electronics"/>
    <n v="36"/>
    <n v="26.05"/>
    <n v="937.8"/>
    <n v="32.799999999999997"/>
    <n v="185"/>
    <s v="Land"/>
    <s v="High"/>
    <s v="EU"/>
    <x v="12"/>
  </r>
  <r>
    <s v="ORD_2025_0116"/>
    <s v="Feb-2024"/>
    <s v="Miller, John"/>
    <s v="South Africa"/>
    <s v="Bluetooth Speaker"/>
    <s v="Electronics"/>
    <n v="26"/>
    <n v="47.52"/>
    <n v="1235.52"/>
    <n v="31.41"/>
    <n v="372.11"/>
    <s v="Sea"/>
    <s v="Low"/>
    <s v="AF"/>
    <x v="10"/>
  </r>
  <r>
    <s v="ORD_2025_0117"/>
    <s v="Sep-2024"/>
    <s v="Garcia, Emma"/>
    <s v="France"/>
    <s v="Leather Wallet"/>
    <s v="Accessories"/>
    <n v="38"/>
    <n v="26.38"/>
    <n v="1002.44"/>
    <n v="33.049999999999997"/>
    <n v="285.39"/>
    <s v="Sea"/>
    <s v="Low"/>
    <s v="EU"/>
    <x v="6"/>
  </r>
  <r>
    <s v="ORD_2025_0118"/>
    <s v="Apr-2025"/>
    <s v="Brown, Sarah"/>
    <s v="Japan"/>
    <s v="LED Lamp"/>
    <s v="Electronics"/>
    <n v="7"/>
    <n v="17.66"/>
    <n v="123.62"/>
    <n v="6.95"/>
    <n v="27.42"/>
    <s v="Land"/>
    <s v="Low"/>
    <s v="AS"/>
    <x v="8"/>
  </r>
  <r>
    <s v="ORD_2025_0119"/>
    <s v="Nov-2024"/>
    <s v="Martinez, Emma"/>
    <s v="Australia"/>
    <s v="Travel Backpack"/>
    <s v="Accessories"/>
    <n v="26"/>
    <n v="51.5"/>
    <n v="1339"/>
    <n v="92.09"/>
    <n v="336.91"/>
    <s v="Sea"/>
    <s v="Medium"/>
    <s v="OC"/>
    <x v="15"/>
  </r>
  <r>
    <s v="ORD_2025_0120"/>
    <s v="Apr-2025"/>
    <s v="Hernandez, David"/>
    <s v="Usa"/>
    <s v="Ceramic Vase"/>
    <s v="Home Decor"/>
    <n v="27"/>
    <n v="25"/>
    <n v="675"/>
    <n v="15.49"/>
    <n v="241.01"/>
    <s v="Sea"/>
    <s v="Medium"/>
    <s v="NA"/>
    <x v="8"/>
  </r>
  <r>
    <s v="ORD_2025_0121"/>
    <s v="Jul-2024"/>
    <s v="Johnson, Michael"/>
    <s v="South Africa"/>
    <s v="LED Lamp"/>
    <s v="Electronics"/>
    <n v="4"/>
    <n v="19"/>
    <n v="76"/>
    <n v="3.78"/>
    <n v="21.22"/>
    <s v="Sea"/>
    <s v="High"/>
    <s v="AF"/>
    <x v="12"/>
  </r>
  <r>
    <s v="ORD_2025_0122"/>
    <s v="May-2024"/>
    <s v="Hernandez, Laura"/>
    <s v="Canada"/>
    <s v="Ceramic Vase"/>
    <s v="Home Decor"/>
    <n v="24"/>
    <n v="26.63"/>
    <n v="639.12"/>
    <n v="31.92"/>
    <n v="235.2"/>
    <s v="Air"/>
    <s v="High"/>
    <s v="NA"/>
    <x v="14"/>
  </r>
  <r>
    <s v="ORD_2025_0123"/>
    <s v="Jan-2025"/>
    <s v="Smith, Sarah"/>
    <s v="Singapore"/>
    <s v="Cotton Bedsheet"/>
    <s v="Textiles"/>
    <n v="26"/>
    <n v="43.14"/>
    <n v="1121.6400000000001"/>
    <n v="48.08"/>
    <n v="423.56"/>
    <s v="Land"/>
    <s v="Medium"/>
    <s v="AS"/>
    <x v="0"/>
  </r>
  <r>
    <s v="ORD_2025_0124"/>
    <s v="Dec-2024"/>
    <s v="Davis, Emily"/>
    <s v="Canada"/>
    <s v="Cotton Bedsheet"/>
    <s v="Textiles"/>
    <n v="39"/>
    <n v="30.01"/>
    <n v="1170.3900000000001"/>
    <n v="60.43"/>
    <n v="134.96"/>
    <s v="Sea"/>
    <s v="Low"/>
    <s v="NA"/>
    <x v="9"/>
  </r>
  <r>
    <s v="ORD_2025_0125"/>
    <s v="Dec-2024"/>
    <s v="Martinez, John"/>
    <s v="Germany"/>
    <s v="Glass Bowl Set"/>
    <s v="Home Decor"/>
    <n v="5"/>
    <n v="31.31"/>
    <n v="156.55000000000001"/>
    <n v="4.04"/>
    <n v="40.01"/>
    <s v="Air"/>
    <s v="High"/>
    <s v="EU"/>
    <x v="9"/>
  </r>
  <r>
    <s v="ORD_2025_0126"/>
    <s v="Aug-2024"/>
    <s v="Davis, Michael"/>
    <s v="Usa"/>
    <s v="Table Lamp"/>
    <s v="Home Decor"/>
    <n v="42"/>
    <n v="36.950000000000003"/>
    <n v="1551.9"/>
    <n v="74.260000000000005"/>
    <n v="301.64"/>
    <s v="Sea"/>
    <s v="Medium"/>
    <s v="NA"/>
    <x v="7"/>
  </r>
  <r>
    <s v="ORD_2025_0127"/>
    <s v="Jan-2025"/>
    <s v="Garcia, David"/>
    <s v="Singapore"/>
    <s v="Denim Jacket"/>
    <s v="Apparel"/>
    <n v="36"/>
    <n v="57.37"/>
    <n v="2065.3200000000002"/>
    <n v="94.34"/>
    <n v="530.98"/>
    <s v="Air"/>
    <s v="Low"/>
    <s v="AS"/>
    <x v="0"/>
  </r>
  <r>
    <s v="ORD_2025_0128"/>
    <s v="Nov-2024"/>
    <s v="Miller, Daniel"/>
    <s v="Uae"/>
    <s v="Table Lamp"/>
    <s v="Home Decor"/>
    <n v="13"/>
    <n v="40.18"/>
    <n v="522.34"/>
    <n v="37.369999999999997"/>
    <n v="120.97"/>
    <s v="Sea"/>
    <s v="High"/>
    <s v="AS"/>
    <x v="15"/>
  </r>
  <r>
    <s v="ORD_2025_0129"/>
    <s v="Apr-2025"/>
    <s v="Miller, Sarah"/>
    <s v="Japan"/>
    <s v="Bluetooth Speaker"/>
    <s v="Electronics"/>
    <n v="37"/>
    <n v="39.299999999999997"/>
    <n v="1454.1"/>
    <n v="67.08"/>
    <n v="203.02"/>
    <s v="Air"/>
    <s v="Low"/>
    <s v="AS"/>
    <x v="8"/>
  </r>
  <r>
    <s v="ORD_2025_0130"/>
    <s v="Apr-2025"/>
    <s v="Hernandez, Laura"/>
    <s v="Canada"/>
    <s v="Bluetooth Speaker"/>
    <s v="Electronics"/>
    <n v="17"/>
    <n v="43.28"/>
    <n v="735.76"/>
    <n v="50.96"/>
    <n v="140.80000000000001"/>
    <s v="Sea"/>
    <s v="Medium"/>
    <s v="NA"/>
    <x v="8"/>
  </r>
  <r>
    <s v="ORD_2025_0131"/>
    <s v="Oct-2024"/>
    <s v="Smith, Emily"/>
    <s v="Uae"/>
    <s v="Travel Backpack"/>
    <s v="Accessories"/>
    <n v="22"/>
    <n v="62.79"/>
    <n v="1381.38"/>
    <n v="75.84"/>
    <n v="535.54"/>
    <s v="Air"/>
    <s v="High"/>
    <s v="AS"/>
    <x v="3"/>
  </r>
  <r>
    <s v="ORD_2025_0132"/>
    <s v="Apr-2025"/>
    <s v="Hernandez, James"/>
    <s v="Germany"/>
    <s v="Denim Jacket"/>
    <s v="Apparel"/>
    <n v="23"/>
    <n v="56.76"/>
    <n v="1305.48"/>
    <n v="62.93"/>
    <n v="322.55"/>
    <s v="Air"/>
    <s v="High"/>
    <s v="EU"/>
    <x v="8"/>
  </r>
  <r>
    <s v="ORD_2025_0133"/>
    <s v="Jul-2024"/>
    <s v="Davis, John"/>
    <s v="Uk"/>
    <s v="Denim Jacket"/>
    <s v="Apparel"/>
    <n v="22"/>
    <n v="60.13"/>
    <n v="1322.86"/>
    <n v="54.06"/>
    <n v="388.8"/>
    <s v="Air"/>
    <s v="Medium"/>
    <s v="EU"/>
    <x v="12"/>
  </r>
  <r>
    <s v="ORD_2025_0134"/>
    <s v="Jan-2025"/>
    <s v="Smith, James"/>
    <s v="Singapore"/>
    <s v="Cotton Bedsheet"/>
    <s v="Textiles"/>
    <n v="21"/>
    <n v="40.98"/>
    <n v="860.58"/>
    <n v="37.01"/>
    <n v="298.57"/>
    <s v="Land"/>
    <s v="High"/>
    <s v="AS"/>
    <x v="0"/>
  </r>
  <r>
    <s v="ORD_2025_0135"/>
    <s v="Dec-2024"/>
    <s v="Miller, David"/>
    <s v="Brazil"/>
    <s v="Denim Jacket"/>
    <s v="Apparel"/>
    <n v="36"/>
    <n v="54.6"/>
    <n v="1965.6"/>
    <n v="150.34"/>
    <n v="375.26"/>
    <s v="Sea"/>
    <s v="Low"/>
    <s v="SA"/>
    <x v="9"/>
  </r>
  <r>
    <s v="ORD_2025_0136"/>
    <s v="Jul-2024"/>
    <s v="Miller, Emily"/>
    <s v="Italy"/>
    <s v="Ceramic Vase"/>
    <s v="Home Decor"/>
    <n v="1"/>
    <n v="27.49"/>
    <n v="27.49"/>
    <n v="0.63"/>
    <n v="11.36"/>
    <s v="Sea"/>
    <s v="High"/>
    <s v="EU"/>
    <x v="12"/>
  </r>
  <r>
    <s v="ORD_2025_0137"/>
    <s v="Jan-2024"/>
    <s v="Brown, Emily"/>
    <s v="Singapore"/>
    <s v="Bluetooth Speaker"/>
    <s v="Electronics"/>
    <n v="50"/>
    <n v="41.11"/>
    <n v="2055.5"/>
    <n v="95.61"/>
    <n v="359.89"/>
    <s v="Air"/>
    <s v="Medium"/>
    <s v="AS"/>
    <x v="16"/>
  </r>
  <r>
    <s v="ORD_2025_0138"/>
    <s v="Dec-2024"/>
    <s v="Smith, Michael"/>
    <s v="China"/>
    <s v="Ceramic Vase"/>
    <s v="Home Decor"/>
    <n v="18"/>
    <n v="25.54"/>
    <n v="459.72"/>
    <n v="27.02"/>
    <n v="153.69999999999999"/>
    <s v="Sea"/>
    <s v="Low"/>
    <s v="AS"/>
    <x v="9"/>
  </r>
  <r>
    <s v="ORD_2025_0139"/>
    <s v="Jan-2025"/>
    <s v="Martinez, Emily"/>
    <s v="Japan"/>
    <s v="Table Lamp"/>
    <s v="Home Decor"/>
    <n v="4"/>
    <n v="47.52"/>
    <n v="190.08"/>
    <n v="10.23"/>
    <n v="67.849999999999994"/>
    <s v="Land"/>
    <s v="Low"/>
    <s v="AS"/>
    <x v="0"/>
  </r>
  <r>
    <s v="ORD_2025_0140"/>
    <s v="Aug-2024"/>
    <s v="Jones, Michael"/>
    <s v="Italy"/>
    <s v="Cotton Bedsheet"/>
    <s v="Textiles"/>
    <n v="29"/>
    <n v="30.48"/>
    <n v="883.92"/>
    <n v="33.15"/>
    <n v="125.77"/>
    <s v="Air"/>
    <s v="Low"/>
    <s v="EU"/>
    <x v="7"/>
  </r>
  <r>
    <s v="ORD_2025_0141"/>
    <s v="Mar-2024"/>
    <s v="Martinez, Daniel"/>
    <s v="South Africa"/>
    <s v="Denim Jacket"/>
    <s v="Apparel"/>
    <n v="27"/>
    <n v="50.39"/>
    <n v="1360.53"/>
    <n v="106.4"/>
    <n v="174.13"/>
    <s v="Sea"/>
    <s v="Medium"/>
    <s v="AF"/>
    <x v="11"/>
  </r>
  <r>
    <s v="ORD_2025_0142"/>
    <s v="Jan-2025"/>
    <s v="Johnson, Daniel"/>
    <s v="Germany"/>
    <s v="Cotton Bedsheet"/>
    <s v="Textiles"/>
    <n v="34"/>
    <n v="37.68"/>
    <n v="1281.1199999999999"/>
    <n v="54.86"/>
    <n v="376.26"/>
    <s v="Air"/>
    <s v="Low"/>
    <s v="EU"/>
    <x v="0"/>
  </r>
  <r>
    <s v="ORD_2025_0143"/>
    <s v="Apr-2025"/>
    <s v="Brown, James"/>
    <s v="Japan"/>
    <s v="Cotton Bedsheet"/>
    <s v="Textiles"/>
    <n v="3"/>
    <n v="39.32"/>
    <n v="117.96"/>
    <n v="6.97"/>
    <n v="35.99"/>
    <s v="Sea"/>
    <s v="Medium"/>
    <s v="AS"/>
    <x v="8"/>
  </r>
  <r>
    <s v="ORD_2025_0144"/>
    <s v="Dec-2024"/>
    <s v="Hernandez, Daniel"/>
    <s v="Canada"/>
    <s v="LED Lamp"/>
    <s v="Electronics"/>
    <n v="24"/>
    <n v="18"/>
    <n v="432"/>
    <n v="22.68"/>
    <n v="103.32"/>
    <s v="Land"/>
    <s v="High"/>
    <s v="NA"/>
    <x v="9"/>
  </r>
  <r>
    <s v="ORD_2025_0145"/>
    <s v="Dec-2024"/>
    <s v="Jones, Laura"/>
    <s v="Uk"/>
    <s v="Glass Bowl Set"/>
    <s v="Home Decor"/>
    <n v="5"/>
    <n v="36.43"/>
    <n v="182.15"/>
    <n v="7.82"/>
    <n v="61.83"/>
    <s v="Land"/>
    <s v="High"/>
    <s v="EU"/>
    <x v="9"/>
  </r>
  <r>
    <s v="ORD_2025_0146"/>
    <s v="Jul-2024"/>
    <s v="Miller, Laura"/>
    <s v="China"/>
    <s v="Glass Bowl Set"/>
    <s v="Home Decor"/>
    <n v="27"/>
    <n v="38.39"/>
    <n v="1036.53"/>
    <n v="28.6"/>
    <n v="400.43"/>
    <s v="Sea"/>
    <s v="Low"/>
    <s v="AS"/>
    <x v="12"/>
  </r>
  <r>
    <s v="ORD_2025_0147"/>
    <s v="May-2024"/>
    <s v="Jones, David"/>
    <s v="Brazil"/>
    <s v="Table Lamp"/>
    <s v="Home Decor"/>
    <n v="10"/>
    <n v="47.5"/>
    <n v="475"/>
    <n v="15.95"/>
    <n v="179.05"/>
    <s v="Land"/>
    <s v="Low"/>
    <s v="SA"/>
    <x v="14"/>
  </r>
  <r>
    <s v="ORD_2025_0148"/>
    <s v="Jun-2024"/>
    <s v="Johnson, Sophia"/>
    <s v="Uae"/>
    <s v="Bluetooth Speaker"/>
    <s v="Electronics"/>
    <n v="47"/>
    <n v="50.13"/>
    <n v="2356.11"/>
    <n v="166.22"/>
    <n v="685.89"/>
    <s v="Land"/>
    <s v="Low"/>
    <s v="AS"/>
    <x v="4"/>
  </r>
  <r>
    <s v="ORD_2025_0149"/>
    <s v="Oct-2024"/>
    <s v="Davis, Sophia"/>
    <s v="Mexico"/>
    <s v="Table Lamp"/>
    <s v="Home Decor"/>
    <n v="47"/>
    <n v="42.25"/>
    <n v="1985.75"/>
    <n v="116.75"/>
    <n v="553"/>
    <s v="Sea"/>
    <s v="Low"/>
    <s v="NA"/>
    <x v="3"/>
  </r>
  <r>
    <s v="ORD_2025_0150"/>
    <s v="Mar-2024"/>
    <s v="Jones, Daniel"/>
    <s v="China"/>
    <s v="Cotton Bedsheet"/>
    <s v="Textiles"/>
    <n v="18"/>
    <n v="38.26"/>
    <n v="688.68"/>
    <n v="18.78"/>
    <n v="219.9"/>
    <s v="Sea"/>
    <s v="Low"/>
    <s v="AS"/>
    <x v="11"/>
  </r>
  <r>
    <s v="ORD_2025_0151"/>
    <s v="Feb-2024"/>
    <s v="Miller, Michael"/>
    <s v="Singapore"/>
    <s v="Table Lamp"/>
    <s v="Home Decor"/>
    <n v="31"/>
    <n v="46.66"/>
    <n v="1446.46"/>
    <n v="109.24"/>
    <n v="469.22"/>
    <s v="Land"/>
    <s v="High"/>
    <s v="AS"/>
    <x v="10"/>
  </r>
  <r>
    <s v="ORD_2025_0152"/>
    <s v="Mar-2024"/>
    <s v="Davis, Laura"/>
    <s v="South Africa"/>
    <s v="Bluetooth Speaker"/>
    <s v="Electronics"/>
    <n v="41"/>
    <n v="52.65"/>
    <n v="2158.65"/>
    <n v="110.1"/>
    <n v="736.55"/>
    <s v="Sea"/>
    <s v="High"/>
    <s v="AF"/>
    <x v="11"/>
  </r>
  <r>
    <s v="ORD_2025_0153"/>
    <s v="Mar-2024"/>
    <s v="Williams, Laura"/>
    <s v="Japan"/>
    <s v="Leather Wallet"/>
    <s v="Accessories"/>
    <n v="28"/>
    <n v="22.66"/>
    <n v="634.48"/>
    <n v="15.55"/>
    <n v="114.93"/>
    <s v="Air"/>
    <s v="Low"/>
    <s v="AS"/>
    <x v="11"/>
  </r>
  <r>
    <s v="ORD_2025_0154"/>
    <s v="Feb-2025"/>
    <s v="Brown, James"/>
    <s v="Mexico"/>
    <s v="Ceramic Vase"/>
    <s v="Home Decor"/>
    <n v="48"/>
    <n v="25.07"/>
    <n v="1203.3599999999999"/>
    <n v="29.93"/>
    <n v="429.43"/>
    <s v="Sea"/>
    <s v="Medium"/>
    <s v="NA"/>
    <x v="1"/>
  </r>
  <r>
    <s v="ORD_2025_0155"/>
    <s v="May-2024"/>
    <s v="Miller, Daniel"/>
    <s v="Brazil"/>
    <s v="Leather Wallet"/>
    <s v="Accessories"/>
    <n v="31"/>
    <n v="30.53"/>
    <n v="946.43"/>
    <n v="72.150000000000006"/>
    <n v="316.27999999999997"/>
    <s v="Air"/>
    <s v="Medium"/>
    <s v="SA"/>
    <x v="14"/>
  </r>
  <r>
    <s v="ORD_2025_0156"/>
    <s v="Dec-2024"/>
    <s v="Hernandez, Michael"/>
    <s v="South Africa"/>
    <s v="Glass Bowl Set"/>
    <s v="Home Decor"/>
    <n v="33"/>
    <n v="31"/>
    <n v="1023"/>
    <n v="63.94"/>
    <n v="216.56"/>
    <s v="Sea"/>
    <s v="Low"/>
    <s v="AF"/>
    <x v="9"/>
  </r>
  <r>
    <s v="ORD_2025_0157"/>
    <s v="Oct-2024"/>
    <s v="Smith, Michael"/>
    <s v="Uk"/>
    <s v="Ceramic Vase"/>
    <s v="Home Decor"/>
    <n v="32"/>
    <n v="20.86"/>
    <n v="667.52"/>
    <n v="21.62"/>
    <n v="149.9"/>
    <s v="Air"/>
    <s v="High"/>
    <s v="EU"/>
    <x v="3"/>
  </r>
  <r>
    <s v="ORD_2025_0158"/>
    <s v="Sep-2024"/>
    <s v="Brown, Sarah"/>
    <s v="Germany"/>
    <s v="Wireless Mouse"/>
    <s v="Electronics"/>
    <n v="18"/>
    <n v="24.61"/>
    <n v="442.98"/>
    <n v="26.99"/>
    <n v="55.99"/>
    <s v="Air"/>
    <s v="Low"/>
    <s v="EU"/>
    <x v="6"/>
  </r>
  <r>
    <s v="ORD_2025_0159"/>
    <s v="Oct-2024"/>
    <s v="Williams, Daniel"/>
    <s v="Singapore"/>
    <s v="Denim Jacket"/>
    <s v="Apparel"/>
    <n v="18"/>
    <n v="64.83"/>
    <n v="1166.94"/>
    <n v="34.28"/>
    <n v="412.66"/>
    <s v="Air"/>
    <s v="Low"/>
    <s v="AS"/>
    <x v="3"/>
  </r>
  <r>
    <s v="ORD_2025_0160"/>
    <s v="Jul-2024"/>
    <s v="Brown, John"/>
    <s v="Mexico"/>
    <s v="Wireless Mouse"/>
    <s v="Electronics"/>
    <n v="49"/>
    <n v="29.52"/>
    <n v="1446.48"/>
    <n v="104.7"/>
    <n v="361.78"/>
    <s v="Air"/>
    <s v="High"/>
    <s v="NA"/>
    <x v="12"/>
  </r>
  <r>
    <s v="ORD_2025_0161"/>
    <s v="Jul-2024"/>
    <s v="Martinez, David"/>
    <s v="South Africa"/>
    <s v="Wireless Mouse"/>
    <s v="Electronics"/>
    <n v="10"/>
    <n v="26.73"/>
    <n v="267.3"/>
    <n v="10.210000000000001"/>
    <n v="57.09"/>
    <s v="Air"/>
    <s v="High"/>
    <s v="AF"/>
    <x v="12"/>
  </r>
  <r>
    <s v="ORD_2025_0162"/>
    <s v="Feb-2024"/>
    <s v="Martinez, Laura"/>
    <s v="Uk"/>
    <s v="Bluetooth Speaker"/>
    <s v="Electronics"/>
    <n v="10"/>
    <n v="54.45"/>
    <n v="544.5"/>
    <n v="16.59"/>
    <n v="207.91"/>
    <s v="Land"/>
    <s v="Low"/>
    <s v="EU"/>
    <x v="10"/>
  </r>
  <r>
    <s v="ORD_2025_0163"/>
    <s v="Jun-2024"/>
    <s v="Martinez, Laura"/>
    <s v="India"/>
    <s v="Leather Wallet"/>
    <s v="Accessories"/>
    <n v="46"/>
    <n v="30.06"/>
    <n v="1382.76"/>
    <n v="77.17"/>
    <n v="477.59"/>
    <s v="Sea"/>
    <s v="Medium"/>
    <s v="AS"/>
    <x v="4"/>
  </r>
  <r>
    <s v="ORD_2025_0164"/>
    <s v="Feb-2024"/>
    <s v="Johnson, Emily"/>
    <s v="Mexico"/>
    <s v="Ceramic Vase"/>
    <s v="Home Decor"/>
    <n v="25"/>
    <n v="21.52"/>
    <n v="538"/>
    <n v="26.73"/>
    <n v="123.77"/>
    <s v="Sea"/>
    <s v="Low"/>
    <s v="NA"/>
    <x v="10"/>
  </r>
  <r>
    <s v="ORD_2025_0165"/>
    <s v="Feb-2024"/>
    <s v="Garcia, Emma"/>
    <s v="India"/>
    <s v="Leather Wallet"/>
    <s v="Accessories"/>
    <n v="5"/>
    <n v="26.25"/>
    <n v="131.25"/>
    <n v="3.35"/>
    <n v="37.9"/>
    <s v="Sea"/>
    <s v="Medium"/>
    <s v="AS"/>
    <x v="10"/>
  </r>
  <r>
    <s v="ORD_2025_0166"/>
    <s v="Jun-2024"/>
    <s v="Garcia, John"/>
    <s v="Uk"/>
    <s v="Cotton Bedsheet"/>
    <s v="Textiles"/>
    <n v="10"/>
    <n v="31.48"/>
    <n v="314.8"/>
    <n v="10.23"/>
    <n v="54.57"/>
    <s v="Air"/>
    <s v="High"/>
    <s v="EU"/>
    <x v="4"/>
  </r>
  <r>
    <s v="ORD_2025_0167"/>
    <s v="Aug-2024"/>
    <s v="Smith, Sophia"/>
    <s v="Brazil"/>
    <s v="Wireless Mouse"/>
    <s v="Electronics"/>
    <n v="21"/>
    <n v="30.91"/>
    <n v="649.11"/>
    <n v="38.42"/>
    <n v="190.69"/>
    <s v="Sea"/>
    <s v="High"/>
    <s v="SA"/>
    <x v="7"/>
  </r>
  <r>
    <s v="ORD_2025_0168"/>
    <s v="May-2025"/>
    <s v="Jones, Emily"/>
    <s v="Singapore"/>
    <s v="LED Lamp"/>
    <s v="Electronics"/>
    <n v="29"/>
    <n v="18.47"/>
    <n v="535.63"/>
    <n v="13.21"/>
    <n v="152.66999999999999"/>
    <s v="Land"/>
    <s v="Low"/>
    <s v="AS"/>
    <x v="5"/>
  </r>
  <r>
    <s v="ORD_2025_0169"/>
    <s v="Nov-2024"/>
    <s v="Williams, Laura"/>
    <s v="Mexico"/>
    <s v="Travel Backpack"/>
    <s v="Accessories"/>
    <n v="36"/>
    <n v="44.79"/>
    <n v="1612.44"/>
    <n v="68.599999999999994"/>
    <n v="283.83999999999997"/>
    <s v="Air"/>
    <s v="Medium"/>
    <s v="NA"/>
    <x v="15"/>
  </r>
  <r>
    <s v="ORD_2025_0170"/>
    <s v="Apr-2024"/>
    <s v="Miller, James"/>
    <s v="Brazil"/>
    <s v="Ceramic Vase"/>
    <s v="Home Decor"/>
    <n v="3"/>
    <n v="18.86"/>
    <n v="56.58"/>
    <n v="2.61"/>
    <n v="7.47"/>
    <s v="Sea"/>
    <s v="High"/>
    <s v="SA"/>
    <x v="2"/>
  </r>
  <r>
    <s v="ORD_2025_0171"/>
    <s v="Nov-2024"/>
    <s v="Hernandez, Emma"/>
    <s v="China"/>
    <s v="Table Lamp"/>
    <s v="Home Decor"/>
    <n v="10"/>
    <n v="45.86"/>
    <n v="458.6"/>
    <n v="14.4"/>
    <n v="164.2"/>
    <s v="Air"/>
    <s v="Low"/>
    <s v="AS"/>
    <x v="15"/>
  </r>
  <r>
    <s v="ORD_2025_0172"/>
    <s v="Feb-2024"/>
    <s v="Miller, James"/>
    <s v="Italy"/>
    <s v="Leather Wallet"/>
    <s v="Accessories"/>
    <n v="1"/>
    <n v="24.64"/>
    <n v="24.64"/>
    <n v="0.65"/>
    <n v="5.99"/>
    <s v="Air"/>
    <s v="Medium"/>
    <s v="EU"/>
    <x v="10"/>
  </r>
  <r>
    <s v="ORD_2025_0173"/>
    <s v="Jul-2024"/>
    <s v="Williams, Michael"/>
    <s v="Italy"/>
    <s v="Ceramic Vase"/>
    <s v="Home Decor"/>
    <n v="49"/>
    <n v="22.8"/>
    <n v="1117.2"/>
    <n v="51.06"/>
    <n v="306.64"/>
    <s v="Land"/>
    <s v="Medium"/>
    <s v="EU"/>
    <x v="12"/>
  </r>
  <r>
    <s v="ORD_2025_0174"/>
    <s v="Oct-2024"/>
    <s v="Hernandez, Laura"/>
    <s v="Mexico"/>
    <s v="Travel Backpack"/>
    <s v="Accessories"/>
    <n v="32"/>
    <n v="44.5"/>
    <n v="1424"/>
    <n v="43.92"/>
    <n v="260.08"/>
    <s v="Air"/>
    <s v="Medium"/>
    <s v="NA"/>
    <x v="3"/>
  </r>
  <r>
    <s v="ORD_2025_0175"/>
    <s v="Aug-2024"/>
    <s v="Williams, James"/>
    <s v="Brazil"/>
    <s v="Travel Backpack"/>
    <s v="Accessories"/>
    <n v="43"/>
    <n v="55.74"/>
    <n v="2396.8200000000002"/>
    <n v="63.85"/>
    <n v="827.97"/>
    <s v="Sea"/>
    <s v="High"/>
    <s v="SA"/>
    <x v="7"/>
  </r>
  <r>
    <s v="ORD_2025_0176"/>
    <s v="Oct-2024"/>
    <s v="Miller, Laura"/>
    <s v="Singapore"/>
    <s v="Ceramic Vase"/>
    <s v="Home Decor"/>
    <n v="19"/>
    <n v="25.78"/>
    <n v="489.82"/>
    <n v="28.4"/>
    <n v="166.92"/>
    <s v="Air"/>
    <s v="Medium"/>
    <s v="AS"/>
    <x v="3"/>
  </r>
  <r>
    <s v="ORD_2025_0177"/>
    <s v="Feb-2024"/>
    <s v="Martinez, John"/>
    <s v="Mexico"/>
    <s v="Leather Wallet"/>
    <s v="Accessories"/>
    <n v="43"/>
    <n v="30.43"/>
    <n v="1308.49"/>
    <n v="35.340000000000003"/>
    <n v="499.15"/>
    <s v="Sea"/>
    <s v="Medium"/>
    <s v="NA"/>
    <x v="10"/>
  </r>
  <r>
    <s v="ORD_2025_0178"/>
    <s v="Dec-2024"/>
    <s v="Hernandez, Sarah"/>
    <s v="France"/>
    <s v="Ceramic Vase"/>
    <s v="Home Decor"/>
    <n v="17"/>
    <n v="18.71"/>
    <n v="318.07"/>
    <n v="22.03"/>
    <n v="32.54"/>
    <s v="Air"/>
    <s v="Low"/>
    <s v="EU"/>
    <x v="9"/>
  </r>
  <r>
    <s v="ORD_2025_0179"/>
    <s v="Mar-2024"/>
    <s v="Johnson, Emma"/>
    <s v="China"/>
    <s v="Ceramic Vase"/>
    <s v="Home Decor"/>
    <n v="44"/>
    <n v="23.87"/>
    <n v="1050.28"/>
    <n v="33.51"/>
    <n v="334.77"/>
    <s v="Land"/>
    <s v="Medium"/>
    <s v="AS"/>
    <x v="11"/>
  </r>
  <r>
    <s v="ORD_2025_0180"/>
    <s v="Sep-2024"/>
    <s v="Martinez, Sarah"/>
    <s v="Australia"/>
    <s v="Bluetooth Speaker"/>
    <s v="Electronics"/>
    <n v="12"/>
    <n v="42.91"/>
    <n v="514.91999999999996"/>
    <n v="15.18"/>
    <n v="115.74"/>
    <s v="Air"/>
    <s v="High"/>
    <s v="OC"/>
    <x v="6"/>
  </r>
  <r>
    <s v="ORD_2025_0181"/>
    <s v="Nov-2024"/>
    <s v="Davis, Daniel"/>
    <s v="India"/>
    <s v="Denim Jacket"/>
    <s v="Apparel"/>
    <n v="21"/>
    <n v="50.49"/>
    <n v="1060.29"/>
    <n v="32.340000000000003"/>
    <n v="187.95"/>
    <s v="Air"/>
    <s v="Low"/>
    <s v="AS"/>
    <x v="15"/>
  </r>
  <r>
    <s v="ORD_2025_0182"/>
    <s v="Dec-2024"/>
    <s v="Hernandez, Laura"/>
    <s v="Italy"/>
    <s v="Travel Backpack"/>
    <s v="Accessories"/>
    <n v="41"/>
    <n v="43.18"/>
    <n v="1770.38"/>
    <n v="128.4"/>
    <n v="206.98"/>
    <s v="Sea"/>
    <s v="High"/>
    <s v="EU"/>
    <x v="9"/>
  </r>
  <r>
    <s v="ORD_2025_0183"/>
    <s v="Mar-2024"/>
    <s v="Jones, Laura"/>
    <s v="Australia"/>
    <s v="LED Lamp"/>
    <s v="Electronics"/>
    <n v="37"/>
    <n v="19.8"/>
    <n v="732.6"/>
    <n v="54.68"/>
    <n v="206.17"/>
    <s v="Land"/>
    <s v="Medium"/>
    <s v="OC"/>
    <x v="11"/>
  </r>
  <r>
    <s v="ORD_2025_0184"/>
    <s v="Mar-2024"/>
    <s v="Miller, Emma"/>
    <s v="Mexico"/>
    <s v="LED Lamp"/>
    <s v="Electronics"/>
    <n v="4"/>
    <n v="18.059999999999999"/>
    <n v="72.239999999999995"/>
    <n v="4.66"/>
    <n v="16.579999999999998"/>
    <s v="Land"/>
    <s v="Low"/>
    <s v="NA"/>
    <x v="11"/>
  </r>
  <r>
    <s v="ORD_2025_0185"/>
    <s v="Dec-2024"/>
    <s v="Martinez, John"/>
    <s v="Usa"/>
    <s v="Travel Backpack"/>
    <s v="Accessories"/>
    <n v="40"/>
    <n v="55.59"/>
    <n v="2223.6"/>
    <n v="74.569999999999993"/>
    <n v="749.03"/>
    <s v="Land"/>
    <s v="Low"/>
    <s v="NA"/>
    <x v="9"/>
  </r>
  <r>
    <s v="ORD_2025_0186"/>
    <s v="Apr-2025"/>
    <s v="Smith, Emily"/>
    <s v="Japan"/>
    <s v="Cotton Bedsheet"/>
    <s v="Textiles"/>
    <n v="5"/>
    <n v="31.58"/>
    <n v="157.9"/>
    <n v="3.73"/>
    <n v="29.17"/>
    <s v="Land"/>
    <s v="Medium"/>
    <s v="AS"/>
    <x v="8"/>
  </r>
  <r>
    <s v="ORD_2025_0187"/>
    <s v="Apr-2024"/>
    <s v="Miller, David"/>
    <s v="Canada"/>
    <s v="Leather Wallet"/>
    <s v="Accessories"/>
    <n v="50"/>
    <n v="26.67"/>
    <n v="1333.5"/>
    <n v="80.150000000000006"/>
    <n v="353.35"/>
    <s v="Air"/>
    <s v="Low"/>
    <s v="NA"/>
    <x v="2"/>
  </r>
  <r>
    <s v="ORD_2025_0188"/>
    <s v="Mar-2024"/>
    <s v="Johnson, David"/>
    <s v="Singapore"/>
    <s v="Ceramic Vase"/>
    <s v="Home Decor"/>
    <n v="17"/>
    <n v="20.68"/>
    <n v="351.56"/>
    <n v="18.47"/>
    <n v="69.59"/>
    <s v="Air"/>
    <s v="Medium"/>
    <s v="AS"/>
    <x v="11"/>
  </r>
  <r>
    <s v="ORD_2025_0189"/>
    <s v="Apr-2025"/>
    <s v="Davis, Sophia"/>
    <s v="South Africa"/>
    <s v="Travel Backpack"/>
    <s v="Accessories"/>
    <n v="29"/>
    <n v="55.19"/>
    <n v="1600.51"/>
    <n v="103.06"/>
    <n v="482.45"/>
    <s v="Land"/>
    <s v="High"/>
    <s v="AF"/>
    <x v="8"/>
  </r>
  <r>
    <s v="ORD_2025_0190"/>
    <s v="Apr-2024"/>
    <s v="Garcia, Daniel"/>
    <s v="Singapore"/>
    <s v="Travel Backpack"/>
    <s v="Accessories"/>
    <n v="34"/>
    <n v="61.62"/>
    <n v="2095.08"/>
    <n v="80.13"/>
    <n v="824.95"/>
    <s v="Sea"/>
    <s v="Low"/>
    <s v="AS"/>
    <x v="2"/>
  </r>
  <r>
    <s v="ORD_2025_0191"/>
    <s v="Nov-2024"/>
    <s v="Garcia, Michael"/>
    <s v="Mexico"/>
    <s v="Glass Bowl Set"/>
    <s v="Home Decor"/>
    <n v="10"/>
    <n v="40.03"/>
    <n v="400.3"/>
    <n v="25.8"/>
    <n v="149.5"/>
    <s v="Air"/>
    <s v="Low"/>
    <s v="NA"/>
    <x v="15"/>
  </r>
  <r>
    <s v="ORD_2025_0192"/>
    <s v="Mar-2025"/>
    <s v="Smith, Sarah"/>
    <s v="Uae"/>
    <s v="Wireless Mouse"/>
    <s v="Electronics"/>
    <n v="23"/>
    <n v="31.3"/>
    <n v="719.9"/>
    <n v="47.88"/>
    <n v="212.02"/>
    <s v="Sea"/>
    <s v="Medium"/>
    <s v="AS"/>
    <x v="13"/>
  </r>
  <r>
    <s v="ORD_2025_0193"/>
    <s v="May-2025"/>
    <s v="Johnson, Sarah"/>
    <s v="Mexico"/>
    <s v="Travel Backpack"/>
    <s v="Accessories"/>
    <n v="37"/>
    <n v="50.39"/>
    <n v="1864.43"/>
    <n v="60.06"/>
    <n v="509.37"/>
    <s v="Sea"/>
    <s v="Medium"/>
    <s v="NA"/>
    <x v="5"/>
  </r>
  <r>
    <s v="ORD_2025_0194"/>
    <s v="Dec-2024"/>
    <s v="Jones, Daniel"/>
    <s v="Usa"/>
    <s v="LED Lamp"/>
    <s v="Electronics"/>
    <n v="38"/>
    <n v="16.97"/>
    <n v="644.86"/>
    <n v="40"/>
    <n v="120.36"/>
    <s v="Air"/>
    <s v="Low"/>
    <s v="NA"/>
    <x v="9"/>
  </r>
  <r>
    <s v="ORD_2025_0195"/>
    <s v="Jul-2024"/>
    <s v="Miller, Sarah"/>
    <s v="South Africa"/>
    <s v="Wireless Mouse"/>
    <s v="Electronics"/>
    <n v="2"/>
    <n v="35.92"/>
    <n v="71.84"/>
    <n v="2.34"/>
    <n v="29.5"/>
    <s v="Air"/>
    <s v="Medium"/>
    <s v="AF"/>
    <x v="12"/>
  </r>
  <r>
    <s v="ORD_2025_0196"/>
    <s v="May-2024"/>
    <s v="Martinez, Laura"/>
    <s v="Brazil"/>
    <s v="Wireless Mouse"/>
    <s v="Electronics"/>
    <n v="48"/>
    <n v="31.87"/>
    <n v="1529.76"/>
    <n v="89.85"/>
    <n v="479.91"/>
    <s v="Air"/>
    <s v="Low"/>
    <s v="SA"/>
    <x v="14"/>
  </r>
  <r>
    <s v="ORD_2025_0197"/>
    <s v="Dec-2024"/>
    <s v="Johnson, David"/>
    <s v="Australia"/>
    <s v="Denim Jacket"/>
    <s v="Apparel"/>
    <n v="46"/>
    <n v="70"/>
    <n v="3220"/>
    <n v="160.11000000000001"/>
    <n v="1219.8900000000001"/>
    <s v="Sea"/>
    <s v="Medium"/>
    <s v="OC"/>
    <x v="9"/>
  </r>
  <r>
    <s v="ORD_2025_0198"/>
    <s v="Apr-2025"/>
    <s v="Jones, Emily"/>
    <s v="Singapore"/>
    <s v="Travel Backpack"/>
    <s v="Accessories"/>
    <n v="45"/>
    <n v="57.7"/>
    <n v="2596.5"/>
    <n v="102.52"/>
    <n v="918.98"/>
    <s v="Sea"/>
    <s v="Low"/>
    <s v="AS"/>
    <x v="8"/>
  </r>
  <r>
    <s v="ORD_2025_0199"/>
    <s v="May-2025"/>
    <s v="Smith, Michael"/>
    <s v="Japan"/>
    <s v="LED Lamp"/>
    <s v="Electronics"/>
    <n v="23"/>
    <n v="20.23"/>
    <n v="465.29"/>
    <n v="17.29"/>
    <n v="154.75"/>
    <s v="Air"/>
    <s v="Low"/>
    <s v="AS"/>
    <x v="5"/>
  </r>
  <r>
    <s v="ORD_2025_0200"/>
    <s v="Apr-2025"/>
    <s v="Martinez, Sarah"/>
    <s v="Italy"/>
    <s v="Leather Wallet"/>
    <s v="Accessories"/>
    <n v="10"/>
    <n v="22.96"/>
    <n v="229.6"/>
    <n v="18.260000000000002"/>
    <n v="31.34"/>
    <s v="Land"/>
    <s v="High"/>
    <s v="EU"/>
    <x v="8"/>
  </r>
  <r>
    <s v="ORD_2025_0201"/>
    <s v="Aug-2024"/>
    <s v="Jones, Sarah"/>
    <s v="Brazil"/>
    <s v="Travel Backpack"/>
    <s v="Accessories"/>
    <n v="40"/>
    <n v="54.84"/>
    <n v="2193.6"/>
    <n v="89.26"/>
    <n v="704.34"/>
    <s v="Sea"/>
    <s v="Low"/>
    <s v="SA"/>
    <x v="7"/>
  </r>
  <r>
    <s v="ORD_2025_0202"/>
    <s v="Apr-2024"/>
    <s v="Brown, Daniel"/>
    <s v="Singapore"/>
    <s v="Cotton Bedsheet"/>
    <s v="Textiles"/>
    <n v="7"/>
    <n v="36.43"/>
    <n v="255.01"/>
    <n v="6.3"/>
    <n v="73.709999999999994"/>
    <s v="Land"/>
    <s v="Medium"/>
    <s v="AS"/>
    <x v="2"/>
  </r>
  <r>
    <s v="ORD_2025_0203"/>
    <s v="Mar-2025"/>
    <s v="Miller, Sarah"/>
    <s v="Mexico"/>
    <s v="LED Lamp"/>
    <s v="Electronics"/>
    <n v="39"/>
    <n v="19.48"/>
    <n v="759.72"/>
    <n v="40.090000000000003"/>
    <n v="222.38"/>
    <s v="Air"/>
    <s v="Medium"/>
    <s v="NA"/>
    <x v="13"/>
  </r>
  <r>
    <s v="ORD_2025_0204"/>
    <s v="Feb-2024"/>
    <s v="Brown, James"/>
    <s v="South Africa"/>
    <s v="Glass Bowl Set"/>
    <s v="Home Decor"/>
    <n v="35"/>
    <n v="38.83"/>
    <n v="1359.05"/>
    <n v="93.92"/>
    <n v="477.63"/>
    <s v="Air"/>
    <s v="Medium"/>
    <s v="AF"/>
    <x v="10"/>
  </r>
  <r>
    <s v="ORD_2025_0205"/>
    <s v="Oct-2024"/>
    <s v="Johnson, Daniel"/>
    <s v="China"/>
    <s v="Wireless Mouse"/>
    <s v="Electronics"/>
    <n v="39"/>
    <n v="32.76"/>
    <n v="1277.6400000000001"/>
    <n v="35.81"/>
    <n v="461.83"/>
    <s v="Sea"/>
    <s v="High"/>
    <s v="AS"/>
    <x v="3"/>
  </r>
  <r>
    <s v="ORD_2025_0206"/>
    <s v="Jan-2025"/>
    <s v="Davis, Emma"/>
    <s v="Usa"/>
    <s v="Bluetooth Speaker"/>
    <s v="Electronics"/>
    <n v="8"/>
    <n v="39.869999999999997"/>
    <n v="318.95999999999998"/>
    <n v="15.95"/>
    <n v="47.01"/>
    <s v="Air"/>
    <s v="High"/>
    <s v="NA"/>
    <x v="0"/>
  </r>
  <r>
    <s v="ORD_2025_0207"/>
    <s v="Apr-2025"/>
    <s v="Brown, Emily"/>
    <s v="Uae"/>
    <s v="Denim Jacket"/>
    <s v="Apparel"/>
    <n v="10"/>
    <n v="63.1"/>
    <n v="631"/>
    <n v="26.93"/>
    <n v="204.07"/>
    <s v="Sea"/>
    <s v="Medium"/>
    <s v="AS"/>
    <x v="8"/>
  </r>
  <r>
    <s v="ORD_2025_0208"/>
    <s v="May-2024"/>
    <s v="Jones, Laura"/>
    <s v="Germany"/>
    <s v="Bluetooth Speaker"/>
    <s v="Electronics"/>
    <n v="3"/>
    <n v="55.1"/>
    <n v="165.3"/>
    <n v="9.17"/>
    <n v="60.13"/>
    <s v="Land"/>
    <s v="Low"/>
    <s v="EU"/>
    <x v="14"/>
  </r>
  <r>
    <s v="ORD_2025_0209"/>
    <s v="Feb-2024"/>
    <s v="Smith, Emma"/>
    <s v="India"/>
    <s v="Ceramic Vase"/>
    <s v="Home Decor"/>
    <n v="26"/>
    <n v="19.809999999999999"/>
    <n v="515.05999999999995"/>
    <n v="10.3"/>
    <n v="101.76"/>
    <s v="Air"/>
    <s v="Medium"/>
    <s v="AS"/>
    <x v="10"/>
  </r>
  <r>
    <s v="ORD_2025_0210"/>
    <s v="Apr-2025"/>
    <s v="Garcia, Sophia"/>
    <s v="Uae"/>
    <s v="Denim Jacket"/>
    <s v="Apparel"/>
    <n v="17"/>
    <n v="53.34"/>
    <n v="906.78"/>
    <n v="30.6"/>
    <n v="196.18"/>
    <s v="Land"/>
    <s v="Medium"/>
    <s v="AS"/>
    <x v="8"/>
  </r>
  <r>
    <s v="ORD_2025_0211"/>
    <s v="Jul-2024"/>
    <s v="Hernandez, Sophia"/>
    <s v="China"/>
    <s v="Wireless Mouse"/>
    <s v="Electronics"/>
    <n v="17"/>
    <n v="28.23"/>
    <n v="479.91"/>
    <n v="31.88"/>
    <n v="108.03"/>
    <s v="Sea"/>
    <s v="Low"/>
    <s v="AS"/>
    <x v="12"/>
  </r>
  <r>
    <s v="ORD_2025_0212"/>
    <s v="Mar-2024"/>
    <s v="Brown, David"/>
    <s v="Germany"/>
    <s v="Leather Wallet"/>
    <s v="Accessories"/>
    <n v="42"/>
    <n v="25.26"/>
    <n v="1060.92"/>
    <n v="77.05"/>
    <n v="227.87"/>
    <s v="Land"/>
    <s v="High"/>
    <s v="EU"/>
    <x v="11"/>
  </r>
  <r>
    <s v="ORD_2025_0213"/>
    <s v="Sep-2024"/>
    <s v="Garcia, Sarah"/>
    <s v="India"/>
    <s v="Leather Wallet"/>
    <s v="Accessories"/>
    <n v="2"/>
    <n v="27.27"/>
    <n v="54.54"/>
    <n v="1.45"/>
    <n v="17.09"/>
    <s v="Land"/>
    <s v="High"/>
    <s v="AS"/>
    <x v="6"/>
  </r>
  <r>
    <s v="ORD_2025_0214"/>
    <s v="Nov-2024"/>
    <s v="Martinez, Emily"/>
    <s v="Uae"/>
    <s v="Table Lamp"/>
    <s v="Home Decor"/>
    <n v="48"/>
    <n v="44.95"/>
    <n v="2157.6"/>
    <n v="148.41"/>
    <n v="665.19"/>
    <s v="Land"/>
    <s v="Low"/>
    <s v="AS"/>
    <x v="15"/>
  </r>
  <r>
    <s v="ORD_2025_0215"/>
    <s v="Apr-2025"/>
    <s v="Brown, David"/>
    <s v="Singapore"/>
    <s v="Wireless Mouse"/>
    <s v="Electronics"/>
    <n v="23"/>
    <n v="28.6"/>
    <n v="657.8"/>
    <n v="13.36"/>
    <n v="184.44"/>
    <s v="Land"/>
    <s v="High"/>
    <s v="AS"/>
    <x v="8"/>
  </r>
  <r>
    <s v="ORD_2025_0216"/>
    <s v="Nov-2024"/>
    <s v="Garcia, Sophia"/>
    <s v="France"/>
    <s v="Ceramic Vase"/>
    <s v="Home Decor"/>
    <n v="18"/>
    <n v="26.1"/>
    <n v="469.8"/>
    <n v="19.52"/>
    <n v="171.28"/>
    <s v="Air"/>
    <s v="Low"/>
    <s v="EU"/>
    <x v="15"/>
  </r>
  <r>
    <s v="ORD_2025_0217"/>
    <s v="Oct-2024"/>
    <s v="Johnson, John"/>
    <s v="Mexico"/>
    <s v="Table Lamp"/>
    <s v="Home Decor"/>
    <n v="21"/>
    <n v="37.450000000000003"/>
    <n v="786.45"/>
    <n v="62.4"/>
    <n v="136.05000000000001"/>
    <s v="Land"/>
    <s v="High"/>
    <s v="NA"/>
    <x v="3"/>
  </r>
  <r>
    <s v="ORD_2025_0218"/>
    <s v="Dec-2024"/>
    <s v="Miller, Emma"/>
    <s v="Singapore"/>
    <s v="Wireless Mouse"/>
    <s v="Electronics"/>
    <n v="25"/>
    <n v="28.54"/>
    <n v="713.5"/>
    <n v="50.38"/>
    <n v="163.12"/>
    <s v="Land"/>
    <s v="Low"/>
    <s v="AS"/>
    <x v="9"/>
  </r>
  <r>
    <s v="ORD_2025_0219"/>
    <s v="Feb-2025"/>
    <s v="Hernandez, John"/>
    <s v="Usa"/>
    <s v="Cotton Bedsheet"/>
    <s v="Textiles"/>
    <n v="11"/>
    <n v="38.07"/>
    <n v="418.77"/>
    <n v="29.02"/>
    <n v="114.75"/>
    <s v="Sea"/>
    <s v="Low"/>
    <s v="NA"/>
    <x v="1"/>
  </r>
  <r>
    <s v="ORD_2025_0220"/>
    <s v="Oct-2024"/>
    <s v="Brown, Sophia"/>
    <s v="Canada"/>
    <s v="Ceramic Vase"/>
    <s v="Home Decor"/>
    <n v="18"/>
    <n v="19.32"/>
    <n v="347.76"/>
    <n v="21.34"/>
    <n v="47.42"/>
    <s v="Sea"/>
    <s v="Low"/>
    <s v="NA"/>
    <x v="3"/>
  </r>
  <r>
    <s v="ORD_2025_0221"/>
    <s v="Jun-2024"/>
    <s v="Martinez, James"/>
    <s v="Uk"/>
    <s v="Table Lamp"/>
    <s v="Home Decor"/>
    <n v="42"/>
    <n v="50.02"/>
    <n v="2100.84"/>
    <n v="89.65"/>
    <n v="835.19"/>
    <s v="Sea"/>
    <s v="Medium"/>
    <s v="EU"/>
    <x v="4"/>
  </r>
  <r>
    <s v="ORD_2025_0222"/>
    <s v="Jan-2025"/>
    <s v="Smith, James"/>
    <s v="Australia"/>
    <s v="Table Lamp"/>
    <s v="Home Decor"/>
    <n v="13"/>
    <n v="49.39"/>
    <n v="642.07000000000005"/>
    <n v="38.32"/>
    <n v="239.75"/>
    <s v="Sea"/>
    <s v="Low"/>
    <s v="OC"/>
    <x v="0"/>
  </r>
  <r>
    <s v="ORD_2025_0223"/>
    <s v="May-2025"/>
    <s v="Miller, David"/>
    <s v="Uk"/>
    <s v="Leather Wallet"/>
    <s v="Accessories"/>
    <n v="15"/>
    <n v="22.86"/>
    <n v="342.9"/>
    <n v="27.16"/>
    <n v="45.74"/>
    <s v="Air"/>
    <s v="High"/>
    <s v="EU"/>
    <x v="5"/>
  </r>
  <r>
    <s v="ORD_2025_0224"/>
    <s v="Sep-2024"/>
    <s v="Johnson, John"/>
    <s v="India"/>
    <s v="Cotton Bedsheet"/>
    <s v="Textiles"/>
    <n v="37"/>
    <n v="37.270000000000003"/>
    <n v="1378.99"/>
    <n v="92.92"/>
    <n v="361.07"/>
    <s v="Land"/>
    <s v="Low"/>
    <s v="AS"/>
    <x v="6"/>
  </r>
  <r>
    <s v="ORD_2025_0225"/>
    <s v="Mar-2024"/>
    <s v="Johnson, Michael"/>
    <s v="France"/>
    <s v="Travel Backpack"/>
    <s v="Accessories"/>
    <n v="49"/>
    <n v="54.05"/>
    <n v="2648.45"/>
    <n v="66.8"/>
    <n v="866.65"/>
    <s v="Air"/>
    <s v="Low"/>
    <s v="EU"/>
    <x v="11"/>
  </r>
  <r>
    <s v="ORD_2025_0226"/>
    <s v="Aug-2024"/>
    <s v="Jones, Emma"/>
    <s v="Uk"/>
    <s v="LED Lamp"/>
    <s v="Electronics"/>
    <n v="33"/>
    <n v="20.059999999999999"/>
    <n v="661.98"/>
    <n v="50.02"/>
    <n v="191.21"/>
    <s v="Air"/>
    <s v="Medium"/>
    <s v="EU"/>
    <x v="7"/>
  </r>
  <r>
    <s v="ORD_2025_0227"/>
    <s v="Nov-2024"/>
    <s v="Miller, Sarah"/>
    <s v="Germany"/>
    <s v="Table Lamp"/>
    <s v="Home Decor"/>
    <n v="49"/>
    <n v="35.68"/>
    <n v="1748.32"/>
    <n v="124.47"/>
    <n v="251.85"/>
    <s v="Air"/>
    <s v="High"/>
    <s v="EU"/>
    <x v="15"/>
  </r>
  <r>
    <s v="ORD_2025_0228"/>
    <s v="Mar-2025"/>
    <s v="Davis, John"/>
    <s v="India"/>
    <s v="Cotton Bedsheet"/>
    <s v="Textiles"/>
    <n v="23"/>
    <n v="30.89"/>
    <n v="710.47"/>
    <n v="18.739999999999998"/>
    <n v="116.73"/>
    <s v="Sea"/>
    <s v="Low"/>
    <s v="AS"/>
    <x v="13"/>
  </r>
  <r>
    <s v="ORD_2025_0229"/>
    <s v="Oct-2024"/>
    <s v="Miller, Daniel"/>
    <s v="France"/>
    <s v="Travel Backpack"/>
    <s v="Accessories"/>
    <n v="14"/>
    <n v="59.6"/>
    <n v="834.4"/>
    <n v="19.11"/>
    <n v="325.29000000000002"/>
    <s v="Sea"/>
    <s v="Medium"/>
    <s v="EU"/>
    <x v="3"/>
  </r>
  <r>
    <s v="ORD_2025_0230"/>
    <s v="Feb-2025"/>
    <s v="Jones, Emily"/>
    <s v="Germany"/>
    <s v="Glass Bowl Set"/>
    <s v="Home Decor"/>
    <n v="3"/>
    <n v="28.36"/>
    <n v="85.08"/>
    <n v="4.46"/>
    <n v="13.12"/>
    <s v="Land"/>
    <s v="Medium"/>
    <s v="EU"/>
    <x v="1"/>
  </r>
  <r>
    <s v="ORD_2025_0231"/>
    <s v="Nov-2024"/>
    <s v="Smith, Daniel"/>
    <s v="Germany"/>
    <s v="LED Lamp"/>
    <s v="Electronics"/>
    <n v="28"/>
    <n v="22.13"/>
    <n v="619.64"/>
    <n v="17.2"/>
    <n v="245.44"/>
    <s v="Sea"/>
    <s v="High"/>
    <s v="EU"/>
    <x v="15"/>
  </r>
  <r>
    <s v="ORD_2025_0232"/>
    <s v="Dec-2024"/>
    <s v="Hernandez, Daniel"/>
    <s v="Usa"/>
    <s v="Leather Wallet"/>
    <s v="Accessories"/>
    <n v="28"/>
    <n v="27.62"/>
    <n v="773.36"/>
    <n v="29.88"/>
    <n v="239.48"/>
    <s v="Land"/>
    <s v="Low"/>
    <s v="NA"/>
    <x v="9"/>
  </r>
  <r>
    <s v="ORD_2025_0233"/>
    <s v="Mar-2025"/>
    <s v="Martinez, Sarah"/>
    <s v="Canada"/>
    <s v="Cotton Bedsheet"/>
    <s v="Textiles"/>
    <n v="40"/>
    <n v="34.229999999999997"/>
    <n v="1369.2"/>
    <n v="78.03"/>
    <n v="291.17"/>
    <s v="Land"/>
    <s v="Low"/>
    <s v="NA"/>
    <x v="13"/>
  </r>
  <r>
    <s v="ORD_2025_0234"/>
    <s v="Jan-2025"/>
    <s v="Miller, Sophia"/>
    <s v="Japan"/>
    <s v="Denim Jacket"/>
    <s v="Apparel"/>
    <n v="9"/>
    <n v="52.2"/>
    <n v="469.8"/>
    <n v="31.5"/>
    <n v="78.3"/>
    <s v="Air"/>
    <s v="High"/>
    <s v="AS"/>
    <x v="0"/>
  </r>
  <r>
    <s v="ORD_2025_0235"/>
    <s v="Mar-2025"/>
    <s v="Hernandez, Daniel"/>
    <s v="France"/>
    <s v="Cotton Bedsheet"/>
    <s v="Textiles"/>
    <n v="31"/>
    <n v="43.54"/>
    <n v="1349.74"/>
    <n v="99.86"/>
    <n v="474.88"/>
    <s v="Land"/>
    <s v="Medium"/>
    <s v="EU"/>
    <x v="13"/>
  </r>
  <r>
    <s v="ORD_2025_0236"/>
    <s v="May-2025"/>
    <s v="Williams, Laura"/>
    <s v="Uae"/>
    <s v="Ceramic Vase"/>
    <s v="Home Decor"/>
    <n v="31"/>
    <n v="18.63"/>
    <n v="577.53"/>
    <n v="36.65"/>
    <n v="60.38"/>
    <s v="Air"/>
    <s v="Low"/>
    <s v="AS"/>
    <x v="5"/>
  </r>
  <r>
    <s v="ORD_2025_0237"/>
    <s v="Feb-2024"/>
    <s v="Jones, Daniel"/>
    <s v="Japan"/>
    <s v="Wireless Mouse"/>
    <s v="Electronics"/>
    <n v="38"/>
    <n v="27.28"/>
    <n v="1036.6400000000001"/>
    <n v="38.770000000000003"/>
    <n v="237.87"/>
    <s v="Land"/>
    <s v="High"/>
    <s v="AS"/>
    <x v="10"/>
  </r>
  <r>
    <s v="ORD_2025_0238"/>
    <s v="Nov-2024"/>
    <s v="Miller, Sarah"/>
    <s v="Brazil"/>
    <s v="Leather Wallet"/>
    <s v="Accessories"/>
    <n v="50"/>
    <n v="30.97"/>
    <n v="1548.5"/>
    <n v="82.09"/>
    <n v="566.41"/>
    <s v="Sea"/>
    <s v="Medium"/>
    <s v="SA"/>
    <x v="15"/>
  </r>
  <r>
    <s v="ORD_2025_0239"/>
    <s v="Feb-2024"/>
    <s v="Williams, David"/>
    <s v="Japan"/>
    <s v="Denim Jacket"/>
    <s v="Apparel"/>
    <n v="17"/>
    <n v="60.91"/>
    <n v="1035.47"/>
    <n v="54.09"/>
    <n v="301.38"/>
    <s v="Air"/>
    <s v="Low"/>
    <s v="AS"/>
    <x v="10"/>
  </r>
  <r>
    <s v="ORD_2025_0240"/>
    <s v="May-2025"/>
    <s v="Johnson, Sophia"/>
    <s v="China"/>
    <s v="Wireless Mouse"/>
    <s v="Electronics"/>
    <n v="25"/>
    <n v="31.15"/>
    <n v="778.75"/>
    <n v="47.45"/>
    <n v="231.3"/>
    <s v="Land"/>
    <s v="High"/>
    <s v="AS"/>
    <x v="5"/>
  </r>
  <r>
    <s v="ORD_2025_0241"/>
    <s v="Jul-2024"/>
    <s v="Brown, John"/>
    <s v="France"/>
    <s v="Leather Wallet"/>
    <s v="Accessories"/>
    <n v="30"/>
    <n v="31.12"/>
    <n v="933.6"/>
    <n v="50.88"/>
    <n v="342.72"/>
    <s v="Sea"/>
    <s v="Medium"/>
    <s v="EU"/>
    <x v="12"/>
  </r>
  <r>
    <s v="ORD_2025_0242"/>
    <s v="Feb-2025"/>
    <s v="Hernandez, John"/>
    <s v="Mexico"/>
    <s v="Ceramic Vase"/>
    <s v="Home Decor"/>
    <n v="17"/>
    <n v="19.64"/>
    <n v="333.88"/>
    <n v="22.23"/>
    <n v="48.15"/>
    <s v="Air"/>
    <s v="High"/>
    <s v="NA"/>
    <x v="1"/>
  </r>
  <r>
    <s v="ORD_2025_0243"/>
    <s v="Jun-2024"/>
    <s v="Johnson, Laura"/>
    <s v="Usa"/>
    <s v="Bluetooth Speaker"/>
    <s v="Electronics"/>
    <n v="37"/>
    <n v="57.35"/>
    <n v="2121.9499999999998"/>
    <n v="147.38999999999999"/>
    <n v="790.56"/>
    <s v="Land"/>
    <s v="Low"/>
    <s v="NA"/>
    <x v="4"/>
  </r>
  <r>
    <s v="ORD_2025_0244"/>
    <s v="Feb-2025"/>
    <s v="Smith, Emily"/>
    <s v="Italy"/>
    <s v="Travel Backpack"/>
    <s v="Accessories"/>
    <n v="45"/>
    <n v="42.6"/>
    <n v="1917"/>
    <n v="104.27"/>
    <n v="237.73"/>
    <s v="Sea"/>
    <s v="High"/>
    <s v="EU"/>
    <x v="1"/>
  </r>
  <r>
    <s v="ORD_2025_0245"/>
    <s v="Jun-2024"/>
    <s v="Brown, Michael"/>
    <s v="Uk"/>
    <s v="Wireless Mouse"/>
    <s v="Electronics"/>
    <n v="25"/>
    <n v="31.82"/>
    <n v="795.5"/>
    <n v="37.33"/>
    <n v="258.17"/>
    <s v="Land"/>
    <s v="Medium"/>
    <s v="EU"/>
    <x v="4"/>
  </r>
  <r>
    <s v="ORD_2025_0246"/>
    <s v="May-2025"/>
    <s v="Williams, Emma"/>
    <s v="India"/>
    <s v="Cotton Bedsheet"/>
    <s v="Textiles"/>
    <n v="17"/>
    <n v="36.270000000000003"/>
    <n v="616.59"/>
    <n v="22.76"/>
    <n v="168.83"/>
    <s v="Air"/>
    <s v="Low"/>
    <s v="AS"/>
    <x v="5"/>
  </r>
  <r>
    <s v="ORD_2025_0247"/>
    <s v="Nov-2024"/>
    <s v="Garcia, Emma"/>
    <s v="Uae"/>
    <s v="Leather Wallet"/>
    <s v="Accessories"/>
    <n v="4"/>
    <n v="27.01"/>
    <n v="108.04"/>
    <n v="4.7300000000000004"/>
    <n v="31.31"/>
    <s v="Air"/>
    <s v="High"/>
    <s v="AS"/>
    <x v="15"/>
  </r>
  <r>
    <s v="ORD_2025_0248"/>
    <s v="May-2024"/>
    <s v="Martinez, Emily"/>
    <s v="Mexico"/>
    <s v="Travel Backpack"/>
    <s v="Accessories"/>
    <n v="22"/>
    <n v="57.6"/>
    <n v="1267.2"/>
    <n v="35.32"/>
    <n v="461.88"/>
    <s v="Air"/>
    <s v="Low"/>
    <s v="NA"/>
    <x v="14"/>
  </r>
  <r>
    <s v="ORD_2025_0249"/>
    <s v="Jan-2024"/>
    <s v="Brown, Emily"/>
    <s v="Germany"/>
    <s v="Cotton Bedsheet"/>
    <s v="Textiles"/>
    <n v="24"/>
    <n v="43.34"/>
    <n v="1040.1600000000001"/>
    <n v="41.18"/>
    <n v="398.98"/>
    <s v="Land"/>
    <s v="High"/>
    <s v="EU"/>
    <x v="16"/>
  </r>
  <r>
    <s v="ORD_2025_0250"/>
    <s v="Feb-2025"/>
    <s v="Brown, Daniel"/>
    <s v="Mexico"/>
    <s v="Denim Jacket"/>
    <s v="Apparel"/>
    <n v="37"/>
    <n v="71.8"/>
    <n v="2656.6"/>
    <n v="60.3"/>
    <n v="1116.3"/>
    <s v="Sea"/>
    <s v="Low"/>
    <s v="NA"/>
    <x v="1"/>
  </r>
  <r>
    <s v="ORD_2025_0251"/>
    <s v="Jun-2024"/>
    <s v="Johnson, Laura"/>
    <s v="Uae"/>
    <s v="Wireless Mouse"/>
    <s v="Electronics"/>
    <n v="24"/>
    <n v="29.11"/>
    <n v="698.64"/>
    <n v="53.99"/>
    <n v="164.65"/>
    <s v="Air"/>
    <s v="High"/>
    <s v="AS"/>
    <x v="4"/>
  </r>
  <r>
    <s v="ORD_2025_0252"/>
    <s v="Jan-2024"/>
    <s v="Smith, John"/>
    <s v="Japan"/>
    <s v="Glass Bowl Set"/>
    <s v="Home Decor"/>
    <n v="6"/>
    <n v="27.91"/>
    <n v="167.46"/>
    <n v="10.01"/>
    <n v="22.45"/>
    <s v="Land"/>
    <s v="Low"/>
    <s v="AS"/>
    <x v="16"/>
  </r>
  <r>
    <s v="ORD_2025_0253"/>
    <s v="Feb-2024"/>
    <s v="Miller, Daniel"/>
    <s v="China"/>
    <s v="Glass Bowl Set"/>
    <s v="Home Decor"/>
    <n v="28"/>
    <n v="27.29"/>
    <n v="764.12"/>
    <n v="25.78"/>
    <n v="108.34"/>
    <s v="Air"/>
    <s v="Low"/>
    <s v="AS"/>
    <x v="10"/>
  </r>
  <r>
    <s v="ORD_2025_0254"/>
    <s v="Feb-2024"/>
    <s v="Davis, Daniel"/>
    <s v="Mexico"/>
    <s v="Glass Bowl Set"/>
    <s v="Home Decor"/>
    <n v="47"/>
    <n v="35.880000000000003"/>
    <n v="1686.36"/>
    <n v="70.3"/>
    <n v="558.55999999999995"/>
    <s v="Land"/>
    <s v="Medium"/>
    <s v="NA"/>
    <x v="10"/>
  </r>
  <r>
    <s v="ORD_2025_0255"/>
    <s v="Jun-2024"/>
    <s v="Davis, Emily"/>
    <s v="France"/>
    <s v="Ceramic Vase"/>
    <s v="Home Decor"/>
    <n v="19"/>
    <n v="27.47"/>
    <n v="521.92999999999995"/>
    <n v="31.29"/>
    <n v="196.14"/>
    <s v="Sea"/>
    <s v="High"/>
    <s v="EU"/>
    <x v="4"/>
  </r>
  <r>
    <s v="ORD_2025_0256"/>
    <s v="Nov-2024"/>
    <s v="Smith, Daniel"/>
    <s v="Australia"/>
    <s v="Wireless Mouse"/>
    <s v="Electronics"/>
    <n v="13"/>
    <n v="29.26"/>
    <n v="380.38"/>
    <n v="9.4700000000000006"/>
    <n v="110.91"/>
    <s v="Sea"/>
    <s v="High"/>
    <s v="OC"/>
    <x v="15"/>
  </r>
  <r>
    <s v="ORD_2025_0257"/>
    <s v="Jan-2025"/>
    <s v="Miller, James"/>
    <s v="Germany"/>
    <s v="Leather Wallet"/>
    <s v="Accessories"/>
    <n v="4"/>
    <n v="26.17"/>
    <n v="104.68"/>
    <n v="6.33"/>
    <n v="26.35"/>
    <s v="Land"/>
    <s v="Medium"/>
    <s v="EU"/>
    <x v="0"/>
  </r>
  <r>
    <s v="ORD_2025_0258"/>
    <s v="Jan-2024"/>
    <s v="Brown, Daniel"/>
    <s v="Germany"/>
    <s v="Glass Bowl Set"/>
    <s v="Home Decor"/>
    <n v="43"/>
    <n v="37.32"/>
    <n v="1604.76"/>
    <n v="61.01"/>
    <n v="576.25"/>
    <s v="Land"/>
    <s v="Medium"/>
    <s v="EU"/>
    <x v="16"/>
  </r>
  <r>
    <s v="ORD_2025_0259"/>
    <s v="Sep-2024"/>
    <s v="Martinez, David"/>
    <s v="South Africa"/>
    <s v="Leather Wallet"/>
    <s v="Accessories"/>
    <n v="27"/>
    <n v="23.05"/>
    <n v="622.35"/>
    <n v="20.440000000000001"/>
    <n v="115.91"/>
    <s v="Air"/>
    <s v="Medium"/>
    <s v="AF"/>
    <x v="6"/>
  </r>
  <r>
    <s v="ORD_2025_0260"/>
    <s v="Oct-2024"/>
    <s v="Williams, Sophia"/>
    <s v="Japan"/>
    <s v="LED Lamp"/>
    <s v="Electronics"/>
    <n v="38"/>
    <n v="19.02"/>
    <n v="722.76"/>
    <n v="14.63"/>
    <n v="223.63"/>
    <s v="Sea"/>
    <s v="Medium"/>
    <s v="AS"/>
    <x v="3"/>
  </r>
  <r>
    <s v="ORD_2025_0261"/>
    <s v="Jun-2024"/>
    <s v="Garcia, James"/>
    <s v="Canada"/>
    <s v="Denim Jacket"/>
    <s v="Apparel"/>
    <n v="10"/>
    <n v="70.94"/>
    <n v="709.4"/>
    <n v="18.64"/>
    <n v="290.76"/>
    <s v="Sea"/>
    <s v="High"/>
    <s v="NA"/>
    <x v="4"/>
  </r>
  <r>
    <s v="ORD_2025_0262"/>
    <s v="Jan-2024"/>
    <s v="Jones, Daniel"/>
    <s v="Singapore"/>
    <s v="Cotton Bedsheet"/>
    <s v="Textiles"/>
    <n v="17"/>
    <n v="38.28"/>
    <n v="650.76"/>
    <n v="38.43"/>
    <n v="187.33"/>
    <s v="Sea"/>
    <s v="High"/>
    <s v="AS"/>
    <x v="16"/>
  </r>
  <r>
    <s v="ORD_2025_0263"/>
    <s v="Sep-2024"/>
    <s v="Brown, Sophia"/>
    <s v="Usa"/>
    <s v="Bluetooth Speaker"/>
    <s v="Electronics"/>
    <n v="10"/>
    <n v="38.799999999999997"/>
    <n v="388"/>
    <n v="16.39"/>
    <n v="51.61"/>
    <s v="Air"/>
    <s v="Medium"/>
    <s v="NA"/>
    <x v="6"/>
  </r>
  <r>
    <s v="ORD_2025_0264"/>
    <s v="May-2024"/>
    <s v="Brown, Daniel"/>
    <s v="China"/>
    <s v="Cotton Bedsheet"/>
    <s v="Textiles"/>
    <n v="3"/>
    <n v="33.840000000000003"/>
    <n v="101.52"/>
    <n v="2.3199999999999998"/>
    <n v="24.2"/>
    <s v="Air"/>
    <s v="High"/>
    <s v="AS"/>
    <x v="14"/>
  </r>
  <r>
    <s v="ORD_2025_0265"/>
    <s v="Mar-2024"/>
    <s v="Davis, Emily"/>
    <s v="Germany"/>
    <s v="Ceramic Vase"/>
    <s v="Home Decor"/>
    <n v="20"/>
    <n v="21.12"/>
    <n v="422.4"/>
    <n v="22.08"/>
    <n v="90.32"/>
    <s v="Sea"/>
    <s v="High"/>
    <s v="EU"/>
    <x v="11"/>
  </r>
  <r>
    <s v="ORD_2025_0266"/>
    <s v="Dec-2024"/>
    <s v="Davis, Sophia"/>
    <s v="South Africa"/>
    <s v="Travel Backpack"/>
    <s v="Accessories"/>
    <n v="1"/>
    <n v="58.15"/>
    <n v="58.15"/>
    <n v="4.2"/>
    <n v="18.95"/>
    <s v="Sea"/>
    <s v="Medium"/>
    <s v="AF"/>
    <x v="9"/>
  </r>
  <r>
    <s v="ORD_2025_0267"/>
    <s v="Mar-2024"/>
    <s v="Martinez, Michael"/>
    <s v="Brazil"/>
    <s v="Bluetooth Speaker"/>
    <s v="Electronics"/>
    <n v="32"/>
    <n v="45.96"/>
    <n v="1470.72"/>
    <n v="82.77"/>
    <n v="363.95"/>
    <s v="Land"/>
    <s v="Medium"/>
    <s v="SA"/>
    <x v="11"/>
  </r>
  <r>
    <s v="ORD_2025_0268"/>
    <s v="Apr-2025"/>
    <s v="Johnson, Emily"/>
    <s v="Italy"/>
    <s v="LED Lamp"/>
    <s v="Electronics"/>
    <n v="37"/>
    <n v="16.82"/>
    <n v="622.34"/>
    <n v="32.9"/>
    <n v="117.69"/>
    <s v="Air"/>
    <s v="Medium"/>
    <s v="EU"/>
    <x v="8"/>
  </r>
  <r>
    <s v="ORD_2025_0269"/>
    <s v="Apr-2024"/>
    <s v="Hernandez, Emma"/>
    <s v="Italy"/>
    <s v="Bluetooth Speaker"/>
    <s v="Electronics"/>
    <n v="18"/>
    <n v="54.62"/>
    <n v="983.16"/>
    <n v="22.61"/>
    <n v="384.55"/>
    <s v="Air"/>
    <s v="Medium"/>
    <s v="EU"/>
    <x v="2"/>
  </r>
  <r>
    <s v="ORD_2025_0270"/>
    <s v="Mar-2025"/>
    <s v="Miller, Laura"/>
    <s v="Italy"/>
    <s v="LED Lamp"/>
    <s v="Electronics"/>
    <n v="30"/>
    <n v="22.83"/>
    <n v="684.9"/>
    <n v="32.31"/>
    <n v="270.08999999999997"/>
    <s v="Land"/>
    <s v="Medium"/>
    <s v="EU"/>
    <x v="13"/>
  </r>
  <r>
    <s v="ORD_2025_0271"/>
    <s v="Dec-2024"/>
    <s v="Smith, Laura"/>
    <s v="France"/>
    <s v="Bluetooth Speaker"/>
    <s v="Electronics"/>
    <n v="39"/>
    <n v="47.02"/>
    <n v="1833.78"/>
    <n v="50.01"/>
    <n v="535.77"/>
    <s v="Air"/>
    <s v="Medium"/>
    <s v="EU"/>
    <x v="9"/>
  </r>
  <r>
    <s v="ORD_2025_0272"/>
    <s v="Apr-2025"/>
    <s v="Davis, David"/>
    <s v="Usa"/>
    <s v="Table Lamp"/>
    <s v="Home Decor"/>
    <n v="22"/>
    <n v="43.32"/>
    <n v="953.04"/>
    <n v="71.3"/>
    <n v="265.74"/>
    <s v="Sea"/>
    <s v="High"/>
    <s v="NA"/>
    <x v="8"/>
  </r>
  <r>
    <s v="ORD_2025_0273"/>
    <s v="Oct-2024"/>
    <s v="Garcia, John"/>
    <s v="Japan"/>
    <s v="Glass Bowl Set"/>
    <s v="Home Decor"/>
    <n v="6"/>
    <n v="31.69"/>
    <n v="190.14"/>
    <n v="12.52"/>
    <n v="42.62"/>
    <s v="Air"/>
    <s v="Medium"/>
    <s v="AS"/>
    <x v="3"/>
  </r>
  <r>
    <s v="ORD_2025_0274"/>
    <s v="Jun-2024"/>
    <s v="Davis, Emily"/>
    <s v="Germany"/>
    <s v="Travel Backpack"/>
    <s v="Accessories"/>
    <n v="19"/>
    <n v="53.28"/>
    <n v="1012.32"/>
    <n v="27.24"/>
    <n v="320.08"/>
    <s v="Air"/>
    <s v="Medium"/>
    <s v="EU"/>
    <x v="4"/>
  </r>
  <r>
    <s v="ORD_2025_0275"/>
    <s v="May-2024"/>
    <s v="Williams, Michael"/>
    <s v="Usa"/>
    <s v="Travel Backpack"/>
    <s v="Accessories"/>
    <n v="47"/>
    <n v="47.53"/>
    <n v="2233.91"/>
    <n v="128.91"/>
    <n v="460"/>
    <s v="Sea"/>
    <s v="Low"/>
    <s v="NA"/>
    <x v="14"/>
  </r>
  <r>
    <s v="ORD_2025_0276"/>
    <s v="Nov-2024"/>
    <s v="Hernandez, Michael"/>
    <s v="Singapore"/>
    <s v="Wireless Mouse"/>
    <s v="Electronics"/>
    <n v="12"/>
    <n v="24.02"/>
    <n v="288.24"/>
    <n v="9.8000000000000007"/>
    <n v="38.44"/>
    <s v="Land"/>
    <s v="High"/>
    <s v="AS"/>
    <x v="15"/>
  </r>
  <r>
    <s v="ORD_2025_0277"/>
    <s v="Jan-2025"/>
    <s v="Brown, Sophia"/>
    <s v="Singapore"/>
    <s v="LED Lamp"/>
    <s v="Electronics"/>
    <n v="32"/>
    <n v="15.64"/>
    <n v="500.48"/>
    <n v="24.69"/>
    <n v="67.790000000000006"/>
    <s v="Air"/>
    <s v="Low"/>
    <s v="AS"/>
    <x v="0"/>
  </r>
  <r>
    <s v="ORD_2025_0278"/>
    <s v="Oct-2024"/>
    <s v="Hernandez, David"/>
    <s v="Australia"/>
    <s v="Bluetooth Speaker"/>
    <s v="Electronics"/>
    <n v="22"/>
    <n v="42.54"/>
    <n v="935.88"/>
    <n v="45.37"/>
    <n v="186.51"/>
    <s v="Land"/>
    <s v="High"/>
    <s v="OC"/>
    <x v="3"/>
  </r>
  <r>
    <s v="ORD_2025_0279"/>
    <s v="Jun-2024"/>
    <s v="Hernandez, Sarah"/>
    <s v="India"/>
    <s v="Cotton Bedsheet"/>
    <s v="Textiles"/>
    <n v="37"/>
    <n v="43.55"/>
    <n v="1611.35"/>
    <n v="67.78"/>
    <n v="618.57000000000005"/>
    <s v="Sea"/>
    <s v="Medium"/>
    <s v="AS"/>
    <x v="4"/>
  </r>
  <r>
    <s v="ORD_2025_0280"/>
    <s v="Aug-2024"/>
    <s v="Hernandez, John"/>
    <s v="Brazil"/>
    <s v="Ceramic Vase"/>
    <s v="Home Decor"/>
    <n v="42"/>
    <n v="20.260000000000002"/>
    <n v="850.92"/>
    <n v="22.43"/>
    <n v="177.49"/>
    <s v="Air"/>
    <s v="High"/>
    <s v="SA"/>
    <x v="7"/>
  </r>
  <r>
    <s v="ORD_2025_0281"/>
    <s v="May-2025"/>
    <s v="Davis, James"/>
    <s v="Canada"/>
    <s v="Leather Wallet"/>
    <s v="Accessories"/>
    <n v="43"/>
    <n v="24.08"/>
    <n v="1035.44"/>
    <n v="35.07"/>
    <n v="226.37"/>
    <s v="Sea"/>
    <s v="High"/>
    <s v="NA"/>
    <x v="5"/>
  </r>
  <r>
    <s v="ORD_2025_0282"/>
    <s v="Jun-2024"/>
    <s v="Johnson, Emily"/>
    <s v="Germany"/>
    <s v="Denim Jacket"/>
    <s v="Apparel"/>
    <n v="14"/>
    <n v="69.010000000000005"/>
    <n v="966.14"/>
    <n v="32.67"/>
    <n v="373.47"/>
    <s v="Sea"/>
    <s v="Low"/>
    <s v="EU"/>
    <x v="4"/>
  </r>
  <r>
    <s v="ORD_2025_0283"/>
    <s v="May-2024"/>
    <s v="Miller, David"/>
    <s v="Australia"/>
    <s v="Wireless Mouse"/>
    <s v="Electronics"/>
    <n v="29"/>
    <n v="28.29"/>
    <n v="820.41"/>
    <n v="63.15"/>
    <n v="177.26"/>
    <s v="Air"/>
    <s v="High"/>
    <s v="OC"/>
    <x v="14"/>
  </r>
  <r>
    <s v="ORD_2025_0284"/>
    <s v="Jan-2024"/>
    <s v="Johnson, David"/>
    <s v="Mexico"/>
    <s v="Ceramic Vase"/>
    <s v="Home Decor"/>
    <n v="29"/>
    <n v="26.51"/>
    <n v="768.79"/>
    <n v="15.66"/>
    <n v="303.63"/>
    <s v="Sea"/>
    <s v="Low"/>
    <s v="NA"/>
    <x v="16"/>
  </r>
  <r>
    <s v="ORD_2025_0285"/>
    <s v="Dec-2024"/>
    <s v="Martinez, Sarah"/>
    <s v="Canada"/>
    <s v="Travel Backpack"/>
    <s v="Accessories"/>
    <n v="11"/>
    <n v="58.07"/>
    <n v="638.77"/>
    <n v="43.89"/>
    <n v="209.88"/>
    <s v="Land"/>
    <s v="Medium"/>
    <s v="NA"/>
    <x v="9"/>
  </r>
  <r>
    <s v="ORD_2025_0286"/>
    <s v="May-2025"/>
    <s v="Smith, Sophia"/>
    <s v="Uk"/>
    <s v="Bluetooth Speaker"/>
    <s v="Electronics"/>
    <n v="3"/>
    <n v="48.76"/>
    <n v="146.28"/>
    <n v="10.45"/>
    <n v="39.83"/>
    <s v="Air"/>
    <s v="Medium"/>
    <s v="EU"/>
    <x v="5"/>
  </r>
  <r>
    <s v="ORD_2025_0287"/>
    <s v="May-2024"/>
    <s v="Williams, Emily"/>
    <s v="India"/>
    <s v="Wireless Mouse"/>
    <s v="Electronics"/>
    <n v="49"/>
    <n v="30.46"/>
    <n v="1492.54"/>
    <n v="51.82"/>
    <n v="460.72"/>
    <s v="Sea"/>
    <s v="Low"/>
    <s v="AS"/>
    <x v="14"/>
  </r>
  <r>
    <s v="ORD_2025_0288"/>
    <s v="Sep-2024"/>
    <s v="Davis, John"/>
    <s v="China"/>
    <s v="Table Lamp"/>
    <s v="Home Decor"/>
    <n v="25"/>
    <n v="35.21"/>
    <n v="880.25"/>
    <n v="39.799999999999997"/>
    <n v="140.44999999999999"/>
    <s v="Air"/>
    <s v="Medium"/>
    <s v="AS"/>
    <x v="6"/>
  </r>
  <r>
    <s v="ORD_2025_0289"/>
    <s v="Jan-2024"/>
    <s v="Johnson, David"/>
    <s v="Usa"/>
    <s v="Table Lamp"/>
    <s v="Home Decor"/>
    <n v="37"/>
    <n v="44.82"/>
    <n v="1658.34"/>
    <n v="65.75"/>
    <n v="556.59"/>
    <s v="Sea"/>
    <s v="Medium"/>
    <s v="NA"/>
    <x v="16"/>
  </r>
  <r>
    <s v="ORD_2025_0290"/>
    <s v="Jun-2024"/>
    <s v="Miller, James"/>
    <s v="Germany"/>
    <s v="Ceramic Vase"/>
    <s v="Home Decor"/>
    <n v="11"/>
    <n v="18.75"/>
    <n v="206.25"/>
    <n v="11.67"/>
    <n v="24.08"/>
    <s v="Land"/>
    <s v="Low"/>
    <s v="EU"/>
    <x v="4"/>
  </r>
  <r>
    <s v="ORD_2025_0291"/>
    <s v="Feb-2024"/>
    <s v="Johnson, David"/>
    <s v="Brazil"/>
    <s v="Wireless Mouse"/>
    <s v="Electronics"/>
    <n v="37"/>
    <n v="31.66"/>
    <n v="1171.42"/>
    <n v="58.95"/>
    <n v="372.47"/>
    <s v="Air"/>
    <s v="Low"/>
    <s v="SA"/>
    <x v="10"/>
  </r>
  <r>
    <s v="ORD_2025_0292"/>
    <s v="Jul-2024"/>
    <s v="Garcia, John"/>
    <s v="Uk"/>
    <s v="Wireless Mouse"/>
    <s v="Electronics"/>
    <n v="17"/>
    <n v="32.74"/>
    <n v="556.58000000000004"/>
    <n v="14.68"/>
    <n v="201.9"/>
    <s v="Sea"/>
    <s v="Medium"/>
    <s v="EU"/>
    <x v="12"/>
  </r>
  <r>
    <s v="ORD_2025_0293"/>
    <s v="Apr-2024"/>
    <s v="Davis, James"/>
    <s v="Usa"/>
    <s v="Table Lamp"/>
    <s v="Home Decor"/>
    <n v="7"/>
    <n v="46.64"/>
    <n v="326.48"/>
    <n v="25.19"/>
    <n v="105.29"/>
    <s v="Sea"/>
    <s v="High"/>
    <s v="NA"/>
    <x v="2"/>
  </r>
  <r>
    <s v="ORD_2025_0294"/>
    <s v="Feb-2025"/>
    <s v="Smith, Daniel"/>
    <s v="Uae"/>
    <s v="Leather Wallet"/>
    <s v="Accessories"/>
    <n v="16"/>
    <n v="24.77"/>
    <n v="396.32"/>
    <n v="15.6"/>
    <n v="92.72"/>
    <s v="Land"/>
    <s v="High"/>
    <s v="AS"/>
    <x v="1"/>
  </r>
  <r>
    <s v="ORD_2025_0295"/>
    <s v="Apr-2025"/>
    <s v="Martinez, Laura"/>
    <s v="Mexico"/>
    <s v="Denim Jacket"/>
    <s v="Apparel"/>
    <n v="39"/>
    <n v="56.5"/>
    <n v="2203.5"/>
    <n v="141.58000000000001"/>
    <n v="501.92"/>
    <s v="Air"/>
    <s v="Low"/>
    <s v="NA"/>
    <x v="8"/>
  </r>
  <r>
    <s v="ORD_2025_0296"/>
    <s v="Sep-2024"/>
    <s v="Brown, Sophia"/>
    <s v="India"/>
    <s v="Ceramic Vase"/>
    <s v="Home Decor"/>
    <n v="1"/>
    <n v="24.01"/>
    <n v="24.01"/>
    <n v="1.58"/>
    <n v="6.93"/>
    <s v="Land"/>
    <s v="Low"/>
    <s v="AS"/>
    <x v="6"/>
  </r>
  <r>
    <s v="ORD_2025_0297"/>
    <s v="Dec-2024"/>
    <s v="Jones, Laura"/>
    <s v="India"/>
    <s v="Cotton Bedsheet"/>
    <s v="Textiles"/>
    <n v="45"/>
    <n v="35.99"/>
    <n v="1619.55"/>
    <n v="49.95"/>
    <n v="444.6"/>
    <s v="Land"/>
    <s v="Medium"/>
    <s v="AS"/>
    <x v="9"/>
  </r>
  <r>
    <s v="ORD_2025_0298"/>
    <s v="Feb-2025"/>
    <s v="Brown, Daniel"/>
    <s v="Singapore"/>
    <s v="Wireless Mouse"/>
    <s v="Electronics"/>
    <n v="5"/>
    <n v="25.45"/>
    <n v="127.25"/>
    <n v="7.22"/>
    <n v="20.03"/>
    <s v="Air"/>
    <s v="High"/>
    <s v="AS"/>
    <x v="1"/>
  </r>
  <r>
    <s v="ORD_2025_0299"/>
    <s v="Jan-2025"/>
    <s v="Jones, Laura"/>
    <s v="Japan"/>
    <s v="Ceramic Vase"/>
    <s v="Home Decor"/>
    <n v="24"/>
    <n v="19.53"/>
    <n v="468.72"/>
    <n v="14.12"/>
    <n v="82.6"/>
    <s v="Land"/>
    <s v="Low"/>
    <s v="AS"/>
    <x v="0"/>
  </r>
  <r>
    <s v="ORD_2025_0300"/>
    <s v="Jan-2025"/>
    <s v="Brown, Laura"/>
    <s v="Canada"/>
    <s v="LED Lamp"/>
    <s v="Electronics"/>
    <n v="28"/>
    <n v="22.33"/>
    <n v="625.24"/>
    <n v="44.24"/>
    <n v="224"/>
    <s v="Land"/>
    <s v="Low"/>
    <s v="NA"/>
    <x v="0"/>
  </r>
  <r>
    <s v="ORD_2025_0301"/>
    <s v="Nov-2024"/>
    <s v="Johnson, Sarah"/>
    <s v="Italy"/>
    <s v="Bluetooth Speaker"/>
    <s v="Electronics"/>
    <n v="49"/>
    <n v="39.31"/>
    <n v="1926.19"/>
    <n v="69.7"/>
    <n v="288.49"/>
    <s v="Sea"/>
    <s v="Low"/>
    <s v="EU"/>
    <x v="15"/>
  </r>
  <r>
    <s v="ORD_2025_0302"/>
    <s v="Jul-2024"/>
    <s v="Davis, Michael"/>
    <s v="India"/>
    <s v="Ceramic Vase"/>
    <s v="Home Decor"/>
    <n v="6"/>
    <n v="22.95"/>
    <n v="137.69999999999999"/>
    <n v="5.63"/>
    <n v="39.07"/>
    <s v="Sea"/>
    <s v="Medium"/>
    <s v="AS"/>
    <x v="12"/>
  </r>
  <r>
    <s v="ORD_2025_0303"/>
    <s v="Jun-2024"/>
    <s v="Williams, Michael"/>
    <s v="Mexico"/>
    <s v="Wireless Mouse"/>
    <s v="Electronics"/>
    <n v="35"/>
    <n v="27.72"/>
    <n v="970.2"/>
    <n v="61.74"/>
    <n v="208.46"/>
    <s v="Land"/>
    <s v="High"/>
    <s v="NA"/>
    <x v="4"/>
  </r>
  <r>
    <s v="ORD_2025_0304"/>
    <s v="Oct-2024"/>
    <s v="Johnson, Daniel"/>
    <s v="China"/>
    <s v="Denim Jacket"/>
    <s v="Apparel"/>
    <n v="34"/>
    <n v="64.75"/>
    <n v="2201.5"/>
    <n v="68.05"/>
    <n v="773.45"/>
    <s v="Air"/>
    <s v="High"/>
    <s v="AS"/>
    <x v="3"/>
  </r>
  <r>
    <s v="ORD_2025_0305"/>
    <s v="Apr-2025"/>
    <s v="Smith, Michael"/>
    <s v="Australia"/>
    <s v="Wireless Mouse"/>
    <s v="Electronics"/>
    <n v="49"/>
    <n v="26.02"/>
    <n v="1274.98"/>
    <n v="61.84"/>
    <n v="233.14"/>
    <s v="Air"/>
    <s v="Medium"/>
    <s v="OC"/>
    <x v="8"/>
  </r>
  <r>
    <s v="ORD_2025_0306"/>
    <s v="Dec-2024"/>
    <s v="Martinez, John"/>
    <s v="Brazil"/>
    <s v="Cotton Bedsheet"/>
    <s v="Textiles"/>
    <n v="1"/>
    <n v="32.979999999999997"/>
    <n v="32.979999999999997"/>
    <n v="1.89"/>
    <n v="6.09"/>
    <s v="Air"/>
    <s v="Medium"/>
    <s v="SA"/>
    <x v="9"/>
  </r>
  <r>
    <s v="ORD_2025_0307"/>
    <s v="Nov-2024"/>
    <s v="Hernandez, Sarah"/>
    <s v="Brazil"/>
    <s v="LED Lamp"/>
    <s v="Electronics"/>
    <n v="18"/>
    <n v="20.09"/>
    <n v="361.62"/>
    <n v="8.3800000000000008"/>
    <n v="123.74"/>
    <s v="Land"/>
    <s v="Low"/>
    <s v="SA"/>
    <x v="15"/>
  </r>
  <r>
    <s v="ORD_2025_0308"/>
    <s v="Jun-2024"/>
    <s v="Brown, Daniel"/>
    <s v="India"/>
    <s v="Travel Backpack"/>
    <s v="Accessories"/>
    <n v="39"/>
    <n v="49.59"/>
    <n v="1934.01"/>
    <n v="62.79"/>
    <n v="506.22"/>
    <s v="Sea"/>
    <s v="Medium"/>
    <s v="AS"/>
    <x v="4"/>
  </r>
  <r>
    <s v="ORD_2025_0309"/>
    <s v="Apr-2025"/>
    <s v="Brown, John"/>
    <s v="Canada"/>
    <s v="Bluetooth Speaker"/>
    <s v="Electronics"/>
    <n v="6"/>
    <n v="41.99"/>
    <n v="251.94"/>
    <n v="10.76"/>
    <n v="49.18"/>
    <s v="Land"/>
    <s v="Low"/>
    <s v="NA"/>
    <x v="8"/>
  </r>
  <r>
    <s v="ORD_2025_0310"/>
    <s v="May-2024"/>
    <s v="Davis, James"/>
    <s v="Singapore"/>
    <s v="Travel Backpack"/>
    <s v="Accessories"/>
    <n v="12"/>
    <n v="47.4"/>
    <n v="568.79999999999995"/>
    <n v="23.31"/>
    <n v="125.49"/>
    <s v="Air"/>
    <s v="Low"/>
    <s v="AS"/>
    <x v="14"/>
  </r>
  <r>
    <s v="ORD_2025_0311"/>
    <s v="Jul-2024"/>
    <s v="Garcia, David"/>
    <s v="Uae"/>
    <s v="Wireless Mouse"/>
    <s v="Electronics"/>
    <n v="50"/>
    <n v="34.28"/>
    <n v="1714"/>
    <n v="59.84"/>
    <n v="654.16"/>
    <s v="Land"/>
    <s v="Low"/>
    <s v="AS"/>
    <x v="12"/>
  </r>
  <r>
    <s v="ORD_2025_0312"/>
    <s v="Mar-2025"/>
    <s v="Martinez, Sophia"/>
    <s v="South Africa"/>
    <s v="Leather Wallet"/>
    <s v="Accessories"/>
    <n v="50"/>
    <n v="29.39"/>
    <n v="1469.5"/>
    <n v="101.51"/>
    <n v="467.99"/>
    <s v="Air"/>
    <s v="High"/>
    <s v="AF"/>
    <x v="13"/>
  </r>
  <r>
    <s v="ORD_2025_0313"/>
    <s v="Aug-2024"/>
    <s v="Hernandez, John"/>
    <s v="Brazil"/>
    <s v="Leather Wallet"/>
    <s v="Accessories"/>
    <n v="46"/>
    <n v="30.34"/>
    <n v="1395.64"/>
    <n v="104.2"/>
    <n v="463.44"/>
    <s v="Land"/>
    <s v="Medium"/>
    <s v="SA"/>
    <x v="7"/>
  </r>
  <r>
    <s v="ORD_2025_0314"/>
    <s v="Mar-2024"/>
    <s v="Jones, James"/>
    <s v="Singapore"/>
    <s v="LED Lamp"/>
    <s v="Electronics"/>
    <n v="50"/>
    <n v="18.809999999999999"/>
    <n v="940.5"/>
    <n v="40.25"/>
    <n v="262.75"/>
    <s v="Sea"/>
    <s v="Medium"/>
    <s v="AS"/>
    <x v="11"/>
  </r>
  <r>
    <s v="ORD_2025_0315"/>
    <s v="Jul-2024"/>
    <s v="Martinez, Sophia"/>
    <s v="Australia"/>
    <s v="Glass Bowl Set"/>
    <s v="Home Decor"/>
    <n v="2"/>
    <n v="29.64"/>
    <n v="59.28"/>
    <n v="4.59"/>
    <n v="9.69"/>
    <s v="Sea"/>
    <s v="High"/>
    <s v="OC"/>
    <x v="12"/>
  </r>
  <r>
    <s v="ORD_2025_0316"/>
    <s v="Jan-2024"/>
    <s v="Brown, Sophia"/>
    <s v="Singapore"/>
    <s v="Glass Bowl Set"/>
    <s v="Home Decor"/>
    <n v="48"/>
    <n v="27.9"/>
    <n v="1339.2"/>
    <n v="66.31"/>
    <n v="192.89"/>
    <s v="Sea"/>
    <s v="High"/>
    <s v="AS"/>
    <x v="16"/>
  </r>
  <r>
    <s v="ORD_2025_0317"/>
    <s v="Dec-2024"/>
    <s v="Martinez, David"/>
    <s v="France"/>
    <s v="Cotton Bedsheet"/>
    <s v="Textiles"/>
    <n v="28"/>
    <n v="38.520000000000003"/>
    <n v="1078.56"/>
    <n v="64.510000000000005"/>
    <n v="314.05"/>
    <s v="Land"/>
    <s v="Medium"/>
    <s v="EU"/>
    <x v="9"/>
  </r>
  <r>
    <s v="ORD_2025_0318"/>
    <s v="Mar-2024"/>
    <s v="Garcia, Laura"/>
    <s v="Uk"/>
    <s v="Glass Bowl Set"/>
    <s v="Home Decor"/>
    <n v="11"/>
    <n v="31.08"/>
    <n v="341.88"/>
    <n v="17.18"/>
    <n v="77.2"/>
    <s v="Air"/>
    <s v="High"/>
    <s v="EU"/>
    <x v="11"/>
  </r>
  <r>
    <s v="ORD_2025_0319"/>
    <s v="Oct-2024"/>
    <s v="Martinez, John"/>
    <s v="Mexico"/>
    <s v="Wireless Mouse"/>
    <s v="Electronics"/>
    <n v="42"/>
    <n v="25.95"/>
    <n v="1089.9000000000001"/>
    <n v="27.5"/>
    <n v="222.4"/>
    <s v="Air"/>
    <s v="High"/>
    <s v="NA"/>
    <x v="3"/>
  </r>
  <r>
    <s v="ORD_2025_0320"/>
    <s v="Aug-2024"/>
    <s v="Smith, John"/>
    <s v="Singapore"/>
    <s v="Cotton Bedsheet"/>
    <s v="Textiles"/>
    <n v="30"/>
    <n v="30.16"/>
    <n v="904.8"/>
    <n v="70.13"/>
    <n v="84.67"/>
    <s v="Sea"/>
    <s v="Low"/>
    <s v="AS"/>
    <x v="7"/>
  </r>
  <r>
    <s v="ORD_2025_0321"/>
    <s v="Jul-2024"/>
    <s v="Jones, John"/>
    <s v="Brazil"/>
    <s v="Wireless Mouse"/>
    <s v="Electronics"/>
    <n v="40"/>
    <n v="30.03"/>
    <n v="1201.2"/>
    <n v="71.97"/>
    <n v="329.23"/>
    <s v="Sea"/>
    <s v="Low"/>
    <s v="SA"/>
    <x v="12"/>
  </r>
  <r>
    <s v="ORD_2025_0322"/>
    <s v="Oct-2024"/>
    <s v="Jones, Laura"/>
    <s v="South Africa"/>
    <s v="Wireless Mouse"/>
    <s v="Electronics"/>
    <n v="15"/>
    <n v="27.12"/>
    <n v="406.8"/>
    <n v="24.28"/>
    <n v="82.52"/>
    <s v="Sea"/>
    <s v="Medium"/>
    <s v="AF"/>
    <x v="3"/>
  </r>
  <r>
    <s v="ORD_2025_0323"/>
    <s v="Oct-2024"/>
    <s v="Williams, Emily"/>
    <s v="France"/>
    <s v="LED Lamp"/>
    <s v="Electronics"/>
    <n v="35"/>
    <n v="18.350000000000001"/>
    <n v="642.25"/>
    <n v="29.35"/>
    <n v="166.65"/>
    <s v="Land"/>
    <s v="Medium"/>
    <s v="EU"/>
    <x v="3"/>
  </r>
  <r>
    <s v="ORD_2025_0324"/>
    <s v="Jun-2024"/>
    <s v="Garcia, James"/>
    <s v="South Africa"/>
    <s v="Travel Backpack"/>
    <s v="Accessories"/>
    <n v="21"/>
    <n v="52.59"/>
    <n v="1104.3900000000001"/>
    <n v="57.06"/>
    <n v="312.33"/>
    <s v="Sea"/>
    <s v="Medium"/>
    <s v="AF"/>
    <x v="4"/>
  </r>
  <r>
    <s v="ORD_2025_0325"/>
    <s v="Sep-2024"/>
    <s v="Brown, Sophia"/>
    <s v="China"/>
    <s v="Table Lamp"/>
    <s v="Home Decor"/>
    <n v="10"/>
    <n v="44.2"/>
    <n v="442"/>
    <n v="18.45"/>
    <n v="143.55000000000001"/>
    <s v="Land"/>
    <s v="Low"/>
    <s v="AS"/>
    <x v="6"/>
  </r>
  <r>
    <s v="ORD_2025_0326"/>
    <s v="Dec-2024"/>
    <s v="Williams, James"/>
    <s v="China"/>
    <s v="Travel Backpack"/>
    <s v="Accessories"/>
    <n v="11"/>
    <n v="60.9"/>
    <n v="669.9"/>
    <n v="26.28"/>
    <n v="258.62"/>
    <s v="Sea"/>
    <s v="Medium"/>
    <s v="AS"/>
    <x v="9"/>
  </r>
  <r>
    <s v="ORD_2025_0327"/>
    <s v="Sep-2024"/>
    <s v="Miller, John"/>
    <s v="Uae"/>
    <s v="LED Lamp"/>
    <s v="Electronics"/>
    <n v="26"/>
    <n v="22.32"/>
    <n v="580.32000000000005"/>
    <n v="45.08"/>
    <n v="203.74"/>
    <s v="Sea"/>
    <s v="Medium"/>
    <s v="AS"/>
    <x v="6"/>
  </r>
  <r>
    <s v="ORD_2025_0328"/>
    <s v="Jan-2025"/>
    <s v="Brown, Emily"/>
    <s v="China"/>
    <s v="Table Lamp"/>
    <s v="Home Decor"/>
    <n v="46"/>
    <n v="41.89"/>
    <n v="1926.94"/>
    <n v="97.39"/>
    <n v="541.54999999999995"/>
    <s v="Land"/>
    <s v="High"/>
    <s v="AS"/>
    <x v="0"/>
  </r>
  <r>
    <s v="ORD_2025_0329"/>
    <s v="Oct-2024"/>
    <s v="Garcia, Michael"/>
    <s v="Uk"/>
    <s v="LED Lamp"/>
    <s v="Electronics"/>
    <n v="43"/>
    <n v="21.24"/>
    <n v="913.32"/>
    <n v="50.32"/>
    <n v="314.75"/>
    <s v="Sea"/>
    <s v="Low"/>
    <s v="EU"/>
    <x v="3"/>
  </r>
  <r>
    <s v="ORD_2025_0330"/>
    <s v="Mar-2024"/>
    <s v="Hernandez, Emily"/>
    <s v="Germany"/>
    <s v="Glass Bowl Set"/>
    <s v="Home Decor"/>
    <n v="28"/>
    <n v="33.700000000000003"/>
    <n v="943.6"/>
    <n v="20.170000000000002"/>
    <n v="293.43"/>
    <s v="Land"/>
    <s v="Medium"/>
    <s v="EU"/>
    <x v="11"/>
  </r>
  <r>
    <s v="ORD_2025_0331"/>
    <s v="Aug-2024"/>
    <s v="Garcia, Emma"/>
    <s v="India"/>
    <s v="Travel Backpack"/>
    <s v="Accessories"/>
    <n v="41"/>
    <n v="42.74"/>
    <n v="1752.34"/>
    <n v="92.09"/>
    <n v="225.25"/>
    <s v="Air"/>
    <s v="Low"/>
    <s v="AS"/>
    <x v="7"/>
  </r>
  <r>
    <s v="ORD_2025_0332"/>
    <s v="Sep-2024"/>
    <s v="Garcia, James"/>
    <s v="Uk"/>
    <s v="Wireless Mouse"/>
    <s v="Electronics"/>
    <n v="24"/>
    <n v="30.18"/>
    <n v="724.32"/>
    <n v="44.97"/>
    <n v="199.35"/>
    <s v="Land"/>
    <s v="Low"/>
    <s v="EU"/>
    <x v="6"/>
  </r>
  <r>
    <s v="ORD_2025_0333"/>
    <s v="Feb-2025"/>
    <s v="Smith, Sophia"/>
    <s v="Japan"/>
    <s v="Ceramic Vase"/>
    <s v="Home Decor"/>
    <n v="44"/>
    <n v="20.02"/>
    <n v="880.88"/>
    <n v="60.27"/>
    <n v="138.61000000000001"/>
    <s v="Sea"/>
    <s v="Medium"/>
    <s v="AS"/>
    <x v="1"/>
  </r>
  <r>
    <s v="ORD_2025_0334"/>
    <s v="Aug-2024"/>
    <s v="Garcia, Sophia"/>
    <s v="Uk"/>
    <s v="Wireless Mouse"/>
    <s v="Electronics"/>
    <n v="12"/>
    <n v="27.45"/>
    <n v="329.4"/>
    <n v="13.22"/>
    <n v="76.180000000000007"/>
    <s v="Air"/>
    <s v="High"/>
    <s v="EU"/>
    <x v="7"/>
  </r>
  <r>
    <s v="ORD_2025_0335"/>
    <s v="Nov-2024"/>
    <s v="Davis, David"/>
    <s v="South Africa"/>
    <s v="Wireless Mouse"/>
    <s v="Electronics"/>
    <n v="26"/>
    <n v="30.57"/>
    <n v="794.82"/>
    <n v="19.45"/>
    <n v="255.37"/>
    <s v="Air"/>
    <s v="Medium"/>
    <s v="AF"/>
    <x v="15"/>
  </r>
  <r>
    <s v="ORD_2025_0336"/>
    <s v="Sep-2024"/>
    <s v="Williams, Laura"/>
    <s v="Japan"/>
    <s v="Cotton Bedsheet"/>
    <s v="Textiles"/>
    <n v="46"/>
    <n v="32.19"/>
    <n v="1480.74"/>
    <n v="111.13"/>
    <n v="219.61"/>
    <s v="Air"/>
    <s v="Medium"/>
    <s v="AS"/>
    <x v="6"/>
  </r>
  <r>
    <s v="ORD_2025_0337"/>
    <s v="Mar-2025"/>
    <s v="Miller, Michael"/>
    <s v="Singapore"/>
    <s v="Leather Wallet"/>
    <s v="Accessories"/>
    <n v="20"/>
    <n v="31.79"/>
    <n v="635.79999999999995"/>
    <n v="38.43"/>
    <n v="237.37"/>
    <s v="Land"/>
    <s v="Medium"/>
    <s v="AS"/>
    <x v="13"/>
  </r>
  <r>
    <s v="ORD_2025_0338"/>
    <s v="Mar-2025"/>
    <s v="Smith, Emily"/>
    <s v="Australia"/>
    <s v="Leather Wallet"/>
    <s v="Accessories"/>
    <n v="8"/>
    <n v="28.94"/>
    <n v="231.52"/>
    <n v="7"/>
    <n v="80.52"/>
    <s v="Air"/>
    <s v="Medium"/>
    <s v="OC"/>
    <x v="13"/>
  </r>
  <r>
    <s v="ORD_2025_0339"/>
    <s v="Oct-2024"/>
    <s v="Garcia, Emma"/>
    <s v="France"/>
    <s v="Leather Wallet"/>
    <s v="Accessories"/>
    <n v="40"/>
    <n v="30.66"/>
    <n v="1226.4000000000001"/>
    <n v="85.24"/>
    <n v="421.16"/>
    <s v="Land"/>
    <s v="Low"/>
    <s v="EU"/>
    <x v="3"/>
  </r>
  <r>
    <s v="ORD_2025_0340"/>
    <s v="Mar-2025"/>
    <s v="Jones, Sarah"/>
    <s v="Australia"/>
    <s v="Bluetooth Speaker"/>
    <s v="Electronics"/>
    <n v="44"/>
    <n v="54.09"/>
    <n v="2379.96"/>
    <n v="106.39"/>
    <n v="865.57"/>
    <s v="Land"/>
    <s v="Medium"/>
    <s v="OC"/>
    <x v="13"/>
  </r>
  <r>
    <s v="ORD_2025_0341"/>
    <s v="Feb-2025"/>
    <s v="Smith, Sophia"/>
    <s v="Singapore"/>
    <s v="Denim Jacket"/>
    <s v="Apparel"/>
    <n v="32"/>
    <n v="68.89"/>
    <n v="2204.48"/>
    <n v="152.05000000000001"/>
    <n v="772.43"/>
    <s v="Land"/>
    <s v="Medium"/>
    <s v="AS"/>
    <x v="1"/>
  </r>
  <r>
    <s v="ORD_2025_0342"/>
    <s v="May-2024"/>
    <s v="Jones, James"/>
    <s v="India"/>
    <s v="Travel Backpack"/>
    <s v="Accessories"/>
    <n v="44"/>
    <n v="43.35"/>
    <n v="1907.4"/>
    <n v="99.05"/>
    <n v="268.35000000000002"/>
    <s v="Air"/>
    <s v="Medium"/>
    <s v="AS"/>
    <x v="14"/>
  </r>
  <r>
    <s v="ORD_2025_0343"/>
    <s v="Jul-2024"/>
    <s v="Brown, Laura"/>
    <s v="Mexico"/>
    <s v="Table Lamp"/>
    <s v="Home Decor"/>
    <n v="24"/>
    <n v="34"/>
    <n v="816"/>
    <n v="42.15"/>
    <n v="101.85"/>
    <s v="Air"/>
    <s v="Low"/>
    <s v="NA"/>
    <x v="12"/>
  </r>
  <r>
    <s v="ORD_2025_0344"/>
    <s v="Feb-2024"/>
    <s v="Garcia, Sarah"/>
    <s v="China"/>
    <s v="Leather Wallet"/>
    <s v="Accessories"/>
    <n v="41"/>
    <n v="30.25"/>
    <n v="1240.25"/>
    <n v="92.86"/>
    <n v="409.39"/>
    <s v="Land"/>
    <s v="Low"/>
    <s v="AS"/>
    <x v="10"/>
  </r>
  <r>
    <s v="ORD_2025_0345"/>
    <s v="Mar-2025"/>
    <s v="Smith, Emily"/>
    <s v="South Africa"/>
    <s v="Ceramic Vase"/>
    <s v="Home Decor"/>
    <n v="15"/>
    <n v="23.71"/>
    <n v="355.65"/>
    <n v="7.22"/>
    <n v="115.93"/>
    <s v="Sea"/>
    <s v="Medium"/>
    <s v="AF"/>
    <x v="13"/>
  </r>
  <r>
    <s v="ORD_2025_0346"/>
    <s v="Aug-2024"/>
    <s v="Garcia, Emily"/>
    <s v="Singapore"/>
    <s v="Bluetooth Speaker"/>
    <s v="Electronics"/>
    <n v="33"/>
    <n v="48.64"/>
    <n v="1605.12"/>
    <n v="98.71"/>
    <n v="450.41"/>
    <s v="Land"/>
    <s v="Medium"/>
    <s v="AS"/>
    <x v="7"/>
  </r>
  <r>
    <s v="ORD_2025_0347"/>
    <s v="Apr-2024"/>
    <s v="Miller, Daniel"/>
    <s v="Germany"/>
    <s v="Travel Backpack"/>
    <s v="Accessories"/>
    <n v="7"/>
    <n v="50.94"/>
    <n v="356.58"/>
    <n v="11.19"/>
    <n v="100.39"/>
    <s v="Sea"/>
    <s v="Low"/>
    <s v="EU"/>
    <x v="2"/>
  </r>
  <r>
    <s v="ORD_2025_0348"/>
    <s v="Jan-2025"/>
    <s v="Martinez, Sophia"/>
    <s v="Australia"/>
    <s v="Wireless Mouse"/>
    <s v="Electronics"/>
    <n v="1"/>
    <n v="31.4"/>
    <n v="31.4"/>
    <n v="1.1399999999999999"/>
    <n v="10.26"/>
    <s v="Air"/>
    <s v="Medium"/>
    <s v="OC"/>
    <x v="0"/>
  </r>
  <r>
    <s v="ORD_2025_0349"/>
    <s v="Jul-2024"/>
    <s v="Davis, Emily"/>
    <s v="Italy"/>
    <s v="LED Lamp"/>
    <s v="Electronics"/>
    <n v="28"/>
    <n v="18.59"/>
    <n v="520.52"/>
    <n v="14.08"/>
    <n v="149.44"/>
    <s v="Land"/>
    <s v="Low"/>
    <s v="EU"/>
    <x v="12"/>
  </r>
  <r>
    <s v="ORD_2025_0350"/>
    <s v="Mar-2025"/>
    <s v="Williams, John"/>
    <s v="France"/>
    <s v="Ceramic Vase"/>
    <s v="Home Decor"/>
    <n v="50"/>
    <n v="20.66"/>
    <n v="1033"/>
    <n v="34.130000000000003"/>
    <n v="223.87"/>
    <s v="Air"/>
    <s v="Medium"/>
    <s v="EU"/>
    <x v="13"/>
  </r>
  <r>
    <s v="ORD_2025_0351"/>
    <s v="Jan-2025"/>
    <s v="Hernandez, James"/>
    <s v="China"/>
    <s v="Travel Backpack"/>
    <s v="Accessories"/>
    <n v="4"/>
    <n v="46.62"/>
    <n v="186.48"/>
    <n v="13.29"/>
    <n v="33.19"/>
    <s v="Sea"/>
    <s v="Low"/>
    <s v="AS"/>
    <x v="0"/>
  </r>
  <r>
    <s v="ORD_2025_0352"/>
    <s v="Jan-2025"/>
    <s v="Jones, James"/>
    <s v="South Africa"/>
    <s v="Ceramic Vase"/>
    <s v="Home Decor"/>
    <n v="37"/>
    <n v="21.81"/>
    <n v="806.97"/>
    <n v="19.63"/>
    <n v="213.84"/>
    <s v="Air"/>
    <s v="High"/>
    <s v="AF"/>
    <x v="0"/>
  </r>
  <r>
    <s v="ORD_2025_0353"/>
    <s v="Apr-2024"/>
    <s v="Smith, Daniel"/>
    <s v="China"/>
    <s v="Ceramic Vase"/>
    <s v="Home Decor"/>
    <n v="48"/>
    <n v="26.68"/>
    <n v="1280.6400000000001"/>
    <n v="55.36"/>
    <n v="481.28"/>
    <s v="Land"/>
    <s v="Medium"/>
    <s v="AS"/>
    <x v="2"/>
  </r>
  <r>
    <s v="ORD_2025_0354"/>
    <s v="May-2025"/>
    <s v="Smith, Michael"/>
    <s v="Brazil"/>
    <s v="Cotton Bedsheet"/>
    <s v="Textiles"/>
    <n v="24"/>
    <n v="42.82"/>
    <n v="1027.68"/>
    <n v="69.95"/>
    <n v="357.73"/>
    <s v="Land"/>
    <s v="Low"/>
    <s v="SA"/>
    <x v="5"/>
  </r>
  <r>
    <s v="ORD_2025_0355"/>
    <s v="Jan-2025"/>
    <s v="Martinez, Sarah"/>
    <s v="Australia"/>
    <s v="Glass Bowl Set"/>
    <s v="Home Decor"/>
    <n v="26"/>
    <n v="34.4"/>
    <n v="894.4"/>
    <n v="40.42"/>
    <n v="268.98"/>
    <s v="Land"/>
    <s v="Low"/>
    <s v="OC"/>
    <x v="0"/>
  </r>
  <r>
    <s v="ORD_2025_0356"/>
    <s v="Jun-2024"/>
    <s v="Johnson, James"/>
    <s v="Italy"/>
    <s v="Travel Backpack"/>
    <s v="Accessories"/>
    <n v="47"/>
    <n v="44.89"/>
    <n v="2109.83"/>
    <n v="45.91"/>
    <n v="418.92"/>
    <s v="Land"/>
    <s v="Medium"/>
    <s v="EU"/>
    <x v="4"/>
  </r>
  <r>
    <s v="ORD_2025_0357"/>
    <s v="Dec-2024"/>
    <s v="Miller, Sophia"/>
    <s v="China"/>
    <s v="Ceramic Vase"/>
    <s v="Home Decor"/>
    <n v="1"/>
    <n v="18.739999999999998"/>
    <n v="18.739999999999998"/>
    <n v="0.5"/>
    <n v="2.74"/>
    <s v="Air"/>
    <s v="Medium"/>
    <s v="AS"/>
    <x v="9"/>
  </r>
  <r>
    <s v="ORD_2025_0358"/>
    <s v="Dec-2024"/>
    <s v="Jones, Michael"/>
    <s v="Singapore"/>
    <s v="Glass Bowl Set"/>
    <s v="Home Decor"/>
    <n v="27"/>
    <n v="36.270000000000003"/>
    <n v="979.29"/>
    <n v="54.58"/>
    <n v="317.20999999999998"/>
    <s v="Sea"/>
    <s v="Medium"/>
    <s v="AS"/>
    <x v="9"/>
  </r>
  <r>
    <s v="ORD_2025_0359"/>
    <s v="Oct-2024"/>
    <s v="Hernandez, Sophia"/>
    <s v="Germany"/>
    <s v="LED Lamp"/>
    <s v="Electronics"/>
    <n v="13"/>
    <n v="18.82"/>
    <n v="244.66"/>
    <n v="6.49"/>
    <n v="72.42"/>
    <s v="Air"/>
    <s v="Medium"/>
    <s v="EU"/>
    <x v="3"/>
  </r>
  <r>
    <s v="ORD_2025_0360"/>
    <s v="Feb-2025"/>
    <s v="Jones, Sarah"/>
    <s v="Australia"/>
    <s v="Table Lamp"/>
    <s v="Home Decor"/>
    <n v="41"/>
    <n v="43.19"/>
    <n v="1770.79"/>
    <n v="83.28"/>
    <n v="539.51"/>
    <s v="Sea"/>
    <s v="Low"/>
    <s v="OC"/>
    <x v="1"/>
  </r>
  <r>
    <s v="ORD_2025_0361"/>
    <s v="Mar-2024"/>
    <s v="Martinez, James"/>
    <s v="China"/>
    <s v="Table Lamp"/>
    <s v="Home Decor"/>
    <n v="40"/>
    <n v="42.31"/>
    <n v="1692.4"/>
    <n v="118.59"/>
    <n v="453.81"/>
    <s v="Sea"/>
    <s v="High"/>
    <s v="AS"/>
    <x v="11"/>
  </r>
  <r>
    <s v="ORD_2025_0362"/>
    <s v="May-2025"/>
    <s v="Davis, Sophia"/>
    <s v="India"/>
    <s v="Bluetooth Speaker"/>
    <s v="Electronics"/>
    <n v="1"/>
    <n v="57.15"/>
    <n v="57.15"/>
    <n v="4.1100000000000003"/>
    <n v="-21"/>
    <s v="Sea"/>
    <s v="Low"/>
    <s v="AS"/>
    <x v="5"/>
  </r>
  <r>
    <s v="ORD_2025_0363"/>
    <s v="May-2024"/>
    <s v="Martinez, Daniel"/>
    <s v="Canada"/>
    <s v="Wireless Mouse"/>
    <s v="Electronics"/>
    <n v="15"/>
    <n v="30.03"/>
    <n v="450.45"/>
    <n v="29.99"/>
    <n v="120.46"/>
    <s v="Air"/>
    <s v="Medium"/>
    <s v="NA"/>
    <x v="14"/>
  </r>
  <r>
    <s v="ORD_2025_0364"/>
    <s v="May-2024"/>
    <s v="Williams, Emily"/>
    <s v="Brazil"/>
    <s v="Wireless Mouse"/>
    <s v="Electronics"/>
    <n v="48"/>
    <n v="30.91"/>
    <n v="1483.68"/>
    <n v="85.5"/>
    <n v="438.18"/>
    <s v="Land"/>
    <s v="Medium"/>
    <s v="SA"/>
    <x v="14"/>
  </r>
  <r>
    <s v="ORD_2025_0365"/>
    <s v="Jan-2024"/>
    <s v="Miller, Emma"/>
    <s v="Mexico"/>
    <s v="Glass Bowl Set"/>
    <s v="Home Decor"/>
    <n v="8"/>
    <n v="32.19"/>
    <n v="257.52"/>
    <n v="11.85"/>
    <n v="65.67"/>
    <s v="Land"/>
    <s v="Low"/>
    <s v="NA"/>
    <x v="16"/>
  </r>
  <r>
    <s v="ORD_2025_0366"/>
    <s v="Aug-2024"/>
    <s v="Jones, Sophia"/>
    <s v="Uae"/>
    <s v="Denim Jacket"/>
    <s v="Apparel"/>
    <n v="22"/>
    <n v="60.75"/>
    <n v="1336.5"/>
    <n v="38.340000000000003"/>
    <n v="418.16"/>
    <s v="Land"/>
    <s v="Medium"/>
    <s v="AS"/>
    <x v="7"/>
  </r>
  <r>
    <s v="ORD_2025_0367"/>
    <s v="Mar-2025"/>
    <s v="Smith, Michael"/>
    <s v="Italy"/>
    <s v="Denim Jacket"/>
    <s v="Apparel"/>
    <n v="38"/>
    <n v="66.06"/>
    <n v="2510.2800000000002"/>
    <n v="50.37"/>
    <n v="939.91"/>
    <s v="Land"/>
    <s v="Low"/>
    <s v="EU"/>
    <x v="13"/>
  </r>
  <r>
    <s v="ORD_2025_0368"/>
    <s v="Sep-2024"/>
    <s v="Martinez, Michael"/>
    <s v="Usa"/>
    <s v="Travel Backpack"/>
    <s v="Accessories"/>
    <n v="33"/>
    <n v="50.88"/>
    <n v="1679.04"/>
    <n v="61.48"/>
    <n v="462.56"/>
    <s v="Land"/>
    <s v="Medium"/>
    <s v="NA"/>
    <x v="6"/>
  </r>
  <r>
    <s v="ORD_2025_0369"/>
    <s v="Jul-2024"/>
    <s v="Brown, Emily"/>
    <s v="China"/>
    <s v="Table Lamp"/>
    <s v="Home Decor"/>
    <n v="49"/>
    <n v="34.479999999999997"/>
    <n v="1689.52"/>
    <n v="53.06"/>
    <n v="264.45999999999998"/>
    <s v="Air"/>
    <s v="High"/>
    <s v="AS"/>
    <x v="12"/>
  </r>
  <r>
    <s v="ORD_2025_0370"/>
    <s v="Jan-2024"/>
    <s v="Martinez, Daniel"/>
    <s v="Japan"/>
    <s v="Wireless Mouse"/>
    <s v="Electronics"/>
    <n v="31"/>
    <n v="25.43"/>
    <n v="788.33"/>
    <n v="57.81"/>
    <n v="110.52"/>
    <s v="Land"/>
    <s v="Medium"/>
    <s v="AS"/>
    <x v="16"/>
  </r>
  <r>
    <s v="ORD_2025_0371"/>
    <s v="Feb-2024"/>
    <s v="Miller, Emily"/>
    <s v="Germany"/>
    <s v="Wireless Mouse"/>
    <s v="Electronics"/>
    <n v="29"/>
    <n v="31.68"/>
    <n v="918.72"/>
    <n v="22.22"/>
    <n v="316.5"/>
    <s v="Air"/>
    <s v="Low"/>
    <s v="EU"/>
    <x v="10"/>
  </r>
  <r>
    <s v="ORD_2025_0372"/>
    <s v="Mar-2025"/>
    <s v="Brown, David"/>
    <s v="Singapore"/>
    <s v="Table Lamp"/>
    <s v="Home Decor"/>
    <n v="42"/>
    <n v="33.89"/>
    <n v="1423.38"/>
    <n v="85.4"/>
    <n v="161.97999999999999"/>
    <s v="Air"/>
    <s v="Low"/>
    <s v="AS"/>
    <x v="13"/>
  </r>
  <r>
    <s v="ORD_2025_0373"/>
    <s v="Sep-2024"/>
    <s v="Hernandez, Emma"/>
    <s v="Singapore"/>
    <s v="Leather Wallet"/>
    <s v="Accessories"/>
    <n v="13"/>
    <n v="21.75"/>
    <n v="282.75"/>
    <n v="12.5"/>
    <n v="36.25"/>
    <s v="Air"/>
    <s v="Medium"/>
    <s v="AS"/>
    <x v="6"/>
  </r>
  <r>
    <s v="ORD_2025_0374"/>
    <s v="Mar-2024"/>
    <s v="Jones, Laura"/>
    <s v="Japan"/>
    <s v="Glass Bowl Set"/>
    <s v="Home Decor"/>
    <n v="25"/>
    <n v="37.58"/>
    <n v="939.5"/>
    <n v="48.44"/>
    <n v="328.56"/>
    <s v="Air"/>
    <s v="High"/>
    <s v="AS"/>
    <x v="11"/>
  </r>
  <r>
    <s v="ORD_2025_0375"/>
    <s v="Feb-2025"/>
    <s v="Jones, Emily"/>
    <s v="Germany"/>
    <s v="Wireless Mouse"/>
    <s v="Electronics"/>
    <n v="16"/>
    <n v="25.25"/>
    <n v="404"/>
    <n v="18.75"/>
    <n v="65.25"/>
    <s v="Sea"/>
    <s v="High"/>
    <s v="EU"/>
    <x v="1"/>
  </r>
  <r>
    <s v="ORD_2025_0376"/>
    <s v="Sep-2024"/>
    <s v="Hernandez, David"/>
    <s v="Japan"/>
    <s v="Ceramic Vase"/>
    <s v="Home Decor"/>
    <n v="37"/>
    <n v="25.85"/>
    <n v="956.45"/>
    <n v="31.7"/>
    <n v="351.25"/>
    <s v="Air"/>
    <s v="High"/>
    <s v="AS"/>
    <x v="6"/>
  </r>
  <r>
    <s v="ORD_2025_0377"/>
    <s v="Jan-2025"/>
    <s v="Miller, John"/>
    <s v="Singapore"/>
    <s v="Wireless Mouse"/>
    <s v="Electronics"/>
    <n v="1"/>
    <n v="25.72"/>
    <n v="25.72"/>
    <n v="2.04"/>
    <n v="3.68"/>
    <s v="Air"/>
    <s v="High"/>
    <s v="AS"/>
    <x v="0"/>
  </r>
  <r>
    <s v="ORD_2025_0378"/>
    <s v="Nov-2024"/>
    <s v="Jones, Sarah"/>
    <s v="Singapore"/>
    <s v="Table Lamp"/>
    <s v="Home Decor"/>
    <n v="48"/>
    <n v="47.05"/>
    <n v="2258.4"/>
    <n v="179.44"/>
    <n v="734.96"/>
    <s v="Sea"/>
    <s v="Medium"/>
    <s v="AS"/>
    <x v="15"/>
  </r>
  <r>
    <s v="ORD_2025_0379"/>
    <s v="Mar-2024"/>
    <s v="Garcia, Emily"/>
    <s v="Brazil"/>
    <s v="Wireless Mouse"/>
    <s v="Electronics"/>
    <n v="48"/>
    <n v="29.94"/>
    <n v="1437.12"/>
    <n v="30.14"/>
    <n v="446.98"/>
    <s v="Sea"/>
    <s v="Medium"/>
    <s v="SA"/>
    <x v="11"/>
  </r>
  <r>
    <s v="ORD_2025_0380"/>
    <s v="Aug-2024"/>
    <s v="Jones, Emma"/>
    <s v="Italy"/>
    <s v="Glass Bowl Set"/>
    <s v="Home Decor"/>
    <n v="12"/>
    <n v="35.68"/>
    <n v="428.16"/>
    <n v="13.07"/>
    <n v="145.09"/>
    <s v="Sea"/>
    <s v="High"/>
    <s v="EU"/>
    <x v="7"/>
  </r>
  <r>
    <s v="ORD_2025_0381"/>
    <s v="Sep-2024"/>
    <s v="Hernandez, Michael"/>
    <s v="Usa"/>
    <s v="Bluetooth Speaker"/>
    <s v="Electronics"/>
    <n v="30"/>
    <n v="49.32"/>
    <n v="1479.6"/>
    <n v="105.97"/>
    <n v="413.63"/>
    <s v="Sea"/>
    <s v="Medium"/>
    <s v="NA"/>
    <x v="6"/>
  </r>
  <r>
    <s v="ORD_2025_0382"/>
    <s v="Jan-2024"/>
    <s v="Garcia, John"/>
    <s v="France"/>
    <s v="Table Lamp"/>
    <s v="Home Decor"/>
    <n v="27"/>
    <n v="37.68"/>
    <n v="1017.36"/>
    <n v="80.739999999999995"/>
    <n v="180.62"/>
    <s v="Air"/>
    <s v="Low"/>
    <s v="EU"/>
    <x v="16"/>
  </r>
  <r>
    <s v="ORD_2025_0383"/>
    <s v="Mar-2025"/>
    <s v="Garcia, Michael"/>
    <s v="Italy"/>
    <s v="Cotton Bedsheet"/>
    <s v="Textiles"/>
    <n v="39"/>
    <n v="36.340000000000003"/>
    <n v="1417.26"/>
    <n v="67"/>
    <n v="375.26"/>
    <s v="Air"/>
    <s v="Medium"/>
    <s v="EU"/>
    <x v="13"/>
  </r>
  <r>
    <s v="ORD_2025_0384"/>
    <s v="May-2024"/>
    <s v="Miller, John"/>
    <s v="China"/>
    <s v="Ceramic Vase"/>
    <s v="Home Decor"/>
    <n v="16"/>
    <n v="24.33"/>
    <n v="389.28"/>
    <n v="22.33"/>
    <n v="118.95"/>
    <s v="Land"/>
    <s v="High"/>
    <s v="AS"/>
    <x v="14"/>
  </r>
  <r>
    <s v="ORD_2025_0385"/>
    <s v="Jan-2025"/>
    <s v="Garcia, John"/>
    <s v="Uae"/>
    <s v="Ceramic Vase"/>
    <s v="Home Decor"/>
    <n v="40"/>
    <n v="22.28"/>
    <n v="891.2"/>
    <n v="32.729999999999997"/>
    <n v="238.47"/>
    <s v="Land"/>
    <s v="Medium"/>
    <s v="AS"/>
    <x v="0"/>
  </r>
  <r>
    <s v="ORD_2025_0386"/>
    <s v="Aug-2024"/>
    <s v="Miller, Laura"/>
    <s v="Japan"/>
    <s v="LED Lamp"/>
    <s v="Electronics"/>
    <n v="45"/>
    <n v="21.71"/>
    <n v="976.95"/>
    <n v="51.6"/>
    <n v="351.6"/>
    <s v="Land"/>
    <s v="Low"/>
    <s v="AS"/>
    <x v="7"/>
  </r>
  <r>
    <s v="ORD_2025_0387"/>
    <s v="Aug-2024"/>
    <s v="Garcia, Laura"/>
    <s v="Germany"/>
    <s v="Cotton Bedsheet"/>
    <s v="Textiles"/>
    <n v="8"/>
    <n v="31.07"/>
    <n v="248.56"/>
    <n v="10.97"/>
    <n v="37.590000000000003"/>
    <s v="Land"/>
    <s v="Medium"/>
    <s v="EU"/>
    <x v="7"/>
  </r>
  <r>
    <s v="ORD_2025_0388"/>
    <s v="Feb-2024"/>
    <s v="Martinez, Emily"/>
    <s v="France"/>
    <s v="LED Lamp"/>
    <s v="Electronics"/>
    <n v="47"/>
    <n v="21.93"/>
    <n v="1030.71"/>
    <n v="70.989999999999995"/>
    <n v="360.47"/>
    <s v="Air"/>
    <s v="Low"/>
    <s v="EU"/>
    <x v="10"/>
  </r>
  <r>
    <s v="ORD_2025_0389"/>
    <s v="Jul-2024"/>
    <s v="Brown, Michael"/>
    <s v="France"/>
    <s v="LED Lamp"/>
    <s v="Electronics"/>
    <n v="46"/>
    <n v="21.46"/>
    <n v="987.16"/>
    <n v="21.64"/>
    <n v="379.02"/>
    <s v="Sea"/>
    <s v="Low"/>
    <s v="EU"/>
    <x v="12"/>
  </r>
  <r>
    <s v="ORD_2025_0390"/>
    <s v="Feb-2025"/>
    <s v="Williams, David"/>
    <s v="Usa"/>
    <s v="Table Lamp"/>
    <s v="Home Decor"/>
    <n v="45"/>
    <n v="47.1"/>
    <n v="2119.5"/>
    <n v="120.16"/>
    <n v="739.34"/>
    <s v="Sea"/>
    <s v="Medium"/>
    <s v="NA"/>
    <x v="1"/>
  </r>
  <r>
    <s v="ORD_2025_0391"/>
    <s v="Mar-2025"/>
    <s v="Smith, Emily"/>
    <s v="India"/>
    <s v="Travel Backpack"/>
    <s v="Accessories"/>
    <n v="2"/>
    <n v="58.32"/>
    <n v="116.64"/>
    <n v="8.99"/>
    <n v="37.65"/>
    <s v="Land"/>
    <s v="Medium"/>
    <s v="AS"/>
    <x v="13"/>
  </r>
  <r>
    <s v="ORD_2025_0392"/>
    <s v="Feb-2024"/>
    <s v="Garcia, John"/>
    <s v="France"/>
    <s v="Travel Backpack"/>
    <s v="Accessories"/>
    <n v="31"/>
    <n v="61.34"/>
    <n v="1901.54"/>
    <n v="147.43"/>
    <n v="669.11"/>
    <s v="Sea"/>
    <s v="Low"/>
    <s v="EU"/>
    <x v="10"/>
  </r>
  <r>
    <s v="ORD_2025_0393"/>
    <s v="Mar-2024"/>
    <s v="Brown, Daniel"/>
    <s v="Canada"/>
    <s v="Cotton Bedsheet"/>
    <s v="Textiles"/>
    <n v="15"/>
    <n v="43.9"/>
    <n v="658.5"/>
    <n v="36.479999999999997"/>
    <n v="247.02"/>
    <s v="Air"/>
    <s v="Medium"/>
    <s v="NA"/>
    <x v="11"/>
  </r>
  <r>
    <s v="ORD_2025_0394"/>
    <s v="Nov-2024"/>
    <s v="Brown, Daniel"/>
    <s v="Italy"/>
    <s v="LED Lamp"/>
    <s v="Electronics"/>
    <n v="4"/>
    <n v="20.53"/>
    <n v="82.12"/>
    <n v="4.05"/>
    <n v="27.07"/>
    <s v="Land"/>
    <s v="High"/>
    <s v="EU"/>
    <x v="15"/>
  </r>
  <r>
    <s v="ORD_2025_0395"/>
    <s v="Jul-2024"/>
    <s v="Garcia, Sarah"/>
    <s v="Australia"/>
    <s v="Wireless Mouse"/>
    <s v="Electronics"/>
    <n v="6"/>
    <n v="24.7"/>
    <n v="148.19999999999999"/>
    <n v="3.76"/>
    <n v="24.44"/>
    <s v="Air"/>
    <s v="Low"/>
    <s v="OC"/>
    <x v="12"/>
  </r>
  <r>
    <s v="ORD_2025_0396"/>
    <s v="Dec-2024"/>
    <s v="Garcia, Daniel"/>
    <s v="Brazil"/>
    <s v="LED Lamp"/>
    <s v="Electronics"/>
    <n v="19"/>
    <n v="19.170000000000002"/>
    <n v="364.23"/>
    <n v="15.16"/>
    <n v="106.82"/>
    <s v="Sea"/>
    <s v="Medium"/>
    <s v="SA"/>
    <x v="9"/>
  </r>
  <r>
    <s v="ORD_2025_0397"/>
    <s v="May-2024"/>
    <s v="Smith, John"/>
    <s v="China"/>
    <s v="Denim Jacket"/>
    <s v="Apparel"/>
    <n v="2"/>
    <n v="55.28"/>
    <n v="110.56"/>
    <n v="5.37"/>
    <n v="25.19"/>
    <s v="Air"/>
    <s v="Medium"/>
    <s v="AS"/>
    <x v="14"/>
  </r>
  <r>
    <s v="ORD_2025_0398"/>
    <s v="Jun-2024"/>
    <s v="Garcia, Emma"/>
    <s v="Brazil"/>
    <s v="Cotton Bedsheet"/>
    <s v="Textiles"/>
    <n v="49"/>
    <n v="43.91"/>
    <n v="2151.59"/>
    <n v="63.55"/>
    <n v="863.04"/>
    <s v="Land"/>
    <s v="Medium"/>
    <s v="SA"/>
    <x v="4"/>
  </r>
  <r>
    <s v="ORD_2025_0399"/>
    <s v="Apr-2024"/>
    <s v="Hernandez, Laura"/>
    <s v="Brazil"/>
    <s v="Cotton Bedsheet"/>
    <s v="Textiles"/>
    <n v="29"/>
    <n v="41.84"/>
    <n v="1213.3599999999999"/>
    <n v="56.83"/>
    <n v="431.53"/>
    <s v="Air"/>
    <s v="High"/>
    <s v="SA"/>
    <x v="2"/>
  </r>
  <r>
    <s v="ORD_2025_0400"/>
    <s v="Jun-2024"/>
    <s v="Smith, David"/>
    <s v="South Africa"/>
    <s v="Ceramic Vase"/>
    <s v="Home Decor"/>
    <n v="43"/>
    <n v="27.41"/>
    <n v="1178.6300000000001"/>
    <n v="55.82"/>
    <n v="456.31"/>
    <s v="Air"/>
    <s v="Medium"/>
    <s v="AF"/>
    <x v="4"/>
  </r>
  <r>
    <s v="ORD_2025_0401"/>
    <s v="Aug-2024"/>
    <s v="Jones, John"/>
    <s v="Mexico"/>
    <s v="Wireless Mouse"/>
    <s v="Electronics"/>
    <n v="28"/>
    <n v="31.84"/>
    <n v="891.52"/>
    <n v="54.24"/>
    <n v="277.27999999999997"/>
    <s v="Land"/>
    <s v="Medium"/>
    <s v="NA"/>
    <x v="7"/>
  </r>
  <r>
    <s v="ORD_2025_0402"/>
    <s v="Dec-2024"/>
    <s v="Brown, John"/>
    <s v="China"/>
    <s v="Cotton Bedsheet"/>
    <s v="Textiles"/>
    <n v="42"/>
    <n v="35.840000000000003"/>
    <n v="1505.28"/>
    <n v="60.65"/>
    <n v="394.63"/>
    <s v="Air"/>
    <s v="Medium"/>
    <s v="AS"/>
    <x v="9"/>
  </r>
  <r>
    <s v="ORD_2025_0403"/>
    <s v="Sep-2024"/>
    <s v="Martinez, Laura"/>
    <s v="Singapore"/>
    <s v="Glass Bowl Set"/>
    <s v="Home Decor"/>
    <n v="22"/>
    <n v="30.55"/>
    <n v="672.1"/>
    <n v="46.8"/>
    <n v="130.30000000000001"/>
    <s v="Sea"/>
    <s v="High"/>
    <s v="AS"/>
    <x v="6"/>
  </r>
  <r>
    <s v="ORD_2025_0404"/>
    <s v="Apr-2025"/>
    <s v="Johnson, David"/>
    <s v="Japan"/>
    <s v="Table Lamp"/>
    <s v="Home Decor"/>
    <n v="13"/>
    <n v="45.16"/>
    <n v="587.08000000000004"/>
    <n v="29.68"/>
    <n v="193.4"/>
    <s v="Sea"/>
    <s v="Medium"/>
    <s v="AS"/>
    <x v="8"/>
  </r>
  <r>
    <s v="ORD_2025_0405"/>
    <s v="Jun-2024"/>
    <s v="Martinez, Emma"/>
    <s v="Australia"/>
    <s v="Travel Backpack"/>
    <s v="Accessories"/>
    <n v="40"/>
    <n v="45.23"/>
    <n v="1809.2"/>
    <n v="136.25"/>
    <n v="272.95"/>
    <s v="Air"/>
    <s v="High"/>
    <s v="OC"/>
    <x v="4"/>
  </r>
  <r>
    <s v="ORD_2025_0406"/>
    <s v="Jan-2024"/>
    <s v="Smith, James"/>
    <s v="Japan"/>
    <s v="Leather Wallet"/>
    <s v="Accessories"/>
    <n v="41"/>
    <n v="22.78"/>
    <n v="933.98"/>
    <n v="38.369999999999997"/>
    <n v="157.61000000000001"/>
    <s v="Sea"/>
    <s v="Low"/>
    <s v="AS"/>
    <x v="16"/>
  </r>
  <r>
    <s v="ORD_2025_0407"/>
    <s v="Jul-2024"/>
    <s v="Brown, Michael"/>
    <s v="France"/>
    <s v="Ceramic Vase"/>
    <s v="Home Decor"/>
    <n v="34"/>
    <n v="24.21"/>
    <n v="823.14"/>
    <n v="58.25"/>
    <n v="237.89"/>
    <s v="Land"/>
    <s v="Low"/>
    <s v="EU"/>
    <x v="12"/>
  </r>
  <r>
    <s v="ORD_2025_0408"/>
    <s v="Apr-2025"/>
    <s v="Williams, Laura"/>
    <s v="Uk"/>
    <s v="Wireless Mouse"/>
    <s v="Electronics"/>
    <n v="46"/>
    <n v="34.64"/>
    <n v="1593.44"/>
    <n v="45.93"/>
    <n v="627.51"/>
    <s v="Air"/>
    <s v="Low"/>
    <s v="EU"/>
    <x v="8"/>
  </r>
  <r>
    <s v="ORD_2025_0409"/>
    <s v="Jan-2024"/>
    <s v="Martinez, Emma"/>
    <s v="Canada"/>
    <s v="Wireless Mouse"/>
    <s v="Electronics"/>
    <n v="10"/>
    <n v="27.06"/>
    <n v="270.60000000000002"/>
    <n v="15.35"/>
    <n v="55.25"/>
    <s v="Land"/>
    <s v="High"/>
    <s v="NA"/>
    <x v="16"/>
  </r>
  <r>
    <s v="ORD_2025_0410"/>
    <s v="Oct-2024"/>
    <s v="Brown, Sarah"/>
    <s v="Uk"/>
    <s v="Leather Wallet"/>
    <s v="Accessories"/>
    <n v="11"/>
    <n v="27.74"/>
    <n v="305.14"/>
    <n v="10.81"/>
    <n v="96.33"/>
    <s v="Sea"/>
    <s v="High"/>
    <s v="EU"/>
    <x v="3"/>
  </r>
  <r>
    <s v="ORD_2025_0411"/>
    <s v="Jan-2024"/>
    <s v="Martinez, Michael"/>
    <s v="Canada"/>
    <s v="Table Lamp"/>
    <s v="Home Decor"/>
    <n v="29"/>
    <n v="38.08"/>
    <n v="1104.32"/>
    <n v="25.63"/>
    <n v="266.69"/>
    <s v="Sea"/>
    <s v="High"/>
    <s v="NA"/>
    <x v="16"/>
  </r>
  <r>
    <s v="ORD_2025_0412"/>
    <s v="Apr-2025"/>
    <s v="Smith, Michael"/>
    <s v="Canada"/>
    <s v="Table Lamp"/>
    <s v="Home Decor"/>
    <n v="18"/>
    <n v="43.65"/>
    <n v="785.7"/>
    <n v="54.52"/>
    <n v="227.18"/>
    <s v="Sea"/>
    <s v="Low"/>
    <s v="NA"/>
    <x v="8"/>
  </r>
  <r>
    <s v="ORD_2025_0413"/>
    <s v="Feb-2024"/>
    <s v="Brown, David"/>
    <s v="France"/>
    <s v="Travel Backpack"/>
    <s v="Accessories"/>
    <n v="49"/>
    <n v="51.97"/>
    <n v="2546.5300000000002"/>
    <n v="112.26"/>
    <n v="719.27"/>
    <s v="Sea"/>
    <s v="Medium"/>
    <s v="EU"/>
    <x v="10"/>
  </r>
  <r>
    <s v="ORD_2025_0414"/>
    <s v="Jan-2025"/>
    <s v="Garcia, Emily"/>
    <s v="Singapore"/>
    <s v="Cotton Bedsheet"/>
    <s v="Textiles"/>
    <n v="13"/>
    <n v="36.85"/>
    <n v="479.05"/>
    <n v="10.15"/>
    <n v="143.9"/>
    <s v="Land"/>
    <s v="High"/>
    <s v="AS"/>
    <x v="0"/>
  </r>
  <r>
    <s v="ORD_2025_0415"/>
    <s v="May-2024"/>
    <s v="Davis, Sarah"/>
    <s v="Canada"/>
    <s v="Bluetooth Speaker"/>
    <s v="Electronics"/>
    <n v="33"/>
    <n v="38.520000000000003"/>
    <n v="1271.1600000000001"/>
    <n v="81.459999999999994"/>
    <n v="133.69999999999999"/>
    <s v="Land"/>
    <s v="Low"/>
    <s v="NA"/>
    <x v="14"/>
  </r>
  <r>
    <s v="ORD_2025_0416"/>
    <s v="Apr-2025"/>
    <s v="Hernandez, David"/>
    <s v="China"/>
    <s v="Ceramic Vase"/>
    <s v="Home Decor"/>
    <n v="41"/>
    <n v="26.98"/>
    <n v="1106.18"/>
    <n v="51.77"/>
    <n v="418.91"/>
    <s v="Air"/>
    <s v="Medium"/>
    <s v="AS"/>
    <x v="8"/>
  </r>
  <r>
    <s v="ORD_2025_0417"/>
    <s v="Feb-2024"/>
    <s v="Martinez, Michael"/>
    <s v="France"/>
    <s v="Ceramic Vase"/>
    <s v="Home Decor"/>
    <n v="4"/>
    <n v="23.56"/>
    <n v="94.24"/>
    <n v="7.03"/>
    <n v="25.21"/>
    <s v="Air"/>
    <s v="High"/>
    <s v="EU"/>
    <x v="10"/>
  </r>
  <r>
    <s v="ORD_2025_0418"/>
    <s v="Jul-2024"/>
    <s v="Johnson, Emily"/>
    <s v="India"/>
    <s v="Bluetooth Speaker"/>
    <s v="Electronics"/>
    <n v="17"/>
    <n v="57.14"/>
    <n v="971.38"/>
    <n v="70.010000000000005"/>
    <n v="357.37"/>
    <s v="Air"/>
    <s v="Medium"/>
    <s v="AS"/>
    <x v="12"/>
  </r>
  <r>
    <s v="ORD_2025_0419"/>
    <s v="Feb-2025"/>
    <s v="Hernandez, John"/>
    <s v="Australia"/>
    <s v="Cotton Bedsheet"/>
    <s v="Textiles"/>
    <n v="44"/>
    <n v="38.14"/>
    <n v="1678.16"/>
    <n v="124.49"/>
    <n v="453.67"/>
    <s v="Air"/>
    <s v="Low"/>
    <s v="OC"/>
    <x v="1"/>
  </r>
  <r>
    <s v="ORD_2025_0420"/>
    <s v="Jul-2024"/>
    <s v="Brown, Michael"/>
    <s v="South Africa"/>
    <s v="Leather Wallet"/>
    <s v="Accessories"/>
    <n v="14"/>
    <n v="24"/>
    <n v="336"/>
    <n v="22.88"/>
    <n v="61.12"/>
    <s v="Sea"/>
    <s v="Medium"/>
    <s v="AF"/>
    <x v="12"/>
  </r>
  <r>
    <s v="ORD_2025_0421"/>
    <s v="Feb-2024"/>
    <s v="Williams, David"/>
    <s v="China"/>
    <s v="Ceramic Vase"/>
    <s v="Home Decor"/>
    <n v="50"/>
    <n v="26.91"/>
    <n v="1345.5"/>
    <n v="91.7"/>
    <n v="478.8"/>
    <s v="Air"/>
    <s v="Low"/>
    <s v="AS"/>
    <x v="10"/>
  </r>
  <r>
    <s v="ORD_2025_0422"/>
    <s v="May-2025"/>
    <s v="Hernandez, Michael"/>
    <s v="Italy"/>
    <s v="Denim Jacket"/>
    <s v="Apparel"/>
    <n v="7"/>
    <n v="59.41"/>
    <n v="415.87"/>
    <n v="25.51"/>
    <n v="110.36"/>
    <s v="Land"/>
    <s v="High"/>
    <s v="EU"/>
    <x v="5"/>
  </r>
  <r>
    <s v="ORD_2025_0423"/>
    <s v="Jan-2024"/>
    <s v="Garcia, David"/>
    <s v="Japan"/>
    <s v="Cotton Bedsheet"/>
    <s v="Textiles"/>
    <n v="48"/>
    <n v="37.31"/>
    <n v="1790.88"/>
    <n v="67.45"/>
    <n v="523.42999999999995"/>
    <s v="Land"/>
    <s v="Medium"/>
    <s v="AS"/>
    <x v="16"/>
  </r>
  <r>
    <s v="ORD_2025_0424"/>
    <s v="Jul-2024"/>
    <s v="Miller, Sophia"/>
    <s v="Uae"/>
    <s v="Denim Jacket"/>
    <s v="Apparel"/>
    <n v="38"/>
    <n v="52.91"/>
    <n v="2010.58"/>
    <n v="94.22"/>
    <n v="396.36"/>
    <s v="Land"/>
    <s v="Low"/>
    <s v="AS"/>
    <x v="12"/>
  </r>
  <r>
    <s v="ORD_2025_0425"/>
    <s v="May-2025"/>
    <s v="Davis, James"/>
    <s v="Uk"/>
    <s v="Leather Wallet"/>
    <s v="Accessories"/>
    <n v="14"/>
    <n v="27.09"/>
    <n v="379.26"/>
    <n v="14.42"/>
    <n v="112.84"/>
    <s v="Air"/>
    <s v="High"/>
    <s v="EU"/>
    <x v="5"/>
  </r>
  <r>
    <s v="ORD_2025_0426"/>
    <s v="Feb-2024"/>
    <s v="Hernandez, John"/>
    <s v="Japan"/>
    <s v="Glass Bowl Set"/>
    <s v="Home Decor"/>
    <n v="41"/>
    <n v="30.52"/>
    <n v="1251.32"/>
    <n v="56.88"/>
    <n v="271.94"/>
    <s v="Land"/>
    <s v="High"/>
    <s v="AS"/>
    <x v="10"/>
  </r>
  <r>
    <s v="ORD_2025_0427"/>
    <s v="May-2024"/>
    <s v="Martinez, Emily"/>
    <s v="Canada"/>
    <s v="Table Lamp"/>
    <s v="Home Decor"/>
    <n v="23"/>
    <n v="40.94"/>
    <n v="941.62"/>
    <n v="71.66"/>
    <n v="225.96"/>
    <s v="Sea"/>
    <s v="High"/>
    <s v="NA"/>
    <x v="14"/>
  </r>
  <r>
    <s v="ORD_2025_0428"/>
    <s v="Jun-2024"/>
    <s v="Johnson, Emily"/>
    <s v="Germany"/>
    <s v="Table Lamp"/>
    <s v="Home Decor"/>
    <n v="34"/>
    <n v="41.77"/>
    <n v="1420.18"/>
    <n v="112.45"/>
    <n v="355.73"/>
    <s v="Sea"/>
    <s v="High"/>
    <s v="EU"/>
    <x v="4"/>
  </r>
  <r>
    <s v="ORD_2025_0429"/>
    <s v="Aug-2024"/>
    <s v="Brown, Michael"/>
    <s v="India"/>
    <s v="Denim Jacket"/>
    <s v="Apparel"/>
    <n v="32"/>
    <n v="69.98"/>
    <n v="2239.36"/>
    <n v="133.51"/>
    <n v="825.85"/>
    <s v="Air"/>
    <s v="Low"/>
    <s v="AS"/>
    <x v="7"/>
  </r>
  <r>
    <s v="ORD_2025_0430"/>
    <s v="Jan-2024"/>
    <s v="Brown, Daniel"/>
    <s v="Uk"/>
    <s v="Travel Backpack"/>
    <s v="Accessories"/>
    <n v="25"/>
    <n v="42.91"/>
    <n v="1072.75"/>
    <n v="80.02"/>
    <n v="117.73"/>
    <s v="Sea"/>
    <s v="Medium"/>
    <s v="EU"/>
    <x v="16"/>
  </r>
  <r>
    <s v="ORD_2025_0431"/>
    <s v="Dec-2024"/>
    <s v="Williams, Sophia"/>
    <s v="Canada"/>
    <s v="LED Lamp"/>
    <s v="Electronics"/>
    <n v="7"/>
    <n v="22.6"/>
    <n v="158.19999999999999"/>
    <n v="7.04"/>
    <n v="61.91"/>
    <s v="Air"/>
    <s v="Low"/>
    <s v="NA"/>
    <x v="9"/>
  </r>
  <r>
    <s v="ORD_2025_0432"/>
    <s v="Jun-2024"/>
    <s v="Davis, David"/>
    <s v="Usa"/>
    <s v="LED Lamp"/>
    <s v="Electronics"/>
    <n v="48"/>
    <n v="19.5"/>
    <n v="936"/>
    <n v="70.069999999999993"/>
    <n v="253.93"/>
    <s v="Land"/>
    <s v="Medium"/>
    <s v="NA"/>
    <x v="4"/>
  </r>
  <r>
    <s v="ORD_2025_0433"/>
    <s v="Sep-2024"/>
    <s v="Davis, John"/>
    <s v="Australia"/>
    <s v="Denim Jacket"/>
    <s v="Apparel"/>
    <n v="32"/>
    <n v="49.97"/>
    <n v="1599.04"/>
    <n v="43.1"/>
    <n v="275.94"/>
    <s v="Sea"/>
    <s v="High"/>
    <s v="OC"/>
    <x v="6"/>
  </r>
  <r>
    <s v="ORD_2025_0434"/>
    <s v="Jan-2025"/>
    <s v="Smith, Emily"/>
    <s v="France"/>
    <s v="Ceramic Vase"/>
    <s v="Home Decor"/>
    <n v="41"/>
    <n v="25.62"/>
    <n v="1050.42"/>
    <n v="79.2"/>
    <n v="335.72"/>
    <s v="Land"/>
    <s v="Medium"/>
    <s v="EU"/>
    <x v="0"/>
  </r>
  <r>
    <s v="ORD_2025_0435"/>
    <s v="Feb-2024"/>
    <s v="Martinez, David"/>
    <s v="Usa"/>
    <s v="LED Lamp"/>
    <s v="Electronics"/>
    <n v="46"/>
    <n v="16.78"/>
    <n v="771.88"/>
    <n v="18.04"/>
    <n v="167.34"/>
    <s v="Air"/>
    <s v="High"/>
    <s v="NA"/>
    <x v="10"/>
  </r>
  <r>
    <s v="ORD_2025_0436"/>
    <s v="Feb-2024"/>
    <s v="Davis, Daniel"/>
    <s v="Italy"/>
    <s v="Bluetooth Speaker"/>
    <s v="Electronics"/>
    <n v="16"/>
    <n v="42.18"/>
    <n v="674.88"/>
    <n v="19.100000000000001"/>
    <n v="143.78"/>
    <s v="Land"/>
    <s v="High"/>
    <s v="EU"/>
    <x v="10"/>
  </r>
  <r>
    <s v="ORD_2025_0437"/>
    <s v="Aug-2024"/>
    <s v="Davis, James"/>
    <s v="France"/>
    <s v="Cotton Bedsheet"/>
    <s v="Textiles"/>
    <n v="12"/>
    <n v="34.97"/>
    <n v="419.64"/>
    <n v="28.48"/>
    <n v="91.16"/>
    <s v="Land"/>
    <s v="Low"/>
    <s v="EU"/>
    <x v="7"/>
  </r>
  <r>
    <s v="ORD_2025_0438"/>
    <s v="Dec-2024"/>
    <s v="Jones, David"/>
    <s v="Brazil"/>
    <s v="Wireless Mouse"/>
    <s v="Electronics"/>
    <n v="31"/>
    <n v="33.619999999999997"/>
    <n v="1042.22"/>
    <n v="26.33"/>
    <n v="395.89"/>
    <s v="Air"/>
    <s v="High"/>
    <s v="SA"/>
    <x v="9"/>
  </r>
  <r>
    <s v="ORD_2025_0439"/>
    <s v="Nov-2024"/>
    <s v="Smith, Laura"/>
    <s v="Uae"/>
    <s v="Glass Bowl Set"/>
    <s v="Home Decor"/>
    <n v="40"/>
    <n v="30.56"/>
    <n v="1222.4000000000001"/>
    <n v="26.42"/>
    <n v="295.98"/>
    <s v="Land"/>
    <s v="Low"/>
    <s v="AS"/>
    <x v="15"/>
  </r>
  <r>
    <s v="ORD_2025_0440"/>
    <s v="Jan-2025"/>
    <s v="Martinez, Emma"/>
    <s v="Germany"/>
    <s v="Travel Backpack"/>
    <s v="Accessories"/>
    <n v="15"/>
    <n v="61.93"/>
    <n v="928.95"/>
    <n v="25.68"/>
    <n v="378.27"/>
    <s v="Sea"/>
    <s v="High"/>
    <s v="EU"/>
    <x v="0"/>
  </r>
  <r>
    <s v="ORD_2025_0441"/>
    <s v="Jan-2024"/>
    <s v="Martinez, Sarah"/>
    <s v="China"/>
    <s v="Wireless Mouse"/>
    <s v="Electronics"/>
    <n v="20"/>
    <n v="35.770000000000003"/>
    <n v="715.4"/>
    <n v="39.229999999999997"/>
    <n v="276.17"/>
    <s v="Land"/>
    <s v="Low"/>
    <s v="AS"/>
    <x v="16"/>
  </r>
  <r>
    <s v="ORD_2025_0442"/>
    <s v="Jun-2024"/>
    <s v="Martinez, John"/>
    <s v="Uk"/>
    <s v="LED Lamp"/>
    <s v="Electronics"/>
    <n v="21"/>
    <n v="22.48"/>
    <n v="472.08"/>
    <n v="12.96"/>
    <n v="191.37"/>
    <s v="Sea"/>
    <s v="Low"/>
    <s v="EU"/>
    <x v="4"/>
  </r>
  <r>
    <s v="ORD_2025_0443"/>
    <s v="Jan-2025"/>
    <s v="Johnson, Sophia"/>
    <s v="China"/>
    <s v="Leather Wallet"/>
    <s v="Accessories"/>
    <n v="8"/>
    <n v="27.53"/>
    <n v="220.24"/>
    <n v="12.66"/>
    <n v="63.58"/>
    <s v="Sea"/>
    <s v="Medium"/>
    <s v="AS"/>
    <x v="0"/>
  </r>
  <r>
    <s v="ORD_2025_0444"/>
    <s v="Sep-2024"/>
    <s v="Miller, Emily"/>
    <s v="India"/>
    <s v="Glass Bowl Set"/>
    <s v="Home Decor"/>
    <n v="35"/>
    <n v="39.65"/>
    <n v="1387.75"/>
    <n v="60.95"/>
    <n v="539.29999999999995"/>
    <s v="Air"/>
    <s v="Medium"/>
    <s v="AS"/>
    <x v="6"/>
  </r>
  <r>
    <s v="ORD_2025_0445"/>
    <s v="Feb-2024"/>
    <s v="Garcia, Laura"/>
    <s v="South Africa"/>
    <s v="Ceramic Vase"/>
    <s v="Home Decor"/>
    <n v="50"/>
    <n v="23.68"/>
    <n v="1184"/>
    <n v="46.62"/>
    <n v="362.38"/>
    <s v="Sea"/>
    <s v="Medium"/>
    <s v="AF"/>
    <x v="10"/>
  </r>
  <r>
    <s v="ORD_2025_0446"/>
    <s v="Feb-2025"/>
    <s v="Davis, Michael"/>
    <s v="Uae"/>
    <s v="LED Lamp"/>
    <s v="Electronics"/>
    <n v="5"/>
    <n v="19.809999999999999"/>
    <n v="99.05"/>
    <n v="5.91"/>
    <n v="29.39"/>
    <s v="Sea"/>
    <s v="High"/>
    <s v="AS"/>
    <x v="1"/>
  </r>
  <r>
    <s v="ORD_2025_0447"/>
    <s v="May-2024"/>
    <s v="Williams, David"/>
    <s v="Brazil"/>
    <s v="LED Lamp"/>
    <s v="Electronics"/>
    <n v="27"/>
    <n v="18.03"/>
    <n v="486.81"/>
    <n v="36.630000000000003"/>
    <n v="105.93"/>
    <s v="Land"/>
    <s v="High"/>
    <s v="SA"/>
    <x v="14"/>
  </r>
  <r>
    <s v="ORD_2025_0448"/>
    <s v="Apr-2024"/>
    <s v="Brown, Emily"/>
    <s v="South Africa"/>
    <s v="Leather Wallet"/>
    <s v="Accessories"/>
    <n v="45"/>
    <n v="26.93"/>
    <n v="1211.8499999999999"/>
    <n v="62.85"/>
    <n v="339"/>
    <s v="Sea"/>
    <s v="Medium"/>
    <s v="AF"/>
    <x v="2"/>
  </r>
  <r>
    <s v="ORD_2025_0449"/>
    <s v="Jun-2024"/>
    <s v="Davis, Daniel"/>
    <s v="Italy"/>
    <s v="Wireless Mouse"/>
    <s v="Electronics"/>
    <n v="40"/>
    <n v="32.54"/>
    <n v="1301.5999999999999"/>
    <n v="47.06"/>
    <n v="454.54"/>
    <s v="Land"/>
    <s v="Medium"/>
    <s v="EU"/>
    <x v="4"/>
  </r>
  <r>
    <s v="ORD_2025_0450"/>
    <s v="May-2025"/>
    <s v="Miller, Michael"/>
    <s v="India"/>
    <s v="Glass Bowl Set"/>
    <s v="Home Decor"/>
    <n v="26"/>
    <n v="35.32"/>
    <n v="918.32"/>
    <n v="60.02"/>
    <n v="273.3"/>
    <s v="Air"/>
    <s v="Low"/>
    <s v="AS"/>
    <x v="5"/>
  </r>
  <r>
    <s v="ORD_2025_0451"/>
    <s v="Jan-2025"/>
    <s v="Hernandez, Sophia"/>
    <s v="Brazil"/>
    <s v="LED Lamp"/>
    <s v="Electronics"/>
    <n v="16"/>
    <n v="16.440000000000001"/>
    <n v="263.04000000000002"/>
    <n v="17.64"/>
    <n v="41.4"/>
    <s v="Land"/>
    <s v="Low"/>
    <s v="SA"/>
    <x v="0"/>
  </r>
  <r>
    <s v="ORD_2025_0452"/>
    <s v="Mar-2025"/>
    <s v="Miller, Emily"/>
    <s v="France"/>
    <s v="Table Lamp"/>
    <s v="Home Decor"/>
    <n v="39"/>
    <n v="46.27"/>
    <n v="1804.53"/>
    <n v="38.57"/>
    <n v="673.96"/>
    <s v="Air"/>
    <s v="High"/>
    <s v="EU"/>
    <x v="13"/>
  </r>
  <r>
    <s v="ORD_2025_0453"/>
    <s v="Oct-2024"/>
    <s v="Williams, Michael"/>
    <s v="Uk"/>
    <s v="Cotton Bedsheet"/>
    <s v="Textiles"/>
    <n v="15"/>
    <n v="33.22"/>
    <n v="498.3"/>
    <n v="36.85"/>
    <n v="86.45"/>
    <s v="Air"/>
    <s v="High"/>
    <s v="EU"/>
    <x v="3"/>
  </r>
  <r>
    <s v="ORD_2025_0454"/>
    <s v="Jun-2024"/>
    <s v="Miller, Sarah"/>
    <s v="South Africa"/>
    <s v="Denim Jacket"/>
    <s v="Apparel"/>
    <n v="35"/>
    <n v="71.02"/>
    <n v="2485.6999999999998"/>
    <n v="137.22"/>
    <n v="948.48"/>
    <s v="Sea"/>
    <s v="Medium"/>
    <s v="AF"/>
    <x v="4"/>
  </r>
  <r>
    <s v="ORD_2025_0455"/>
    <s v="Sep-2024"/>
    <s v="Brown, Michael"/>
    <s v="Uae"/>
    <s v="Table Lamp"/>
    <s v="Home Decor"/>
    <n v="2"/>
    <n v="42.31"/>
    <n v="84.62"/>
    <n v="4.28"/>
    <n v="24.34"/>
    <s v="Sea"/>
    <s v="Medium"/>
    <s v="AS"/>
    <x v="6"/>
  </r>
  <r>
    <s v="ORD_2025_0456"/>
    <s v="Apr-2025"/>
    <s v="Johnson, Sarah"/>
    <s v="Singapore"/>
    <s v="Cotton Bedsheet"/>
    <s v="Textiles"/>
    <n v="8"/>
    <n v="41.36"/>
    <n v="330.88"/>
    <n v="11.78"/>
    <n v="119.1"/>
    <s v="Land"/>
    <s v="Low"/>
    <s v="AS"/>
    <x v="8"/>
  </r>
  <r>
    <s v="ORD_2025_0457"/>
    <s v="Sep-2024"/>
    <s v="Martinez, Sarah"/>
    <s v="Canada"/>
    <s v="Leather Wallet"/>
    <s v="Accessories"/>
    <n v="3"/>
    <n v="31.39"/>
    <n v="94.17"/>
    <n v="2.52"/>
    <n v="37.65"/>
    <s v="Air"/>
    <s v="High"/>
    <s v="NA"/>
    <x v="6"/>
  </r>
  <r>
    <s v="ORD_2025_0458"/>
    <s v="Jan-2025"/>
    <s v="Johnson, Daniel"/>
    <s v="France"/>
    <s v="Glass Bowl Set"/>
    <s v="Home Decor"/>
    <n v="48"/>
    <n v="33.61"/>
    <n v="1613.28"/>
    <n v="109.92"/>
    <n v="423.36"/>
    <s v="Land"/>
    <s v="High"/>
    <s v="EU"/>
    <x v="0"/>
  </r>
  <r>
    <s v="ORD_2025_0459"/>
    <s v="Feb-2024"/>
    <s v="Garcia, Michael"/>
    <s v="Germany"/>
    <s v="Bluetooth Speaker"/>
    <s v="Electronics"/>
    <n v="9"/>
    <n v="50.29"/>
    <n v="452.61"/>
    <n v="32.93"/>
    <n v="131.68"/>
    <s v="Sea"/>
    <s v="High"/>
    <s v="EU"/>
    <x v="10"/>
  </r>
  <r>
    <s v="ORD_2025_0460"/>
    <s v="Oct-2024"/>
    <s v="Johnson, Daniel"/>
    <s v="Usa"/>
    <s v="Glass Bowl Set"/>
    <s v="Home Decor"/>
    <n v="12"/>
    <n v="34.96"/>
    <n v="419.52"/>
    <n v="15.43"/>
    <n v="134.09"/>
    <s v="Sea"/>
    <s v="High"/>
    <s v="NA"/>
    <x v="3"/>
  </r>
  <r>
    <s v="ORD_2025_0461"/>
    <s v="Feb-2025"/>
    <s v="Jones, Emma"/>
    <s v="Australia"/>
    <s v="Travel Backpack"/>
    <s v="Accessories"/>
    <n v="29"/>
    <n v="52.72"/>
    <n v="1528.88"/>
    <n v="96.91"/>
    <n v="416.97"/>
    <s v="Sea"/>
    <s v="High"/>
    <s v="OC"/>
    <x v="1"/>
  </r>
  <r>
    <s v="ORD_2025_0462"/>
    <s v="Feb-2025"/>
    <s v="Garcia, Daniel"/>
    <s v="Canada"/>
    <s v="Ceramic Vase"/>
    <s v="Home Decor"/>
    <n v="39"/>
    <n v="22.18"/>
    <n v="865.02"/>
    <n v="26.23"/>
    <n v="234.29"/>
    <s v="Land"/>
    <s v="High"/>
    <s v="NA"/>
    <x v="1"/>
  </r>
  <r>
    <s v="ORD_2025_0463"/>
    <s v="Feb-2025"/>
    <s v="Miller, Emma"/>
    <s v="Singapore"/>
    <s v="Ceramic Vase"/>
    <s v="Home Decor"/>
    <n v="11"/>
    <n v="21.4"/>
    <n v="235.4"/>
    <n v="11.64"/>
    <n v="53.26"/>
    <s v="Land"/>
    <s v="High"/>
    <s v="AS"/>
    <x v="1"/>
  </r>
  <r>
    <s v="ORD_2025_0464"/>
    <s v="Apr-2024"/>
    <s v="Brown, John"/>
    <s v="Singapore"/>
    <s v="Cotton Bedsheet"/>
    <s v="Textiles"/>
    <n v="21"/>
    <n v="36.26"/>
    <n v="761.46"/>
    <n v="56.99"/>
    <n v="179.47"/>
    <s v="Sea"/>
    <s v="Low"/>
    <s v="AS"/>
    <x v="2"/>
  </r>
  <r>
    <s v="ORD_2025_0465"/>
    <s v="Oct-2024"/>
    <s v="Miller, Sarah"/>
    <s v="China"/>
    <s v="Glass Bowl Set"/>
    <s v="Home Decor"/>
    <n v="39"/>
    <n v="35.409999999999997"/>
    <n v="1380.99"/>
    <n v="84.56"/>
    <n v="418.93"/>
    <s v="Sea"/>
    <s v="Low"/>
    <s v="AS"/>
    <x v="3"/>
  </r>
  <r>
    <s v="ORD_2025_0466"/>
    <s v="Apr-2024"/>
    <s v="Smith, Sophia"/>
    <s v="China"/>
    <s v="Leather Wallet"/>
    <s v="Accessories"/>
    <n v="13"/>
    <n v="27.35"/>
    <n v="355.55"/>
    <n v="26.23"/>
    <n v="95.32"/>
    <s v="Sea"/>
    <s v="High"/>
    <s v="AS"/>
    <x v="2"/>
  </r>
  <r>
    <s v="ORD_2025_0467"/>
    <s v="Jan-2024"/>
    <s v="Johnson, Sarah"/>
    <s v="Brazil"/>
    <s v="LED Lamp"/>
    <s v="Electronics"/>
    <n v="40"/>
    <n v="21.08"/>
    <n v="843.2"/>
    <n v="66.81"/>
    <n v="266.39"/>
    <s v="Air"/>
    <s v="Medium"/>
    <s v="SA"/>
    <x v="16"/>
  </r>
  <r>
    <s v="ORD_2025_0468"/>
    <s v="Oct-2024"/>
    <s v="Jones, Emma"/>
    <s v="Mexico"/>
    <s v="Ceramic Vase"/>
    <s v="Home Decor"/>
    <n v="47"/>
    <n v="27.54"/>
    <n v="1294.3800000000001"/>
    <n v="62.78"/>
    <n v="503.1"/>
    <s v="Land"/>
    <s v="Low"/>
    <s v="NA"/>
    <x v="3"/>
  </r>
  <r>
    <s v="ORD_2025_0469"/>
    <s v="Mar-2024"/>
    <s v="Miller, Daniel"/>
    <s v="India"/>
    <s v="Bluetooth Speaker"/>
    <s v="Electronics"/>
    <n v="16"/>
    <n v="45.08"/>
    <n v="721.28"/>
    <n v="21.61"/>
    <n v="187.67"/>
    <s v="Sea"/>
    <s v="High"/>
    <s v="AS"/>
    <x v="11"/>
  </r>
  <r>
    <s v="ORD_2025_0470"/>
    <s v="Apr-2025"/>
    <s v="Garcia, Emily"/>
    <s v="Uae"/>
    <s v="Glass Bowl Set"/>
    <s v="Home Decor"/>
    <n v="37"/>
    <n v="33.200000000000003"/>
    <n v="1228.4000000000001"/>
    <n v="41.34"/>
    <n v="354.56"/>
    <s v="Air"/>
    <s v="Medium"/>
    <s v="AS"/>
    <x v="8"/>
  </r>
  <r>
    <s v="ORD_2025_0471"/>
    <s v="Dec-2024"/>
    <s v="Smith, Emily"/>
    <s v="Uae"/>
    <s v="Leather Wallet"/>
    <s v="Accessories"/>
    <n v="8"/>
    <n v="27.31"/>
    <n v="218.48"/>
    <n v="9.51"/>
    <n v="64.97"/>
    <s v="Air"/>
    <s v="Low"/>
    <s v="AS"/>
    <x v="9"/>
  </r>
  <r>
    <s v="ORD_2025_0472"/>
    <s v="Apr-2024"/>
    <s v="Martinez, Michael"/>
    <s v="South Africa"/>
    <s v="Leather Wallet"/>
    <s v="Accessories"/>
    <n v="19"/>
    <n v="29.14"/>
    <n v="553.66"/>
    <n v="19.7"/>
    <n v="191.96"/>
    <s v="Land"/>
    <s v="Medium"/>
    <s v="AF"/>
    <x v="2"/>
  </r>
  <r>
    <s v="ORD_2025_0473"/>
    <s v="Sep-2024"/>
    <s v="Williams, James"/>
    <s v="Singapore"/>
    <s v="Travel Backpack"/>
    <s v="Accessories"/>
    <n v="6"/>
    <n v="55.41"/>
    <n v="332.46"/>
    <n v="15.57"/>
    <n v="106.89"/>
    <s v="Land"/>
    <s v="Low"/>
    <s v="AS"/>
    <x v="6"/>
  </r>
  <r>
    <s v="ORD_2025_0474"/>
    <s v="Apr-2025"/>
    <s v="Hernandez, Laura"/>
    <s v="Uae"/>
    <s v="Leather Wallet"/>
    <s v="Accessories"/>
    <n v="48"/>
    <n v="29.07"/>
    <n v="1395.36"/>
    <n v="70.38"/>
    <n v="460.98"/>
    <s v="Sea"/>
    <s v="High"/>
    <s v="AS"/>
    <x v="8"/>
  </r>
  <r>
    <s v="ORD_2025_0475"/>
    <s v="May-2024"/>
    <s v="Hernandez, Michael"/>
    <s v="Brazil"/>
    <s v="Glass Bowl Set"/>
    <s v="Home Decor"/>
    <n v="26"/>
    <n v="27.17"/>
    <n v="706.42"/>
    <n v="33.94"/>
    <n v="87.48"/>
    <s v="Air"/>
    <s v="Medium"/>
    <s v="SA"/>
    <x v="14"/>
  </r>
  <r>
    <s v="ORD_2025_0476"/>
    <s v="May-2024"/>
    <s v="Miller, Laura"/>
    <s v="Japan"/>
    <s v="Travel Backpack"/>
    <s v="Accessories"/>
    <n v="9"/>
    <n v="48.76"/>
    <n v="438.84"/>
    <n v="16.91"/>
    <n v="106.93"/>
    <s v="Air"/>
    <s v="Low"/>
    <s v="AS"/>
    <x v="14"/>
  </r>
  <r>
    <s v="ORD_2025_0477"/>
    <s v="Jan-2024"/>
    <s v="Miller, Emily"/>
    <s v="Uk"/>
    <s v="Glass Bowl Set"/>
    <s v="Home Decor"/>
    <n v="37"/>
    <n v="33.21"/>
    <n v="1228.77"/>
    <n v="96.12"/>
    <n v="300.14999999999998"/>
    <s v="Air"/>
    <s v="Medium"/>
    <s v="EU"/>
    <x v="16"/>
  </r>
  <r>
    <s v="ORD_2025_0478"/>
    <s v="Jun-2024"/>
    <s v="Miller, Laura"/>
    <s v="Brazil"/>
    <s v="LED Lamp"/>
    <s v="Electronics"/>
    <n v="29"/>
    <n v="16.54"/>
    <n v="479.66"/>
    <n v="30.23"/>
    <n v="79.680000000000007"/>
    <s v="Sea"/>
    <s v="High"/>
    <s v="SA"/>
    <x v="4"/>
  </r>
  <r>
    <s v="ORD_2025_0479"/>
    <s v="Apr-2025"/>
    <s v="Williams, David"/>
    <s v="Australia"/>
    <s v="Cotton Bedsheet"/>
    <s v="Textiles"/>
    <n v="11"/>
    <n v="44.56"/>
    <n v="490.16"/>
    <n v="23.97"/>
    <n v="191.19"/>
    <s v="Sea"/>
    <s v="High"/>
    <s v="OC"/>
    <x v="8"/>
  </r>
  <r>
    <s v="ORD_2025_0480"/>
    <s v="Nov-2024"/>
    <s v="Hernandez, Emma"/>
    <s v="Mexico"/>
    <s v="Bluetooth Speaker"/>
    <s v="Electronics"/>
    <n v="50"/>
    <n v="44.78"/>
    <n v="2239"/>
    <n v="169.97"/>
    <n v="469.03"/>
    <s v="Land"/>
    <s v="High"/>
    <s v="NA"/>
    <x v="15"/>
  </r>
  <r>
    <s v="ORD_2025_0481"/>
    <s v="Dec-2024"/>
    <s v="Davis, Sarah"/>
    <s v="Usa"/>
    <s v="Leather Wallet"/>
    <s v="Accessories"/>
    <n v="30"/>
    <n v="22.51"/>
    <n v="675.3"/>
    <n v="26.26"/>
    <n v="109.04"/>
    <s v="Land"/>
    <s v="Low"/>
    <s v="NA"/>
    <x v="9"/>
  </r>
  <r>
    <s v="ORD_2025_0482"/>
    <s v="Mar-2024"/>
    <s v="Martinez, John"/>
    <s v="Australia"/>
    <s v="Ceramic Vase"/>
    <s v="Home Decor"/>
    <n v="50"/>
    <n v="27.18"/>
    <n v="1359"/>
    <n v="45.67"/>
    <n v="538.33000000000004"/>
    <s v="Land"/>
    <s v="High"/>
    <s v="OC"/>
    <x v="11"/>
  </r>
  <r>
    <s v="ORD_2025_0483"/>
    <s v="Sep-2024"/>
    <s v="Smith, Daniel"/>
    <s v="Italy"/>
    <s v="Table Lamp"/>
    <s v="Home Decor"/>
    <n v="28"/>
    <n v="37.51"/>
    <n v="1050.28"/>
    <n v="45.83"/>
    <n v="220.45"/>
    <s v="Air"/>
    <s v="Medium"/>
    <s v="EU"/>
    <x v="6"/>
  </r>
  <r>
    <s v="ORD_2025_0484"/>
    <s v="Mar-2024"/>
    <s v="Davis, James"/>
    <s v="Australia"/>
    <s v="Denim Jacket"/>
    <s v="Apparel"/>
    <n v="50"/>
    <n v="53.71"/>
    <n v="2685.5"/>
    <n v="197.89"/>
    <n v="487.61"/>
    <s v="Sea"/>
    <s v="High"/>
    <s v="OC"/>
    <x v="11"/>
  </r>
  <r>
    <s v="ORD_2025_0485"/>
    <s v="Dec-2024"/>
    <s v="Smith, John"/>
    <s v="South Africa"/>
    <s v="Ceramic Vase"/>
    <s v="Home Decor"/>
    <n v="24"/>
    <n v="18.62"/>
    <n v="446.88"/>
    <n v="26.91"/>
    <n v="47.97"/>
    <s v="Sea"/>
    <s v="Medium"/>
    <s v="AF"/>
    <x v="9"/>
  </r>
  <r>
    <s v="ORD_2025_0486"/>
    <s v="Jan-2025"/>
    <s v="Davis, Michael"/>
    <s v="Singapore"/>
    <s v="Denim Jacket"/>
    <s v="Apparel"/>
    <n v="10"/>
    <n v="49.15"/>
    <n v="491.5"/>
    <n v="13.3"/>
    <n v="78.2"/>
    <s v="Air"/>
    <s v="High"/>
    <s v="AS"/>
    <x v="0"/>
  </r>
  <r>
    <s v="ORD_2025_0487"/>
    <s v="Dec-2024"/>
    <s v="Miller, Sarah"/>
    <s v="China"/>
    <s v="Denim Jacket"/>
    <s v="Apparel"/>
    <n v="42"/>
    <n v="50.96"/>
    <n v="2140.3200000000002"/>
    <n v="127.85"/>
    <n v="332.47"/>
    <s v="Land"/>
    <s v="Medium"/>
    <s v="AS"/>
    <x v="9"/>
  </r>
  <r>
    <s v="ORD_2025_0488"/>
    <s v="Jan-2024"/>
    <s v="Martinez, Sophia"/>
    <s v="China"/>
    <s v="Cotton Bedsheet"/>
    <s v="Textiles"/>
    <n v="39"/>
    <n v="37.46"/>
    <n v="1460.94"/>
    <n v="82.25"/>
    <n v="403.69"/>
    <s v="Air"/>
    <s v="Low"/>
    <s v="AS"/>
    <x v="16"/>
  </r>
  <r>
    <s v="ORD_2025_0489"/>
    <s v="May-2025"/>
    <s v="Garcia, Sophia"/>
    <s v="France"/>
    <s v="LED Lamp"/>
    <s v="Electronics"/>
    <n v="7"/>
    <n v="20.2"/>
    <n v="141.4"/>
    <n v="4.3499999999999996"/>
    <n v="47.8"/>
    <s v="Sea"/>
    <s v="High"/>
    <s v="EU"/>
    <x v="5"/>
  </r>
  <r>
    <s v="ORD_2025_0490"/>
    <s v="Sep-2024"/>
    <s v="Garcia, Emily"/>
    <s v="Canada"/>
    <s v="LED Lamp"/>
    <s v="Electronics"/>
    <n v="18"/>
    <n v="18.63"/>
    <n v="335.34"/>
    <n v="26.18"/>
    <n v="79.66"/>
    <s v="Sea"/>
    <s v="Low"/>
    <s v="NA"/>
    <x v="6"/>
  </r>
  <r>
    <s v="ORD_2025_0491"/>
    <s v="May-2024"/>
    <s v="Brown, John"/>
    <s v="Australia"/>
    <s v="Glass Bowl Set"/>
    <s v="Home Decor"/>
    <n v="12"/>
    <n v="27.08"/>
    <n v="324.95999999999998"/>
    <n v="15.59"/>
    <n v="39.369999999999997"/>
    <s v="Sea"/>
    <s v="High"/>
    <s v="OC"/>
    <x v="14"/>
  </r>
  <r>
    <s v="ORD_2025_0492"/>
    <s v="Apr-2025"/>
    <s v="Hernandez, Sarah"/>
    <s v="France"/>
    <s v="Cotton Bedsheet"/>
    <s v="Textiles"/>
    <n v="50"/>
    <n v="32.21"/>
    <n v="1610.5"/>
    <n v="32.68"/>
    <n v="327.82"/>
    <s v="Sea"/>
    <s v="High"/>
    <s v="EU"/>
    <x v="8"/>
  </r>
  <r>
    <s v="ORD_2025_0493"/>
    <s v="Mar-2025"/>
    <s v="Garcia, James"/>
    <s v="South Africa"/>
    <s v="LED Lamp"/>
    <s v="Electronics"/>
    <n v="49"/>
    <n v="20.59"/>
    <n v="1008.91"/>
    <n v="78.03"/>
    <n v="306.13"/>
    <s v="Sea"/>
    <s v="High"/>
    <s v="AF"/>
    <x v="13"/>
  </r>
  <r>
    <s v="ORD_2025_0494"/>
    <s v="Apr-2024"/>
    <s v="Miller, Michael"/>
    <s v="Italy"/>
    <s v="Wireless Mouse"/>
    <s v="Electronics"/>
    <n v="22"/>
    <n v="28.63"/>
    <n v="629.86"/>
    <n v="29.08"/>
    <n v="160.78"/>
    <s v="Sea"/>
    <s v="Medium"/>
    <s v="EU"/>
    <x v="2"/>
  </r>
  <r>
    <s v="ORD_2025_0495"/>
    <s v="Feb-2025"/>
    <s v="Davis, Michael"/>
    <s v="China"/>
    <s v="Denim Jacket"/>
    <s v="Apparel"/>
    <n v="11"/>
    <n v="56.12"/>
    <n v="617.32000000000005"/>
    <n v="38.26"/>
    <n v="139.06"/>
    <s v="Sea"/>
    <s v="Medium"/>
    <s v="AS"/>
    <x v="1"/>
  </r>
  <r>
    <s v="ORD_2025_0496"/>
    <s v="Apr-2024"/>
    <s v="Johnson, Emma"/>
    <s v="Usa"/>
    <s v="Cotton Bedsheet"/>
    <s v="Textiles"/>
    <n v="2"/>
    <n v="30.88"/>
    <n v="61.76"/>
    <n v="4.42"/>
    <n v="7.34"/>
    <s v="Air"/>
    <s v="Medium"/>
    <s v="NA"/>
    <x v="2"/>
  </r>
  <r>
    <s v="ORD_2025_0497"/>
    <s v="Jul-2024"/>
    <s v="Johnson, Emily"/>
    <s v="Australia"/>
    <s v="Denim Jacket"/>
    <s v="Apparel"/>
    <n v="34"/>
    <n v="63.8"/>
    <n v="2169.1999999999998"/>
    <n v="69.650000000000006"/>
    <n v="739.55"/>
    <s v="Sea"/>
    <s v="High"/>
    <s v="OC"/>
    <x v="12"/>
  </r>
  <r>
    <s v="ORD_2025_0498"/>
    <s v="Dec-2024"/>
    <s v="Smith, David"/>
    <s v="Mexico"/>
    <s v="Table Lamp"/>
    <s v="Home Decor"/>
    <n v="50"/>
    <n v="44.61"/>
    <n v="2230.5"/>
    <n v="91.32"/>
    <n v="739.18"/>
    <s v="Air"/>
    <s v="Low"/>
    <s v="NA"/>
    <x v="9"/>
  </r>
  <r>
    <s v="ORD_2025_0499"/>
    <s v="Sep-2024"/>
    <s v="Smith, Emma"/>
    <s v="Uae"/>
    <s v="LED Lamp"/>
    <s v="Electronics"/>
    <n v="14"/>
    <n v="18.61"/>
    <n v="260.54000000000002"/>
    <n v="5.39"/>
    <n v="76.650000000000006"/>
    <s v="Sea"/>
    <s v="High"/>
    <s v="AS"/>
    <x v="6"/>
  </r>
  <r>
    <s v="ORD_2025_0500"/>
    <s v="Jul-2024"/>
    <s v="Hernandez, Michael"/>
    <s v="Uk"/>
    <s v="Ceramic Vase"/>
    <s v="Home Decor"/>
    <n v="7"/>
    <n v="24.61"/>
    <n v="172.27"/>
    <n v="9.64"/>
    <n v="54.13"/>
    <s v="Air"/>
    <s v="High"/>
    <s v="EU"/>
    <x v="1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">
  <r>
    <s v="ORD_2025_0001"/>
    <x v="0"/>
    <s v="Smith, Emily"/>
    <s v="Usa"/>
    <s v="Travel Backpack"/>
    <x v="0"/>
    <n v="20"/>
    <n v="55.22"/>
    <n v="1104.4000000000001"/>
    <n v="49.36"/>
    <n v="355.04"/>
    <s v="Land"/>
    <s v="Low"/>
    <x v="0"/>
  </r>
  <r>
    <s v="ORD_2025_0002"/>
    <x v="1"/>
    <s v="Brown, Laura"/>
    <s v="Uk"/>
    <s v="Leather Wallet"/>
    <x v="0"/>
    <n v="33"/>
    <n v="32.03"/>
    <n v="1056.99"/>
    <n v="59.59"/>
    <n v="403.4"/>
    <s v="Sea"/>
    <s v="Medium"/>
    <x v="1"/>
  </r>
  <r>
    <s v="ORD_2025_0003"/>
    <x v="2"/>
    <s v="Davis, John"/>
    <s v="Italy"/>
    <s v="Leather Wallet"/>
    <x v="0"/>
    <n v="34"/>
    <n v="28.48"/>
    <n v="968.32"/>
    <n v="73.95"/>
    <n v="282.37"/>
    <s v="Land"/>
    <s v="High"/>
    <x v="1"/>
  </r>
  <r>
    <s v="ORD_2025_0004"/>
    <x v="3"/>
    <s v="Miller, Daniel"/>
    <s v="Brazil"/>
    <s v="Bluetooth Speaker"/>
    <x v="1"/>
    <n v="6"/>
    <n v="56.36"/>
    <n v="338.16"/>
    <n v="11.39"/>
    <n v="134.77000000000001"/>
    <s v="Air"/>
    <s v="Medium"/>
    <x v="2"/>
  </r>
  <r>
    <s v="ORD_2025_0005"/>
    <x v="1"/>
    <s v="Johnson, Emma"/>
    <s v="Canada"/>
    <s v="Denim Jacket"/>
    <x v="2"/>
    <n v="17"/>
    <n v="69.22"/>
    <n v="1176.74"/>
    <n v="65.94"/>
    <n v="430.8"/>
    <s v="Sea"/>
    <s v="Low"/>
    <x v="0"/>
  </r>
  <r>
    <s v="ORD_2025_0006"/>
    <x v="1"/>
    <s v="Johnson, Michael"/>
    <s v="Mexico"/>
    <s v="Wireless Mouse"/>
    <x v="1"/>
    <n v="13"/>
    <n v="27.94"/>
    <n v="363.22"/>
    <n v="15.36"/>
    <n v="87.86"/>
    <s v="Sea"/>
    <s v="Low"/>
    <x v="0"/>
  </r>
  <r>
    <s v="ORD_2025_0007"/>
    <x v="4"/>
    <s v="Hernandez, Emma"/>
    <s v="Uk"/>
    <s v="Glass Bowl Set"/>
    <x v="3"/>
    <n v="3"/>
    <n v="31.52"/>
    <n v="94.56"/>
    <n v="6.98"/>
    <n v="20.079999999999998"/>
    <s v="Land"/>
    <s v="High"/>
    <x v="1"/>
  </r>
  <r>
    <s v="ORD_2025_0008"/>
    <x v="5"/>
    <s v="Miller, John"/>
    <s v="China"/>
    <s v="Cotton Bedsheet"/>
    <x v="4"/>
    <n v="14"/>
    <n v="30.71"/>
    <n v="429.94"/>
    <n v="13.03"/>
    <n v="66.91"/>
    <s v="Sea"/>
    <s v="Low"/>
    <x v="3"/>
  </r>
  <r>
    <s v="ORD_2025_0009"/>
    <x v="6"/>
    <s v="Davis, John"/>
    <s v="Usa"/>
    <s v="Ceramic Vase"/>
    <x v="3"/>
    <n v="47"/>
    <n v="24.47"/>
    <n v="1150.0899999999999"/>
    <n v="61.3"/>
    <n v="360.29"/>
    <s v="Sea"/>
    <s v="Low"/>
    <x v="0"/>
  </r>
  <r>
    <s v="ORD_2025_0010"/>
    <x v="7"/>
    <s v="Martinez, Laura"/>
    <s v="Italy"/>
    <s v="LED Lamp"/>
    <x v="1"/>
    <n v="27"/>
    <n v="18.98"/>
    <n v="512.46"/>
    <n v="28.89"/>
    <n v="139.32"/>
    <s v="Sea"/>
    <s v="High"/>
    <x v="1"/>
  </r>
  <r>
    <s v="ORD_2025_0011"/>
    <x v="8"/>
    <s v="Martinez, James"/>
    <s v="China"/>
    <s v="Travel Backpack"/>
    <x v="0"/>
    <n v="32"/>
    <n v="57.84"/>
    <n v="1850.88"/>
    <n v="55.15"/>
    <n v="675.73"/>
    <s v="Land"/>
    <s v="Low"/>
    <x v="3"/>
  </r>
  <r>
    <s v="ORD_2025_0012"/>
    <x v="9"/>
    <s v="Davis, James"/>
    <s v="Canada"/>
    <s v="Denim Jacket"/>
    <x v="2"/>
    <n v="49"/>
    <n v="58.77"/>
    <n v="2879.73"/>
    <n v="140.29"/>
    <n v="779.44"/>
    <s v="Air"/>
    <s v="High"/>
    <x v="0"/>
  </r>
  <r>
    <s v="ORD_2025_0013"/>
    <x v="6"/>
    <s v="Martinez, James"/>
    <s v="Singapore"/>
    <s v="Travel Backpack"/>
    <x v="0"/>
    <n v="43"/>
    <n v="56.92"/>
    <n v="2447.56"/>
    <n v="140.4"/>
    <n v="802.16"/>
    <s v="Land"/>
    <s v="Medium"/>
    <x v="3"/>
  </r>
  <r>
    <s v="ORD_2025_0014"/>
    <x v="10"/>
    <s v="Smith, Emma"/>
    <s v="Italy"/>
    <s v="Cotton Bedsheet"/>
    <x v="4"/>
    <n v="32"/>
    <n v="43.45"/>
    <n v="1390.4"/>
    <n v="30.04"/>
    <n v="560.36"/>
    <s v="Land"/>
    <s v="High"/>
    <x v="1"/>
  </r>
  <r>
    <s v="ORD_2025_0015"/>
    <x v="11"/>
    <s v="Davis, Sarah"/>
    <s v="Uae"/>
    <s v="Cotton Bedsheet"/>
    <x v="4"/>
    <n v="22"/>
    <n v="42.59"/>
    <n v="936.98"/>
    <n v="29.87"/>
    <n v="357.11"/>
    <s v="Sea"/>
    <s v="High"/>
    <x v="3"/>
  </r>
  <r>
    <s v="ORD_2025_0016"/>
    <x v="6"/>
    <s v="Williams, David"/>
    <s v="Japan"/>
    <s v="Wireless Mouse"/>
    <x v="1"/>
    <n v="48"/>
    <n v="25.36"/>
    <n v="1217.28"/>
    <n v="49.68"/>
    <n v="207.6"/>
    <s v="Sea"/>
    <s v="Low"/>
    <x v="3"/>
  </r>
  <r>
    <s v="ORD_2025_0017"/>
    <x v="7"/>
    <s v="Martinez, James"/>
    <s v="Uae"/>
    <s v="Leather Wallet"/>
    <x v="0"/>
    <n v="48"/>
    <n v="30.07"/>
    <n v="1443.36"/>
    <n v="102.31"/>
    <n v="477.05"/>
    <s v="Air"/>
    <s v="Low"/>
    <x v="3"/>
  </r>
  <r>
    <s v="ORD_2025_0018"/>
    <x v="6"/>
    <s v="Johnson, Michael"/>
    <s v="Uae"/>
    <s v="Wireless Mouse"/>
    <x v="1"/>
    <n v="6"/>
    <n v="32.17"/>
    <n v="193.02"/>
    <n v="14.45"/>
    <n v="58.57"/>
    <s v="Air"/>
    <s v="Low"/>
    <x v="3"/>
  </r>
  <r>
    <s v="ORD_2025_0019"/>
    <x v="12"/>
    <s v="Smith, Sarah"/>
    <s v="Singapore"/>
    <s v="Leather Wallet"/>
    <x v="0"/>
    <n v="37"/>
    <n v="24.14"/>
    <n v="893.18"/>
    <n v="31.39"/>
    <n v="195.79"/>
    <s v="Sea"/>
    <s v="Medium"/>
    <x v="3"/>
  </r>
  <r>
    <s v="ORD_2025_0020"/>
    <x v="8"/>
    <s v="Johnson, Emma"/>
    <s v="Uk"/>
    <s v="Table Lamp"/>
    <x v="3"/>
    <n v="39"/>
    <n v="37.840000000000003"/>
    <n v="1475.76"/>
    <n v="73.400000000000006"/>
    <n v="310.36"/>
    <s v="Sea"/>
    <s v="High"/>
    <x v="1"/>
  </r>
  <r>
    <s v="ORD_2025_0021"/>
    <x v="1"/>
    <s v="Miller, Michael"/>
    <s v="South Africa"/>
    <s v="Denim Jacket"/>
    <x v="2"/>
    <n v="6"/>
    <n v="68.77"/>
    <n v="412.62"/>
    <n v="17.18"/>
    <n v="155.44"/>
    <s v="Sea"/>
    <s v="Low"/>
    <x v="4"/>
  </r>
  <r>
    <s v="ORD_2025_0022"/>
    <x v="13"/>
    <s v="Davis, David"/>
    <s v="Canada"/>
    <s v="LED Lamp"/>
    <x v="1"/>
    <n v="6"/>
    <n v="18.5"/>
    <n v="111"/>
    <n v="5.26"/>
    <n v="29.24"/>
    <s v="Air"/>
    <s v="Medium"/>
    <x v="0"/>
  </r>
  <r>
    <s v="ORD_2025_0023"/>
    <x v="14"/>
    <s v="Johnson, Sarah"/>
    <s v="Italy"/>
    <s v="Glass Bowl Set"/>
    <x v="3"/>
    <n v="33"/>
    <n v="28.96"/>
    <n v="955.68"/>
    <n v="49.07"/>
    <n v="164.11"/>
    <s v="Sea"/>
    <s v="Low"/>
    <x v="1"/>
  </r>
  <r>
    <s v="ORD_2025_0024"/>
    <x v="10"/>
    <s v="Hernandez, Sophia"/>
    <s v="Canada"/>
    <s v="Glass Bowl Set"/>
    <x v="3"/>
    <n v="31"/>
    <n v="35.020000000000003"/>
    <n v="1085.6199999999999"/>
    <n v="74.650000000000006"/>
    <n v="313.47000000000003"/>
    <s v="Air"/>
    <s v="Low"/>
    <x v="0"/>
  </r>
  <r>
    <s v="ORD_2025_0025"/>
    <x v="8"/>
    <s v="Williams, Daniel"/>
    <s v="Canada"/>
    <s v="Wireless Mouse"/>
    <x v="1"/>
    <n v="25"/>
    <n v="31.57"/>
    <n v="789.25"/>
    <n v="56.47"/>
    <n v="232.78"/>
    <s v="Sea"/>
    <s v="Medium"/>
    <x v="0"/>
  </r>
  <r>
    <s v="ORD_2025_0026"/>
    <x v="9"/>
    <s v="Martinez, Michael"/>
    <s v="Italy"/>
    <s v="Ceramic Vase"/>
    <x v="3"/>
    <n v="14"/>
    <n v="27.08"/>
    <n v="379.12"/>
    <n v="11.12"/>
    <n v="151"/>
    <s v="Sea"/>
    <s v="High"/>
    <x v="1"/>
  </r>
  <r>
    <s v="ORD_2025_0027"/>
    <x v="4"/>
    <s v="Miller, Daniel"/>
    <s v="Italy"/>
    <s v="Table Lamp"/>
    <x v="3"/>
    <n v="39"/>
    <n v="35.32"/>
    <n v="1377.48"/>
    <n v="63.72"/>
    <n v="221.76"/>
    <s v="Sea"/>
    <s v="Medium"/>
    <x v="1"/>
  </r>
  <r>
    <s v="ORD_2025_0028"/>
    <x v="7"/>
    <s v="Jones, Laura"/>
    <s v="China"/>
    <s v="Glass Bowl Set"/>
    <x v="3"/>
    <n v="6"/>
    <n v="39.630000000000003"/>
    <n v="237.78"/>
    <n v="8.08"/>
    <n v="94.7"/>
    <s v="Land"/>
    <s v="High"/>
    <x v="3"/>
  </r>
  <r>
    <s v="ORD_2025_0029"/>
    <x v="0"/>
    <s v="Brown, Michael"/>
    <s v="South Africa"/>
    <s v="Denim Jacket"/>
    <x v="2"/>
    <n v="36"/>
    <n v="68.400000000000006"/>
    <n v="2462.4"/>
    <n v="150.83000000000001"/>
    <n v="871.57"/>
    <s v="Sea"/>
    <s v="Low"/>
    <x v="4"/>
  </r>
  <r>
    <s v="ORD_2025_0030"/>
    <x v="12"/>
    <s v="Williams, David"/>
    <s v="Italy"/>
    <s v="Cotton Bedsheet"/>
    <x v="4"/>
    <n v="1"/>
    <n v="44.98"/>
    <n v="44.98"/>
    <n v="2.81"/>
    <n v="17.170000000000002"/>
    <s v="Sea"/>
    <s v="Medium"/>
    <x v="1"/>
  </r>
  <r>
    <s v="ORD_2025_0031"/>
    <x v="8"/>
    <s v="Miller, Laura"/>
    <s v="France"/>
    <s v="Table Lamp"/>
    <x v="3"/>
    <n v="3"/>
    <n v="37.74"/>
    <n v="113.22"/>
    <n v="4.04"/>
    <n v="25.18"/>
    <s v="Sea"/>
    <s v="Medium"/>
    <x v="1"/>
  </r>
  <r>
    <s v="ORD_2025_0032"/>
    <x v="14"/>
    <s v="Garcia, Sophia"/>
    <s v="France"/>
    <s v="Cotton Bedsheet"/>
    <x v="4"/>
    <n v="12"/>
    <n v="39.799999999999997"/>
    <n v="477.6"/>
    <n v="20.54"/>
    <n v="157.06"/>
    <s v="Air"/>
    <s v="Medium"/>
    <x v="1"/>
  </r>
  <r>
    <s v="ORD_2025_0033"/>
    <x v="2"/>
    <s v="Smith, Sophia"/>
    <s v="China"/>
    <s v="Bluetooth Speaker"/>
    <x v="1"/>
    <n v="26"/>
    <n v="43.23"/>
    <n v="1123.98"/>
    <n v="57.2"/>
    <n v="234.78"/>
    <s v="Sea"/>
    <s v="High"/>
    <x v="3"/>
  </r>
  <r>
    <s v="ORD_2025_0034"/>
    <x v="0"/>
    <s v="Miller, Daniel"/>
    <s v="Italy"/>
    <s v="Denim Jacket"/>
    <x v="2"/>
    <n v="17"/>
    <n v="66.34"/>
    <n v="1127.78"/>
    <n v="81.150000000000006"/>
    <n v="366.63"/>
    <s v="Sea"/>
    <s v="High"/>
    <x v="1"/>
  </r>
  <r>
    <s v="ORD_2025_0035"/>
    <x v="3"/>
    <s v="Hernandez, John"/>
    <s v="Singapore"/>
    <s v="Cotton Bedsheet"/>
    <x v="4"/>
    <n v="4"/>
    <n v="33.869999999999997"/>
    <n v="135.47999999999999"/>
    <n v="6.59"/>
    <n v="28.89"/>
    <s v="Land"/>
    <s v="High"/>
    <x v="3"/>
  </r>
  <r>
    <s v="ORD_2025_0036"/>
    <x v="15"/>
    <s v="Williams, Laura"/>
    <s v="Italy"/>
    <s v="Denim Jacket"/>
    <x v="2"/>
    <n v="10"/>
    <n v="64.650000000000006"/>
    <n v="646.5"/>
    <n v="17.89"/>
    <n v="228.61"/>
    <s v="Air"/>
    <s v="Low"/>
    <x v="1"/>
  </r>
  <r>
    <s v="ORD_2025_0037"/>
    <x v="9"/>
    <s v="Miller, David"/>
    <s v="South Africa"/>
    <s v="Glass Bowl Set"/>
    <x v="3"/>
    <n v="12"/>
    <n v="29.56"/>
    <n v="354.72"/>
    <n v="21.4"/>
    <n v="63.32"/>
    <s v="Sea"/>
    <s v="Low"/>
    <x v="4"/>
  </r>
  <r>
    <s v="ORD_2025_0038"/>
    <x v="14"/>
    <s v="Smith, Michael"/>
    <s v="Usa"/>
    <s v="Cotton Bedsheet"/>
    <x v="4"/>
    <n v="4"/>
    <n v="35.36"/>
    <n v="141.44"/>
    <n v="8.66"/>
    <n v="32.78"/>
    <s v="Air"/>
    <s v="Medium"/>
    <x v="0"/>
  </r>
  <r>
    <s v="ORD_2025_0039"/>
    <x v="0"/>
    <s v="Martinez, Sarah"/>
    <s v="Italy"/>
    <s v="Wireless Mouse"/>
    <x v="1"/>
    <n v="28"/>
    <n v="31.42"/>
    <n v="879.76"/>
    <n v="69.319999999999993"/>
    <n v="250.44"/>
    <s v="Land"/>
    <s v="High"/>
    <x v="1"/>
  </r>
  <r>
    <s v="ORD_2025_0040"/>
    <x v="14"/>
    <s v="Garcia, Emily"/>
    <s v="Usa"/>
    <s v="Travel Backpack"/>
    <x v="0"/>
    <n v="35"/>
    <n v="55.12"/>
    <n v="1929.2"/>
    <n v="58.22"/>
    <n v="645.98"/>
    <s v="Land"/>
    <s v="Low"/>
    <x v="0"/>
  </r>
  <r>
    <s v="ORD_2025_0041"/>
    <x v="8"/>
    <s v="Williams, Emma"/>
    <s v="Uae"/>
    <s v="Glass Bowl Set"/>
    <x v="3"/>
    <n v="41"/>
    <n v="33.94"/>
    <n v="1391.54"/>
    <n v="33.26"/>
    <n v="435.78"/>
    <s v="Land"/>
    <s v="High"/>
    <x v="3"/>
  </r>
  <r>
    <s v="ORD_2025_0042"/>
    <x v="7"/>
    <s v="Smith, Emma"/>
    <s v="Singapore"/>
    <s v="Glass Bowl Set"/>
    <x v="3"/>
    <n v="20"/>
    <n v="38.43"/>
    <n v="768.6"/>
    <n v="60.07"/>
    <n v="258.52999999999997"/>
    <s v="Air"/>
    <s v="High"/>
    <x v="3"/>
  </r>
  <r>
    <s v="ORD_2025_0043"/>
    <x v="14"/>
    <s v="Davis, Sarah"/>
    <s v="Brazil"/>
    <s v="Cotton Bedsheet"/>
    <x v="4"/>
    <n v="23"/>
    <n v="35.07"/>
    <n v="806.61"/>
    <n v="21.23"/>
    <n v="210.38"/>
    <s v="Land"/>
    <s v="High"/>
    <x v="2"/>
  </r>
  <r>
    <s v="ORD_2025_0044"/>
    <x v="13"/>
    <s v="Davis, James"/>
    <s v="Australia"/>
    <s v="Denim Jacket"/>
    <x v="2"/>
    <n v="35"/>
    <n v="71.44"/>
    <n v="2500.4"/>
    <n v="166.81"/>
    <n v="933.59"/>
    <s v="Sea"/>
    <s v="Medium"/>
    <x v="5"/>
  </r>
  <r>
    <s v="ORD_2025_0045"/>
    <x v="9"/>
    <s v="Williams, Laura"/>
    <s v="Canada"/>
    <s v="Leather Wallet"/>
    <x v="0"/>
    <n v="11"/>
    <n v="26.05"/>
    <n v="286.55"/>
    <n v="13.39"/>
    <n v="75.16"/>
    <s v="Sea"/>
    <s v="Low"/>
    <x v="0"/>
  </r>
  <r>
    <s v="ORD_2025_0046"/>
    <x v="10"/>
    <s v="Johnson, Emma"/>
    <s v="Uk"/>
    <s v="Ceramic Vase"/>
    <x v="3"/>
    <n v="46"/>
    <n v="26.67"/>
    <n v="1226.82"/>
    <n v="83.55"/>
    <n v="430.27"/>
    <s v="Land"/>
    <s v="High"/>
    <x v="1"/>
  </r>
  <r>
    <s v="ORD_2025_0047"/>
    <x v="15"/>
    <s v="Johnson, Sarah"/>
    <s v="Uk"/>
    <s v="Table Lamp"/>
    <x v="3"/>
    <n v="12"/>
    <n v="42.84"/>
    <n v="514.08000000000004"/>
    <n v="22.74"/>
    <n v="155.34"/>
    <s v="Air"/>
    <s v="Low"/>
    <x v="1"/>
  </r>
  <r>
    <s v="ORD_2025_0048"/>
    <x v="12"/>
    <s v="Smith, Daniel"/>
    <s v="Singapore"/>
    <s v="Leather Wallet"/>
    <x v="0"/>
    <n v="18"/>
    <n v="30.89"/>
    <n v="556.02"/>
    <n v="12"/>
    <n v="220.02"/>
    <s v="Sea"/>
    <s v="Low"/>
    <x v="3"/>
  </r>
  <r>
    <s v="ORD_2025_0049"/>
    <x v="9"/>
    <s v="Jones, David"/>
    <s v="Canada"/>
    <s v="Travel Backpack"/>
    <x v="0"/>
    <n v="21"/>
    <n v="52.41"/>
    <n v="1100.6099999999999"/>
    <n v="81.099999999999994"/>
    <n v="284.51"/>
    <s v="Air"/>
    <s v="Medium"/>
    <x v="0"/>
  </r>
  <r>
    <s v="ORD_2025_0050"/>
    <x v="16"/>
    <s v="Brown, Sarah"/>
    <s v="Australia"/>
    <s v="Table Lamp"/>
    <x v="3"/>
    <n v="17"/>
    <n v="38.64"/>
    <n v="656.88"/>
    <n v="13.86"/>
    <n v="167.02"/>
    <s v="Sea"/>
    <s v="Low"/>
    <x v="5"/>
  </r>
  <r>
    <s v="ORD_2025_0051"/>
    <x v="8"/>
    <s v="Smith, Michael"/>
    <s v="Japan"/>
    <s v="Leather Wallet"/>
    <x v="0"/>
    <n v="41"/>
    <n v="25.79"/>
    <n v="1057.3900000000001"/>
    <n v="71.22"/>
    <n v="248.17"/>
    <s v="Sea"/>
    <s v="Medium"/>
    <x v="3"/>
  </r>
  <r>
    <s v="ORD_2025_0052"/>
    <x v="12"/>
    <s v="Martinez, Emma"/>
    <s v="Japan"/>
    <s v="Table Lamp"/>
    <x v="3"/>
    <n v="41"/>
    <n v="41.13"/>
    <n v="1686.33"/>
    <n v="80.12"/>
    <n v="458.21"/>
    <s v="Sea"/>
    <s v="High"/>
    <x v="3"/>
  </r>
  <r>
    <s v="ORD_2025_0053"/>
    <x v="15"/>
    <s v="Davis, James"/>
    <s v="China"/>
    <s v="Denim Jacket"/>
    <x v="2"/>
    <n v="33"/>
    <n v="55.67"/>
    <n v="1837.11"/>
    <n v="144.32"/>
    <n v="372.79"/>
    <s v="Land"/>
    <s v="Low"/>
    <x v="3"/>
  </r>
  <r>
    <s v="ORD_2025_0054"/>
    <x v="15"/>
    <s v="Johnson, Daniel"/>
    <s v="Japan"/>
    <s v="Denim Jacket"/>
    <x v="2"/>
    <n v="18"/>
    <n v="50.87"/>
    <n v="915.66"/>
    <n v="49.93"/>
    <n v="145.72999999999999"/>
    <s v="Land"/>
    <s v="Medium"/>
    <x v="3"/>
  </r>
  <r>
    <s v="ORD_2025_0055"/>
    <x v="8"/>
    <s v="Jones, Sophia"/>
    <s v="South Africa"/>
    <s v="Ceramic Vase"/>
    <x v="3"/>
    <n v="14"/>
    <n v="26.7"/>
    <n v="373.8"/>
    <n v="11.84"/>
    <n v="144.96"/>
    <s v="Air"/>
    <s v="Low"/>
    <x v="4"/>
  </r>
  <r>
    <s v="ORD_2025_0056"/>
    <x v="6"/>
    <s v="Garcia, Sarah"/>
    <s v="Usa"/>
    <s v="Leather Wallet"/>
    <x v="0"/>
    <n v="16"/>
    <n v="28.96"/>
    <n v="463.36"/>
    <n v="35.65"/>
    <n v="139.71"/>
    <s v="Land"/>
    <s v="High"/>
    <x v="0"/>
  </r>
  <r>
    <s v="ORD_2025_0057"/>
    <x v="14"/>
    <s v="Davis, James"/>
    <s v="Germany"/>
    <s v="Leather Wallet"/>
    <x v="0"/>
    <n v="47"/>
    <n v="23.03"/>
    <n v="1082.4100000000001"/>
    <n v="50.12"/>
    <n v="186.29"/>
    <s v="Air"/>
    <s v="Low"/>
    <x v="1"/>
  </r>
  <r>
    <s v="ORD_2025_0058"/>
    <x v="14"/>
    <s v="Garcia, Sarah"/>
    <s v="Australia"/>
    <s v="Travel Backpack"/>
    <x v="0"/>
    <n v="18"/>
    <n v="50.03"/>
    <n v="900.54"/>
    <n v="68.44"/>
    <n v="202.1"/>
    <s v="Air"/>
    <s v="Low"/>
    <x v="5"/>
  </r>
  <r>
    <s v="ORD_2025_0059"/>
    <x v="12"/>
    <s v="Williams, Michael"/>
    <s v="Uk"/>
    <s v="Cotton Bedsheet"/>
    <x v="4"/>
    <n v="38"/>
    <n v="32.07"/>
    <n v="1218.6600000000001"/>
    <n v="54.49"/>
    <n v="214.17"/>
    <s v="Air"/>
    <s v="High"/>
    <x v="1"/>
  </r>
  <r>
    <s v="ORD_2025_0060"/>
    <x v="8"/>
    <s v="Hernandez, James"/>
    <s v="Brazil"/>
    <s v="Bluetooth Speaker"/>
    <x v="1"/>
    <n v="23"/>
    <n v="50.96"/>
    <n v="1172.08"/>
    <n v="61"/>
    <n v="375.08"/>
    <s v="Air"/>
    <s v="Medium"/>
    <x v="2"/>
  </r>
  <r>
    <s v="ORD_2025_0061"/>
    <x v="13"/>
    <s v="Williams, Sarah"/>
    <s v="Japan"/>
    <s v="Denim Jacket"/>
    <x v="2"/>
    <n v="46"/>
    <n v="70.599999999999994"/>
    <n v="3247.6"/>
    <n v="166.91"/>
    <n v="1240.69"/>
    <s v="Air"/>
    <s v="Medium"/>
    <x v="3"/>
  </r>
  <r>
    <s v="ORD_2025_0062"/>
    <x v="7"/>
    <s v="Johnson, Sarah"/>
    <s v="Japan"/>
    <s v="Denim Jacket"/>
    <x v="2"/>
    <n v="15"/>
    <n v="53.36"/>
    <n v="800.4"/>
    <n v="56.29"/>
    <n v="144.11000000000001"/>
    <s v="Land"/>
    <s v="Low"/>
    <x v="3"/>
  </r>
  <r>
    <s v="ORD_2025_0063"/>
    <x v="11"/>
    <s v="Williams, Emily"/>
    <s v="Australia"/>
    <s v="Bluetooth Speaker"/>
    <x v="1"/>
    <n v="42"/>
    <n v="39.840000000000003"/>
    <n v="1673.28"/>
    <n v="132.74"/>
    <n v="196.54"/>
    <s v="Land"/>
    <s v="High"/>
    <x v="5"/>
  </r>
  <r>
    <s v="ORD_2025_0064"/>
    <x v="8"/>
    <s v="Johnson, Daniel"/>
    <s v="Japan"/>
    <s v="Cotton Bedsheet"/>
    <x v="4"/>
    <n v="31"/>
    <n v="38.26"/>
    <n v="1186.06"/>
    <n v="69.33"/>
    <n v="341.73"/>
    <s v="Sea"/>
    <s v="Low"/>
    <x v="3"/>
  </r>
  <r>
    <s v="ORD_2025_0065"/>
    <x v="3"/>
    <s v="Jones, Sophia"/>
    <s v="France"/>
    <s v="Ceramic Vase"/>
    <x v="3"/>
    <n v="2"/>
    <n v="23.09"/>
    <n v="46.18"/>
    <n v="2.52"/>
    <n v="12.66"/>
    <s v="Sea"/>
    <s v="Medium"/>
    <x v="1"/>
  </r>
  <r>
    <s v="ORD_2025_0066"/>
    <x v="9"/>
    <s v="Hernandez, Emma"/>
    <s v="Uae"/>
    <s v="Bluetooth Speaker"/>
    <x v="1"/>
    <n v="40"/>
    <n v="46.81"/>
    <n v="1872.4"/>
    <n v="43.01"/>
    <n v="549.39"/>
    <s v="Land"/>
    <s v="High"/>
    <x v="3"/>
  </r>
  <r>
    <s v="ORD_2025_0067"/>
    <x v="13"/>
    <s v="Brown, Daniel"/>
    <s v="China"/>
    <s v="Bluetooth Speaker"/>
    <x v="1"/>
    <n v="43"/>
    <n v="57.01"/>
    <n v="2451.4299999999998"/>
    <n v="115.04"/>
    <n v="960.39"/>
    <s v="Sea"/>
    <s v="Low"/>
    <x v="3"/>
  </r>
  <r>
    <s v="ORD_2025_0068"/>
    <x v="11"/>
    <s v="Martinez, Daniel"/>
    <s v="Mexico"/>
    <s v="LED Lamp"/>
    <x v="1"/>
    <n v="15"/>
    <n v="22.23"/>
    <n v="333.45"/>
    <n v="16.89"/>
    <n v="125.31"/>
    <s v="Air"/>
    <s v="Medium"/>
    <x v="0"/>
  </r>
  <r>
    <s v="ORD_2025_0069"/>
    <x v="7"/>
    <s v="Jones, Michael"/>
    <s v="France"/>
    <s v="Ceramic Vase"/>
    <x v="3"/>
    <n v="15"/>
    <n v="19.23"/>
    <n v="288.45"/>
    <n v="20.22"/>
    <n v="35.729999999999997"/>
    <s v="Land"/>
    <s v="Low"/>
    <x v="1"/>
  </r>
  <r>
    <s v="ORD_2025_0070"/>
    <x v="4"/>
    <s v="Hernandez, Sophia"/>
    <s v="Italy"/>
    <s v="Table Lamp"/>
    <x v="3"/>
    <n v="34"/>
    <n v="45.54"/>
    <n v="1548.36"/>
    <n v="36.76"/>
    <n v="559.6"/>
    <s v="Land"/>
    <s v="Low"/>
    <x v="1"/>
  </r>
  <r>
    <s v="ORD_2025_0071"/>
    <x v="7"/>
    <s v="Garcia, Michael"/>
    <s v="France"/>
    <s v="Denim Jacket"/>
    <x v="2"/>
    <n v="33"/>
    <n v="63.88"/>
    <n v="2108.04"/>
    <n v="111.7"/>
    <n v="676.34"/>
    <s v="Land"/>
    <s v="High"/>
    <x v="1"/>
  </r>
  <r>
    <s v="ORD_2025_0072"/>
    <x v="4"/>
    <s v="Johnson, Sarah"/>
    <s v="Germany"/>
    <s v="Leather Wallet"/>
    <x v="0"/>
    <n v="39"/>
    <n v="25.38"/>
    <n v="989.82"/>
    <n v="50.82"/>
    <n v="237"/>
    <s v="Sea"/>
    <s v="Medium"/>
    <x v="1"/>
  </r>
  <r>
    <s v="ORD_2025_0073"/>
    <x v="4"/>
    <s v="Smith, David"/>
    <s v="India"/>
    <s v="Cotton Bedsheet"/>
    <x v="4"/>
    <n v="9"/>
    <n v="38.979999999999997"/>
    <n v="350.82"/>
    <n v="25.56"/>
    <n v="100.26"/>
    <s v="Land"/>
    <s v="Low"/>
    <x v="3"/>
  </r>
  <r>
    <s v="ORD_2025_0074"/>
    <x v="3"/>
    <s v="Miller, Sophia"/>
    <s v="South Africa"/>
    <s v="Wireless Mouse"/>
    <x v="1"/>
    <n v="14"/>
    <n v="35.86"/>
    <n v="502.04"/>
    <n v="40.130000000000003"/>
    <n v="181.91"/>
    <s v="Air"/>
    <s v="High"/>
    <x v="4"/>
  </r>
  <r>
    <s v="ORD_2025_0075"/>
    <x v="16"/>
    <s v="Garcia, Laura"/>
    <s v="Japan"/>
    <s v="Ceramic Vase"/>
    <x v="3"/>
    <n v="49"/>
    <n v="21.37"/>
    <n v="1047.1300000000001"/>
    <n v="65.98"/>
    <n v="221.65"/>
    <s v="Air"/>
    <s v="High"/>
    <x v="3"/>
  </r>
  <r>
    <s v="ORD_2025_0076"/>
    <x v="13"/>
    <s v="Davis, Michael"/>
    <s v="Mexico"/>
    <s v="Leather Wallet"/>
    <x v="0"/>
    <n v="42"/>
    <n v="24.57"/>
    <n v="1031.94"/>
    <n v="56.45"/>
    <n v="219.49"/>
    <s v="Sea"/>
    <s v="Low"/>
    <x v="0"/>
  </r>
  <r>
    <s v="ORD_2025_0077"/>
    <x v="15"/>
    <s v="Davis, Michael"/>
    <s v="Singapore"/>
    <s v="Leather Wallet"/>
    <x v="0"/>
    <n v="42"/>
    <n v="26.39"/>
    <n v="1108.3800000000001"/>
    <n v="44.56"/>
    <n v="307.82"/>
    <s v="Sea"/>
    <s v="Low"/>
    <x v="3"/>
  </r>
  <r>
    <s v="ORD_2025_0078"/>
    <x v="15"/>
    <s v="Garcia, Laura"/>
    <s v="Canada"/>
    <s v="Wireless Mouse"/>
    <x v="1"/>
    <n v="50"/>
    <n v="29.73"/>
    <n v="1486.5"/>
    <n v="96.77"/>
    <n v="389.73"/>
    <s v="Air"/>
    <s v="Low"/>
    <x v="0"/>
  </r>
  <r>
    <s v="ORD_2025_0079"/>
    <x v="13"/>
    <s v="Miller, Sophia"/>
    <s v="China"/>
    <s v="Ceramic Vase"/>
    <x v="3"/>
    <n v="39"/>
    <n v="20.56"/>
    <n v="801.84"/>
    <n v="43.55"/>
    <n v="153.79"/>
    <s v="Land"/>
    <s v="Low"/>
    <x v="3"/>
  </r>
  <r>
    <s v="ORD_2025_0080"/>
    <x v="16"/>
    <s v="Brown, Laura"/>
    <s v="China"/>
    <s v="Ceramic Vase"/>
    <x v="3"/>
    <n v="48"/>
    <n v="24.36"/>
    <n v="1169.28"/>
    <n v="81.599999999999994"/>
    <n v="343.68"/>
    <s v="Air"/>
    <s v="High"/>
    <x v="3"/>
  </r>
  <r>
    <s v="ORD_2025_0081"/>
    <x v="6"/>
    <s v="Davis, Emma"/>
    <s v="Germany"/>
    <s v="Glass Bowl Set"/>
    <x v="3"/>
    <n v="40"/>
    <n v="27.95"/>
    <n v="1118"/>
    <n v="37.590000000000003"/>
    <n v="180.41"/>
    <s v="Air"/>
    <s v="High"/>
    <x v="1"/>
  </r>
  <r>
    <s v="ORD_2025_0082"/>
    <x v="1"/>
    <s v="Smith, Michael"/>
    <s v="India"/>
    <s v="Table Lamp"/>
    <x v="3"/>
    <n v="21"/>
    <n v="40.19"/>
    <n v="843.99"/>
    <n v="32.4"/>
    <n v="223.59"/>
    <s v="Sea"/>
    <s v="Medium"/>
    <x v="3"/>
  </r>
  <r>
    <s v="ORD_2025_0083"/>
    <x v="4"/>
    <s v="Davis, David"/>
    <s v="Singapore"/>
    <s v="LED Lamp"/>
    <x v="1"/>
    <n v="26"/>
    <n v="16.670000000000002"/>
    <n v="433.42"/>
    <n v="32.79"/>
    <n v="69.13"/>
    <s v="Air"/>
    <s v="Medium"/>
    <x v="3"/>
  </r>
  <r>
    <s v="ORD_2025_0084"/>
    <x v="15"/>
    <s v="Hernandez, Laura"/>
    <s v="Brazil"/>
    <s v="Bluetooth Speaker"/>
    <x v="1"/>
    <n v="28"/>
    <n v="39.85"/>
    <n v="1115.8"/>
    <n v="43.87"/>
    <n v="175.93"/>
    <s v="Air"/>
    <s v="Low"/>
    <x v="2"/>
  </r>
  <r>
    <s v="ORD_2025_0085"/>
    <x v="15"/>
    <s v="Hernandez, Laura"/>
    <s v="Mexico"/>
    <s v="LED Lamp"/>
    <x v="1"/>
    <n v="47"/>
    <n v="15.97"/>
    <n v="750.59"/>
    <n v="48.55"/>
    <n v="102.79"/>
    <s v="Air"/>
    <s v="High"/>
    <x v="0"/>
  </r>
  <r>
    <s v="ORD_2025_0086"/>
    <x v="15"/>
    <s v="Smith, Daniel"/>
    <s v="China"/>
    <s v="Denim Jacket"/>
    <x v="2"/>
    <n v="28"/>
    <n v="53.6"/>
    <n v="1500.8"/>
    <n v="68.55"/>
    <n v="312.25"/>
    <s v="Sea"/>
    <s v="Medium"/>
    <x v="3"/>
  </r>
  <r>
    <s v="ORD_2025_0087"/>
    <x v="9"/>
    <s v="Garcia, Sophia"/>
    <s v="India"/>
    <s v="Table Lamp"/>
    <x v="3"/>
    <n v="37"/>
    <n v="40.049999999999997"/>
    <n v="1481.85"/>
    <n v="45.6"/>
    <n v="400.25"/>
    <s v="Land"/>
    <s v="High"/>
    <x v="3"/>
  </r>
  <r>
    <s v="ORD_2025_0088"/>
    <x v="1"/>
    <s v="Brown, Sarah"/>
    <s v="Italy"/>
    <s v="Travel Backpack"/>
    <x v="0"/>
    <n v="45"/>
    <n v="43.74"/>
    <n v="1968.3"/>
    <n v="80.55"/>
    <n v="312.75"/>
    <s v="Sea"/>
    <s v="High"/>
    <x v="1"/>
  </r>
  <r>
    <s v="ORD_2025_0089"/>
    <x v="13"/>
    <s v="Davis, Emily"/>
    <s v="Uk"/>
    <s v="Ceramic Vase"/>
    <x v="3"/>
    <n v="9"/>
    <n v="24.63"/>
    <n v="221.67"/>
    <n v="13.53"/>
    <n v="68.64"/>
    <s v="Sea"/>
    <s v="High"/>
    <x v="1"/>
  </r>
  <r>
    <s v="ORD_2025_0090"/>
    <x v="13"/>
    <s v="Johnson, Emma"/>
    <s v="South Africa"/>
    <s v="Ceramic Vase"/>
    <x v="3"/>
    <n v="6"/>
    <n v="21.79"/>
    <n v="130.74"/>
    <n v="7.75"/>
    <n v="29.99"/>
    <s v="Sea"/>
    <s v="High"/>
    <x v="4"/>
  </r>
  <r>
    <s v="ORD_2025_0091"/>
    <x v="12"/>
    <s v="Johnson, James"/>
    <s v="France"/>
    <s v="Travel Backpack"/>
    <x v="0"/>
    <n v="23"/>
    <n v="58.43"/>
    <n v="1343.89"/>
    <n v="38.729999999999997"/>
    <n v="500.16"/>
    <s v="Sea"/>
    <s v="Low"/>
    <x v="1"/>
  </r>
  <r>
    <s v="ORD_2025_0092"/>
    <x v="6"/>
    <s v="Martinez, Sophia"/>
    <s v="Singapore"/>
    <s v="Denim Jacket"/>
    <x v="2"/>
    <n v="19"/>
    <n v="67.06"/>
    <n v="1274.1400000000001"/>
    <n v="85.73"/>
    <n v="428.41"/>
    <s v="Land"/>
    <s v="Medium"/>
    <x v="3"/>
  </r>
  <r>
    <s v="ORD_2025_0093"/>
    <x v="12"/>
    <s v="Davis, Emily"/>
    <s v="Italy"/>
    <s v="Leather Wallet"/>
    <x v="0"/>
    <n v="4"/>
    <n v="25.13"/>
    <n v="100.52"/>
    <n v="5.6"/>
    <n v="22.92"/>
    <s v="Sea"/>
    <s v="High"/>
    <x v="1"/>
  </r>
  <r>
    <s v="ORD_2025_0094"/>
    <x v="8"/>
    <s v="Miller, Sarah"/>
    <s v="Italy"/>
    <s v="Ceramic Vase"/>
    <x v="3"/>
    <n v="26"/>
    <n v="19.34"/>
    <n v="502.84"/>
    <n v="26.51"/>
    <n v="73.33"/>
    <s v="Sea"/>
    <s v="Low"/>
    <x v="1"/>
  </r>
  <r>
    <s v="ORD_2025_0095"/>
    <x v="6"/>
    <s v="Williams, James"/>
    <s v="South Africa"/>
    <s v="Wireless Mouse"/>
    <x v="1"/>
    <n v="26"/>
    <n v="35.81"/>
    <n v="931.06"/>
    <n v="61.06"/>
    <n v="350"/>
    <s v="Land"/>
    <s v="Low"/>
    <x v="4"/>
  </r>
  <r>
    <s v="ORD_2025_0096"/>
    <x v="13"/>
    <s v="Garcia, Emma"/>
    <s v="Singapore"/>
    <s v="Glass Bowl Set"/>
    <x v="3"/>
    <n v="42"/>
    <n v="39.950000000000003"/>
    <n v="1677.9"/>
    <n v="93.95"/>
    <n v="638.95000000000005"/>
    <s v="Sea"/>
    <s v="Medium"/>
    <x v="3"/>
  </r>
  <r>
    <s v="ORD_2025_0097"/>
    <x v="12"/>
    <s v="Davis, David"/>
    <s v="Uae"/>
    <s v="Travel Backpack"/>
    <x v="0"/>
    <n v="38"/>
    <n v="49.98"/>
    <n v="1899.24"/>
    <n v="112.91"/>
    <n v="456.33"/>
    <s v="Air"/>
    <s v="High"/>
    <x v="3"/>
  </r>
  <r>
    <s v="ORD_2025_0098"/>
    <x v="7"/>
    <s v="Smith, Michael"/>
    <s v="Japan"/>
    <s v="Table Lamp"/>
    <x v="3"/>
    <n v="1"/>
    <n v="45.84"/>
    <n v="45.84"/>
    <n v="1.26"/>
    <n v="16.579999999999998"/>
    <s v="Air"/>
    <s v="Low"/>
    <x v="3"/>
  </r>
  <r>
    <s v="ORD_2025_0099"/>
    <x v="8"/>
    <s v="Davis, Emma"/>
    <s v="Australia"/>
    <s v="Leather Wallet"/>
    <x v="0"/>
    <n v="38"/>
    <n v="26.34"/>
    <n v="1000.92"/>
    <n v="47.88"/>
    <n v="269.04000000000002"/>
    <s v="Land"/>
    <s v="Medium"/>
    <x v="5"/>
  </r>
  <r>
    <s v="ORD_2025_0100"/>
    <x v="3"/>
    <s v="Martinez, Daniel"/>
    <s v="France"/>
    <s v="Cotton Bedsheet"/>
    <x v="4"/>
    <n v="30"/>
    <n v="36.43"/>
    <n v="1092.9000000000001"/>
    <n v="61.97"/>
    <n v="280.93"/>
    <s v="Air"/>
    <s v="Medium"/>
    <x v="1"/>
  </r>
  <r>
    <s v="ORD_2025_0101"/>
    <x v="4"/>
    <s v="Hernandez, Laura"/>
    <s v="Italy"/>
    <s v="LED Lamp"/>
    <x v="1"/>
    <n v="9"/>
    <n v="22.27"/>
    <n v="200.43"/>
    <n v="13.21"/>
    <n v="72.47"/>
    <s v="Sea"/>
    <s v="Medium"/>
    <x v="1"/>
  </r>
  <r>
    <s v="ORD_2025_0102"/>
    <x v="6"/>
    <s v="Jones, Laura"/>
    <s v="Australia"/>
    <s v="Ceramic Vase"/>
    <x v="3"/>
    <n v="26"/>
    <n v="27.65"/>
    <n v="718.9"/>
    <n v="46.25"/>
    <n v="269.64999999999998"/>
    <s v="Sea"/>
    <s v="High"/>
    <x v="5"/>
  </r>
  <r>
    <s v="ORD_2025_0103"/>
    <x v="12"/>
    <s v="Davis, Emma"/>
    <s v="Uk"/>
    <s v="Ceramic Vase"/>
    <x v="3"/>
    <n v="23"/>
    <n v="22.45"/>
    <n v="516.35"/>
    <n v="15.68"/>
    <n v="144.16999999999999"/>
    <s v="Air"/>
    <s v="High"/>
    <x v="1"/>
  </r>
  <r>
    <s v="ORD_2025_0104"/>
    <x v="7"/>
    <s v="Garcia, Emily"/>
    <s v="Uk"/>
    <s v="Ceramic Vase"/>
    <x v="3"/>
    <n v="30"/>
    <n v="21.93"/>
    <n v="657.9"/>
    <n v="24.66"/>
    <n v="168.24"/>
    <s v="Sea"/>
    <s v="Low"/>
    <x v="1"/>
  </r>
  <r>
    <s v="ORD_2025_0105"/>
    <x v="6"/>
    <s v="Johnson, David"/>
    <s v="Singapore"/>
    <s v="LED Lamp"/>
    <x v="1"/>
    <n v="43"/>
    <n v="21.92"/>
    <n v="942.56"/>
    <n v="51.15"/>
    <n v="343.16"/>
    <s v="Land"/>
    <s v="High"/>
    <x v="3"/>
  </r>
  <r>
    <s v="ORD_2025_0106"/>
    <x v="1"/>
    <s v="Martinez, Laura"/>
    <s v="Brazil"/>
    <s v="Denim Jacket"/>
    <x v="2"/>
    <n v="3"/>
    <n v="56.21"/>
    <n v="168.63"/>
    <n v="7.56"/>
    <n v="41.07"/>
    <s v="Air"/>
    <s v="Low"/>
    <x v="2"/>
  </r>
  <r>
    <s v="ORD_2025_0107"/>
    <x v="2"/>
    <s v="Smith, Emily"/>
    <s v="Italy"/>
    <s v="LED Lamp"/>
    <x v="1"/>
    <n v="33"/>
    <n v="15.44"/>
    <n v="509.52"/>
    <n v="19.7"/>
    <n v="69.069999999999993"/>
    <s v="Land"/>
    <s v="High"/>
    <x v="1"/>
  </r>
  <r>
    <s v="ORD_2025_0108"/>
    <x v="6"/>
    <s v="Hernandez, Sophia"/>
    <s v="South Africa"/>
    <s v="Ceramic Vase"/>
    <x v="3"/>
    <n v="50"/>
    <n v="23.02"/>
    <n v="1151"/>
    <n v="69.3"/>
    <n v="306.7"/>
    <s v="Sea"/>
    <s v="Medium"/>
    <x v="4"/>
  </r>
  <r>
    <s v="ORD_2025_0109"/>
    <x v="11"/>
    <s v="Miller, Emily"/>
    <s v="Brazil"/>
    <s v="LED Lamp"/>
    <x v="1"/>
    <n v="8"/>
    <n v="17.010000000000002"/>
    <n v="136.08000000000001"/>
    <n v="8.84"/>
    <n v="25.24"/>
    <s v="Land"/>
    <s v="High"/>
    <x v="2"/>
  </r>
  <r>
    <s v="ORD_2025_0110"/>
    <x v="3"/>
    <s v="Davis, Emma"/>
    <s v="France"/>
    <s v="Leather Wallet"/>
    <x v="0"/>
    <n v="16"/>
    <n v="26.47"/>
    <n v="423.52"/>
    <n v="15.87"/>
    <n v="119.65"/>
    <s v="Sea"/>
    <s v="Low"/>
    <x v="1"/>
  </r>
  <r>
    <s v="ORD_2025_0111"/>
    <x v="6"/>
    <s v="Jones, Michael"/>
    <s v="Brazil"/>
    <s v="Bluetooth Speaker"/>
    <x v="1"/>
    <n v="32"/>
    <n v="43.18"/>
    <n v="1381.76"/>
    <n v="88.54"/>
    <n v="269.22000000000003"/>
    <s v="Sea"/>
    <s v="High"/>
    <x v="2"/>
  </r>
  <r>
    <s v="ORD_2025_0112"/>
    <x v="4"/>
    <s v="Smith, Sophia"/>
    <s v="Australia"/>
    <s v="Ceramic Vase"/>
    <x v="3"/>
    <n v="29"/>
    <n v="18.850000000000001"/>
    <n v="546.65"/>
    <n v="13.22"/>
    <n v="83.93"/>
    <s v="Land"/>
    <s v="High"/>
    <x v="5"/>
  </r>
  <r>
    <s v="ORD_2025_0113"/>
    <x v="0"/>
    <s v="Martinez, Emily"/>
    <s v="France"/>
    <s v="Denim Jacket"/>
    <x v="2"/>
    <n v="16"/>
    <n v="64.400000000000006"/>
    <n v="1030.4000000000001"/>
    <n v="61.72"/>
    <n v="328.68"/>
    <s v="Sea"/>
    <s v="Medium"/>
    <x v="1"/>
  </r>
  <r>
    <s v="ORD_2025_0114"/>
    <x v="15"/>
    <s v="Hernandez, Daniel"/>
    <s v="Singapore"/>
    <s v="Ceramic Vase"/>
    <x v="3"/>
    <n v="15"/>
    <n v="19.53"/>
    <n v="292.95"/>
    <n v="7.15"/>
    <n v="53.3"/>
    <s v="Air"/>
    <s v="Medium"/>
    <x v="3"/>
  </r>
  <r>
    <s v="ORD_2025_0115"/>
    <x v="12"/>
    <s v="Hernandez, John"/>
    <s v="Germany"/>
    <s v="Wireless Mouse"/>
    <x v="1"/>
    <n v="36"/>
    <n v="26.05"/>
    <n v="937.8"/>
    <n v="32.799999999999997"/>
    <n v="185"/>
    <s v="Land"/>
    <s v="High"/>
    <x v="1"/>
  </r>
  <r>
    <s v="ORD_2025_0116"/>
    <x v="10"/>
    <s v="Miller, John"/>
    <s v="South Africa"/>
    <s v="Bluetooth Speaker"/>
    <x v="1"/>
    <n v="26"/>
    <n v="47.52"/>
    <n v="1235.52"/>
    <n v="31.41"/>
    <n v="372.11"/>
    <s v="Sea"/>
    <s v="Low"/>
    <x v="4"/>
  </r>
  <r>
    <s v="ORD_2025_0117"/>
    <x v="6"/>
    <s v="Garcia, Emma"/>
    <s v="France"/>
    <s v="Leather Wallet"/>
    <x v="0"/>
    <n v="38"/>
    <n v="26.38"/>
    <n v="1002.44"/>
    <n v="33.049999999999997"/>
    <n v="285.39"/>
    <s v="Sea"/>
    <s v="Low"/>
    <x v="1"/>
  </r>
  <r>
    <s v="ORD_2025_0118"/>
    <x v="8"/>
    <s v="Brown, Sarah"/>
    <s v="Japan"/>
    <s v="LED Lamp"/>
    <x v="1"/>
    <n v="7"/>
    <n v="17.66"/>
    <n v="123.62"/>
    <n v="6.95"/>
    <n v="27.42"/>
    <s v="Land"/>
    <s v="Low"/>
    <x v="3"/>
  </r>
  <r>
    <s v="ORD_2025_0119"/>
    <x v="15"/>
    <s v="Martinez, Emma"/>
    <s v="Australia"/>
    <s v="Travel Backpack"/>
    <x v="0"/>
    <n v="26"/>
    <n v="51.5"/>
    <n v="1339"/>
    <n v="92.09"/>
    <n v="336.91"/>
    <s v="Sea"/>
    <s v="Medium"/>
    <x v="5"/>
  </r>
  <r>
    <s v="ORD_2025_0120"/>
    <x v="8"/>
    <s v="Hernandez, David"/>
    <s v="Usa"/>
    <s v="Ceramic Vase"/>
    <x v="3"/>
    <n v="27"/>
    <n v="25"/>
    <n v="675"/>
    <n v="15.49"/>
    <n v="241.01"/>
    <s v="Sea"/>
    <s v="Medium"/>
    <x v="0"/>
  </r>
  <r>
    <s v="ORD_2025_0121"/>
    <x v="12"/>
    <s v="Johnson, Michael"/>
    <s v="South Africa"/>
    <s v="LED Lamp"/>
    <x v="1"/>
    <n v="4"/>
    <n v="19"/>
    <n v="76"/>
    <n v="3.78"/>
    <n v="21.22"/>
    <s v="Sea"/>
    <s v="High"/>
    <x v="4"/>
  </r>
  <r>
    <s v="ORD_2025_0122"/>
    <x v="14"/>
    <s v="Hernandez, Laura"/>
    <s v="Canada"/>
    <s v="Ceramic Vase"/>
    <x v="3"/>
    <n v="24"/>
    <n v="26.63"/>
    <n v="639.12"/>
    <n v="31.92"/>
    <n v="235.2"/>
    <s v="Air"/>
    <s v="High"/>
    <x v="0"/>
  </r>
  <r>
    <s v="ORD_2025_0123"/>
    <x v="0"/>
    <s v="Smith, Sarah"/>
    <s v="Singapore"/>
    <s v="Cotton Bedsheet"/>
    <x v="4"/>
    <n v="26"/>
    <n v="43.14"/>
    <n v="1121.6400000000001"/>
    <n v="48.08"/>
    <n v="423.56"/>
    <s v="Land"/>
    <s v="Medium"/>
    <x v="3"/>
  </r>
  <r>
    <s v="ORD_2025_0124"/>
    <x v="9"/>
    <s v="Davis, Emily"/>
    <s v="Canada"/>
    <s v="Cotton Bedsheet"/>
    <x v="4"/>
    <n v="39"/>
    <n v="30.01"/>
    <n v="1170.3900000000001"/>
    <n v="60.43"/>
    <n v="134.96"/>
    <s v="Sea"/>
    <s v="Low"/>
    <x v="0"/>
  </r>
  <r>
    <s v="ORD_2025_0125"/>
    <x v="9"/>
    <s v="Martinez, John"/>
    <s v="Germany"/>
    <s v="Glass Bowl Set"/>
    <x v="3"/>
    <n v="5"/>
    <n v="31.31"/>
    <n v="156.55000000000001"/>
    <n v="4.04"/>
    <n v="40.01"/>
    <s v="Air"/>
    <s v="High"/>
    <x v="1"/>
  </r>
  <r>
    <s v="ORD_2025_0126"/>
    <x v="7"/>
    <s v="Davis, Michael"/>
    <s v="Usa"/>
    <s v="Table Lamp"/>
    <x v="3"/>
    <n v="42"/>
    <n v="36.950000000000003"/>
    <n v="1551.9"/>
    <n v="74.260000000000005"/>
    <n v="301.64"/>
    <s v="Sea"/>
    <s v="Medium"/>
    <x v="0"/>
  </r>
  <r>
    <s v="ORD_2025_0127"/>
    <x v="0"/>
    <s v="Garcia, David"/>
    <s v="Singapore"/>
    <s v="Denim Jacket"/>
    <x v="2"/>
    <n v="36"/>
    <n v="57.37"/>
    <n v="2065.3200000000002"/>
    <n v="94.34"/>
    <n v="530.98"/>
    <s v="Air"/>
    <s v="Low"/>
    <x v="3"/>
  </r>
  <r>
    <s v="ORD_2025_0128"/>
    <x v="15"/>
    <s v="Miller, Daniel"/>
    <s v="Uae"/>
    <s v="Table Lamp"/>
    <x v="3"/>
    <n v="13"/>
    <n v="40.18"/>
    <n v="522.34"/>
    <n v="37.369999999999997"/>
    <n v="120.97"/>
    <s v="Sea"/>
    <s v="High"/>
    <x v="3"/>
  </r>
  <r>
    <s v="ORD_2025_0129"/>
    <x v="8"/>
    <s v="Miller, Sarah"/>
    <s v="Japan"/>
    <s v="Bluetooth Speaker"/>
    <x v="1"/>
    <n v="37"/>
    <n v="39.299999999999997"/>
    <n v="1454.1"/>
    <n v="67.08"/>
    <n v="203.02"/>
    <s v="Air"/>
    <s v="Low"/>
    <x v="3"/>
  </r>
  <r>
    <s v="ORD_2025_0130"/>
    <x v="8"/>
    <s v="Hernandez, Laura"/>
    <s v="Canada"/>
    <s v="Bluetooth Speaker"/>
    <x v="1"/>
    <n v="17"/>
    <n v="43.28"/>
    <n v="735.76"/>
    <n v="50.96"/>
    <n v="140.80000000000001"/>
    <s v="Sea"/>
    <s v="Medium"/>
    <x v="0"/>
  </r>
  <r>
    <s v="ORD_2025_0131"/>
    <x v="3"/>
    <s v="Smith, Emily"/>
    <s v="Uae"/>
    <s v="Travel Backpack"/>
    <x v="0"/>
    <n v="22"/>
    <n v="62.79"/>
    <n v="1381.38"/>
    <n v="75.84"/>
    <n v="535.54"/>
    <s v="Air"/>
    <s v="High"/>
    <x v="3"/>
  </r>
  <r>
    <s v="ORD_2025_0132"/>
    <x v="8"/>
    <s v="Hernandez, James"/>
    <s v="Germany"/>
    <s v="Denim Jacket"/>
    <x v="2"/>
    <n v="23"/>
    <n v="56.76"/>
    <n v="1305.48"/>
    <n v="62.93"/>
    <n v="322.55"/>
    <s v="Air"/>
    <s v="High"/>
    <x v="1"/>
  </r>
  <r>
    <s v="ORD_2025_0133"/>
    <x v="12"/>
    <s v="Davis, John"/>
    <s v="Uk"/>
    <s v="Denim Jacket"/>
    <x v="2"/>
    <n v="22"/>
    <n v="60.13"/>
    <n v="1322.86"/>
    <n v="54.06"/>
    <n v="388.8"/>
    <s v="Air"/>
    <s v="Medium"/>
    <x v="1"/>
  </r>
  <r>
    <s v="ORD_2025_0134"/>
    <x v="0"/>
    <s v="Smith, James"/>
    <s v="Singapore"/>
    <s v="Cotton Bedsheet"/>
    <x v="4"/>
    <n v="21"/>
    <n v="40.98"/>
    <n v="860.58"/>
    <n v="37.01"/>
    <n v="298.57"/>
    <s v="Land"/>
    <s v="High"/>
    <x v="3"/>
  </r>
  <r>
    <s v="ORD_2025_0135"/>
    <x v="9"/>
    <s v="Miller, David"/>
    <s v="Brazil"/>
    <s v="Denim Jacket"/>
    <x v="2"/>
    <n v="36"/>
    <n v="54.6"/>
    <n v="1965.6"/>
    <n v="150.34"/>
    <n v="375.26"/>
    <s v="Sea"/>
    <s v="Low"/>
    <x v="2"/>
  </r>
  <r>
    <s v="ORD_2025_0136"/>
    <x v="12"/>
    <s v="Miller, Emily"/>
    <s v="Italy"/>
    <s v="Ceramic Vase"/>
    <x v="3"/>
    <n v="1"/>
    <n v="27.49"/>
    <n v="27.49"/>
    <n v="0.63"/>
    <n v="11.36"/>
    <s v="Sea"/>
    <s v="High"/>
    <x v="1"/>
  </r>
  <r>
    <s v="ORD_2025_0137"/>
    <x v="16"/>
    <s v="Brown, Emily"/>
    <s v="Singapore"/>
    <s v="Bluetooth Speaker"/>
    <x v="1"/>
    <n v="50"/>
    <n v="41.11"/>
    <n v="2055.5"/>
    <n v="95.61"/>
    <n v="359.89"/>
    <s v="Air"/>
    <s v="Medium"/>
    <x v="3"/>
  </r>
  <r>
    <s v="ORD_2025_0138"/>
    <x v="9"/>
    <s v="Smith, Michael"/>
    <s v="China"/>
    <s v="Ceramic Vase"/>
    <x v="3"/>
    <n v="18"/>
    <n v="25.54"/>
    <n v="459.72"/>
    <n v="27.02"/>
    <n v="153.69999999999999"/>
    <s v="Sea"/>
    <s v="Low"/>
    <x v="3"/>
  </r>
  <r>
    <s v="ORD_2025_0139"/>
    <x v="0"/>
    <s v="Martinez, Emily"/>
    <s v="Japan"/>
    <s v="Table Lamp"/>
    <x v="3"/>
    <n v="4"/>
    <n v="47.52"/>
    <n v="190.08"/>
    <n v="10.23"/>
    <n v="67.849999999999994"/>
    <s v="Land"/>
    <s v="Low"/>
    <x v="3"/>
  </r>
  <r>
    <s v="ORD_2025_0140"/>
    <x v="7"/>
    <s v="Jones, Michael"/>
    <s v="Italy"/>
    <s v="Cotton Bedsheet"/>
    <x v="4"/>
    <n v="29"/>
    <n v="30.48"/>
    <n v="883.92"/>
    <n v="33.15"/>
    <n v="125.77"/>
    <s v="Air"/>
    <s v="Low"/>
    <x v="1"/>
  </r>
  <r>
    <s v="ORD_2025_0141"/>
    <x v="11"/>
    <s v="Martinez, Daniel"/>
    <s v="South Africa"/>
    <s v="Denim Jacket"/>
    <x v="2"/>
    <n v="27"/>
    <n v="50.39"/>
    <n v="1360.53"/>
    <n v="106.4"/>
    <n v="174.13"/>
    <s v="Sea"/>
    <s v="Medium"/>
    <x v="4"/>
  </r>
  <r>
    <s v="ORD_2025_0142"/>
    <x v="0"/>
    <s v="Johnson, Daniel"/>
    <s v="Germany"/>
    <s v="Cotton Bedsheet"/>
    <x v="4"/>
    <n v="34"/>
    <n v="37.68"/>
    <n v="1281.1199999999999"/>
    <n v="54.86"/>
    <n v="376.26"/>
    <s v="Air"/>
    <s v="Low"/>
    <x v="1"/>
  </r>
  <r>
    <s v="ORD_2025_0143"/>
    <x v="8"/>
    <s v="Brown, James"/>
    <s v="Japan"/>
    <s v="Cotton Bedsheet"/>
    <x v="4"/>
    <n v="3"/>
    <n v="39.32"/>
    <n v="117.96"/>
    <n v="6.97"/>
    <n v="35.99"/>
    <s v="Sea"/>
    <s v="Medium"/>
    <x v="3"/>
  </r>
  <r>
    <s v="ORD_2025_0144"/>
    <x v="9"/>
    <s v="Hernandez, Daniel"/>
    <s v="Canada"/>
    <s v="LED Lamp"/>
    <x v="1"/>
    <n v="24"/>
    <n v="18"/>
    <n v="432"/>
    <n v="22.68"/>
    <n v="103.32"/>
    <s v="Land"/>
    <s v="High"/>
    <x v="0"/>
  </r>
  <r>
    <s v="ORD_2025_0145"/>
    <x v="9"/>
    <s v="Jones, Laura"/>
    <s v="Uk"/>
    <s v="Glass Bowl Set"/>
    <x v="3"/>
    <n v="5"/>
    <n v="36.43"/>
    <n v="182.15"/>
    <n v="7.82"/>
    <n v="61.83"/>
    <s v="Land"/>
    <s v="High"/>
    <x v="1"/>
  </r>
  <r>
    <s v="ORD_2025_0146"/>
    <x v="12"/>
    <s v="Miller, Laura"/>
    <s v="China"/>
    <s v="Glass Bowl Set"/>
    <x v="3"/>
    <n v="27"/>
    <n v="38.39"/>
    <n v="1036.53"/>
    <n v="28.6"/>
    <n v="400.43"/>
    <s v="Sea"/>
    <s v="Low"/>
    <x v="3"/>
  </r>
  <r>
    <s v="ORD_2025_0147"/>
    <x v="14"/>
    <s v="Jones, David"/>
    <s v="Brazil"/>
    <s v="Table Lamp"/>
    <x v="3"/>
    <n v="10"/>
    <n v="47.5"/>
    <n v="475"/>
    <n v="15.95"/>
    <n v="179.05"/>
    <s v="Land"/>
    <s v="Low"/>
    <x v="2"/>
  </r>
  <r>
    <s v="ORD_2025_0148"/>
    <x v="4"/>
    <s v="Johnson, Sophia"/>
    <s v="Uae"/>
    <s v="Bluetooth Speaker"/>
    <x v="1"/>
    <n v="47"/>
    <n v="50.13"/>
    <n v="2356.11"/>
    <n v="166.22"/>
    <n v="685.89"/>
    <s v="Land"/>
    <s v="Low"/>
    <x v="3"/>
  </r>
  <r>
    <s v="ORD_2025_0149"/>
    <x v="3"/>
    <s v="Davis, Sophia"/>
    <s v="Mexico"/>
    <s v="Table Lamp"/>
    <x v="3"/>
    <n v="47"/>
    <n v="42.25"/>
    <n v="1985.75"/>
    <n v="116.75"/>
    <n v="553"/>
    <s v="Sea"/>
    <s v="Low"/>
    <x v="0"/>
  </r>
  <r>
    <s v="ORD_2025_0150"/>
    <x v="11"/>
    <s v="Jones, Daniel"/>
    <s v="China"/>
    <s v="Cotton Bedsheet"/>
    <x v="4"/>
    <n v="18"/>
    <n v="38.26"/>
    <n v="688.68"/>
    <n v="18.78"/>
    <n v="219.9"/>
    <s v="Sea"/>
    <s v="Low"/>
    <x v="3"/>
  </r>
  <r>
    <s v="ORD_2025_0151"/>
    <x v="10"/>
    <s v="Miller, Michael"/>
    <s v="Singapore"/>
    <s v="Table Lamp"/>
    <x v="3"/>
    <n v="31"/>
    <n v="46.66"/>
    <n v="1446.46"/>
    <n v="109.24"/>
    <n v="469.22"/>
    <s v="Land"/>
    <s v="High"/>
    <x v="3"/>
  </r>
  <r>
    <s v="ORD_2025_0152"/>
    <x v="11"/>
    <s v="Davis, Laura"/>
    <s v="South Africa"/>
    <s v="Bluetooth Speaker"/>
    <x v="1"/>
    <n v="41"/>
    <n v="52.65"/>
    <n v="2158.65"/>
    <n v="110.1"/>
    <n v="736.55"/>
    <s v="Sea"/>
    <s v="High"/>
    <x v="4"/>
  </r>
  <r>
    <s v="ORD_2025_0153"/>
    <x v="11"/>
    <s v="Williams, Laura"/>
    <s v="Japan"/>
    <s v="Leather Wallet"/>
    <x v="0"/>
    <n v="28"/>
    <n v="22.66"/>
    <n v="634.48"/>
    <n v="15.55"/>
    <n v="114.93"/>
    <s v="Air"/>
    <s v="Low"/>
    <x v="3"/>
  </r>
  <r>
    <s v="ORD_2025_0154"/>
    <x v="1"/>
    <s v="Brown, James"/>
    <s v="Mexico"/>
    <s v="Ceramic Vase"/>
    <x v="3"/>
    <n v="48"/>
    <n v="25.07"/>
    <n v="1203.3599999999999"/>
    <n v="29.93"/>
    <n v="429.43"/>
    <s v="Sea"/>
    <s v="Medium"/>
    <x v="0"/>
  </r>
  <r>
    <s v="ORD_2025_0155"/>
    <x v="14"/>
    <s v="Miller, Daniel"/>
    <s v="Brazil"/>
    <s v="Leather Wallet"/>
    <x v="0"/>
    <n v="31"/>
    <n v="30.53"/>
    <n v="946.43"/>
    <n v="72.150000000000006"/>
    <n v="316.27999999999997"/>
    <s v="Air"/>
    <s v="Medium"/>
    <x v="2"/>
  </r>
  <r>
    <s v="ORD_2025_0156"/>
    <x v="9"/>
    <s v="Hernandez, Michael"/>
    <s v="South Africa"/>
    <s v="Glass Bowl Set"/>
    <x v="3"/>
    <n v="33"/>
    <n v="31"/>
    <n v="1023"/>
    <n v="63.94"/>
    <n v="216.56"/>
    <s v="Sea"/>
    <s v="Low"/>
    <x v="4"/>
  </r>
  <r>
    <s v="ORD_2025_0157"/>
    <x v="3"/>
    <s v="Smith, Michael"/>
    <s v="Uk"/>
    <s v="Ceramic Vase"/>
    <x v="3"/>
    <n v="32"/>
    <n v="20.86"/>
    <n v="667.52"/>
    <n v="21.62"/>
    <n v="149.9"/>
    <s v="Air"/>
    <s v="High"/>
    <x v="1"/>
  </r>
  <r>
    <s v="ORD_2025_0158"/>
    <x v="6"/>
    <s v="Brown, Sarah"/>
    <s v="Germany"/>
    <s v="Wireless Mouse"/>
    <x v="1"/>
    <n v="18"/>
    <n v="24.61"/>
    <n v="442.98"/>
    <n v="26.99"/>
    <n v="55.99"/>
    <s v="Air"/>
    <s v="Low"/>
    <x v="1"/>
  </r>
  <r>
    <s v="ORD_2025_0159"/>
    <x v="3"/>
    <s v="Williams, Daniel"/>
    <s v="Singapore"/>
    <s v="Denim Jacket"/>
    <x v="2"/>
    <n v="18"/>
    <n v="64.83"/>
    <n v="1166.94"/>
    <n v="34.28"/>
    <n v="412.66"/>
    <s v="Air"/>
    <s v="Low"/>
    <x v="3"/>
  </r>
  <r>
    <s v="ORD_2025_0160"/>
    <x v="12"/>
    <s v="Brown, John"/>
    <s v="Mexico"/>
    <s v="Wireless Mouse"/>
    <x v="1"/>
    <n v="49"/>
    <n v="29.52"/>
    <n v="1446.48"/>
    <n v="104.7"/>
    <n v="361.78"/>
    <s v="Air"/>
    <s v="High"/>
    <x v="0"/>
  </r>
  <r>
    <s v="ORD_2025_0161"/>
    <x v="12"/>
    <s v="Martinez, David"/>
    <s v="South Africa"/>
    <s v="Wireless Mouse"/>
    <x v="1"/>
    <n v="10"/>
    <n v="26.73"/>
    <n v="267.3"/>
    <n v="10.210000000000001"/>
    <n v="57.09"/>
    <s v="Air"/>
    <s v="High"/>
    <x v="4"/>
  </r>
  <r>
    <s v="ORD_2025_0162"/>
    <x v="10"/>
    <s v="Martinez, Laura"/>
    <s v="Uk"/>
    <s v="Bluetooth Speaker"/>
    <x v="1"/>
    <n v="10"/>
    <n v="54.45"/>
    <n v="544.5"/>
    <n v="16.59"/>
    <n v="207.91"/>
    <s v="Land"/>
    <s v="Low"/>
    <x v="1"/>
  </r>
  <r>
    <s v="ORD_2025_0163"/>
    <x v="4"/>
    <s v="Martinez, Laura"/>
    <s v="India"/>
    <s v="Leather Wallet"/>
    <x v="0"/>
    <n v="46"/>
    <n v="30.06"/>
    <n v="1382.76"/>
    <n v="77.17"/>
    <n v="477.59"/>
    <s v="Sea"/>
    <s v="Medium"/>
    <x v="3"/>
  </r>
  <r>
    <s v="ORD_2025_0164"/>
    <x v="10"/>
    <s v="Johnson, Emily"/>
    <s v="Mexico"/>
    <s v="Ceramic Vase"/>
    <x v="3"/>
    <n v="25"/>
    <n v="21.52"/>
    <n v="538"/>
    <n v="26.73"/>
    <n v="123.77"/>
    <s v="Sea"/>
    <s v="Low"/>
    <x v="0"/>
  </r>
  <r>
    <s v="ORD_2025_0165"/>
    <x v="10"/>
    <s v="Garcia, Emma"/>
    <s v="India"/>
    <s v="Leather Wallet"/>
    <x v="0"/>
    <n v="5"/>
    <n v="26.25"/>
    <n v="131.25"/>
    <n v="3.35"/>
    <n v="37.9"/>
    <s v="Sea"/>
    <s v="Medium"/>
    <x v="3"/>
  </r>
  <r>
    <s v="ORD_2025_0166"/>
    <x v="4"/>
    <s v="Garcia, John"/>
    <s v="Uk"/>
    <s v="Cotton Bedsheet"/>
    <x v="4"/>
    <n v="10"/>
    <n v="31.48"/>
    <n v="314.8"/>
    <n v="10.23"/>
    <n v="54.57"/>
    <s v="Air"/>
    <s v="High"/>
    <x v="1"/>
  </r>
  <r>
    <s v="ORD_2025_0167"/>
    <x v="7"/>
    <s v="Smith, Sophia"/>
    <s v="Brazil"/>
    <s v="Wireless Mouse"/>
    <x v="1"/>
    <n v="21"/>
    <n v="30.91"/>
    <n v="649.11"/>
    <n v="38.42"/>
    <n v="190.69"/>
    <s v="Sea"/>
    <s v="High"/>
    <x v="2"/>
  </r>
  <r>
    <s v="ORD_2025_0168"/>
    <x v="5"/>
    <s v="Jones, Emily"/>
    <s v="Singapore"/>
    <s v="LED Lamp"/>
    <x v="1"/>
    <n v="29"/>
    <n v="18.47"/>
    <n v="535.63"/>
    <n v="13.21"/>
    <n v="152.66999999999999"/>
    <s v="Land"/>
    <s v="Low"/>
    <x v="3"/>
  </r>
  <r>
    <s v="ORD_2025_0169"/>
    <x v="15"/>
    <s v="Williams, Laura"/>
    <s v="Mexico"/>
    <s v="Travel Backpack"/>
    <x v="0"/>
    <n v="36"/>
    <n v="44.79"/>
    <n v="1612.44"/>
    <n v="68.599999999999994"/>
    <n v="283.83999999999997"/>
    <s v="Air"/>
    <s v="Medium"/>
    <x v="0"/>
  </r>
  <r>
    <s v="ORD_2025_0170"/>
    <x v="2"/>
    <s v="Miller, James"/>
    <s v="Brazil"/>
    <s v="Ceramic Vase"/>
    <x v="3"/>
    <n v="3"/>
    <n v="18.86"/>
    <n v="56.58"/>
    <n v="2.61"/>
    <n v="7.47"/>
    <s v="Sea"/>
    <s v="High"/>
    <x v="2"/>
  </r>
  <r>
    <s v="ORD_2025_0171"/>
    <x v="15"/>
    <s v="Hernandez, Emma"/>
    <s v="China"/>
    <s v="Table Lamp"/>
    <x v="3"/>
    <n v="10"/>
    <n v="45.86"/>
    <n v="458.6"/>
    <n v="14.4"/>
    <n v="164.2"/>
    <s v="Air"/>
    <s v="Low"/>
    <x v="3"/>
  </r>
  <r>
    <s v="ORD_2025_0172"/>
    <x v="10"/>
    <s v="Miller, James"/>
    <s v="Italy"/>
    <s v="Leather Wallet"/>
    <x v="0"/>
    <n v="1"/>
    <n v="24.64"/>
    <n v="24.64"/>
    <n v="0.65"/>
    <n v="5.99"/>
    <s v="Air"/>
    <s v="Medium"/>
    <x v="1"/>
  </r>
  <r>
    <s v="ORD_2025_0173"/>
    <x v="12"/>
    <s v="Williams, Michael"/>
    <s v="Italy"/>
    <s v="Ceramic Vase"/>
    <x v="3"/>
    <n v="49"/>
    <n v="22.8"/>
    <n v="1117.2"/>
    <n v="51.06"/>
    <n v="306.64"/>
    <s v="Land"/>
    <s v="Medium"/>
    <x v="1"/>
  </r>
  <r>
    <s v="ORD_2025_0174"/>
    <x v="3"/>
    <s v="Hernandez, Laura"/>
    <s v="Mexico"/>
    <s v="Travel Backpack"/>
    <x v="0"/>
    <n v="32"/>
    <n v="44.5"/>
    <n v="1424"/>
    <n v="43.92"/>
    <n v="260.08"/>
    <s v="Air"/>
    <s v="Medium"/>
    <x v="0"/>
  </r>
  <r>
    <s v="ORD_2025_0175"/>
    <x v="7"/>
    <s v="Williams, James"/>
    <s v="Brazil"/>
    <s v="Travel Backpack"/>
    <x v="0"/>
    <n v="43"/>
    <n v="55.74"/>
    <n v="2396.8200000000002"/>
    <n v="63.85"/>
    <n v="827.97"/>
    <s v="Sea"/>
    <s v="High"/>
    <x v="2"/>
  </r>
  <r>
    <s v="ORD_2025_0176"/>
    <x v="3"/>
    <s v="Miller, Laura"/>
    <s v="Singapore"/>
    <s v="Ceramic Vase"/>
    <x v="3"/>
    <n v="19"/>
    <n v="25.78"/>
    <n v="489.82"/>
    <n v="28.4"/>
    <n v="166.92"/>
    <s v="Air"/>
    <s v="Medium"/>
    <x v="3"/>
  </r>
  <r>
    <s v="ORD_2025_0177"/>
    <x v="10"/>
    <s v="Martinez, John"/>
    <s v="Mexico"/>
    <s v="Leather Wallet"/>
    <x v="0"/>
    <n v="43"/>
    <n v="30.43"/>
    <n v="1308.49"/>
    <n v="35.340000000000003"/>
    <n v="499.15"/>
    <s v="Sea"/>
    <s v="Medium"/>
    <x v="0"/>
  </r>
  <r>
    <s v="ORD_2025_0178"/>
    <x v="9"/>
    <s v="Hernandez, Sarah"/>
    <s v="France"/>
    <s v="Ceramic Vase"/>
    <x v="3"/>
    <n v="17"/>
    <n v="18.71"/>
    <n v="318.07"/>
    <n v="22.03"/>
    <n v="32.54"/>
    <s v="Air"/>
    <s v="Low"/>
    <x v="1"/>
  </r>
  <r>
    <s v="ORD_2025_0179"/>
    <x v="11"/>
    <s v="Johnson, Emma"/>
    <s v="China"/>
    <s v="Ceramic Vase"/>
    <x v="3"/>
    <n v="44"/>
    <n v="23.87"/>
    <n v="1050.28"/>
    <n v="33.51"/>
    <n v="334.77"/>
    <s v="Land"/>
    <s v="Medium"/>
    <x v="3"/>
  </r>
  <r>
    <s v="ORD_2025_0180"/>
    <x v="6"/>
    <s v="Martinez, Sarah"/>
    <s v="Australia"/>
    <s v="Bluetooth Speaker"/>
    <x v="1"/>
    <n v="12"/>
    <n v="42.91"/>
    <n v="514.91999999999996"/>
    <n v="15.18"/>
    <n v="115.74"/>
    <s v="Air"/>
    <s v="High"/>
    <x v="5"/>
  </r>
  <r>
    <s v="ORD_2025_0181"/>
    <x v="15"/>
    <s v="Davis, Daniel"/>
    <s v="India"/>
    <s v="Denim Jacket"/>
    <x v="2"/>
    <n v="21"/>
    <n v="50.49"/>
    <n v="1060.29"/>
    <n v="32.340000000000003"/>
    <n v="187.95"/>
    <s v="Air"/>
    <s v="Low"/>
    <x v="3"/>
  </r>
  <r>
    <s v="ORD_2025_0182"/>
    <x v="9"/>
    <s v="Hernandez, Laura"/>
    <s v="Italy"/>
    <s v="Travel Backpack"/>
    <x v="0"/>
    <n v="41"/>
    <n v="43.18"/>
    <n v="1770.38"/>
    <n v="128.4"/>
    <n v="206.98"/>
    <s v="Sea"/>
    <s v="High"/>
    <x v="1"/>
  </r>
  <r>
    <s v="ORD_2025_0183"/>
    <x v="11"/>
    <s v="Jones, Laura"/>
    <s v="Australia"/>
    <s v="LED Lamp"/>
    <x v="1"/>
    <n v="37"/>
    <n v="19.8"/>
    <n v="732.6"/>
    <n v="54.68"/>
    <n v="206.17"/>
    <s v="Land"/>
    <s v="Medium"/>
    <x v="5"/>
  </r>
  <r>
    <s v="ORD_2025_0184"/>
    <x v="11"/>
    <s v="Miller, Emma"/>
    <s v="Mexico"/>
    <s v="LED Lamp"/>
    <x v="1"/>
    <n v="4"/>
    <n v="18.059999999999999"/>
    <n v="72.239999999999995"/>
    <n v="4.66"/>
    <n v="16.579999999999998"/>
    <s v="Land"/>
    <s v="Low"/>
    <x v="0"/>
  </r>
  <r>
    <s v="ORD_2025_0185"/>
    <x v="9"/>
    <s v="Martinez, John"/>
    <s v="Usa"/>
    <s v="Travel Backpack"/>
    <x v="0"/>
    <n v="40"/>
    <n v="55.59"/>
    <n v="2223.6"/>
    <n v="74.569999999999993"/>
    <n v="749.03"/>
    <s v="Land"/>
    <s v="Low"/>
    <x v="0"/>
  </r>
  <r>
    <s v="ORD_2025_0186"/>
    <x v="8"/>
    <s v="Smith, Emily"/>
    <s v="Japan"/>
    <s v="Cotton Bedsheet"/>
    <x v="4"/>
    <n v="5"/>
    <n v="31.58"/>
    <n v="157.9"/>
    <n v="3.73"/>
    <n v="29.17"/>
    <s v="Land"/>
    <s v="Medium"/>
    <x v="3"/>
  </r>
  <r>
    <s v="ORD_2025_0187"/>
    <x v="2"/>
    <s v="Miller, David"/>
    <s v="Canada"/>
    <s v="Leather Wallet"/>
    <x v="0"/>
    <n v="50"/>
    <n v="26.67"/>
    <n v="1333.5"/>
    <n v="80.150000000000006"/>
    <n v="353.35"/>
    <s v="Air"/>
    <s v="Low"/>
    <x v="0"/>
  </r>
  <r>
    <s v="ORD_2025_0188"/>
    <x v="11"/>
    <s v="Johnson, David"/>
    <s v="Singapore"/>
    <s v="Ceramic Vase"/>
    <x v="3"/>
    <n v="17"/>
    <n v="20.68"/>
    <n v="351.56"/>
    <n v="18.47"/>
    <n v="69.59"/>
    <s v="Air"/>
    <s v="Medium"/>
    <x v="3"/>
  </r>
  <r>
    <s v="ORD_2025_0189"/>
    <x v="8"/>
    <s v="Davis, Sophia"/>
    <s v="South Africa"/>
    <s v="Travel Backpack"/>
    <x v="0"/>
    <n v="29"/>
    <n v="55.19"/>
    <n v="1600.51"/>
    <n v="103.06"/>
    <n v="482.45"/>
    <s v="Land"/>
    <s v="High"/>
    <x v="4"/>
  </r>
  <r>
    <s v="ORD_2025_0190"/>
    <x v="2"/>
    <s v="Garcia, Daniel"/>
    <s v="Singapore"/>
    <s v="Travel Backpack"/>
    <x v="0"/>
    <n v="34"/>
    <n v="61.62"/>
    <n v="2095.08"/>
    <n v="80.13"/>
    <n v="824.95"/>
    <s v="Sea"/>
    <s v="Low"/>
    <x v="3"/>
  </r>
  <r>
    <s v="ORD_2025_0191"/>
    <x v="15"/>
    <s v="Garcia, Michael"/>
    <s v="Mexico"/>
    <s v="Glass Bowl Set"/>
    <x v="3"/>
    <n v="10"/>
    <n v="40.03"/>
    <n v="400.3"/>
    <n v="25.8"/>
    <n v="149.5"/>
    <s v="Air"/>
    <s v="Low"/>
    <x v="0"/>
  </r>
  <r>
    <s v="ORD_2025_0192"/>
    <x v="13"/>
    <s v="Smith, Sarah"/>
    <s v="Uae"/>
    <s v="Wireless Mouse"/>
    <x v="1"/>
    <n v="23"/>
    <n v="31.3"/>
    <n v="719.9"/>
    <n v="47.88"/>
    <n v="212.02"/>
    <s v="Sea"/>
    <s v="Medium"/>
    <x v="3"/>
  </r>
  <r>
    <s v="ORD_2025_0193"/>
    <x v="5"/>
    <s v="Johnson, Sarah"/>
    <s v="Mexico"/>
    <s v="Travel Backpack"/>
    <x v="0"/>
    <n v="37"/>
    <n v="50.39"/>
    <n v="1864.43"/>
    <n v="60.06"/>
    <n v="509.37"/>
    <s v="Sea"/>
    <s v="Medium"/>
    <x v="0"/>
  </r>
  <r>
    <s v="ORD_2025_0194"/>
    <x v="9"/>
    <s v="Jones, Daniel"/>
    <s v="Usa"/>
    <s v="LED Lamp"/>
    <x v="1"/>
    <n v="38"/>
    <n v="16.97"/>
    <n v="644.86"/>
    <n v="40"/>
    <n v="120.36"/>
    <s v="Air"/>
    <s v="Low"/>
    <x v="0"/>
  </r>
  <r>
    <s v="ORD_2025_0195"/>
    <x v="12"/>
    <s v="Miller, Sarah"/>
    <s v="South Africa"/>
    <s v="Wireless Mouse"/>
    <x v="1"/>
    <n v="2"/>
    <n v="35.92"/>
    <n v="71.84"/>
    <n v="2.34"/>
    <n v="29.5"/>
    <s v="Air"/>
    <s v="Medium"/>
    <x v="4"/>
  </r>
  <r>
    <s v="ORD_2025_0196"/>
    <x v="14"/>
    <s v="Martinez, Laura"/>
    <s v="Brazil"/>
    <s v="Wireless Mouse"/>
    <x v="1"/>
    <n v="48"/>
    <n v="31.87"/>
    <n v="1529.76"/>
    <n v="89.85"/>
    <n v="479.91"/>
    <s v="Air"/>
    <s v="Low"/>
    <x v="2"/>
  </r>
  <r>
    <s v="ORD_2025_0197"/>
    <x v="9"/>
    <s v="Johnson, David"/>
    <s v="Australia"/>
    <s v="Denim Jacket"/>
    <x v="2"/>
    <n v="46"/>
    <n v="70"/>
    <n v="3220"/>
    <n v="160.11000000000001"/>
    <n v="1219.8900000000001"/>
    <s v="Sea"/>
    <s v="Medium"/>
    <x v="5"/>
  </r>
  <r>
    <s v="ORD_2025_0198"/>
    <x v="8"/>
    <s v="Jones, Emily"/>
    <s v="Singapore"/>
    <s v="Travel Backpack"/>
    <x v="0"/>
    <n v="45"/>
    <n v="57.7"/>
    <n v="2596.5"/>
    <n v="102.52"/>
    <n v="918.98"/>
    <s v="Sea"/>
    <s v="Low"/>
    <x v="3"/>
  </r>
  <r>
    <s v="ORD_2025_0199"/>
    <x v="5"/>
    <s v="Smith, Michael"/>
    <s v="Japan"/>
    <s v="LED Lamp"/>
    <x v="1"/>
    <n v="23"/>
    <n v="20.23"/>
    <n v="465.29"/>
    <n v="17.29"/>
    <n v="154.75"/>
    <s v="Air"/>
    <s v="Low"/>
    <x v="3"/>
  </r>
  <r>
    <s v="ORD_2025_0200"/>
    <x v="8"/>
    <s v="Martinez, Sarah"/>
    <s v="Italy"/>
    <s v="Leather Wallet"/>
    <x v="0"/>
    <n v="10"/>
    <n v="22.96"/>
    <n v="229.6"/>
    <n v="18.260000000000002"/>
    <n v="31.34"/>
    <s v="Land"/>
    <s v="High"/>
    <x v="1"/>
  </r>
  <r>
    <s v="ORD_2025_0201"/>
    <x v="7"/>
    <s v="Jones, Sarah"/>
    <s v="Brazil"/>
    <s v="Travel Backpack"/>
    <x v="0"/>
    <n v="40"/>
    <n v="54.84"/>
    <n v="2193.6"/>
    <n v="89.26"/>
    <n v="704.34"/>
    <s v="Sea"/>
    <s v="Low"/>
    <x v="2"/>
  </r>
  <r>
    <s v="ORD_2025_0202"/>
    <x v="2"/>
    <s v="Brown, Daniel"/>
    <s v="Singapore"/>
    <s v="Cotton Bedsheet"/>
    <x v="4"/>
    <n v="7"/>
    <n v="36.43"/>
    <n v="255.01"/>
    <n v="6.3"/>
    <n v="73.709999999999994"/>
    <s v="Land"/>
    <s v="Medium"/>
    <x v="3"/>
  </r>
  <r>
    <s v="ORD_2025_0203"/>
    <x v="13"/>
    <s v="Miller, Sarah"/>
    <s v="Mexico"/>
    <s v="LED Lamp"/>
    <x v="1"/>
    <n v="39"/>
    <n v="19.48"/>
    <n v="759.72"/>
    <n v="40.090000000000003"/>
    <n v="222.38"/>
    <s v="Air"/>
    <s v="Medium"/>
    <x v="0"/>
  </r>
  <r>
    <s v="ORD_2025_0204"/>
    <x v="10"/>
    <s v="Brown, James"/>
    <s v="South Africa"/>
    <s v="Glass Bowl Set"/>
    <x v="3"/>
    <n v="35"/>
    <n v="38.83"/>
    <n v="1359.05"/>
    <n v="93.92"/>
    <n v="477.63"/>
    <s v="Air"/>
    <s v="Medium"/>
    <x v="4"/>
  </r>
  <r>
    <s v="ORD_2025_0205"/>
    <x v="3"/>
    <s v="Johnson, Daniel"/>
    <s v="China"/>
    <s v="Wireless Mouse"/>
    <x v="1"/>
    <n v="39"/>
    <n v="32.76"/>
    <n v="1277.6400000000001"/>
    <n v="35.81"/>
    <n v="461.83"/>
    <s v="Sea"/>
    <s v="High"/>
    <x v="3"/>
  </r>
  <r>
    <s v="ORD_2025_0206"/>
    <x v="0"/>
    <s v="Davis, Emma"/>
    <s v="Usa"/>
    <s v="Bluetooth Speaker"/>
    <x v="1"/>
    <n v="8"/>
    <n v="39.869999999999997"/>
    <n v="318.95999999999998"/>
    <n v="15.95"/>
    <n v="47.01"/>
    <s v="Air"/>
    <s v="High"/>
    <x v="0"/>
  </r>
  <r>
    <s v="ORD_2025_0207"/>
    <x v="8"/>
    <s v="Brown, Emily"/>
    <s v="Uae"/>
    <s v="Denim Jacket"/>
    <x v="2"/>
    <n v="10"/>
    <n v="63.1"/>
    <n v="631"/>
    <n v="26.93"/>
    <n v="204.07"/>
    <s v="Sea"/>
    <s v="Medium"/>
    <x v="3"/>
  </r>
  <r>
    <s v="ORD_2025_0208"/>
    <x v="14"/>
    <s v="Jones, Laura"/>
    <s v="Germany"/>
    <s v="Bluetooth Speaker"/>
    <x v="1"/>
    <n v="3"/>
    <n v="55.1"/>
    <n v="165.3"/>
    <n v="9.17"/>
    <n v="60.13"/>
    <s v="Land"/>
    <s v="Low"/>
    <x v="1"/>
  </r>
  <r>
    <s v="ORD_2025_0209"/>
    <x v="10"/>
    <s v="Smith, Emma"/>
    <s v="India"/>
    <s v="Ceramic Vase"/>
    <x v="3"/>
    <n v="26"/>
    <n v="19.809999999999999"/>
    <n v="515.05999999999995"/>
    <n v="10.3"/>
    <n v="101.76"/>
    <s v="Air"/>
    <s v="Medium"/>
    <x v="3"/>
  </r>
  <r>
    <s v="ORD_2025_0210"/>
    <x v="8"/>
    <s v="Garcia, Sophia"/>
    <s v="Uae"/>
    <s v="Denim Jacket"/>
    <x v="2"/>
    <n v="17"/>
    <n v="53.34"/>
    <n v="906.78"/>
    <n v="30.6"/>
    <n v="196.18"/>
    <s v="Land"/>
    <s v="Medium"/>
    <x v="3"/>
  </r>
  <r>
    <s v="ORD_2025_0211"/>
    <x v="12"/>
    <s v="Hernandez, Sophia"/>
    <s v="China"/>
    <s v="Wireless Mouse"/>
    <x v="1"/>
    <n v="17"/>
    <n v="28.23"/>
    <n v="479.91"/>
    <n v="31.88"/>
    <n v="108.03"/>
    <s v="Sea"/>
    <s v="Low"/>
    <x v="3"/>
  </r>
  <r>
    <s v="ORD_2025_0212"/>
    <x v="11"/>
    <s v="Brown, David"/>
    <s v="Germany"/>
    <s v="Leather Wallet"/>
    <x v="0"/>
    <n v="42"/>
    <n v="25.26"/>
    <n v="1060.92"/>
    <n v="77.05"/>
    <n v="227.87"/>
    <s v="Land"/>
    <s v="High"/>
    <x v="1"/>
  </r>
  <r>
    <s v="ORD_2025_0213"/>
    <x v="6"/>
    <s v="Garcia, Sarah"/>
    <s v="India"/>
    <s v="Leather Wallet"/>
    <x v="0"/>
    <n v="2"/>
    <n v="27.27"/>
    <n v="54.54"/>
    <n v="1.45"/>
    <n v="17.09"/>
    <s v="Land"/>
    <s v="High"/>
    <x v="3"/>
  </r>
  <r>
    <s v="ORD_2025_0214"/>
    <x v="15"/>
    <s v="Martinez, Emily"/>
    <s v="Uae"/>
    <s v="Table Lamp"/>
    <x v="3"/>
    <n v="48"/>
    <n v="44.95"/>
    <n v="2157.6"/>
    <n v="148.41"/>
    <n v="665.19"/>
    <s v="Land"/>
    <s v="Low"/>
    <x v="3"/>
  </r>
  <r>
    <s v="ORD_2025_0215"/>
    <x v="8"/>
    <s v="Brown, David"/>
    <s v="Singapore"/>
    <s v="Wireless Mouse"/>
    <x v="1"/>
    <n v="23"/>
    <n v="28.6"/>
    <n v="657.8"/>
    <n v="13.36"/>
    <n v="184.44"/>
    <s v="Land"/>
    <s v="High"/>
    <x v="3"/>
  </r>
  <r>
    <s v="ORD_2025_0216"/>
    <x v="15"/>
    <s v="Garcia, Sophia"/>
    <s v="France"/>
    <s v="Ceramic Vase"/>
    <x v="3"/>
    <n v="18"/>
    <n v="26.1"/>
    <n v="469.8"/>
    <n v="19.52"/>
    <n v="171.28"/>
    <s v="Air"/>
    <s v="Low"/>
    <x v="1"/>
  </r>
  <r>
    <s v="ORD_2025_0217"/>
    <x v="3"/>
    <s v="Johnson, John"/>
    <s v="Mexico"/>
    <s v="Table Lamp"/>
    <x v="3"/>
    <n v="21"/>
    <n v="37.450000000000003"/>
    <n v="786.45"/>
    <n v="62.4"/>
    <n v="136.05000000000001"/>
    <s v="Land"/>
    <s v="High"/>
    <x v="0"/>
  </r>
  <r>
    <s v="ORD_2025_0218"/>
    <x v="9"/>
    <s v="Miller, Emma"/>
    <s v="Singapore"/>
    <s v="Wireless Mouse"/>
    <x v="1"/>
    <n v="25"/>
    <n v="28.54"/>
    <n v="713.5"/>
    <n v="50.38"/>
    <n v="163.12"/>
    <s v="Land"/>
    <s v="Low"/>
    <x v="3"/>
  </r>
  <r>
    <s v="ORD_2025_0219"/>
    <x v="1"/>
    <s v="Hernandez, John"/>
    <s v="Usa"/>
    <s v="Cotton Bedsheet"/>
    <x v="4"/>
    <n v="11"/>
    <n v="38.07"/>
    <n v="418.77"/>
    <n v="29.02"/>
    <n v="114.75"/>
    <s v="Sea"/>
    <s v="Low"/>
    <x v="0"/>
  </r>
  <r>
    <s v="ORD_2025_0220"/>
    <x v="3"/>
    <s v="Brown, Sophia"/>
    <s v="Canada"/>
    <s v="Ceramic Vase"/>
    <x v="3"/>
    <n v="18"/>
    <n v="19.32"/>
    <n v="347.76"/>
    <n v="21.34"/>
    <n v="47.42"/>
    <s v="Sea"/>
    <s v="Low"/>
    <x v="0"/>
  </r>
  <r>
    <s v="ORD_2025_0221"/>
    <x v="4"/>
    <s v="Martinez, James"/>
    <s v="Uk"/>
    <s v="Table Lamp"/>
    <x v="3"/>
    <n v="42"/>
    <n v="50.02"/>
    <n v="2100.84"/>
    <n v="89.65"/>
    <n v="835.19"/>
    <s v="Sea"/>
    <s v="Medium"/>
    <x v="1"/>
  </r>
  <r>
    <s v="ORD_2025_0222"/>
    <x v="0"/>
    <s v="Smith, James"/>
    <s v="Australia"/>
    <s v="Table Lamp"/>
    <x v="3"/>
    <n v="13"/>
    <n v="49.39"/>
    <n v="642.07000000000005"/>
    <n v="38.32"/>
    <n v="239.75"/>
    <s v="Sea"/>
    <s v="Low"/>
    <x v="5"/>
  </r>
  <r>
    <s v="ORD_2025_0223"/>
    <x v="5"/>
    <s v="Miller, David"/>
    <s v="Uk"/>
    <s v="Leather Wallet"/>
    <x v="0"/>
    <n v="15"/>
    <n v="22.86"/>
    <n v="342.9"/>
    <n v="27.16"/>
    <n v="45.74"/>
    <s v="Air"/>
    <s v="High"/>
    <x v="1"/>
  </r>
  <r>
    <s v="ORD_2025_0224"/>
    <x v="6"/>
    <s v="Johnson, John"/>
    <s v="India"/>
    <s v="Cotton Bedsheet"/>
    <x v="4"/>
    <n v="37"/>
    <n v="37.270000000000003"/>
    <n v="1378.99"/>
    <n v="92.92"/>
    <n v="361.07"/>
    <s v="Land"/>
    <s v="Low"/>
    <x v="3"/>
  </r>
  <r>
    <s v="ORD_2025_0225"/>
    <x v="11"/>
    <s v="Johnson, Michael"/>
    <s v="France"/>
    <s v="Travel Backpack"/>
    <x v="0"/>
    <n v="49"/>
    <n v="54.05"/>
    <n v="2648.45"/>
    <n v="66.8"/>
    <n v="866.65"/>
    <s v="Air"/>
    <s v="Low"/>
    <x v="1"/>
  </r>
  <r>
    <s v="ORD_2025_0226"/>
    <x v="7"/>
    <s v="Jones, Emma"/>
    <s v="Uk"/>
    <s v="LED Lamp"/>
    <x v="1"/>
    <n v="33"/>
    <n v="20.059999999999999"/>
    <n v="661.98"/>
    <n v="50.02"/>
    <n v="191.21"/>
    <s v="Air"/>
    <s v="Medium"/>
    <x v="1"/>
  </r>
  <r>
    <s v="ORD_2025_0227"/>
    <x v="15"/>
    <s v="Miller, Sarah"/>
    <s v="Germany"/>
    <s v="Table Lamp"/>
    <x v="3"/>
    <n v="49"/>
    <n v="35.68"/>
    <n v="1748.32"/>
    <n v="124.47"/>
    <n v="251.85"/>
    <s v="Air"/>
    <s v="High"/>
    <x v="1"/>
  </r>
  <r>
    <s v="ORD_2025_0228"/>
    <x v="13"/>
    <s v="Davis, John"/>
    <s v="India"/>
    <s v="Cotton Bedsheet"/>
    <x v="4"/>
    <n v="23"/>
    <n v="30.89"/>
    <n v="710.47"/>
    <n v="18.739999999999998"/>
    <n v="116.73"/>
    <s v="Sea"/>
    <s v="Low"/>
    <x v="3"/>
  </r>
  <r>
    <s v="ORD_2025_0229"/>
    <x v="3"/>
    <s v="Miller, Daniel"/>
    <s v="France"/>
    <s v="Travel Backpack"/>
    <x v="0"/>
    <n v="14"/>
    <n v="59.6"/>
    <n v="834.4"/>
    <n v="19.11"/>
    <n v="325.29000000000002"/>
    <s v="Sea"/>
    <s v="Medium"/>
    <x v="1"/>
  </r>
  <r>
    <s v="ORD_2025_0230"/>
    <x v="1"/>
    <s v="Jones, Emily"/>
    <s v="Germany"/>
    <s v="Glass Bowl Set"/>
    <x v="3"/>
    <n v="3"/>
    <n v="28.36"/>
    <n v="85.08"/>
    <n v="4.46"/>
    <n v="13.12"/>
    <s v="Land"/>
    <s v="Medium"/>
    <x v="1"/>
  </r>
  <r>
    <s v="ORD_2025_0231"/>
    <x v="15"/>
    <s v="Smith, Daniel"/>
    <s v="Germany"/>
    <s v="LED Lamp"/>
    <x v="1"/>
    <n v="28"/>
    <n v="22.13"/>
    <n v="619.64"/>
    <n v="17.2"/>
    <n v="245.44"/>
    <s v="Sea"/>
    <s v="High"/>
    <x v="1"/>
  </r>
  <r>
    <s v="ORD_2025_0232"/>
    <x v="9"/>
    <s v="Hernandez, Daniel"/>
    <s v="Usa"/>
    <s v="Leather Wallet"/>
    <x v="0"/>
    <n v="28"/>
    <n v="27.62"/>
    <n v="773.36"/>
    <n v="29.88"/>
    <n v="239.48"/>
    <s v="Land"/>
    <s v="Low"/>
    <x v="0"/>
  </r>
  <r>
    <s v="ORD_2025_0233"/>
    <x v="13"/>
    <s v="Martinez, Sarah"/>
    <s v="Canada"/>
    <s v="Cotton Bedsheet"/>
    <x v="4"/>
    <n v="40"/>
    <n v="34.229999999999997"/>
    <n v="1369.2"/>
    <n v="78.03"/>
    <n v="291.17"/>
    <s v="Land"/>
    <s v="Low"/>
    <x v="0"/>
  </r>
  <r>
    <s v="ORD_2025_0234"/>
    <x v="0"/>
    <s v="Miller, Sophia"/>
    <s v="Japan"/>
    <s v="Denim Jacket"/>
    <x v="2"/>
    <n v="9"/>
    <n v="52.2"/>
    <n v="469.8"/>
    <n v="31.5"/>
    <n v="78.3"/>
    <s v="Air"/>
    <s v="High"/>
    <x v="3"/>
  </r>
  <r>
    <s v="ORD_2025_0235"/>
    <x v="13"/>
    <s v="Hernandez, Daniel"/>
    <s v="France"/>
    <s v="Cotton Bedsheet"/>
    <x v="4"/>
    <n v="31"/>
    <n v="43.54"/>
    <n v="1349.74"/>
    <n v="99.86"/>
    <n v="474.88"/>
    <s v="Land"/>
    <s v="Medium"/>
    <x v="1"/>
  </r>
  <r>
    <s v="ORD_2025_0236"/>
    <x v="5"/>
    <s v="Williams, Laura"/>
    <s v="Uae"/>
    <s v="Ceramic Vase"/>
    <x v="3"/>
    <n v="31"/>
    <n v="18.63"/>
    <n v="577.53"/>
    <n v="36.65"/>
    <n v="60.38"/>
    <s v="Air"/>
    <s v="Low"/>
    <x v="3"/>
  </r>
  <r>
    <s v="ORD_2025_0237"/>
    <x v="10"/>
    <s v="Jones, Daniel"/>
    <s v="Japan"/>
    <s v="Wireless Mouse"/>
    <x v="1"/>
    <n v="38"/>
    <n v="27.28"/>
    <n v="1036.6400000000001"/>
    <n v="38.770000000000003"/>
    <n v="237.87"/>
    <s v="Land"/>
    <s v="High"/>
    <x v="3"/>
  </r>
  <r>
    <s v="ORD_2025_0238"/>
    <x v="15"/>
    <s v="Miller, Sarah"/>
    <s v="Brazil"/>
    <s v="Leather Wallet"/>
    <x v="0"/>
    <n v="50"/>
    <n v="30.97"/>
    <n v="1548.5"/>
    <n v="82.09"/>
    <n v="566.41"/>
    <s v="Sea"/>
    <s v="Medium"/>
    <x v="2"/>
  </r>
  <r>
    <s v="ORD_2025_0239"/>
    <x v="10"/>
    <s v="Williams, David"/>
    <s v="Japan"/>
    <s v="Denim Jacket"/>
    <x v="2"/>
    <n v="17"/>
    <n v="60.91"/>
    <n v="1035.47"/>
    <n v="54.09"/>
    <n v="301.38"/>
    <s v="Air"/>
    <s v="Low"/>
    <x v="3"/>
  </r>
  <r>
    <s v="ORD_2025_0240"/>
    <x v="5"/>
    <s v="Johnson, Sophia"/>
    <s v="China"/>
    <s v="Wireless Mouse"/>
    <x v="1"/>
    <n v="25"/>
    <n v="31.15"/>
    <n v="778.75"/>
    <n v="47.45"/>
    <n v="231.3"/>
    <s v="Land"/>
    <s v="High"/>
    <x v="3"/>
  </r>
  <r>
    <s v="ORD_2025_0241"/>
    <x v="12"/>
    <s v="Brown, John"/>
    <s v="France"/>
    <s v="Leather Wallet"/>
    <x v="0"/>
    <n v="30"/>
    <n v="31.12"/>
    <n v="933.6"/>
    <n v="50.88"/>
    <n v="342.72"/>
    <s v="Sea"/>
    <s v="Medium"/>
    <x v="1"/>
  </r>
  <r>
    <s v="ORD_2025_0242"/>
    <x v="1"/>
    <s v="Hernandez, John"/>
    <s v="Mexico"/>
    <s v="Ceramic Vase"/>
    <x v="3"/>
    <n v="17"/>
    <n v="19.64"/>
    <n v="333.88"/>
    <n v="22.23"/>
    <n v="48.15"/>
    <s v="Air"/>
    <s v="High"/>
    <x v="0"/>
  </r>
  <r>
    <s v="ORD_2025_0243"/>
    <x v="4"/>
    <s v="Johnson, Laura"/>
    <s v="Usa"/>
    <s v="Bluetooth Speaker"/>
    <x v="1"/>
    <n v="37"/>
    <n v="57.35"/>
    <n v="2121.9499999999998"/>
    <n v="147.38999999999999"/>
    <n v="790.56"/>
    <s v="Land"/>
    <s v="Low"/>
    <x v="0"/>
  </r>
  <r>
    <s v="ORD_2025_0244"/>
    <x v="1"/>
    <s v="Smith, Emily"/>
    <s v="Italy"/>
    <s v="Travel Backpack"/>
    <x v="0"/>
    <n v="45"/>
    <n v="42.6"/>
    <n v="1917"/>
    <n v="104.27"/>
    <n v="237.73"/>
    <s v="Sea"/>
    <s v="High"/>
    <x v="1"/>
  </r>
  <r>
    <s v="ORD_2025_0245"/>
    <x v="4"/>
    <s v="Brown, Michael"/>
    <s v="Uk"/>
    <s v="Wireless Mouse"/>
    <x v="1"/>
    <n v="25"/>
    <n v="31.82"/>
    <n v="795.5"/>
    <n v="37.33"/>
    <n v="258.17"/>
    <s v="Land"/>
    <s v="Medium"/>
    <x v="1"/>
  </r>
  <r>
    <s v="ORD_2025_0246"/>
    <x v="5"/>
    <s v="Williams, Emma"/>
    <s v="India"/>
    <s v="Cotton Bedsheet"/>
    <x v="4"/>
    <n v="17"/>
    <n v="36.270000000000003"/>
    <n v="616.59"/>
    <n v="22.76"/>
    <n v="168.83"/>
    <s v="Air"/>
    <s v="Low"/>
    <x v="3"/>
  </r>
  <r>
    <s v="ORD_2025_0247"/>
    <x v="15"/>
    <s v="Garcia, Emma"/>
    <s v="Uae"/>
    <s v="Leather Wallet"/>
    <x v="0"/>
    <n v="4"/>
    <n v="27.01"/>
    <n v="108.04"/>
    <n v="4.7300000000000004"/>
    <n v="31.31"/>
    <s v="Air"/>
    <s v="High"/>
    <x v="3"/>
  </r>
  <r>
    <s v="ORD_2025_0248"/>
    <x v="14"/>
    <s v="Martinez, Emily"/>
    <s v="Mexico"/>
    <s v="Travel Backpack"/>
    <x v="0"/>
    <n v="22"/>
    <n v="57.6"/>
    <n v="1267.2"/>
    <n v="35.32"/>
    <n v="461.88"/>
    <s v="Air"/>
    <s v="Low"/>
    <x v="0"/>
  </r>
  <r>
    <s v="ORD_2025_0249"/>
    <x v="16"/>
    <s v="Brown, Emily"/>
    <s v="Germany"/>
    <s v="Cotton Bedsheet"/>
    <x v="4"/>
    <n v="24"/>
    <n v="43.34"/>
    <n v="1040.1600000000001"/>
    <n v="41.18"/>
    <n v="398.98"/>
    <s v="Land"/>
    <s v="High"/>
    <x v="1"/>
  </r>
  <r>
    <s v="ORD_2025_0250"/>
    <x v="1"/>
    <s v="Brown, Daniel"/>
    <s v="Mexico"/>
    <s v="Denim Jacket"/>
    <x v="2"/>
    <n v="37"/>
    <n v="71.8"/>
    <n v="2656.6"/>
    <n v="60.3"/>
    <n v="1116.3"/>
    <s v="Sea"/>
    <s v="Low"/>
    <x v="0"/>
  </r>
  <r>
    <s v="ORD_2025_0251"/>
    <x v="4"/>
    <s v="Johnson, Laura"/>
    <s v="Uae"/>
    <s v="Wireless Mouse"/>
    <x v="1"/>
    <n v="24"/>
    <n v="29.11"/>
    <n v="698.64"/>
    <n v="53.99"/>
    <n v="164.65"/>
    <s v="Air"/>
    <s v="High"/>
    <x v="3"/>
  </r>
  <r>
    <s v="ORD_2025_0252"/>
    <x v="16"/>
    <s v="Smith, John"/>
    <s v="Japan"/>
    <s v="Glass Bowl Set"/>
    <x v="3"/>
    <n v="6"/>
    <n v="27.91"/>
    <n v="167.46"/>
    <n v="10.01"/>
    <n v="22.45"/>
    <s v="Land"/>
    <s v="Low"/>
    <x v="3"/>
  </r>
  <r>
    <s v="ORD_2025_0253"/>
    <x v="10"/>
    <s v="Miller, Daniel"/>
    <s v="China"/>
    <s v="Glass Bowl Set"/>
    <x v="3"/>
    <n v="28"/>
    <n v="27.29"/>
    <n v="764.12"/>
    <n v="25.78"/>
    <n v="108.34"/>
    <s v="Air"/>
    <s v="Low"/>
    <x v="3"/>
  </r>
  <r>
    <s v="ORD_2025_0254"/>
    <x v="10"/>
    <s v="Davis, Daniel"/>
    <s v="Mexico"/>
    <s v="Glass Bowl Set"/>
    <x v="3"/>
    <n v="47"/>
    <n v="35.880000000000003"/>
    <n v="1686.36"/>
    <n v="70.3"/>
    <n v="558.55999999999995"/>
    <s v="Land"/>
    <s v="Medium"/>
    <x v="0"/>
  </r>
  <r>
    <s v="ORD_2025_0255"/>
    <x v="4"/>
    <s v="Davis, Emily"/>
    <s v="France"/>
    <s v="Ceramic Vase"/>
    <x v="3"/>
    <n v="19"/>
    <n v="27.47"/>
    <n v="521.92999999999995"/>
    <n v="31.29"/>
    <n v="196.14"/>
    <s v="Sea"/>
    <s v="High"/>
    <x v="1"/>
  </r>
  <r>
    <s v="ORD_2025_0256"/>
    <x v="15"/>
    <s v="Smith, Daniel"/>
    <s v="Australia"/>
    <s v="Wireless Mouse"/>
    <x v="1"/>
    <n v="13"/>
    <n v="29.26"/>
    <n v="380.38"/>
    <n v="9.4700000000000006"/>
    <n v="110.91"/>
    <s v="Sea"/>
    <s v="High"/>
    <x v="5"/>
  </r>
  <r>
    <s v="ORD_2025_0257"/>
    <x v="0"/>
    <s v="Miller, James"/>
    <s v="Germany"/>
    <s v="Leather Wallet"/>
    <x v="0"/>
    <n v="4"/>
    <n v="26.17"/>
    <n v="104.68"/>
    <n v="6.33"/>
    <n v="26.35"/>
    <s v="Land"/>
    <s v="Medium"/>
    <x v="1"/>
  </r>
  <r>
    <s v="ORD_2025_0258"/>
    <x v="16"/>
    <s v="Brown, Daniel"/>
    <s v="Germany"/>
    <s v="Glass Bowl Set"/>
    <x v="3"/>
    <n v="43"/>
    <n v="37.32"/>
    <n v="1604.76"/>
    <n v="61.01"/>
    <n v="576.25"/>
    <s v="Land"/>
    <s v="Medium"/>
    <x v="1"/>
  </r>
  <r>
    <s v="ORD_2025_0259"/>
    <x v="6"/>
    <s v="Martinez, David"/>
    <s v="South Africa"/>
    <s v="Leather Wallet"/>
    <x v="0"/>
    <n v="27"/>
    <n v="23.05"/>
    <n v="622.35"/>
    <n v="20.440000000000001"/>
    <n v="115.91"/>
    <s v="Air"/>
    <s v="Medium"/>
    <x v="4"/>
  </r>
  <r>
    <s v="ORD_2025_0260"/>
    <x v="3"/>
    <s v="Williams, Sophia"/>
    <s v="Japan"/>
    <s v="LED Lamp"/>
    <x v="1"/>
    <n v="38"/>
    <n v="19.02"/>
    <n v="722.76"/>
    <n v="14.63"/>
    <n v="223.63"/>
    <s v="Sea"/>
    <s v="Medium"/>
    <x v="3"/>
  </r>
  <r>
    <s v="ORD_2025_0261"/>
    <x v="4"/>
    <s v="Garcia, James"/>
    <s v="Canada"/>
    <s v="Denim Jacket"/>
    <x v="2"/>
    <n v="10"/>
    <n v="70.94"/>
    <n v="709.4"/>
    <n v="18.64"/>
    <n v="290.76"/>
    <s v="Sea"/>
    <s v="High"/>
    <x v="0"/>
  </r>
  <r>
    <s v="ORD_2025_0262"/>
    <x v="16"/>
    <s v="Jones, Daniel"/>
    <s v="Singapore"/>
    <s v="Cotton Bedsheet"/>
    <x v="4"/>
    <n v="17"/>
    <n v="38.28"/>
    <n v="650.76"/>
    <n v="38.43"/>
    <n v="187.33"/>
    <s v="Sea"/>
    <s v="High"/>
    <x v="3"/>
  </r>
  <r>
    <s v="ORD_2025_0263"/>
    <x v="6"/>
    <s v="Brown, Sophia"/>
    <s v="Usa"/>
    <s v="Bluetooth Speaker"/>
    <x v="1"/>
    <n v="10"/>
    <n v="38.799999999999997"/>
    <n v="388"/>
    <n v="16.39"/>
    <n v="51.61"/>
    <s v="Air"/>
    <s v="Medium"/>
    <x v="0"/>
  </r>
  <r>
    <s v="ORD_2025_0264"/>
    <x v="14"/>
    <s v="Brown, Daniel"/>
    <s v="China"/>
    <s v="Cotton Bedsheet"/>
    <x v="4"/>
    <n v="3"/>
    <n v="33.840000000000003"/>
    <n v="101.52"/>
    <n v="2.3199999999999998"/>
    <n v="24.2"/>
    <s v="Air"/>
    <s v="High"/>
    <x v="3"/>
  </r>
  <r>
    <s v="ORD_2025_0265"/>
    <x v="11"/>
    <s v="Davis, Emily"/>
    <s v="Germany"/>
    <s v="Ceramic Vase"/>
    <x v="3"/>
    <n v="20"/>
    <n v="21.12"/>
    <n v="422.4"/>
    <n v="22.08"/>
    <n v="90.32"/>
    <s v="Sea"/>
    <s v="High"/>
    <x v="1"/>
  </r>
  <r>
    <s v="ORD_2025_0266"/>
    <x v="9"/>
    <s v="Davis, Sophia"/>
    <s v="South Africa"/>
    <s v="Travel Backpack"/>
    <x v="0"/>
    <n v="1"/>
    <n v="58.15"/>
    <n v="58.15"/>
    <n v="4.2"/>
    <n v="18.95"/>
    <s v="Sea"/>
    <s v="Medium"/>
    <x v="4"/>
  </r>
  <r>
    <s v="ORD_2025_0267"/>
    <x v="11"/>
    <s v="Martinez, Michael"/>
    <s v="Brazil"/>
    <s v="Bluetooth Speaker"/>
    <x v="1"/>
    <n v="32"/>
    <n v="45.96"/>
    <n v="1470.72"/>
    <n v="82.77"/>
    <n v="363.95"/>
    <s v="Land"/>
    <s v="Medium"/>
    <x v="2"/>
  </r>
  <r>
    <s v="ORD_2025_0268"/>
    <x v="8"/>
    <s v="Johnson, Emily"/>
    <s v="Italy"/>
    <s v="LED Lamp"/>
    <x v="1"/>
    <n v="37"/>
    <n v="16.82"/>
    <n v="622.34"/>
    <n v="32.9"/>
    <n v="117.69"/>
    <s v="Air"/>
    <s v="Medium"/>
    <x v="1"/>
  </r>
  <r>
    <s v="ORD_2025_0269"/>
    <x v="2"/>
    <s v="Hernandez, Emma"/>
    <s v="Italy"/>
    <s v="Bluetooth Speaker"/>
    <x v="1"/>
    <n v="18"/>
    <n v="54.62"/>
    <n v="983.16"/>
    <n v="22.61"/>
    <n v="384.55"/>
    <s v="Air"/>
    <s v="Medium"/>
    <x v="1"/>
  </r>
  <r>
    <s v="ORD_2025_0270"/>
    <x v="13"/>
    <s v="Miller, Laura"/>
    <s v="Italy"/>
    <s v="LED Lamp"/>
    <x v="1"/>
    <n v="30"/>
    <n v="22.83"/>
    <n v="684.9"/>
    <n v="32.31"/>
    <n v="270.08999999999997"/>
    <s v="Land"/>
    <s v="Medium"/>
    <x v="1"/>
  </r>
  <r>
    <s v="ORD_2025_0271"/>
    <x v="9"/>
    <s v="Smith, Laura"/>
    <s v="France"/>
    <s v="Bluetooth Speaker"/>
    <x v="1"/>
    <n v="39"/>
    <n v="47.02"/>
    <n v="1833.78"/>
    <n v="50.01"/>
    <n v="535.77"/>
    <s v="Air"/>
    <s v="Medium"/>
    <x v="1"/>
  </r>
  <r>
    <s v="ORD_2025_0272"/>
    <x v="8"/>
    <s v="Davis, David"/>
    <s v="Usa"/>
    <s v="Table Lamp"/>
    <x v="3"/>
    <n v="22"/>
    <n v="43.32"/>
    <n v="953.04"/>
    <n v="71.3"/>
    <n v="265.74"/>
    <s v="Sea"/>
    <s v="High"/>
    <x v="0"/>
  </r>
  <r>
    <s v="ORD_2025_0273"/>
    <x v="3"/>
    <s v="Garcia, John"/>
    <s v="Japan"/>
    <s v="Glass Bowl Set"/>
    <x v="3"/>
    <n v="6"/>
    <n v="31.69"/>
    <n v="190.14"/>
    <n v="12.52"/>
    <n v="42.62"/>
    <s v="Air"/>
    <s v="Medium"/>
    <x v="3"/>
  </r>
  <r>
    <s v="ORD_2025_0274"/>
    <x v="4"/>
    <s v="Davis, Emily"/>
    <s v="Germany"/>
    <s v="Travel Backpack"/>
    <x v="0"/>
    <n v="19"/>
    <n v="53.28"/>
    <n v="1012.32"/>
    <n v="27.24"/>
    <n v="320.08"/>
    <s v="Air"/>
    <s v="Medium"/>
    <x v="1"/>
  </r>
  <r>
    <s v="ORD_2025_0275"/>
    <x v="14"/>
    <s v="Williams, Michael"/>
    <s v="Usa"/>
    <s v="Travel Backpack"/>
    <x v="0"/>
    <n v="47"/>
    <n v="47.53"/>
    <n v="2233.91"/>
    <n v="128.91"/>
    <n v="460"/>
    <s v="Sea"/>
    <s v="Low"/>
    <x v="0"/>
  </r>
  <r>
    <s v="ORD_2025_0276"/>
    <x v="15"/>
    <s v="Hernandez, Michael"/>
    <s v="Singapore"/>
    <s v="Wireless Mouse"/>
    <x v="1"/>
    <n v="12"/>
    <n v="24.02"/>
    <n v="288.24"/>
    <n v="9.8000000000000007"/>
    <n v="38.44"/>
    <s v="Land"/>
    <s v="High"/>
    <x v="3"/>
  </r>
  <r>
    <s v="ORD_2025_0277"/>
    <x v="0"/>
    <s v="Brown, Sophia"/>
    <s v="Singapore"/>
    <s v="LED Lamp"/>
    <x v="1"/>
    <n v="32"/>
    <n v="15.64"/>
    <n v="500.48"/>
    <n v="24.69"/>
    <n v="67.790000000000006"/>
    <s v="Air"/>
    <s v="Low"/>
    <x v="3"/>
  </r>
  <r>
    <s v="ORD_2025_0278"/>
    <x v="3"/>
    <s v="Hernandez, David"/>
    <s v="Australia"/>
    <s v="Bluetooth Speaker"/>
    <x v="1"/>
    <n v="22"/>
    <n v="42.54"/>
    <n v="935.88"/>
    <n v="45.37"/>
    <n v="186.51"/>
    <s v="Land"/>
    <s v="High"/>
    <x v="5"/>
  </r>
  <r>
    <s v="ORD_2025_0279"/>
    <x v="4"/>
    <s v="Hernandez, Sarah"/>
    <s v="India"/>
    <s v="Cotton Bedsheet"/>
    <x v="4"/>
    <n v="37"/>
    <n v="43.55"/>
    <n v="1611.35"/>
    <n v="67.78"/>
    <n v="618.57000000000005"/>
    <s v="Sea"/>
    <s v="Medium"/>
    <x v="3"/>
  </r>
  <r>
    <s v="ORD_2025_0280"/>
    <x v="7"/>
    <s v="Hernandez, John"/>
    <s v="Brazil"/>
    <s v="Ceramic Vase"/>
    <x v="3"/>
    <n v="42"/>
    <n v="20.260000000000002"/>
    <n v="850.92"/>
    <n v="22.43"/>
    <n v="177.49"/>
    <s v="Air"/>
    <s v="High"/>
    <x v="2"/>
  </r>
  <r>
    <s v="ORD_2025_0281"/>
    <x v="5"/>
    <s v="Davis, James"/>
    <s v="Canada"/>
    <s v="Leather Wallet"/>
    <x v="0"/>
    <n v="43"/>
    <n v="24.08"/>
    <n v="1035.44"/>
    <n v="35.07"/>
    <n v="226.37"/>
    <s v="Sea"/>
    <s v="High"/>
    <x v="0"/>
  </r>
  <r>
    <s v="ORD_2025_0282"/>
    <x v="4"/>
    <s v="Johnson, Emily"/>
    <s v="Germany"/>
    <s v="Denim Jacket"/>
    <x v="2"/>
    <n v="14"/>
    <n v="69.010000000000005"/>
    <n v="966.14"/>
    <n v="32.67"/>
    <n v="373.47"/>
    <s v="Sea"/>
    <s v="Low"/>
    <x v="1"/>
  </r>
  <r>
    <s v="ORD_2025_0283"/>
    <x v="14"/>
    <s v="Miller, David"/>
    <s v="Australia"/>
    <s v="Wireless Mouse"/>
    <x v="1"/>
    <n v="29"/>
    <n v="28.29"/>
    <n v="820.41"/>
    <n v="63.15"/>
    <n v="177.26"/>
    <s v="Air"/>
    <s v="High"/>
    <x v="5"/>
  </r>
  <r>
    <s v="ORD_2025_0284"/>
    <x v="16"/>
    <s v="Johnson, David"/>
    <s v="Mexico"/>
    <s v="Ceramic Vase"/>
    <x v="3"/>
    <n v="29"/>
    <n v="26.51"/>
    <n v="768.79"/>
    <n v="15.66"/>
    <n v="303.63"/>
    <s v="Sea"/>
    <s v="Low"/>
    <x v="0"/>
  </r>
  <r>
    <s v="ORD_2025_0285"/>
    <x v="9"/>
    <s v="Martinez, Sarah"/>
    <s v="Canada"/>
    <s v="Travel Backpack"/>
    <x v="0"/>
    <n v="11"/>
    <n v="58.07"/>
    <n v="638.77"/>
    <n v="43.89"/>
    <n v="209.88"/>
    <s v="Land"/>
    <s v="Medium"/>
    <x v="0"/>
  </r>
  <r>
    <s v="ORD_2025_0286"/>
    <x v="5"/>
    <s v="Smith, Sophia"/>
    <s v="Uk"/>
    <s v="Bluetooth Speaker"/>
    <x v="1"/>
    <n v="3"/>
    <n v="48.76"/>
    <n v="146.28"/>
    <n v="10.45"/>
    <n v="39.83"/>
    <s v="Air"/>
    <s v="Medium"/>
    <x v="1"/>
  </r>
  <r>
    <s v="ORD_2025_0287"/>
    <x v="14"/>
    <s v="Williams, Emily"/>
    <s v="India"/>
    <s v="Wireless Mouse"/>
    <x v="1"/>
    <n v="49"/>
    <n v="30.46"/>
    <n v="1492.54"/>
    <n v="51.82"/>
    <n v="460.72"/>
    <s v="Sea"/>
    <s v="Low"/>
    <x v="3"/>
  </r>
  <r>
    <s v="ORD_2025_0288"/>
    <x v="6"/>
    <s v="Davis, John"/>
    <s v="China"/>
    <s v="Table Lamp"/>
    <x v="3"/>
    <n v="25"/>
    <n v="35.21"/>
    <n v="880.25"/>
    <n v="39.799999999999997"/>
    <n v="140.44999999999999"/>
    <s v="Air"/>
    <s v="Medium"/>
    <x v="3"/>
  </r>
  <r>
    <s v="ORD_2025_0289"/>
    <x v="16"/>
    <s v="Johnson, David"/>
    <s v="Usa"/>
    <s v="Table Lamp"/>
    <x v="3"/>
    <n v="37"/>
    <n v="44.82"/>
    <n v="1658.34"/>
    <n v="65.75"/>
    <n v="556.59"/>
    <s v="Sea"/>
    <s v="Medium"/>
    <x v="0"/>
  </r>
  <r>
    <s v="ORD_2025_0290"/>
    <x v="4"/>
    <s v="Miller, James"/>
    <s v="Germany"/>
    <s v="Ceramic Vase"/>
    <x v="3"/>
    <n v="11"/>
    <n v="18.75"/>
    <n v="206.25"/>
    <n v="11.67"/>
    <n v="24.08"/>
    <s v="Land"/>
    <s v="Low"/>
    <x v="1"/>
  </r>
  <r>
    <s v="ORD_2025_0291"/>
    <x v="10"/>
    <s v="Johnson, David"/>
    <s v="Brazil"/>
    <s v="Wireless Mouse"/>
    <x v="1"/>
    <n v="37"/>
    <n v="31.66"/>
    <n v="1171.42"/>
    <n v="58.95"/>
    <n v="372.47"/>
    <s v="Air"/>
    <s v="Low"/>
    <x v="2"/>
  </r>
  <r>
    <s v="ORD_2025_0292"/>
    <x v="12"/>
    <s v="Garcia, John"/>
    <s v="Uk"/>
    <s v="Wireless Mouse"/>
    <x v="1"/>
    <n v="17"/>
    <n v="32.74"/>
    <n v="556.58000000000004"/>
    <n v="14.68"/>
    <n v="201.9"/>
    <s v="Sea"/>
    <s v="Medium"/>
    <x v="1"/>
  </r>
  <r>
    <s v="ORD_2025_0293"/>
    <x v="2"/>
    <s v="Davis, James"/>
    <s v="Usa"/>
    <s v="Table Lamp"/>
    <x v="3"/>
    <n v="7"/>
    <n v="46.64"/>
    <n v="326.48"/>
    <n v="25.19"/>
    <n v="105.29"/>
    <s v="Sea"/>
    <s v="High"/>
    <x v="0"/>
  </r>
  <r>
    <s v="ORD_2025_0294"/>
    <x v="1"/>
    <s v="Smith, Daniel"/>
    <s v="Uae"/>
    <s v="Leather Wallet"/>
    <x v="0"/>
    <n v="16"/>
    <n v="24.77"/>
    <n v="396.32"/>
    <n v="15.6"/>
    <n v="92.72"/>
    <s v="Land"/>
    <s v="High"/>
    <x v="3"/>
  </r>
  <r>
    <s v="ORD_2025_0295"/>
    <x v="8"/>
    <s v="Martinez, Laura"/>
    <s v="Mexico"/>
    <s v="Denim Jacket"/>
    <x v="2"/>
    <n v="39"/>
    <n v="56.5"/>
    <n v="2203.5"/>
    <n v="141.58000000000001"/>
    <n v="501.92"/>
    <s v="Air"/>
    <s v="Low"/>
    <x v="0"/>
  </r>
  <r>
    <s v="ORD_2025_0296"/>
    <x v="6"/>
    <s v="Brown, Sophia"/>
    <s v="India"/>
    <s v="Ceramic Vase"/>
    <x v="3"/>
    <n v="1"/>
    <n v="24.01"/>
    <n v="24.01"/>
    <n v="1.58"/>
    <n v="6.93"/>
    <s v="Land"/>
    <s v="Low"/>
    <x v="3"/>
  </r>
  <r>
    <s v="ORD_2025_0297"/>
    <x v="9"/>
    <s v="Jones, Laura"/>
    <s v="India"/>
    <s v="Cotton Bedsheet"/>
    <x v="4"/>
    <n v="45"/>
    <n v="35.99"/>
    <n v="1619.55"/>
    <n v="49.95"/>
    <n v="444.6"/>
    <s v="Land"/>
    <s v="Medium"/>
    <x v="3"/>
  </r>
  <r>
    <s v="ORD_2025_0298"/>
    <x v="1"/>
    <s v="Brown, Daniel"/>
    <s v="Singapore"/>
    <s v="Wireless Mouse"/>
    <x v="1"/>
    <n v="5"/>
    <n v="25.45"/>
    <n v="127.25"/>
    <n v="7.22"/>
    <n v="20.03"/>
    <s v="Air"/>
    <s v="High"/>
    <x v="3"/>
  </r>
  <r>
    <s v="ORD_2025_0299"/>
    <x v="0"/>
    <s v="Jones, Laura"/>
    <s v="Japan"/>
    <s v="Ceramic Vase"/>
    <x v="3"/>
    <n v="24"/>
    <n v="19.53"/>
    <n v="468.72"/>
    <n v="14.12"/>
    <n v="82.6"/>
    <s v="Land"/>
    <s v="Low"/>
    <x v="3"/>
  </r>
  <r>
    <s v="ORD_2025_0300"/>
    <x v="0"/>
    <s v="Brown, Laura"/>
    <s v="Canada"/>
    <s v="LED Lamp"/>
    <x v="1"/>
    <n v="28"/>
    <n v="22.33"/>
    <n v="625.24"/>
    <n v="44.24"/>
    <n v="224"/>
    <s v="Land"/>
    <s v="Low"/>
    <x v="0"/>
  </r>
  <r>
    <s v="ORD_2025_0301"/>
    <x v="15"/>
    <s v="Johnson, Sarah"/>
    <s v="Italy"/>
    <s v="Bluetooth Speaker"/>
    <x v="1"/>
    <n v="49"/>
    <n v="39.31"/>
    <n v="1926.19"/>
    <n v="69.7"/>
    <n v="288.49"/>
    <s v="Sea"/>
    <s v="Low"/>
    <x v="1"/>
  </r>
  <r>
    <s v="ORD_2025_0302"/>
    <x v="12"/>
    <s v="Davis, Michael"/>
    <s v="India"/>
    <s v="Ceramic Vase"/>
    <x v="3"/>
    <n v="6"/>
    <n v="22.95"/>
    <n v="137.69999999999999"/>
    <n v="5.63"/>
    <n v="39.07"/>
    <s v="Sea"/>
    <s v="Medium"/>
    <x v="3"/>
  </r>
  <r>
    <s v="ORD_2025_0303"/>
    <x v="4"/>
    <s v="Williams, Michael"/>
    <s v="Mexico"/>
    <s v="Wireless Mouse"/>
    <x v="1"/>
    <n v="35"/>
    <n v="27.72"/>
    <n v="970.2"/>
    <n v="61.74"/>
    <n v="208.46"/>
    <s v="Land"/>
    <s v="High"/>
    <x v="0"/>
  </r>
  <r>
    <s v="ORD_2025_0304"/>
    <x v="3"/>
    <s v="Johnson, Daniel"/>
    <s v="China"/>
    <s v="Denim Jacket"/>
    <x v="2"/>
    <n v="34"/>
    <n v="64.75"/>
    <n v="2201.5"/>
    <n v="68.05"/>
    <n v="773.45"/>
    <s v="Air"/>
    <s v="High"/>
    <x v="3"/>
  </r>
  <r>
    <s v="ORD_2025_0305"/>
    <x v="8"/>
    <s v="Smith, Michael"/>
    <s v="Australia"/>
    <s v="Wireless Mouse"/>
    <x v="1"/>
    <n v="49"/>
    <n v="26.02"/>
    <n v="1274.98"/>
    <n v="61.84"/>
    <n v="233.14"/>
    <s v="Air"/>
    <s v="Medium"/>
    <x v="5"/>
  </r>
  <r>
    <s v="ORD_2025_0306"/>
    <x v="9"/>
    <s v="Martinez, John"/>
    <s v="Brazil"/>
    <s v="Cotton Bedsheet"/>
    <x v="4"/>
    <n v="1"/>
    <n v="32.979999999999997"/>
    <n v="32.979999999999997"/>
    <n v="1.89"/>
    <n v="6.09"/>
    <s v="Air"/>
    <s v="Medium"/>
    <x v="2"/>
  </r>
  <r>
    <s v="ORD_2025_0307"/>
    <x v="15"/>
    <s v="Hernandez, Sarah"/>
    <s v="Brazil"/>
    <s v="LED Lamp"/>
    <x v="1"/>
    <n v="18"/>
    <n v="20.09"/>
    <n v="361.62"/>
    <n v="8.3800000000000008"/>
    <n v="123.74"/>
    <s v="Land"/>
    <s v="Low"/>
    <x v="2"/>
  </r>
  <r>
    <s v="ORD_2025_0308"/>
    <x v="4"/>
    <s v="Brown, Daniel"/>
    <s v="India"/>
    <s v="Travel Backpack"/>
    <x v="0"/>
    <n v="39"/>
    <n v="49.59"/>
    <n v="1934.01"/>
    <n v="62.79"/>
    <n v="506.22"/>
    <s v="Sea"/>
    <s v="Medium"/>
    <x v="3"/>
  </r>
  <r>
    <s v="ORD_2025_0309"/>
    <x v="8"/>
    <s v="Brown, John"/>
    <s v="Canada"/>
    <s v="Bluetooth Speaker"/>
    <x v="1"/>
    <n v="6"/>
    <n v="41.99"/>
    <n v="251.94"/>
    <n v="10.76"/>
    <n v="49.18"/>
    <s v="Land"/>
    <s v="Low"/>
    <x v="0"/>
  </r>
  <r>
    <s v="ORD_2025_0310"/>
    <x v="14"/>
    <s v="Davis, James"/>
    <s v="Singapore"/>
    <s v="Travel Backpack"/>
    <x v="0"/>
    <n v="12"/>
    <n v="47.4"/>
    <n v="568.79999999999995"/>
    <n v="23.31"/>
    <n v="125.49"/>
    <s v="Air"/>
    <s v="Low"/>
    <x v="3"/>
  </r>
  <r>
    <s v="ORD_2025_0311"/>
    <x v="12"/>
    <s v="Garcia, David"/>
    <s v="Uae"/>
    <s v="Wireless Mouse"/>
    <x v="1"/>
    <n v="50"/>
    <n v="34.28"/>
    <n v="1714"/>
    <n v="59.84"/>
    <n v="654.16"/>
    <s v="Land"/>
    <s v="Low"/>
    <x v="3"/>
  </r>
  <r>
    <s v="ORD_2025_0312"/>
    <x v="13"/>
    <s v="Martinez, Sophia"/>
    <s v="South Africa"/>
    <s v="Leather Wallet"/>
    <x v="0"/>
    <n v="50"/>
    <n v="29.39"/>
    <n v="1469.5"/>
    <n v="101.51"/>
    <n v="467.99"/>
    <s v="Air"/>
    <s v="High"/>
    <x v="4"/>
  </r>
  <r>
    <s v="ORD_2025_0313"/>
    <x v="7"/>
    <s v="Hernandez, John"/>
    <s v="Brazil"/>
    <s v="Leather Wallet"/>
    <x v="0"/>
    <n v="46"/>
    <n v="30.34"/>
    <n v="1395.64"/>
    <n v="104.2"/>
    <n v="463.44"/>
    <s v="Land"/>
    <s v="Medium"/>
    <x v="2"/>
  </r>
  <r>
    <s v="ORD_2025_0314"/>
    <x v="11"/>
    <s v="Jones, James"/>
    <s v="Singapore"/>
    <s v="LED Lamp"/>
    <x v="1"/>
    <n v="50"/>
    <n v="18.809999999999999"/>
    <n v="940.5"/>
    <n v="40.25"/>
    <n v="262.75"/>
    <s v="Sea"/>
    <s v="Medium"/>
    <x v="3"/>
  </r>
  <r>
    <s v="ORD_2025_0315"/>
    <x v="12"/>
    <s v="Martinez, Sophia"/>
    <s v="Australia"/>
    <s v="Glass Bowl Set"/>
    <x v="3"/>
    <n v="2"/>
    <n v="29.64"/>
    <n v="59.28"/>
    <n v="4.59"/>
    <n v="9.69"/>
    <s v="Sea"/>
    <s v="High"/>
    <x v="5"/>
  </r>
  <r>
    <s v="ORD_2025_0316"/>
    <x v="16"/>
    <s v="Brown, Sophia"/>
    <s v="Singapore"/>
    <s v="Glass Bowl Set"/>
    <x v="3"/>
    <n v="48"/>
    <n v="27.9"/>
    <n v="1339.2"/>
    <n v="66.31"/>
    <n v="192.89"/>
    <s v="Sea"/>
    <s v="High"/>
    <x v="3"/>
  </r>
  <r>
    <s v="ORD_2025_0317"/>
    <x v="9"/>
    <s v="Martinez, David"/>
    <s v="France"/>
    <s v="Cotton Bedsheet"/>
    <x v="4"/>
    <n v="28"/>
    <n v="38.520000000000003"/>
    <n v="1078.56"/>
    <n v="64.510000000000005"/>
    <n v="314.05"/>
    <s v="Land"/>
    <s v="Medium"/>
    <x v="1"/>
  </r>
  <r>
    <s v="ORD_2025_0318"/>
    <x v="11"/>
    <s v="Garcia, Laura"/>
    <s v="Uk"/>
    <s v="Glass Bowl Set"/>
    <x v="3"/>
    <n v="11"/>
    <n v="31.08"/>
    <n v="341.88"/>
    <n v="17.18"/>
    <n v="77.2"/>
    <s v="Air"/>
    <s v="High"/>
    <x v="1"/>
  </r>
  <r>
    <s v="ORD_2025_0319"/>
    <x v="3"/>
    <s v="Martinez, John"/>
    <s v="Mexico"/>
    <s v="Wireless Mouse"/>
    <x v="1"/>
    <n v="42"/>
    <n v="25.95"/>
    <n v="1089.9000000000001"/>
    <n v="27.5"/>
    <n v="222.4"/>
    <s v="Air"/>
    <s v="High"/>
    <x v="0"/>
  </r>
  <r>
    <s v="ORD_2025_0320"/>
    <x v="7"/>
    <s v="Smith, John"/>
    <s v="Singapore"/>
    <s v="Cotton Bedsheet"/>
    <x v="4"/>
    <n v="30"/>
    <n v="30.16"/>
    <n v="904.8"/>
    <n v="70.13"/>
    <n v="84.67"/>
    <s v="Sea"/>
    <s v="Low"/>
    <x v="3"/>
  </r>
  <r>
    <s v="ORD_2025_0321"/>
    <x v="12"/>
    <s v="Jones, John"/>
    <s v="Brazil"/>
    <s v="Wireless Mouse"/>
    <x v="1"/>
    <n v="40"/>
    <n v="30.03"/>
    <n v="1201.2"/>
    <n v="71.97"/>
    <n v="329.23"/>
    <s v="Sea"/>
    <s v="Low"/>
    <x v="2"/>
  </r>
  <r>
    <s v="ORD_2025_0322"/>
    <x v="3"/>
    <s v="Jones, Laura"/>
    <s v="South Africa"/>
    <s v="Wireless Mouse"/>
    <x v="1"/>
    <n v="15"/>
    <n v="27.12"/>
    <n v="406.8"/>
    <n v="24.28"/>
    <n v="82.52"/>
    <s v="Sea"/>
    <s v="Medium"/>
    <x v="4"/>
  </r>
  <r>
    <s v="ORD_2025_0323"/>
    <x v="3"/>
    <s v="Williams, Emily"/>
    <s v="France"/>
    <s v="LED Lamp"/>
    <x v="1"/>
    <n v="35"/>
    <n v="18.350000000000001"/>
    <n v="642.25"/>
    <n v="29.35"/>
    <n v="166.65"/>
    <s v="Land"/>
    <s v="Medium"/>
    <x v="1"/>
  </r>
  <r>
    <s v="ORD_2025_0324"/>
    <x v="4"/>
    <s v="Garcia, James"/>
    <s v="South Africa"/>
    <s v="Travel Backpack"/>
    <x v="0"/>
    <n v="21"/>
    <n v="52.59"/>
    <n v="1104.3900000000001"/>
    <n v="57.06"/>
    <n v="312.33"/>
    <s v="Sea"/>
    <s v="Medium"/>
    <x v="4"/>
  </r>
  <r>
    <s v="ORD_2025_0325"/>
    <x v="6"/>
    <s v="Brown, Sophia"/>
    <s v="China"/>
    <s v="Table Lamp"/>
    <x v="3"/>
    <n v="10"/>
    <n v="44.2"/>
    <n v="442"/>
    <n v="18.45"/>
    <n v="143.55000000000001"/>
    <s v="Land"/>
    <s v="Low"/>
    <x v="3"/>
  </r>
  <r>
    <s v="ORD_2025_0326"/>
    <x v="9"/>
    <s v="Williams, James"/>
    <s v="China"/>
    <s v="Travel Backpack"/>
    <x v="0"/>
    <n v="11"/>
    <n v="60.9"/>
    <n v="669.9"/>
    <n v="26.28"/>
    <n v="258.62"/>
    <s v="Sea"/>
    <s v="Medium"/>
    <x v="3"/>
  </r>
  <r>
    <s v="ORD_2025_0327"/>
    <x v="6"/>
    <s v="Miller, John"/>
    <s v="Uae"/>
    <s v="LED Lamp"/>
    <x v="1"/>
    <n v="26"/>
    <n v="22.32"/>
    <n v="580.32000000000005"/>
    <n v="45.08"/>
    <n v="203.74"/>
    <s v="Sea"/>
    <s v="Medium"/>
    <x v="3"/>
  </r>
  <r>
    <s v="ORD_2025_0328"/>
    <x v="0"/>
    <s v="Brown, Emily"/>
    <s v="China"/>
    <s v="Table Lamp"/>
    <x v="3"/>
    <n v="46"/>
    <n v="41.89"/>
    <n v="1926.94"/>
    <n v="97.39"/>
    <n v="541.54999999999995"/>
    <s v="Land"/>
    <s v="High"/>
    <x v="3"/>
  </r>
  <r>
    <s v="ORD_2025_0329"/>
    <x v="3"/>
    <s v="Garcia, Michael"/>
    <s v="Uk"/>
    <s v="LED Lamp"/>
    <x v="1"/>
    <n v="43"/>
    <n v="21.24"/>
    <n v="913.32"/>
    <n v="50.32"/>
    <n v="314.75"/>
    <s v="Sea"/>
    <s v="Low"/>
    <x v="1"/>
  </r>
  <r>
    <s v="ORD_2025_0330"/>
    <x v="11"/>
    <s v="Hernandez, Emily"/>
    <s v="Germany"/>
    <s v="Glass Bowl Set"/>
    <x v="3"/>
    <n v="28"/>
    <n v="33.700000000000003"/>
    <n v="943.6"/>
    <n v="20.170000000000002"/>
    <n v="293.43"/>
    <s v="Land"/>
    <s v="Medium"/>
    <x v="1"/>
  </r>
  <r>
    <s v="ORD_2025_0331"/>
    <x v="7"/>
    <s v="Garcia, Emma"/>
    <s v="India"/>
    <s v="Travel Backpack"/>
    <x v="0"/>
    <n v="41"/>
    <n v="42.74"/>
    <n v="1752.34"/>
    <n v="92.09"/>
    <n v="225.25"/>
    <s v="Air"/>
    <s v="Low"/>
    <x v="3"/>
  </r>
  <r>
    <s v="ORD_2025_0332"/>
    <x v="6"/>
    <s v="Garcia, James"/>
    <s v="Uk"/>
    <s v="Wireless Mouse"/>
    <x v="1"/>
    <n v="24"/>
    <n v="30.18"/>
    <n v="724.32"/>
    <n v="44.97"/>
    <n v="199.35"/>
    <s v="Land"/>
    <s v="Low"/>
    <x v="1"/>
  </r>
  <r>
    <s v="ORD_2025_0333"/>
    <x v="1"/>
    <s v="Smith, Sophia"/>
    <s v="Japan"/>
    <s v="Ceramic Vase"/>
    <x v="3"/>
    <n v="44"/>
    <n v="20.02"/>
    <n v="880.88"/>
    <n v="60.27"/>
    <n v="138.61000000000001"/>
    <s v="Sea"/>
    <s v="Medium"/>
    <x v="3"/>
  </r>
  <r>
    <s v="ORD_2025_0334"/>
    <x v="7"/>
    <s v="Garcia, Sophia"/>
    <s v="Uk"/>
    <s v="Wireless Mouse"/>
    <x v="1"/>
    <n v="12"/>
    <n v="27.45"/>
    <n v="329.4"/>
    <n v="13.22"/>
    <n v="76.180000000000007"/>
    <s v="Air"/>
    <s v="High"/>
    <x v="1"/>
  </r>
  <r>
    <s v="ORD_2025_0335"/>
    <x v="15"/>
    <s v="Davis, David"/>
    <s v="South Africa"/>
    <s v="Wireless Mouse"/>
    <x v="1"/>
    <n v="26"/>
    <n v="30.57"/>
    <n v="794.82"/>
    <n v="19.45"/>
    <n v="255.37"/>
    <s v="Air"/>
    <s v="Medium"/>
    <x v="4"/>
  </r>
  <r>
    <s v="ORD_2025_0336"/>
    <x v="6"/>
    <s v="Williams, Laura"/>
    <s v="Japan"/>
    <s v="Cotton Bedsheet"/>
    <x v="4"/>
    <n v="46"/>
    <n v="32.19"/>
    <n v="1480.74"/>
    <n v="111.13"/>
    <n v="219.61"/>
    <s v="Air"/>
    <s v="Medium"/>
    <x v="3"/>
  </r>
  <r>
    <s v="ORD_2025_0337"/>
    <x v="13"/>
    <s v="Miller, Michael"/>
    <s v="Singapore"/>
    <s v="Leather Wallet"/>
    <x v="0"/>
    <n v="20"/>
    <n v="31.79"/>
    <n v="635.79999999999995"/>
    <n v="38.43"/>
    <n v="237.37"/>
    <s v="Land"/>
    <s v="Medium"/>
    <x v="3"/>
  </r>
  <r>
    <s v="ORD_2025_0338"/>
    <x v="13"/>
    <s v="Smith, Emily"/>
    <s v="Australia"/>
    <s v="Leather Wallet"/>
    <x v="0"/>
    <n v="8"/>
    <n v="28.94"/>
    <n v="231.52"/>
    <n v="7"/>
    <n v="80.52"/>
    <s v="Air"/>
    <s v="Medium"/>
    <x v="5"/>
  </r>
  <r>
    <s v="ORD_2025_0339"/>
    <x v="3"/>
    <s v="Garcia, Emma"/>
    <s v="France"/>
    <s v="Leather Wallet"/>
    <x v="0"/>
    <n v="40"/>
    <n v="30.66"/>
    <n v="1226.4000000000001"/>
    <n v="85.24"/>
    <n v="421.16"/>
    <s v="Land"/>
    <s v="Low"/>
    <x v="1"/>
  </r>
  <r>
    <s v="ORD_2025_0340"/>
    <x v="13"/>
    <s v="Jones, Sarah"/>
    <s v="Australia"/>
    <s v="Bluetooth Speaker"/>
    <x v="1"/>
    <n v="44"/>
    <n v="54.09"/>
    <n v="2379.96"/>
    <n v="106.39"/>
    <n v="865.57"/>
    <s v="Land"/>
    <s v="Medium"/>
    <x v="5"/>
  </r>
  <r>
    <s v="ORD_2025_0341"/>
    <x v="1"/>
    <s v="Smith, Sophia"/>
    <s v="Singapore"/>
    <s v="Denim Jacket"/>
    <x v="2"/>
    <n v="32"/>
    <n v="68.89"/>
    <n v="2204.48"/>
    <n v="152.05000000000001"/>
    <n v="772.43"/>
    <s v="Land"/>
    <s v="Medium"/>
    <x v="3"/>
  </r>
  <r>
    <s v="ORD_2025_0342"/>
    <x v="14"/>
    <s v="Jones, James"/>
    <s v="India"/>
    <s v="Travel Backpack"/>
    <x v="0"/>
    <n v="44"/>
    <n v="43.35"/>
    <n v="1907.4"/>
    <n v="99.05"/>
    <n v="268.35000000000002"/>
    <s v="Air"/>
    <s v="Medium"/>
    <x v="3"/>
  </r>
  <r>
    <s v="ORD_2025_0343"/>
    <x v="12"/>
    <s v="Brown, Laura"/>
    <s v="Mexico"/>
    <s v="Table Lamp"/>
    <x v="3"/>
    <n v="24"/>
    <n v="34"/>
    <n v="816"/>
    <n v="42.15"/>
    <n v="101.85"/>
    <s v="Air"/>
    <s v="Low"/>
    <x v="0"/>
  </r>
  <r>
    <s v="ORD_2025_0344"/>
    <x v="10"/>
    <s v="Garcia, Sarah"/>
    <s v="China"/>
    <s v="Leather Wallet"/>
    <x v="0"/>
    <n v="41"/>
    <n v="30.25"/>
    <n v="1240.25"/>
    <n v="92.86"/>
    <n v="409.39"/>
    <s v="Land"/>
    <s v="Low"/>
    <x v="3"/>
  </r>
  <r>
    <s v="ORD_2025_0345"/>
    <x v="13"/>
    <s v="Smith, Emily"/>
    <s v="South Africa"/>
    <s v="Ceramic Vase"/>
    <x v="3"/>
    <n v="15"/>
    <n v="23.71"/>
    <n v="355.65"/>
    <n v="7.22"/>
    <n v="115.93"/>
    <s v="Sea"/>
    <s v="Medium"/>
    <x v="4"/>
  </r>
  <r>
    <s v="ORD_2025_0346"/>
    <x v="7"/>
    <s v="Garcia, Emily"/>
    <s v="Singapore"/>
    <s v="Bluetooth Speaker"/>
    <x v="1"/>
    <n v="33"/>
    <n v="48.64"/>
    <n v="1605.12"/>
    <n v="98.71"/>
    <n v="450.41"/>
    <s v="Land"/>
    <s v="Medium"/>
    <x v="3"/>
  </r>
  <r>
    <s v="ORD_2025_0347"/>
    <x v="2"/>
    <s v="Miller, Daniel"/>
    <s v="Germany"/>
    <s v="Travel Backpack"/>
    <x v="0"/>
    <n v="7"/>
    <n v="50.94"/>
    <n v="356.58"/>
    <n v="11.19"/>
    <n v="100.39"/>
    <s v="Sea"/>
    <s v="Low"/>
    <x v="1"/>
  </r>
  <r>
    <s v="ORD_2025_0348"/>
    <x v="0"/>
    <s v="Martinez, Sophia"/>
    <s v="Australia"/>
    <s v="Wireless Mouse"/>
    <x v="1"/>
    <n v="1"/>
    <n v="31.4"/>
    <n v="31.4"/>
    <n v="1.1399999999999999"/>
    <n v="10.26"/>
    <s v="Air"/>
    <s v="Medium"/>
    <x v="5"/>
  </r>
  <r>
    <s v="ORD_2025_0349"/>
    <x v="12"/>
    <s v="Davis, Emily"/>
    <s v="Italy"/>
    <s v="LED Lamp"/>
    <x v="1"/>
    <n v="28"/>
    <n v="18.59"/>
    <n v="520.52"/>
    <n v="14.08"/>
    <n v="149.44"/>
    <s v="Land"/>
    <s v="Low"/>
    <x v="1"/>
  </r>
  <r>
    <s v="ORD_2025_0350"/>
    <x v="13"/>
    <s v="Williams, John"/>
    <s v="France"/>
    <s v="Ceramic Vase"/>
    <x v="3"/>
    <n v="50"/>
    <n v="20.66"/>
    <n v="1033"/>
    <n v="34.130000000000003"/>
    <n v="223.87"/>
    <s v="Air"/>
    <s v="Medium"/>
    <x v="1"/>
  </r>
  <r>
    <s v="ORD_2025_0351"/>
    <x v="0"/>
    <s v="Hernandez, James"/>
    <s v="China"/>
    <s v="Travel Backpack"/>
    <x v="0"/>
    <n v="4"/>
    <n v="46.62"/>
    <n v="186.48"/>
    <n v="13.29"/>
    <n v="33.19"/>
    <s v="Sea"/>
    <s v="Low"/>
    <x v="3"/>
  </r>
  <r>
    <s v="ORD_2025_0352"/>
    <x v="0"/>
    <s v="Jones, James"/>
    <s v="South Africa"/>
    <s v="Ceramic Vase"/>
    <x v="3"/>
    <n v="37"/>
    <n v="21.81"/>
    <n v="806.97"/>
    <n v="19.63"/>
    <n v="213.84"/>
    <s v="Air"/>
    <s v="High"/>
    <x v="4"/>
  </r>
  <r>
    <s v="ORD_2025_0353"/>
    <x v="2"/>
    <s v="Smith, Daniel"/>
    <s v="China"/>
    <s v="Ceramic Vase"/>
    <x v="3"/>
    <n v="48"/>
    <n v="26.68"/>
    <n v="1280.6400000000001"/>
    <n v="55.36"/>
    <n v="481.28"/>
    <s v="Land"/>
    <s v="Medium"/>
    <x v="3"/>
  </r>
  <r>
    <s v="ORD_2025_0354"/>
    <x v="5"/>
    <s v="Smith, Michael"/>
    <s v="Brazil"/>
    <s v="Cotton Bedsheet"/>
    <x v="4"/>
    <n v="24"/>
    <n v="42.82"/>
    <n v="1027.68"/>
    <n v="69.95"/>
    <n v="357.73"/>
    <s v="Land"/>
    <s v="Low"/>
    <x v="2"/>
  </r>
  <r>
    <s v="ORD_2025_0355"/>
    <x v="0"/>
    <s v="Martinez, Sarah"/>
    <s v="Australia"/>
    <s v="Glass Bowl Set"/>
    <x v="3"/>
    <n v="26"/>
    <n v="34.4"/>
    <n v="894.4"/>
    <n v="40.42"/>
    <n v="268.98"/>
    <s v="Land"/>
    <s v="Low"/>
    <x v="5"/>
  </r>
  <r>
    <s v="ORD_2025_0356"/>
    <x v="4"/>
    <s v="Johnson, James"/>
    <s v="Italy"/>
    <s v="Travel Backpack"/>
    <x v="0"/>
    <n v="47"/>
    <n v="44.89"/>
    <n v="2109.83"/>
    <n v="45.91"/>
    <n v="418.92"/>
    <s v="Land"/>
    <s v="Medium"/>
    <x v="1"/>
  </r>
  <r>
    <s v="ORD_2025_0357"/>
    <x v="9"/>
    <s v="Miller, Sophia"/>
    <s v="China"/>
    <s v="Ceramic Vase"/>
    <x v="3"/>
    <n v="1"/>
    <n v="18.739999999999998"/>
    <n v="18.739999999999998"/>
    <n v="0.5"/>
    <n v="2.74"/>
    <s v="Air"/>
    <s v="Medium"/>
    <x v="3"/>
  </r>
  <r>
    <s v="ORD_2025_0358"/>
    <x v="9"/>
    <s v="Jones, Michael"/>
    <s v="Singapore"/>
    <s v="Glass Bowl Set"/>
    <x v="3"/>
    <n v="27"/>
    <n v="36.270000000000003"/>
    <n v="979.29"/>
    <n v="54.58"/>
    <n v="317.20999999999998"/>
    <s v="Sea"/>
    <s v="Medium"/>
    <x v="3"/>
  </r>
  <r>
    <s v="ORD_2025_0359"/>
    <x v="3"/>
    <s v="Hernandez, Sophia"/>
    <s v="Germany"/>
    <s v="LED Lamp"/>
    <x v="1"/>
    <n v="13"/>
    <n v="18.82"/>
    <n v="244.66"/>
    <n v="6.49"/>
    <n v="72.42"/>
    <s v="Air"/>
    <s v="Medium"/>
    <x v="1"/>
  </r>
  <r>
    <s v="ORD_2025_0360"/>
    <x v="1"/>
    <s v="Jones, Sarah"/>
    <s v="Australia"/>
    <s v="Table Lamp"/>
    <x v="3"/>
    <n v="41"/>
    <n v="43.19"/>
    <n v="1770.79"/>
    <n v="83.28"/>
    <n v="539.51"/>
    <s v="Sea"/>
    <s v="Low"/>
    <x v="5"/>
  </r>
  <r>
    <s v="ORD_2025_0361"/>
    <x v="11"/>
    <s v="Martinez, James"/>
    <s v="China"/>
    <s v="Table Lamp"/>
    <x v="3"/>
    <n v="40"/>
    <n v="42.31"/>
    <n v="1692.4"/>
    <n v="118.59"/>
    <n v="453.81"/>
    <s v="Sea"/>
    <s v="High"/>
    <x v="3"/>
  </r>
  <r>
    <s v="ORD_2025_0362"/>
    <x v="5"/>
    <s v="Davis, Sophia"/>
    <s v="India"/>
    <s v="Bluetooth Speaker"/>
    <x v="1"/>
    <n v="1"/>
    <n v="57.15"/>
    <n v="57.15"/>
    <n v="4.1100000000000003"/>
    <n v="-21"/>
    <s v="Sea"/>
    <s v="Low"/>
    <x v="3"/>
  </r>
  <r>
    <s v="ORD_2025_0363"/>
    <x v="14"/>
    <s v="Martinez, Daniel"/>
    <s v="Canada"/>
    <s v="Wireless Mouse"/>
    <x v="1"/>
    <n v="15"/>
    <n v="30.03"/>
    <n v="450.45"/>
    <n v="29.99"/>
    <n v="120.46"/>
    <s v="Air"/>
    <s v="Medium"/>
    <x v="0"/>
  </r>
  <r>
    <s v="ORD_2025_0364"/>
    <x v="14"/>
    <s v="Williams, Emily"/>
    <s v="Brazil"/>
    <s v="Wireless Mouse"/>
    <x v="1"/>
    <n v="48"/>
    <n v="30.91"/>
    <n v="1483.68"/>
    <n v="85.5"/>
    <n v="438.18"/>
    <s v="Land"/>
    <s v="Medium"/>
    <x v="2"/>
  </r>
  <r>
    <s v="ORD_2025_0365"/>
    <x v="16"/>
    <s v="Miller, Emma"/>
    <s v="Mexico"/>
    <s v="Glass Bowl Set"/>
    <x v="3"/>
    <n v="8"/>
    <n v="32.19"/>
    <n v="257.52"/>
    <n v="11.85"/>
    <n v="65.67"/>
    <s v="Land"/>
    <s v="Low"/>
    <x v="0"/>
  </r>
  <r>
    <s v="ORD_2025_0366"/>
    <x v="7"/>
    <s v="Jones, Sophia"/>
    <s v="Uae"/>
    <s v="Denim Jacket"/>
    <x v="2"/>
    <n v="22"/>
    <n v="60.75"/>
    <n v="1336.5"/>
    <n v="38.340000000000003"/>
    <n v="418.16"/>
    <s v="Land"/>
    <s v="Medium"/>
    <x v="3"/>
  </r>
  <r>
    <s v="ORD_2025_0367"/>
    <x v="13"/>
    <s v="Smith, Michael"/>
    <s v="Italy"/>
    <s v="Denim Jacket"/>
    <x v="2"/>
    <n v="38"/>
    <n v="66.06"/>
    <n v="2510.2800000000002"/>
    <n v="50.37"/>
    <n v="939.91"/>
    <s v="Land"/>
    <s v="Low"/>
    <x v="1"/>
  </r>
  <r>
    <s v="ORD_2025_0368"/>
    <x v="6"/>
    <s v="Martinez, Michael"/>
    <s v="Usa"/>
    <s v="Travel Backpack"/>
    <x v="0"/>
    <n v="33"/>
    <n v="50.88"/>
    <n v="1679.04"/>
    <n v="61.48"/>
    <n v="462.56"/>
    <s v="Land"/>
    <s v="Medium"/>
    <x v="0"/>
  </r>
  <r>
    <s v="ORD_2025_0369"/>
    <x v="12"/>
    <s v="Brown, Emily"/>
    <s v="China"/>
    <s v="Table Lamp"/>
    <x v="3"/>
    <n v="49"/>
    <n v="34.479999999999997"/>
    <n v="1689.52"/>
    <n v="53.06"/>
    <n v="264.45999999999998"/>
    <s v="Air"/>
    <s v="High"/>
    <x v="3"/>
  </r>
  <r>
    <s v="ORD_2025_0370"/>
    <x v="16"/>
    <s v="Martinez, Daniel"/>
    <s v="Japan"/>
    <s v="Wireless Mouse"/>
    <x v="1"/>
    <n v="31"/>
    <n v="25.43"/>
    <n v="788.33"/>
    <n v="57.81"/>
    <n v="110.52"/>
    <s v="Land"/>
    <s v="Medium"/>
    <x v="3"/>
  </r>
  <r>
    <s v="ORD_2025_0371"/>
    <x v="10"/>
    <s v="Miller, Emily"/>
    <s v="Germany"/>
    <s v="Wireless Mouse"/>
    <x v="1"/>
    <n v="29"/>
    <n v="31.68"/>
    <n v="918.72"/>
    <n v="22.22"/>
    <n v="316.5"/>
    <s v="Air"/>
    <s v="Low"/>
    <x v="1"/>
  </r>
  <r>
    <s v="ORD_2025_0372"/>
    <x v="13"/>
    <s v="Brown, David"/>
    <s v="Singapore"/>
    <s v="Table Lamp"/>
    <x v="3"/>
    <n v="42"/>
    <n v="33.89"/>
    <n v="1423.38"/>
    <n v="85.4"/>
    <n v="161.97999999999999"/>
    <s v="Air"/>
    <s v="Low"/>
    <x v="3"/>
  </r>
  <r>
    <s v="ORD_2025_0373"/>
    <x v="6"/>
    <s v="Hernandez, Emma"/>
    <s v="Singapore"/>
    <s v="Leather Wallet"/>
    <x v="0"/>
    <n v="13"/>
    <n v="21.75"/>
    <n v="282.75"/>
    <n v="12.5"/>
    <n v="36.25"/>
    <s v="Air"/>
    <s v="Medium"/>
    <x v="3"/>
  </r>
  <r>
    <s v="ORD_2025_0374"/>
    <x v="11"/>
    <s v="Jones, Laura"/>
    <s v="Japan"/>
    <s v="Glass Bowl Set"/>
    <x v="3"/>
    <n v="25"/>
    <n v="37.58"/>
    <n v="939.5"/>
    <n v="48.44"/>
    <n v="328.56"/>
    <s v="Air"/>
    <s v="High"/>
    <x v="3"/>
  </r>
  <r>
    <s v="ORD_2025_0375"/>
    <x v="1"/>
    <s v="Jones, Emily"/>
    <s v="Germany"/>
    <s v="Wireless Mouse"/>
    <x v="1"/>
    <n v="16"/>
    <n v="25.25"/>
    <n v="404"/>
    <n v="18.75"/>
    <n v="65.25"/>
    <s v="Sea"/>
    <s v="High"/>
    <x v="1"/>
  </r>
  <r>
    <s v="ORD_2025_0376"/>
    <x v="6"/>
    <s v="Hernandez, David"/>
    <s v="Japan"/>
    <s v="Ceramic Vase"/>
    <x v="3"/>
    <n v="37"/>
    <n v="25.85"/>
    <n v="956.45"/>
    <n v="31.7"/>
    <n v="351.25"/>
    <s v="Air"/>
    <s v="High"/>
    <x v="3"/>
  </r>
  <r>
    <s v="ORD_2025_0377"/>
    <x v="0"/>
    <s v="Miller, John"/>
    <s v="Singapore"/>
    <s v="Wireless Mouse"/>
    <x v="1"/>
    <n v="1"/>
    <n v="25.72"/>
    <n v="25.72"/>
    <n v="2.04"/>
    <n v="3.68"/>
    <s v="Air"/>
    <s v="High"/>
    <x v="3"/>
  </r>
  <r>
    <s v="ORD_2025_0378"/>
    <x v="15"/>
    <s v="Jones, Sarah"/>
    <s v="Singapore"/>
    <s v="Table Lamp"/>
    <x v="3"/>
    <n v="48"/>
    <n v="47.05"/>
    <n v="2258.4"/>
    <n v="179.44"/>
    <n v="734.96"/>
    <s v="Sea"/>
    <s v="Medium"/>
    <x v="3"/>
  </r>
  <r>
    <s v="ORD_2025_0379"/>
    <x v="11"/>
    <s v="Garcia, Emily"/>
    <s v="Brazil"/>
    <s v="Wireless Mouse"/>
    <x v="1"/>
    <n v="48"/>
    <n v="29.94"/>
    <n v="1437.12"/>
    <n v="30.14"/>
    <n v="446.98"/>
    <s v="Sea"/>
    <s v="Medium"/>
    <x v="2"/>
  </r>
  <r>
    <s v="ORD_2025_0380"/>
    <x v="7"/>
    <s v="Jones, Emma"/>
    <s v="Italy"/>
    <s v="Glass Bowl Set"/>
    <x v="3"/>
    <n v="12"/>
    <n v="35.68"/>
    <n v="428.16"/>
    <n v="13.07"/>
    <n v="145.09"/>
    <s v="Sea"/>
    <s v="High"/>
    <x v="1"/>
  </r>
  <r>
    <s v="ORD_2025_0381"/>
    <x v="6"/>
    <s v="Hernandez, Michael"/>
    <s v="Usa"/>
    <s v="Bluetooth Speaker"/>
    <x v="1"/>
    <n v="30"/>
    <n v="49.32"/>
    <n v="1479.6"/>
    <n v="105.97"/>
    <n v="413.63"/>
    <s v="Sea"/>
    <s v="Medium"/>
    <x v="0"/>
  </r>
  <r>
    <s v="ORD_2025_0382"/>
    <x v="16"/>
    <s v="Garcia, John"/>
    <s v="France"/>
    <s v="Table Lamp"/>
    <x v="3"/>
    <n v="27"/>
    <n v="37.68"/>
    <n v="1017.36"/>
    <n v="80.739999999999995"/>
    <n v="180.62"/>
    <s v="Air"/>
    <s v="Low"/>
    <x v="1"/>
  </r>
  <r>
    <s v="ORD_2025_0383"/>
    <x v="13"/>
    <s v="Garcia, Michael"/>
    <s v="Italy"/>
    <s v="Cotton Bedsheet"/>
    <x v="4"/>
    <n v="39"/>
    <n v="36.340000000000003"/>
    <n v="1417.26"/>
    <n v="67"/>
    <n v="375.26"/>
    <s v="Air"/>
    <s v="Medium"/>
    <x v="1"/>
  </r>
  <r>
    <s v="ORD_2025_0384"/>
    <x v="14"/>
    <s v="Miller, John"/>
    <s v="China"/>
    <s v="Ceramic Vase"/>
    <x v="3"/>
    <n v="16"/>
    <n v="24.33"/>
    <n v="389.28"/>
    <n v="22.33"/>
    <n v="118.95"/>
    <s v="Land"/>
    <s v="High"/>
    <x v="3"/>
  </r>
  <r>
    <s v="ORD_2025_0385"/>
    <x v="0"/>
    <s v="Garcia, John"/>
    <s v="Uae"/>
    <s v="Ceramic Vase"/>
    <x v="3"/>
    <n v="40"/>
    <n v="22.28"/>
    <n v="891.2"/>
    <n v="32.729999999999997"/>
    <n v="238.47"/>
    <s v="Land"/>
    <s v="Medium"/>
    <x v="3"/>
  </r>
  <r>
    <s v="ORD_2025_0386"/>
    <x v="7"/>
    <s v="Miller, Laura"/>
    <s v="Japan"/>
    <s v="LED Lamp"/>
    <x v="1"/>
    <n v="45"/>
    <n v="21.71"/>
    <n v="976.95"/>
    <n v="51.6"/>
    <n v="351.6"/>
    <s v="Land"/>
    <s v="Low"/>
    <x v="3"/>
  </r>
  <r>
    <s v="ORD_2025_0387"/>
    <x v="7"/>
    <s v="Garcia, Laura"/>
    <s v="Germany"/>
    <s v="Cotton Bedsheet"/>
    <x v="4"/>
    <n v="8"/>
    <n v="31.07"/>
    <n v="248.56"/>
    <n v="10.97"/>
    <n v="37.590000000000003"/>
    <s v="Land"/>
    <s v="Medium"/>
    <x v="1"/>
  </r>
  <r>
    <s v="ORD_2025_0388"/>
    <x v="10"/>
    <s v="Martinez, Emily"/>
    <s v="France"/>
    <s v="LED Lamp"/>
    <x v="1"/>
    <n v="47"/>
    <n v="21.93"/>
    <n v="1030.71"/>
    <n v="70.989999999999995"/>
    <n v="360.47"/>
    <s v="Air"/>
    <s v="Low"/>
    <x v="1"/>
  </r>
  <r>
    <s v="ORD_2025_0389"/>
    <x v="12"/>
    <s v="Brown, Michael"/>
    <s v="France"/>
    <s v="LED Lamp"/>
    <x v="1"/>
    <n v="46"/>
    <n v="21.46"/>
    <n v="987.16"/>
    <n v="21.64"/>
    <n v="379.02"/>
    <s v="Sea"/>
    <s v="Low"/>
    <x v="1"/>
  </r>
  <r>
    <s v="ORD_2025_0390"/>
    <x v="1"/>
    <s v="Williams, David"/>
    <s v="Usa"/>
    <s v="Table Lamp"/>
    <x v="3"/>
    <n v="45"/>
    <n v="47.1"/>
    <n v="2119.5"/>
    <n v="120.16"/>
    <n v="739.34"/>
    <s v="Sea"/>
    <s v="Medium"/>
    <x v="0"/>
  </r>
  <r>
    <s v="ORD_2025_0391"/>
    <x v="13"/>
    <s v="Smith, Emily"/>
    <s v="India"/>
    <s v="Travel Backpack"/>
    <x v="0"/>
    <n v="2"/>
    <n v="58.32"/>
    <n v="116.64"/>
    <n v="8.99"/>
    <n v="37.65"/>
    <s v="Land"/>
    <s v="Medium"/>
    <x v="3"/>
  </r>
  <r>
    <s v="ORD_2025_0392"/>
    <x v="10"/>
    <s v="Garcia, John"/>
    <s v="France"/>
    <s v="Travel Backpack"/>
    <x v="0"/>
    <n v="31"/>
    <n v="61.34"/>
    <n v="1901.54"/>
    <n v="147.43"/>
    <n v="669.11"/>
    <s v="Sea"/>
    <s v="Low"/>
    <x v="1"/>
  </r>
  <r>
    <s v="ORD_2025_0393"/>
    <x v="11"/>
    <s v="Brown, Daniel"/>
    <s v="Canada"/>
    <s v="Cotton Bedsheet"/>
    <x v="4"/>
    <n v="15"/>
    <n v="43.9"/>
    <n v="658.5"/>
    <n v="36.479999999999997"/>
    <n v="247.02"/>
    <s v="Air"/>
    <s v="Medium"/>
    <x v="0"/>
  </r>
  <r>
    <s v="ORD_2025_0394"/>
    <x v="15"/>
    <s v="Brown, Daniel"/>
    <s v="Italy"/>
    <s v="LED Lamp"/>
    <x v="1"/>
    <n v="4"/>
    <n v="20.53"/>
    <n v="82.12"/>
    <n v="4.05"/>
    <n v="27.07"/>
    <s v="Land"/>
    <s v="High"/>
    <x v="1"/>
  </r>
  <r>
    <s v="ORD_2025_0395"/>
    <x v="12"/>
    <s v="Garcia, Sarah"/>
    <s v="Australia"/>
    <s v="Wireless Mouse"/>
    <x v="1"/>
    <n v="6"/>
    <n v="24.7"/>
    <n v="148.19999999999999"/>
    <n v="3.76"/>
    <n v="24.44"/>
    <s v="Air"/>
    <s v="Low"/>
    <x v="5"/>
  </r>
  <r>
    <s v="ORD_2025_0396"/>
    <x v="9"/>
    <s v="Garcia, Daniel"/>
    <s v="Brazil"/>
    <s v="LED Lamp"/>
    <x v="1"/>
    <n v="19"/>
    <n v="19.170000000000002"/>
    <n v="364.23"/>
    <n v="15.16"/>
    <n v="106.82"/>
    <s v="Sea"/>
    <s v="Medium"/>
    <x v="2"/>
  </r>
  <r>
    <s v="ORD_2025_0397"/>
    <x v="14"/>
    <s v="Smith, John"/>
    <s v="China"/>
    <s v="Denim Jacket"/>
    <x v="2"/>
    <n v="2"/>
    <n v="55.28"/>
    <n v="110.56"/>
    <n v="5.37"/>
    <n v="25.19"/>
    <s v="Air"/>
    <s v="Medium"/>
    <x v="3"/>
  </r>
  <r>
    <s v="ORD_2025_0398"/>
    <x v="4"/>
    <s v="Garcia, Emma"/>
    <s v="Brazil"/>
    <s v="Cotton Bedsheet"/>
    <x v="4"/>
    <n v="49"/>
    <n v="43.91"/>
    <n v="2151.59"/>
    <n v="63.55"/>
    <n v="863.04"/>
    <s v="Land"/>
    <s v="Medium"/>
    <x v="2"/>
  </r>
  <r>
    <s v="ORD_2025_0399"/>
    <x v="2"/>
    <s v="Hernandez, Laura"/>
    <s v="Brazil"/>
    <s v="Cotton Bedsheet"/>
    <x v="4"/>
    <n v="29"/>
    <n v="41.84"/>
    <n v="1213.3599999999999"/>
    <n v="56.83"/>
    <n v="431.53"/>
    <s v="Air"/>
    <s v="High"/>
    <x v="2"/>
  </r>
  <r>
    <s v="ORD_2025_0400"/>
    <x v="4"/>
    <s v="Smith, David"/>
    <s v="South Africa"/>
    <s v="Ceramic Vase"/>
    <x v="3"/>
    <n v="43"/>
    <n v="27.41"/>
    <n v="1178.6300000000001"/>
    <n v="55.82"/>
    <n v="456.31"/>
    <s v="Air"/>
    <s v="Medium"/>
    <x v="4"/>
  </r>
  <r>
    <s v="ORD_2025_0401"/>
    <x v="7"/>
    <s v="Jones, John"/>
    <s v="Mexico"/>
    <s v="Wireless Mouse"/>
    <x v="1"/>
    <n v="28"/>
    <n v="31.84"/>
    <n v="891.52"/>
    <n v="54.24"/>
    <n v="277.27999999999997"/>
    <s v="Land"/>
    <s v="Medium"/>
    <x v="0"/>
  </r>
  <r>
    <s v="ORD_2025_0402"/>
    <x v="9"/>
    <s v="Brown, John"/>
    <s v="China"/>
    <s v="Cotton Bedsheet"/>
    <x v="4"/>
    <n v="42"/>
    <n v="35.840000000000003"/>
    <n v="1505.28"/>
    <n v="60.65"/>
    <n v="394.63"/>
    <s v="Air"/>
    <s v="Medium"/>
    <x v="3"/>
  </r>
  <r>
    <s v="ORD_2025_0403"/>
    <x v="6"/>
    <s v="Martinez, Laura"/>
    <s v="Singapore"/>
    <s v="Glass Bowl Set"/>
    <x v="3"/>
    <n v="22"/>
    <n v="30.55"/>
    <n v="672.1"/>
    <n v="46.8"/>
    <n v="130.30000000000001"/>
    <s v="Sea"/>
    <s v="High"/>
    <x v="3"/>
  </r>
  <r>
    <s v="ORD_2025_0404"/>
    <x v="8"/>
    <s v="Johnson, David"/>
    <s v="Japan"/>
    <s v="Table Lamp"/>
    <x v="3"/>
    <n v="13"/>
    <n v="45.16"/>
    <n v="587.08000000000004"/>
    <n v="29.68"/>
    <n v="193.4"/>
    <s v="Sea"/>
    <s v="Medium"/>
    <x v="3"/>
  </r>
  <r>
    <s v="ORD_2025_0405"/>
    <x v="4"/>
    <s v="Martinez, Emma"/>
    <s v="Australia"/>
    <s v="Travel Backpack"/>
    <x v="0"/>
    <n v="40"/>
    <n v="45.23"/>
    <n v="1809.2"/>
    <n v="136.25"/>
    <n v="272.95"/>
    <s v="Air"/>
    <s v="High"/>
    <x v="5"/>
  </r>
  <r>
    <s v="ORD_2025_0406"/>
    <x v="16"/>
    <s v="Smith, James"/>
    <s v="Japan"/>
    <s v="Leather Wallet"/>
    <x v="0"/>
    <n v="41"/>
    <n v="22.78"/>
    <n v="933.98"/>
    <n v="38.369999999999997"/>
    <n v="157.61000000000001"/>
    <s v="Sea"/>
    <s v="Low"/>
    <x v="3"/>
  </r>
  <r>
    <s v="ORD_2025_0407"/>
    <x v="12"/>
    <s v="Brown, Michael"/>
    <s v="France"/>
    <s v="Ceramic Vase"/>
    <x v="3"/>
    <n v="34"/>
    <n v="24.21"/>
    <n v="823.14"/>
    <n v="58.25"/>
    <n v="237.89"/>
    <s v="Land"/>
    <s v="Low"/>
    <x v="1"/>
  </r>
  <r>
    <s v="ORD_2025_0408"/>
    <x v="8"/>
    <s v="Williams, Laura"/>
    <s v="Uk"/>
    <s v="Wireless Mouse"/>
    <x v="1"/>
    <n v="46"/>
    <n v="34.64"/>
    <n v="1593.44"/>
    <n v="45.93"/>
    <n v="627.51"/>
    <s v="Air"/>
    <s v="Low"/>
    <x v="1"/>
  </r>
  <r>
    <s v="ORD_2025_0409"/>
    <x v="16"/>
    <s v="Martinez, Emma"/>
    <s v="Canada"/>
    <s v="Wireless Mouse"/>
    <x v="1"/>
    <n v="10"/>
    <n v="27.06"/>
    <n v="270.60000000000002"/>
    <n v="15.35"/>
    <n v="55.25"/>
    <s v="Land"/>
    <s v="High"/>
    <x v="0"/>
  </r>
  <r>
    <s v="ORD_2025_0410"/>
    <x v="3"/>
    <s v="Brown, Sarah"/>
    <s v="Uk"/>
    <s v="Leather Wallet"/>
    <x v="0"/>
    <n v="11"/>
    <n v="27.74"/>
    <n v="305.14"/>
    <n v="10.81"/>
    <n v="96.33"/>
    <s v="Sea"/>
    <s v="High"/>
    <x v="1"/>
  </r>
  <r>
    <s v="ORD_2025_0411"/>
    <x v="16"/>
    <s v="Martinez, Michael"/>
    <s v="Canada"/>
    <s v="Table Lamp"/>
    <x v="3"/>
    <n v="29"/>
    <n v="38.08"/>
    <n v="1104.32"/>
    <n v="25.63"/>
    <n v="266.69"/>
    <s v="Sea"/>
    <s v="High"/>
    <x v="0"/>
  </r>
  <r>
    <s v="ORD_2025_0412"/>
    <x v="8"/>
    <s v="Smith, Michael"/>
    <s v="Canada"/>
    <s v="Table Lamp"/>
    <x v="3"/>
    <n v="18"/>
    <n v="43.65"/>
    <n v="785.7"/>
    <n v="54.52"/>
    <n v="227.18"/>
    <s v="Sea"/>
    <s v="Low"/>
    <x v="0"/>
  </r>
  <r>
    <s v="ORD_2025_0413"/>
    <x v="10"/>
    <s v="Brown, David"/>
    <s v="France"/>
    <s v="Travel Backpack"/>
    <x v="0"/>
    <n v="49"/>
    <n v="51.97"/>
    <n v="2546.5300000000002"/>
    <n v="112.26"/>
    <n v="719.27"/>
    <s v="Sea"/>
    <s v="Medium"/>
    <x v="1"/>
  </r>
  <r>
    <s v="ORD_2025_0414"/>
    <x v="0"/>
    <s v="Garcia, Emily"/>
    <s v="Singapore"/>
    <s v="Cotton Bedsheet"/>
    <x v="4"/>
    <n v="13"/>
    <n v="36.85"/>
    <n v="479.05"/>
    <n v="10.15"/>
    <n v="143.9"/>
    <s v="Land"/>
    <s v="High"/>
    <x v="3"/>
  </r>
  <r>
    <s v="ORD_2025_0415"/>
    <x v="14"/>
    <s v="Davis, Sarah"/>
    <s v="Canada"/>
    <s v="Bluetooth Speaker"/>
    <x v="1"/>
    <n v="33"/>
    <n v="38.520000000000003"/>
    <n v="1271.1600000000001"/>
    <n v="81.459999999999994"/>
    <n v="133.69999999999999"/>
    <s v="Land"/>
    <s v="Low"/>
    <x v="0"/>
  </r>
  <r>
    <s v="ORD_2025_0416"/>
    <x v="8"/>
    <s v="Hernandez, David"/>
    <s v="China"/>
    <s v="Ceramic Vase"/>
    <x v="3"/>
    <n v="41"/>
    <n v="26.98"/>
    <n v="1106.18"/>
    <n v="51.77"/>
    <n v="418.91"/>
    <s v="Air"/>
    <s v="Medium"/>
    <x v="3"/>
  </r>
  <r>
    <s v="ORD_2025_0417"/>
    <x v="10"/>
    <s v="Martinez, Michael"/>
    <s v="France"/>
    <s v="Ceramic Vase"/>
    <x v="3"/>
    <n v="4"/>
    <n v="23.56"/>
    <n v="94.24"/>
    <n v="7.03"/>
    <n v="25.21"/>
    <s v="Air"/>
    <s v="High"/>
    <x v="1"/>
  </r>
  <r>
    <s v="ORD_2025_0418"/>
    <x v="12"/>
    <s v="Johnson, Emily"/>
    <s v="India"/>
    <s v="Bluetooth Speaker"/>
    <x v="1"/>
    <n v="17"/>
    <n v="57.14"/>
    <n v="971.38"/>
    <n v="70.010000000000005"/>
    <n v="357.37"/>
    <s v="Air"/>
    <s v="Medium"/>
    <x v="3"/>
  </r>
  <r>
    <s v="ORD_2025_0419"/>
    <x v="1"/>
    <s v="Hernandez, John"/>
    <s v="Australia"/>
    <s v="Cotton Bedsheet"/>
    <x v="4"/>
    <n v="44"/>
    <n v="38.14"/>
    <n v="1678.16"/>
    <n v="124.49"/>
    <n v="453.67"/>
    <s v="Air"/>
    <s v="Low"/>
    <x v="5"/>
  </r>
  <r>
    <s v="ORD_2025_0420"/>
    <x v="12"/>
    <s v="Brown, Michael"/>
    <s v="South Africa"/>
    <s v="Leather Wallet"/>
    <x v="0"/>
    <n v="14"/>
    <n v="24"/>
    <n v="336"/>
    <n v="22.88"/>
    <n v="61.12"/>
    <s v="Sea"/>
    <s v="Medium"/>
    <x v="4"/>
  </r>
  <r>
    <s v="ORD_2025_0421"/>
    <x v="10"/>
    <s v="Williams, David"/>
    <s v="China"/>
    <s v="Ceramic Vase"/>
    <x v="3"/>
    <n v="50"/>
    <n v="26.91"/>
    <n v="1345.5"/>
    <n v="91.7"/>
    <n v="478.8"/>
    <s v="Air"/>
    <s v="Low"/>
    <x v="3"/>
  </r>
  <r>
    <s v="ORD_2025_0422"/>
    <x v="5"/>
    <s v="Hernandez, Michael"/>
    <s v="Italy"/>
    <s v="Denim Jacket"/>
    <x v="2"/>
    <n v="7"/>
    <n v="59.41"/>
    <n v="415.87"/>
    <n v="25.51"/>
    <n v="110.36"/>
    <s v="Land"/>
    <s v="High"/>
    <x v="1"/>
  </r>
  <r>
    <s v="ORD_2025_0423"/>
    <x v="16"/>
    <s v="Garcia, David"/>
    <s v="Japan"/>
    <s v="Cotton Bedsheet"/>
    <x v="4"/>
    <n v="48"/>
    <n v="37.31"/>
    <n v="1790.88"/>
    <n v="67.45"/>
    <n v="523.42999999999995"/>
    <s v="Land"/>
    <s v="Medium"/>
    <x v="3"/>
  </r>
  <r>
    <s v="ORD_2025_0424"/>
    <x v="12"/>
    <s v="Miller, Sophia"/>
    <s v="Uae"/>
    <s v="Denim Jacket"/>
    <x v="2"/>
    <n v="38"/>
    <n v="52.91"/>
    <n v="2010.58"/>
    <n v="94.22"/>
    <n v="396.36"/>
    <s v="Land"/>
    <s v="Low"/>
    <x v="3"/>
  </r>
  <r>
    <s v="ORD_2025_0425"/>
    <x v="5"/>
    <s v="Davis, James"/>
    <s v="Uk"/>
    <s v="Leather Wallet"/>
    <x v="0"/>
    <n v="14"/>
    <n v="27.09"/>
    <n v="379.26"/>
    <n v="14.42"/>
    <n v="112.84"/>
    <s v="Air"/>
    <s v="High"/>
    <x v="1"/>
  </r>
  <r>
    <s v="ORD_2025_0426"/>
    <x v="10"/>
    <s v="Hernandez, John"/>
    <s v="Japan"/>
    <s v="Glass Bowl Set"/>
    <x v="3"/>
    <n v="41"/>
    <n v="30.52"/>
    <n v="1251.32"/>
    <n v="56.88"/>
    <n v="271.94"/>
    <s v="Land"/>
    <s v="High"/>
    <x v="3"/>
  </r>
  <r>
    <s v="ORD_2025_0427"/>
    <x v="14"/>
    <s v="Martinez, Emily"/>
    <s v="Canada"/>
    <s v="Table Lamp"/>
    <x v="3"/>
    <n v="23"/>
    <n v="40.94"/>
    <n v="941.62"/>
    <n v="71.66"/>
    <n v="225.96"/>
    <s v="Sea"/>
    <s v="High"/>
    <x v="0"/>
  </r>
  <r>
    <s v="ORD_2025_0428"/>
    <x v="4"/>
    <s v="Johnson, Emily"/>
    <s v="Germany"/>
    <s v="Table Lamp"/>
    <x v="3"/>
    <n v="34"/>
    <n v="41.77"/>
    <n v="1420.18"/>
    <n v="112.45"/>
    <n v="355.73"/>
    <s v="Sea"/>
    <s v="High"/>
    <x v="1"/>
  </r>
  <r>
    <s v="ORD_2025_0429"/>
    <x v="7"/>
    <s v="Brown, Michael"/>
    <s v="India"/>
    <s v="Denim Jacket"/>
    <x v="2"/>
    <n v="32"/>
    <n v="69.98"/>
    <n v="2239.36"/>
    <n v="133.51"/>
    <n v="825.85"/>
    <s v="Air"/>
    <s v="Low"/>
    <x v="3"/>
  </r>
  <r>
    <s v="ORD_2025_0430"/>
    <x v="16"/>
    <s v="Brown, Daniel"/>
    <s v="Uk"/>
    <s v="Travel Backpack"/>
    <x v="0"/>
    <n v="25"/>
    <n v="42.91"/>
    <n v="1072.75"/>
    <n v="80.02"/>
    <n v="117.73"/>
    <s v="Sea"/>
    <s v="Medium"/>
    <x v="1"/>
  </r>
  <r>
    <s v="ORD_2025_0431"/>
    <x v="9"/>
    <s v="Williams, Sophia"/>
    <s v="Canada"/>
    <s v="LED Lamp"/>
    <x v="1"/>
    <n v="7"/>
    <n v="22.6"/>
    <n v="158.19999999999999"/>
    <n v="7.04"/>
    <n v="61.91"/>
    <s v="Air"/>
    <s v="Low"/>
    <x v="0"/>
  </r>
  <r>
    <s v="ORD_2025_0432"/>
    <x v="4"/>
    <s v="Davis, David"/>
    <s v="Usa"/>
    <s v="LED Lamp"/>
    <x v="1"/>
    <n v="48"/>
    <n v="19.5"/>
    <n v="936"/>
    <n v="70.069999999999993"/>
    <n v="253.93"/>
    <s v="Land"/>
    <s v="Medium"/>
    <x v="0"/>
  </r>
  <r>
    <s v="ORD_2025_0433"/>
    <x v="6"/>
    <s v="Davis, John"/>
    <s v="Australia"/>
    <s v="Denim Jacket"/>
    <x v="2"/>
    <n v="32"/>
    <n v="49.97"/>
    <n v="1599.04"/>
    <n v="43.1"/>
    <n v="275.94"/>
    <s v="Sea"/>
    <s v="High"/>
    <x v="5"/>
  </r>
  <r>
    <s v="ORD_2025_0434"/>
    <x v="0"/>
    <s v="Smith, Emily"/>
    <s v="France"/>
    <s v="Ceramic Vase"/>
    <x v="3"/>
    <n v="41"/>
    <n v="25.62"/>
    <n v="1050.42"/>
    <n v="79.2"/>
    <n v="335.72"/>
    <s v="Land"/>
    <s v="Medium"/>
    <x v="1"/>
  </r>
  <r>
    <s v="ORD_2025_0435"/>
    <x v="10"/>
    <s v="Martinez, David"/>
    <s v="Usa"/>
    <s v="LED Lamp"/>
    <x v="1"/>
    <n v="46"/>
    <n v="16.78"/>
    <n v="771.88"/>
    <n v="18.04"/>
    <n v="167.34"/>
    <s v="Air"/>
    <s v="High"/>
    <x v="0"/>
  </r>
  <r>
    <s v="ORD_2025_0436"/>
    <x v="10"/>
    <s v="Davis, Daniel"/>
    <s v="Italy"/>
    <s v="Bluetooth Speaker"/>
    <x v="1"/>
    <n v="16"/>
    <n v="42.18"/>
    <n v="674.88"/>
    <n v="19.100000000000001"/>
    <n v="143.78"/>
    <s v="Land"/>
    <s v="High"/>
    <x v="1"/>
  </r>
  <r>
    <s v="ORD_2025_0437"/>
    <x v="7"/>
    <s v="Davis, James"/>
    <s v="France"/>
    <s v="Cotton Bedsheet"/>
    <x v="4"/>
    <n v="12"/>
    <n v="34.97"/>
    <n v="419.64"/>
    <n v="28.48"/>
    <n v="91.16"/>
    <s v="Land"/>
    <s v="Low"/>
    <x v="1"/>
  </r>
  <r>
    <s v="ORD_2025_0438"/>
    <x v="9"/>
    <s v="Jones, David"/>
    <s v="Brazil"/>
    <s v="Wireless Mouse"/>
    <x v="1"/>
    <n v="31"/>
    <n v="33.619999999999997"/>
    <n v="1042.22"/>
    <n v="26.33"/>
    <n v="395.89"/>
    <s v="Air"/>
    <s v="High"/>
    <x v="2"/>
  </r>
  <r>
    <s v="ORD_2025_0439"/>
    <x v="15"/>
    <s v="Smith, Laura"/>
    <s v="Uae"/>
    <s v="Glass Bowl Set"/>
    <x v="3"/>
    <n v="40"/>
    <n v="30.56"/>
    <n v="1222.4000000000001"/>
    <n v="26.42"/>
    <n v="295.98"/>
    <s v="Land"/>
    <s v="Low"/>
    <x v="3"/>
  </r>
  <r>
    <s v="ORD_2025_0440"/>
    <x v="0"/>
    <s v="Martinez, Emma"/>
    <s v="Germany"/>
    <s v="Travel Backpack"/>
    <x v="0"/>
    <n v="15"/>
    <n v="61.93"/>
    <n v="928.95"/>
    <n v="25.68"/>
    <n v="378.27"/>
    <s v="Sea"/>
    <s v="High"/>
    <x v="1"/>
  </r>
  <r>
    <s v="ORD_2025_0441"/>
    <x v="16"/>
    <s v="Martinez, Sarah"/>
    <s v="China"/>
    <s v="Wireless Mouse"/>
    <x v="1"/>
    <n v="20"/>
    <n v="35.770000000000003"/>
    <n v="715.4"/>
    <n v="39.229999999999997"/>
    <n v="276.17"/>
    <s v="Land"/>
    <s v="Low"/>
    <x v="3"/>
  </r>
  <r>
    <s v="ORD_2025_0442"/>
    <x v="4"/>
    <s v="Martinez, John"/>
    <s v="Uk"/>
    <s v="LED Lamp"/>
    <x v="1"/>
    <n v="21"/>
    <n v="22.48"/>
    <n v="472.08"/>
    <n v="12.96"/>
    <n v="191.37"/>
    <s v="Sea"/>
    <s v="Low"/>
    <x v="1"/>
  </r>
  <r>
    <s v="ORD_2025_0443"/>
    <x v="0"/>
    <s v="Johnson, Sophia"/>
    <s v="China"/>
    <s v="Leather Wallet"/>
    <x v="0"/>
    <n v="8"/>
    <n v="27.53"/>
    <n v="220.24"/>
    <n v="12.66"/>
    <n v="63.58"/>
    <s v="Sea"/>
    <s v="Medium"/>
    <x v="3"/>
  </r>
  <r>
    <s v="ORD_2025_0444"/>
    <x v="6"/>
    <s v="Miller, Emily"/>
    <s v="India"/>
    <s v="Glass Bowl Set"/>
    <x v="3"/>
    <n v="35"/>
    <n v="39.65"/>
    <n v="1387.75"/>
    <n v="60.95"/>
    <n v="539.29999999999995"/>
    <s v="Air"/>
    <s v="Medium"/>
    <x v="3"/>
  </r>
  <r>
    <s v="ORD_2025_0445"/>
    <x v="10"/>
    <s v="Garcia, Laura"/>
    <s v="South Africa"/>
    <s v="Ceramic Vase"/>
    <x v="3"/>
    <n v="50"/>
    <n v="23.68"/>
    <n v="1184"/>
    <n v="46.62"/>
    <n v="362.38"/>
    <s v="Sea"/>
    <s v="Medium"/>
    <x v="4"/>
  </r>
  <r>
    <s v="ORD_2025_0446"/>
    <x v="1"/>
    <s v="Davis, Michael"/>
    <s v="Uae"/>
    <s v="LED Lamp"/>
    <x v="1"/>
    <n v="5"/>
    <n v="19.809999999999999"/>
    <n v="99.05"/>
    <n v="5.91"/>
    <n v="29.39"/>
    <s v="Sea"/>
    <s v="High"/>
    <x v="3"/>
  </r>
  <r>
    <s v="ORD_2025_0447"/>
    <x v="14"/>
    <s v="Williams, David"/>
    <s v="Brazil"/>
    <s v="LED Lamp"/>
    <x v="1"/>
    <n v="27"/>
    <n v="18.03"/>
    <n v="486.81"/>
    <n v="36.630000000000003"/>
    <n v="105.93"/>
    <s v="Land"/>
    <s v="High"/>
    <x v="2"/>
  </r>
  <r>
    <s v="ORD_2025_0448"/>
    <x v="2"/>
    <s v="Brown, Emily"/>
    <s v="South Africa"/>
    <s v="Leather Wallet"/>
    <x v="0"/>
    <n v="45"/>
    <n v="26.93"/>
    <n v="1211.8499999999999"/>
    <n v="62.85"/>
    <n v="339"/>
    <s v="Sea"/>
    <s v="Medium"/>
    <x v="4"/>
  </r>
  <r>
    <s v="ORD_2025_0449"/>
    <x v="4"/>
    <s v="Davis, Daniel"/>
    <s v="Italy"/>
    <s v="Wireless Mouse"/>
    <x v="1"/>
    <n v="40"/>
    <n v="32.54"/>
    <n v="1301.5999999999999"/>
    <n v="47.06"/>
    <n v="454.54"/>
    <s v="Land"/>
    <s v="Medium"/>
    <x v="1"/>
  </r>
  <r>
    <s v="ORD_2025_0450"/>
    <x v="5"/>
    <s v="Miller, Michael"/>
    <s v="India"/>
    <s v="Glass Bowl Set"/>
    <x v="3"/>
    <n v="26"/>
    <n v="35.32"/>
    <n v="918.32"/>
    <n v="60.02"/>
    <n v="273.3"/>
    <s v="Air"/>
    <s v="Low"/>
    <x v="3"/>
  </r>
  <r>
    <s v="ORD_2025_0451"/>
    <x v="0"/>
    <s v="Hernandez, Sophia"/>
    <s v="Brazil"/>
    <s v="LED Lamp"/>
    <x v="1"/>
    <n v="16"/>
    <n v="16.440000000000001"/>
    <n v="263.04000000000002"/>
    <n v="17.64"/>
    <n v="41.4"/>
    <s v="Land"/>
    <s v="Low"/>
    <x v="2"/>
  </r>
  <r>
    <s v="ORD_2025_0452"/>
    <x v="13"/>
    <s v="Miller, Emily"/>
    <s v="France"/>
    <s v="Table Lamp"/>
    <x v="3"/>
    <n v="39"/>
    <n v="46.27"/>
    <n v="1804.53"/>
    <n v="38.57"/>
    <n v="673.96"/>
    <s v="Air"/>
    <s v="High"/>
    <x v="1"/>
  </r>
  <r>
    <s v="ORD_2025_0453"/>
    <x v="3"/>
    <s v="Williams, Michael"/>
    <s v="Uk"/>
    <s v="Cotton Bedsheet"/>
    <x v="4"/>
    <n v="15"/>
    <n v="33.22"/>
    <n v="498.3"/>
    <n v="36.85"/>
    <n v="86.45"/>
    <s v="Air"/>
    <s v="High"/>
    <x v="1"/>
  </r>
  <r>
    <s v="ORD_2025_0454"/>
    <x v="4"/>
    <s v="Miller, Sarah"/>
    <s v="South Africa"/>
    <s v="Denim Jacket"/>
    <x v="2"/>
    <n v="35"/>
    <n v="71.02"/>
    <n v="2485.6999999999998"/>
    <n v="137.22"/>
    <n v="948.48"/>
    <s v="Sea"/>
    <s v="Medium"/>
    <x v="4"/>
  </r>
  <r>
    <s v="ORD_2025_0455"/>
    <x v="6"/>
    <s v="Brown, Michael"/>
    <s v="Uae"/>
    <s v="Table Lamp"/>
    <x v="3"/>
    <n v="2"/>
    <n v="42.31"/>
    <n v="84.62"/>
    <n v="4.28"/>
    <n v="24.34"/>
    <s v="Sea"/>
    <s v="Medium"/>
    <x v="3"/>
  </r>
  <r>
    <s v="ORD_2025_0456"/>
    <x v="8"/>
    <s v="Johnson, Sarah"/>
    <s v="Singapore"/>
    <s v="Cotton Bedsheet"/>
    <x v="4"/>
    <n v="8"/>
    <n v="41.36"/>
    <n v="330.88"/>
    <n v="11.78"/>
    <n v="119.1"/>
    <s v="Land"/>
    <s v="Low"/>
    <x v="3"/>
  </r>
  <r>
    <s v="ORD_2025_0457"/>
    <x v="6"/>
    <s v="Martinez, Sarah"/>
    <s v="Canada"/>
    <s v="Leather Wallet"/>
    <x v="0"/>
    <n v="3"/>
    <n v="31.39"/>
    <n v="94.17"/>
    <n v="2.52"/>
    <n v="37.65"/>
    <s v="Air"/>
    <s v="High"/>
    <x v="0"/>
  </r>
  <r>
    <s v="ORD_2025_0458"/>
    <x v="0"/>
    <s v="Johnson, Daniel"/>
    <s v="France"/>
    <s v="Glass Bowl Set"/>
    <x v="3"/>
    <n v="48"/>
    <n v="33.61"/>
    <n v="1613.28"/>
    <n v="109.92"/>
    <n v="423.36"/>
    <s v="Land"/>
    <s v="High"/>
    <x v="1"/>
  </r>
  <r>
    <s v="ORD_2025_0459"/>
    <x v="10"/>
    <s v="Garcia, Michael"/>
    <s v="Germany"/>
    <s v="Bluetooth Speaker"/>
    <x v="1"/>
    <n v="9"/>
    <n v="50.29"/>
    <n v="452.61"/>
    <n v="32.93"/>
    <n v="131.68"/>
    <s v="Sea"/>
    <s v="High"/>
    <x v="1"/>
  </r>
  <r>
    <s v="ORD_2025_0460"/>
    <x v="3"/>
    <s v="Johnson, Daniel"/>
    <s v="Usa"/>
    <s v="Glass Bowl Set"/>
    <x v="3"/>
    <n v="12"/>
    <n v="34.96"/>
    <n v="419.52"/>
    <n v="15.43"/>
    <n v="134.09"/>
    <s v="Sea"/>
    <s v="High"/>
    <x v="0"/>
  </r>
  <r>
    <s v="ORD_2025_0461"/>
    <x v="1"/>
    <s v="Jones, Emma"/>
    <s v="Australia"/>
    <s v="Travel Backpack"/>
    <x v="0"/>
    <n v="29"/>
    <n v="52.72"/>
    <n v="1528.88"/>
    <n v="96.91"/>
    <n v="416.97"/>
    <s v="Sea"/>
    <s v="High"/>
    <x v="5"/>
  </r>
  <r>
    <s v="ORD_2025_0462"/>
    <x v="1"/>
    <s v="Garcia, Daniel"/>
    <s v="Canada"/>
    <s v="Ceramic Vase"/>
    <x v="3"/>
    <n v="39"/>
    <n v="22.18"/>
    <n v="865.02"/>
    <n v="26.23"/>
    <n v="234.29"/>
    <s v="Land"/>
    <s v="High"/>
    <x v="0"/>
  </r>
  <r>
    <s v="ORD_2025_0463"/>
    <x v="1"/>
    <s v="Miller, Emma"/>
    <s v="Singapore"/>
    <s v="Ceramic Vase"/>
    <x v="3"/>
    <n v="11"/>
    <n v="21.4"/>
    <n v="235.4"/>
    <n v="11.64"/>
    <n v="53.26"/>
    <s v="Land"/>
    <s v="High"/>
    <x v="3"/>
  </r>
  <r>
    <s v="ORD_2025_0464"/>
    <x v="2"/>
    <s v="Brown, John"/>
    <s v="Singapore"/>
    <s v="Cotton Bedsheet"/>
    <x v="4"/>
    <n v="21"/>
    <n v="36.26"/>
    <n v="761.46"/>
    <n v="56.99"/>
    <n v="179.47"/>
    <s v="Sea"/>
    <s v="Low"/>
    <x v="3"/>
  </r>
  <r>
    <s v="ORD_2025_0465"/>
    <x v="3"/>
    <s v="Miller, Sarah"/>
    <s v="China"/>
    <s v="Glass Bowl Set"/>
    <x v="3"/>
    <n v="39"/>
    <n v="35.409999999999997"/>
    <n v="1380.99"/>
    <n v="84.56"/>
    <n v="418.93"/>
    <s v="Sea"/>
    <s v="Low"/>
    <x v="3"/>
  </r>
  <r>
    <s v="ORD_2025_0466"/>
    <x v="2"/>
    <s v="Smith, Sophia"/>
    <s v="China"/>
    <s v="Leather Wallet"/>
    <x v="0"/>
    <n v="13"/>
    <n v="27.35"/>
    <n v="355.55"/>
    <n v="26.23"/>
    <n v="95.32"/>
    <s v="Sea"/>
    <s v="High"/>
    <x v="3"/>
  </r>
  <r>
    <s v="ORD_2025_0467"/>
    <x v="16"/>
    <s v="Johnson, Sarah"/>
    <s v="Brazil"/>
    <s v="LED Lamp"/>
    <x v="1"/>
    <n v="40"/>
    <n v="21.08"/>
    <n v="843.2"/>
    <n v="66.81"/>
    <n v="266.39"/>
    <s v="Air"/>
    <s v="Medium"/>
    <x v="2"/>
  </r>
  <r>
    <s v="ORD_2025_0468"/>
    <x v="3"/>
    <s v="Jones, Emma"/>
    <s v="Mexico"/>
    <s v="Ceramic Vase"/>
    <x v="3"/>
    <n v="47"/>
    <n v="27.54"/>
    <n v="1294.3800000000001"/>
    <n v="62.78"/>
    <n v="503.1"/>
    <s v="Land"/>
    <s v="Low"/>
    <x v="0"/>
  </r>
  <r>
    <s v="ORD_2025_0469"/>
    <x v="11"/>
    <s v="Miller, Daniel"/>
    <s v="India"/>
    <s v="Bluetooth Speaker"/>
    <x v="1"/>
    <n v="16"/>
    <n v="45.08"/>
    <n v="721.28"/>
    <n v="21.61"/>
    <n v="187.67"/>
    <s v="Sea"/>
    <s v="High"/>
    <x v="3"/>
  </r>
  <r>
    <s v="ORD_2025_0470"/>
    <x v="8"/>
    <s v="Garcia, Emily"/>
    <s v="Uae"/>
    <s v="Glass Bowl Set"/>
    <x v="3"/>
    <n v="37"/>
    <n v="33.200000000000003"/>
    <n v="1228.4000000000001"/>
    <n v="41.34"/>
    <n v="354.56"/>
    <s v="Air"/>
    <s v="Medium"/>
    <x v="3"/>
  </r>
  <r>
    <s v="ORD_2025_0471"/>
    <x v="9"/>
    <s v="Smith, Emily"/>
    <s v="Uae"/>
    <s v="Leather Wallet"/>
    <x v="0"/>
    <n v="8"/>
    <n v="27.31"/>
    <n v="218.48"/>
    <n v="9.51"/>
    <n v="64.97"/>
    <s v="Air"/>
    <s v="Low"/>
    <x v="3"/>
  </r>
  <r>
    <s v="ORD_2025_0472"/>
    <x v="2"/>
    <s v="Martinez, Michael"/>
    <s v="South Africa"/>
    <s v="Leather Wallet"/>
    <x v="0"/>
    <n v="19"/>
    <n v="29.14"/>
    <n v="553.66"/>
    <n v="19.7"/>
    <n v="191.96"/>
    <s v="Land"/>
    <s v="Medium"/>
    <x v="4"/>
  </r>
  <r>
    <s v="ORD_2025_0473"/>
    <x v="6"/>
    <s v="Williams, James"/>
    <s v="Singapore"/>
    <s v="Travel Backpack"/>
    <x v="0"/>
    <n v="6"/>
    <n v="55.41"/>
    <n v="332.46"/>
    <n v="15.57"/>
    <n v="106.89"/>
    <s v="Land"/>
    <s v="Low"/>
    <x v="3"/>
  </r>
  <r>
    <s v="ORD_2025_0474"/>
    <x v="8"/>
    <s v="Hernandez, Laura"/>
    <s v="Uae"/>
    <s v="Leather Wallet"/>
    <x v="0"/>
    <n v="48"/>
    <n v="29.07"/>
    <n v="1395.36"/>
    <n v="70.38"/>
    <n v="460.98"/>
    <s v="Sea"/>
    <s v="High"/>
    <x v="3"/>
  </r>
  <r>
    <s v="ORD_2025_0475"/>
    <x v="14"/>
    <s v="Hernandez, Michael"/>
    <s v="Brazil"/>
    <s v="Glass Bowl Set"/>
    <x v="3"/>
    <n v="26"/>
    <n v="27.17"/>
    <n v="706.42"/>
    <n v="33.94"/>
    <n v="87.48"/>
    <s v="Air"/>
    <s v="Medium"/>
    <x v="2"/>
  </r>
  <r>
    <s v="ORD_2025_0476"/>
    <x v="14"/>
    <s v="Miller, Laura"/>
    <s v="Japan"/>
    <s v="Travel Backpack"/>
    <x v="0"/>
    <n v="9"/>
    <n v="48.76"/>
    <n v="438.84"/>
    <n v="16.91"/>
    <n v="106.93"/>
    <s v="Air"/>
    <s v="Low"/>
    <x v="3"/>
  </r>
  <r>
    <s v="ORD_2025_0477"/>
    <x v="16"/>
    <s v="Miller, Emily"/>
    <s v="Uk"/>
    <s v="Glass Bowl Set"/>
    <x v="3"/>
    <n v="37"/>
    <n v="33.21"/>
    <n v="1228.77"/>
    <n v="96.12"/>
    <n v="300.14999999999998"/>
    <s v="Air"/>
    <s v="Medium"/>
    <x v="1"/>
  </r>
  <r>
    <s v="ORD_2025_0478"/>
    <x v="4"/>
    <s v="Miller, Laura"/>
    <s v="Brazil"/>
    <s v="LED Lamp"/>
    <x v="1"/>
    <n v="29"/>
    <n v="16.54"/>
    <n v="479.66"/>
    <n v="30.23"/>
    <n v="79.680000000000007"/>
    <s v="Sea"/>
    <s v="High"/>
    <x v="2"/>
  </r>
  <r>
    <s v="ORD_2025_0479"/>
    <x v="8"/>
    <s v="Williams, David"/>
    <s v="Australia"/>
    <s v="Cotton Bedsheet"/>
    <x v="4"/>
    <n v="11"/>
    <n v="44.56"/>
    <n v="490.16"/>
    <n v="23.97"/>
    <n v="191.19"/>
    <s v="Sea"/>
    <s v="High"/>
    <x v="5"/>
  </r>
  <r>
    <s v="ORD_2025_0480"/>
    <x v="15"/>
    <s v="Hernandez, Emma"/>
    <s v="Mexico"/>
    <s v="Bluetooth Speaker"/>
    <x v="1"/>
    <n v="50"/>
    <n v="44.78"/>
    <n v="2239"/>
    <n v="169.97"/>
    <n v="469.03"/>
    <s v="Land"/>
    <s v="High"/>
    <x v="0"/>
  </r>
  <r>
    <s v="ORD_2025_0481"/>
    <x v="9"/>
    <s v="Davis, Sarah"/>
    <s v="Usa"/>
    <s v="Leather Wallet"/>
    <x v="0"/>
    <n v="30"/>
    <n v="22.51"/>
    <n v="675.3"/>
    <n v="26.26"/>
    <n v="109.04"/>
    <s v="Land"/>
    <s v="Low"/>
    <x v="0"/>
  </r>
  <r>
    <s v="ORD_2025_0482"/>
    <x v="11"/>
    <s v="Martinez, John"/>
    <s v="Australia"/>
    <s v="Ceramic Vase"/>
    <x v="3"/>
    <n v="50"/>
    <n v="27.18"/>
    <n v="1359"/>
    <n v="45.67"/>
    <n v="538.33000000000004"/>
    <s v="Land"/>
    <s v="High"/>
    <x v="5"/>
  </r>
  <r>
    <s v="ORD_2025_0483"/>
    <x v="6"/>
    <s v="Smith, Daniel"/>
    <s v="Italy"/>
    <s v="Table Lamp"/>
    <x v="3"/>
    <n v="28"/>
    <n v="37.51"/>
    <n v="1050.28"/>
    <n v="45.83"/>
    <n v="220.45"/>
    <s v="Air"/>
    <s v="Medium"/>
    <x v="1"/>
  </r>
  <r>
    <s v="ORD_2025_0484"/>
    <x v="11"/>
    <s v="Davis, James"/>
    <s v="Australia"/>
    <s v="Denim Jacket"/>
    <x v="2"/>
    <n v="50"/>
    <n v="53.71"/>
    <n v="2685.5"/>
    <n v="197.89"/>
    <n v="487.61"/>
    <s v="Sea"/>
    <s v="High"/>
    <x v="5"/>
  </r>
  <r>
    <s v="ORD_2025_0485"/>
    <x v="9"/>
    <s v="Smith, John"/>
    <s v="South Africa"/>
    <s v="Ceramic Vase"/>
    <x v="3"/>
    <n v="24"/>
    <n v="18.62"/>
    <n v="446.88"/>
    <n v="26.91"/>
    <n v="47.97"/>
    <s v="Sea"/>
    <s v="Medium"/>
    <x v="4"/>
  </r>
  <r>
    <s v="ORD_2025_0486"/>
    <x v="0"/>
    <s v="Davis, Michael"/>
    <s v="Singapore"/>
    <s v="Denim Jacket"/>
    <x v="2"/>
    <n v="10"/>
    <n v="49.15"/>
    <n v="491.5"/>
    <n v="13.3"/>
    <n v="78.2"/>
    <s v="Air"/>
    <s v="High"/>
    <x v="3"/>
  </r>
  <r>
    <s v="ORD_2025_0487"/>
    <x v="9"/>
    <s v="Miller, Sarah"/>
    <s v="China"/>
    <s v="Denim Jacket"/>
    <x v="2"/>
    <n v="42"/>
    <n v="50.96"/>
    <n v="2140.3200000000002"/>
    <n v="127.85"/>
    <n v="332.47"/>
    <s v="Land"/>
    <s v="Medium"/>
    <x v="3"/>
  </r>
  <r>
    <s v="ORD_2025_0488"/>
    <x v="16"/>
    <s v="Martinez, Sophia"/>
    <s v="China"/>
    <s v="Cotton Bedsheet"/>
    <x v="4"/>
    <n v="39"/>
    <n v="37.46"/>
    <n v="1460.94"/>
    <n v="82.25"/>
    <n v="403.69"/>
    <s v="Air"/>
    <s v="Low"/>
    <x v="3"/>
  </r>
  <r>
    <s v="ORD_2025_0489"/>
    <x v="5"/>
    <s v="Garcia, Sophia"/>
    <s v="France"/>
    <s v="LED Lamp"/>
    <x v="1"/>
    <n v="7"/>
    <n v="20.2"/>
    <n v="141.4"/>
    <n v="4.3499999999999996"/>
    <n v="47.8"/>
    <s v="Sea"/>
    <s v="High"/>
    <x v="1"/>
  </r>
  <r>
    <s v="ORD_2025_0490"/>
    <x v="6"/>
    <s v="Garcia, Emily"/>
    <s v="Canada"/>
    <s v="LED Lamp"/>
    <x v="1"/>
    <n v="18"/>
    <n v="18.63"/>
    <n v="335.34"/>
    <n v="26.18"/>
    <n v="79.66"/>
    <s v="Sea"/>
    <s v="Low"/>
    <x v="0"/>
  </r>
  <r>
    <s v="ORD_2025_0491"/>
    <x v="14"/>
    <s v="Brown, John"/>
    <s v="Australia"/>
    <s v="Glass Bowl Set"/>
    <x v="3"/>
    <n v="12"/>
    <n v="27.08"/>
    <n v="324.95999999999998"/>
    <n v="15.59"/>
    <n v="39.369999999999997"/>
    <s v="Sea"/>
    <s v="High"/>
    <x v="5"/>
  </r>
  <r>
    <s v="ORD_2025_0492"/>
    <x v="8"/>
    <s v="Hernandez, Sarah"/>
    <s v="France"/>
    <s v="Cotton Bedsheet"/>
    <x v="4"/>
    <n v="50"/>
    <n v="32.21"/>
    <n v="1610.5"/>
    <n v="32.68"/>
    <n v="327.82"/>
    <s v="Sea"/>
    <s v="High"/>
    <x v="1"/>
  </r>
  <r>
    <s v="ORD_2025_0493"/>
    <x v="13"/>
    <s v="Garcia, James"/>
    <s v="South Africa"/>
    <s v="LED Lamp"/>
    <x v="1"/>
    <n v="49"/>
    <n v="20.59"/>
    <n v="1008.91"/>
    <n v="78.03"/>
    <n v="306.13"/>
    <s v="Sea"/>
    <s v="High"/>
    <x v="4"/>
  </r>
  <r>
    <s v="ORD_2025_0494"/>
    <x v="2"/>
    <s v="Miller, Michael"/>
    <s v="Italy"/>
    <s v="Wireless Mouse"/>
    <x v="1"/>
    <n v="22"/>
    <n v="28.63"/>
    <n v="629.86"/>
    <n v="29.08"/>
    <n v="160.78"/>
    <s v="Sea"/>
    <s v="Medium"/>
    <x v="1"/>
  </r>
  <r>
    <s v="ORD_2025_0495"/>
    <x v="1"/>
    <s v="Davis, Michael"/>
    <s v="China"/>
    <s v="Denim Jacket"/>
    <x v="2"/>
    <n v="11"/>
    <n v="56.12"/>
    <n v="617.32000000000005"/>
    <n v="38.26"/>
    <n v="139.06"/>
    <s v="Sea"/>
    <s v="Medium"/>
    <x v="3"/>
  </r>
  <r>
    <s v="ORD_2025_0496"/>
    <x v="2"/>
    <s v="Johnson, Emma"/>
    <s v="Usa"/>
    <s v="Cotton Bedsheet"/>
    <x v="4"/>
    <n v="2"/>
    <n v="30.88"/>
    <n v="61.76"/>
    <n v="4.42"/>
    <n v="7.34"/>
    <s v="Air"/>
    <s v="Medium"/>
    <x v="0"/>
  </r>
  <r>
    <s v="ORD_2025_0497"/>
    <x v="12"/>
    <s v="Johnson, Emily"/>
    <s v="Australia"/>
    <s v="Denim Jacket"/>
    <x v="2"/>
    <n v="34"/>
    <n v="63.8"/>
    <n v="2169.1999999999998"/>
    <n v="69.650000000000006"/>
    <n v="739.55"/>
    <s v="Sea"/>
    <s v="High"/>
    <x v="5"/>
  </r>
  <r>
    <s v="ORD_2025_0498"/>
    <x v="9"/>
    <s v="Smith, David"/>
    <s v="Mexico"/>
    <s v="Table Lamp"/>
    <x v="3"/>
    <n v="50"/>
    <n v="44.61"/>
    <n v="2230.5"/>
    <n v="91.32"/>
    <n v="739.18"/>
    <s v="Air"/>
    <s v="Low"/>
    <x v="0"/>
  </r>
  <r>
    <s v="ORD_2025_0499"/>
    <x v="6"/>
    <s v="Smith, Emma"/>
    <s v="Uae"/>
    <s v="LED Lamp"/>
    <x v="1"/>
    <n v="14"/>
    <n v="18.61"/>
    <n v="260.54000000000002"/>
    <n v="5.39"/>
    <n v="76.650000000000006"/>
    <s v="Sea"/>
    <s v="High"/>
    <x v="3"/>
  </r>
  <r>
    <s v="ORD_2025_0500"/>
    <x v="12"/>
    <s v="Hernandez, Michael"/>
    <s v="Uk"/>
    <s v="Ceramic Vase"/>
    <x v="3"/>
    <n v="7"/>
    <n v="24.61"/>
    <n v="172.27"/>
    <n v="9.64"/>
    <n v="54.13"/>
    <s v="Air"/>
    <s v="High"/>
    <x v="1"/>
  </r>
  <r>
    <m/>
    <x v="17"/>
    <m/>
    <m/>
    <m/>
    <x v="5"/>
    <m/>
    <m/>
    <m/>
    <m/>
    <m/>
    <m/>
    <m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2EC987-6119-44FE-9B32-9DFC9F07E22A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26:H33" firstHeaderRow="1" firstDataRow="2" firstDataCol="1"/>
  <pivotFields count="14">
    <pivotField showAll="0"/>
    <pivotField showAll="0" sortType="ascending"/>
    <pivotField showAll="0"/>
    <pivotField showAll="0"/>
    <pivotField showAll="0"/>
    <pivotField axis="axisRow" showAll="0">
      <items count="7">
        <item x="0"/>
        <item x="2"/>
        <item x="1"/>
        <item x="3"/>
        <item x="4"/>
        <item x="5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axis="axisCol" showAll="0">
      <items count="8">
        <item x="4"/>
        <item x="3"/>
        <item x="1"/>
        <item x="0"/>
        <item x="5"/>
        <item x="2"/>
        <item h="1" x="6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_Sales" fld="8" baseField="0" baseItem="0"/>
  </dataFields>
  <chartFormats count="7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6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6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16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16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51EA3A-9714-4523-8C3B-C9B63714AAC8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C22" firstHeaderRow="0" firstDataRow="1" firstDataCol="1"/>
  <pivotFields count="14">
    <pivotField showAll="0"/>
    <pivotField axis="axisRow" showAll="0" sortType="ascending">
      <items count="19">
        <item x="2"/>
        <item x="8"/>
        <item x="7"/>
        <item x="9"/>
        <item x="10"/>
        <item x="1"/>
        <item x="16"/>
        <item x="0"/>
        <item x="12"/>
        <item x="4"/>
        <item x="11"/>
        <item x="13"/>
        <item x="14"/>
        <item x="5"/>
        <item x="15"/>
        <item x="3"/>
        <item x="6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" fld="8" baseField="0" baseItem="0"/>
    <dataField name="Sum of Profit" fld="10" baseField="0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A7F3B0-D7FF-4C23-ACA8-88FC747A5D53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C23" firstHeaderRow="0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numFmtId="14" showAll="0" sortType="ascending">
      <items count="18">
        <item x="16"/>
        <item x="10"/>
        <item x="11"/>
        <item x="2"/>
        <item x="14"/>
        <item x="4"/>
        <item x="12"/>
        <item x="7"/>
        <item x="6"/>
        <item x="3"/>
        <item x="15"/>
        <item x="9"/>
        <item x="0"/>
        <item x="1"/>
        <item x="13"/>
        <item x="8"/>
        <item x="5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16"/>
    <field x="15"/>
  </rowFields>
  <rowItems count="20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" fld="8" baseField="0" baseItem="0"/>
    <dataField name="Sum of Profit" fld="10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2E8045-49AD-4D25-BA48-24E802634FE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:E3" firstHeaderRow="1" firstDataRow="1" firstDataCol="0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9" showAll="0"/>
    <pivotField numFmtId="14" showAll="0"/>
    <pivotField showAll="0"/>
    <pivotField showAll="0"/>
    <pivotField showAll="0"/>
  </pivotFields>
  <rowItems count="1">
    <i/>
  </rowItems>
  <colItems count="1">
    <i/>
  </colItems>
  <dataFields count="1">
    <dataField name="Average of Shipping_Cost" fld="9" subtotal="average" baseField="0" baseItem="0" numFmtId="165"/>
  </dataFields>
  <formats count="3">
    <format dxfId="11">
      <pivotArea type="all" dataOnly="0" outline="0" fieldPosition="0"/>
    </format>
    <format dxfId="10">
      <pivotArea dataOnly="0" labelOnly="1" outline="0" axis="axisValues" fieldPosition="0"/>
    </format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6A54F5-A8DC-4212-9515-D21E821121B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:D3" firstHeaderRow="1" firstDataRow="1" firstDataCol="0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9" showAll="0"/>
    <pivotField numFmtId="14" showAll="0"/>
    <pivotField showAll="0"/>
    <pivotField showAll="0"/>
    <pivotField showAll="0"/>
  </pivotFields>
  <rowItems count="1">
    <i/>
  </rowItems>
  <colItems count="1">
    <i/>
  </colItems>
  <dataFields count="1">
    <dataField name="Average of Profit Margin" fld="14" subtotal="average" baseField="0" baseItem="0" numFmtId="9"/>
  </dataFields>
  <formats count="3">
    <format dxfId="14">
      <pivotArea type="all" dataOnly="0" outline="0" fieldPosition="0"/>
    </format>
    <format dxfId="13">
      <pivotArea dataOnly="0" labelOnly="1" outline="0" axis="axisValues" fieldPosition="0"/>
    </format>
    <format dxfId="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3F7B08-E9CC-422B-B59F-FD4F409CC0D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:C3" firstHeaderRow="1" firstDataRow="1" firstDataCol="0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9" showAll="0"/>
    <pivotField numFmtId="14" showAll="0"/>
    <pivotField showAll="0"/>
    <pivotField showAll="0"/>
    <pivotField showAll="0"/>
  </pivotFields>
  <rowItems count="1">
    <i/>
  </rowItems>
  <colItems count="1">
    <i/>
  </colItems>
  <dataFields count="1">
    <dataField name="Sum of Profit" fld="10" baseField="0" baseItem="0" numFmtId="165"/>
  </dataFields>
  <formats count="1">
    <format dxfId="1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EB3809-C0F4-48C6-A60E-4C8F3EEC975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B3" firstHeaderRow="1" firstDataRow="1" firstDataCol="0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9" showAll="0"/>
    <pivotField numFmtId="14" showAll="0"/>
    <pivotField showAll="0"/>
    <pivotField showAll="0"/>
    <pivotField showAll="0"/>
  </pivotFields>
  <rowItems count="1">
    <i/>
  </rowItems>
  <colItems count="1">
    <i/>
  </colItems>
  <dataFields count="1">
    <dataField name="Sum of Total_Sales" fld="8" baseField="0" baseItem="0" numFmtId="165"/>
  </dataFields>
  <formats count="1">
    <format dxfId="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9B691F-51C4-4995-B10D-DE45AC09EE3E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:J13" firstHeaderRow="1" firstDataRow="1" firstDataCol="1"/>
  <pivotFields count="19">
    <pivotField showAll="0"/>
    <pivotField showAll="0"/>
    <pivotField showAll="0"/>
    <pivotField showAll="0"/>
    <pivotField axis="axisRow" showAll="0" sortType="descending">
      <items count="11">
        <item x="2"/>
        <item x="7"/>
        <item x="6"/>
        <item x="3"/>
        <item x="5"/>
        <item x="1"/>
        <item x="8"/>
        <item x="9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9" showAll="0"/>
    <pivotField numFmtId="14" showAll="0"/>
    <pivotField showAll="0"/>
    <pivotField showAll="0"/>
    <pivotField showAll="0"/>
  </pivotFields>
  <rowFields count="1">
    <field x="4"/>
  </rowFields>
  <rowItems count="11">
    <i>
      <x v="3"/>
    </i>
    <i>
      <x v="8"/>
    </i>
    <i>
      <x v="7"/>
    </i>
    <i>
      <x v="2"/>
    </i>
    <i>
      <x v="9"/>
    </i>
    <i>
      <x v="1"/>
    </i>
    <i>
      <x/>
    </i>
    <i>
      <x v="5"/>
    </i>
    <i>
      <x v="4"/>
    </i>
    <i>
      <x v="6"/>
    </i>
    <i t="grand">
      <x/>
    </i>
  </rowItems>
  <colItems count="1">
    <i/>
  </colItems>
  <dataFields count="1">
    <dataField name="Sum of Profit" fld="10" baseField="0" baseItem="0"/>
  </dataFields>
  <formats count="3">
    <format dxfId="19">
      <pivotArea type="all" dataOnly="0" outline="0" fieldPosition="0"/>
    </format>
    <format dxfId="18">
      <pivotArea dataOnly="0" labelOnly="1" outline="0" axis="axisValues" fieldPosition="0"/>
    </format>
    <format dxfId="1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FCC3FB-E767-4347-9AC7-7E0976E75CA2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:G9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 sortType="descending">
      <items count="7">
        <item x="4"/>
        <item x="3"/>
        <item x="1"/>
        <item x="0"/>
        <item x="5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9" showAll="0"/>
    <pivotField numFmtId="14" showAll="0"/>
    <pivotField showAll="0"/>
    <pivotField showAll="0"/>
    <pivotField showAll="0"/>
  </pivotFields>
  <rowFields count="1">
    <field x="13"/>
  </rowFields>
  <rowItems count="7">
    <i>
      <x v="1"/>
    </i>
    <i>
      <x v="2"/>
    </i>
    <i>
      <x v="3"/>
    </i>
    <i>
      <x v="4"/>
    </i>
    <i>
      <x v="5"/>
    </i>
    <i>
      <x/>
    </i>
    <i t="grand">
      <x/>
    </i>
  </rowItems>
  <colItems count="1">
    <i/>
  </colItems>
  <dataFields count="1">
    <dataField name="Sum of Total_Sales" fld="8" baseField="0" baseItem="0"/>
  </dataFields>
  <formats count="3">
    <format dxfId="22">
      <pivotArea type="all" dataOnly="0" outline="0" fieldPosition="0"/>
    </format>
    <format dxfId="21">
      <pivotArea dataOnly="0" labelOnly="1" outline="0" axis="axisValues" fieldPosition="0"/>
    </format>
    <format dxfId="2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E8C23E-B6A0-4211-AD77-4CF10CAB2D8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A3" firstHeaderRow="1" firstDataRow="1" firstDataCol="0"/>
  <pivotFields count="19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numFmtId="14" showAll="0"/>
    <pivotField showAll="0"/>
    <pivotField showAll="0"/>
    <pivotField showAll="0"/>
  </pivotFields>
  <rowItems count="1">
    <i/>
  </rowItems>
  <colItems count="1">
    <i/>
  </colItems>
  <dataFields count="1">
    <dataField name="Total Order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AB2B28-443A-4787-A6D2-1CD1AB46A1F2}" name="Table1" displayName="Table1" ref="A1:O501" totalsRowShown="0">
  <autoFilter ref="A1:O501" xr:uid="{18AB2B28-443A-4787-A6D2-1CD1AB46A1F2}"/>
  <tableColumns count="15">
    <tableColumn id="1" xr3:uid="{52EE46C4-CEDD-4041-9B36-D7282B09A4DB}" name="i"/>
    <tableColumn id="2" xr3:uid="{3771DCF7-217D-4987-85B5-4AA9279B3843}" name="Order_Date" dataDxfId="41"/>
    <tableColumn id="3" xr3:uid="{6A2DA47C-2840-4DBB-B09C-6E3BEAA5B888}" name="Customer_Name"/>
    <tableColumn id="4" xr3:uid="{22608609-D9C0-48B7-A1CD-F2BCC9DE42E3}" name="Country"/>
    <tableColumn id="5" xr3:uid="{040CE6E2-A6E2-420F-A008-3F9E1D69A8FB}" name="Product"/>
    <tableColumn id="6" xr3:uid="{460CBD72-4D1C-4542-BBF5-EAAE4520C2A8}" name="Category"/>
    <tableColumn id="7" xr3:uid="{37E91DEB-A1A8-4059-8226-B9875210BE0F}" name="Quantity"/>
    <tableColumn id="8" xr3:uid="{5366EB2C-DB9D-44BC-84E6-04B75A49C1CD}" name="Unit_Price" dataDxfId="40"/>
    <tableColumn id="9" xr3:uid="{9CCB9CCC-25AC-4CF2-9ECF-DC233A87A6CE}" name="Total_Sales" dataDxfId="39"/>
    <tableColumn id="10" xr3:uid="{A62597E8-7ADE-4AC1-A319-448216EEC07F}" name="Shipping_Cost"/>
    <tableColumn id="11" xr3:uid="{DFC48988-3AB1-4567-ABFF-C73B8E145715}" name="Profit"/>
    <tableColumn id="12" xr3:uid="{36B62898-0D0D-4F5F-AF96-03767B94F34C}" name="Ship_Mode"/>
    <tableColumn id="13" xr3:uid="{EBA9DC9F-1F06-4811-BE6D-F2137A723066}" name="Order_Priority"/>
    <tableColumn id="14" xr3:uid="{DD60593A-46EB-4B81-B284-B756FF48BCB2}" name="Region_Code"/>
    <tableColumn id="15" xr3:uid="{0A523EEE-D36D-4EE4-8CFD-F5BB3E976DC6}" name="Clean" dataDxfId="38">
      <calculatedColumnFormula>DATE(YEAR(Table1[[#This Row],[Order_Date]]), MONTH(Table1[[#This Row],[Order_Date]]), 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DFF77E-67F6-474B-BE3F-23756ABD7EFD}" name="Table2" displayName="Table2" ref="S4:T7" totalsRowShown="0" headerRowDxfId="37">
  <autoFilter ref="S4:T7" xr:uid="{18DFF77E-67F6-474B-BE3F-23756ABD7EFD}"/>
  <tableColumns count="2">
    <tableColumn id="1" xr3:uid="{B3D87A5F-C964-423A-9176-492E4FFDD267}" name="Metric"/>
    <tableColumn id="2" xr3:uid="{14D278DC-51A1-4153-B5B6-C0EDA277060C}" name="Value" dataDxfId="3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ACC4A3-D249-490D-B45A-192837B70842}" name="Table4" displayName="Table4" ref="A1:F501" totalsRowShown="0" dataDxfId="35" dataCellStyle="Currency">
  <autoFilter ref="A1:F501" xr:uid="{FFACC4A3-D249-490D-B45A-192837B70842}"/>
  <tableColumns count="6">
    <tableColumn id="1" xr3:uid="{2AA9ED75-D74E-47A6-837B-DA55B66D8811}" name="Region_Code"/>
    <tableColumn id="2" xr3:uid="{8286C1AF-1056-4BF9-80A1-C4DE94C01176}" name="Category"/>
    <tableColumn id="3" xr3:uid="{3A65C388-0974-4A3B-82DB-BC60A846F0F4}" name="Total_Sales" dataDxfId="34" dataCellStyle="Currency">
      <calculatedColumnFormula>SUMIFS(Global_trade!I2:I501,Global_trade!F2:F501,B2,Global_trade!N2:N501,A2)</calculatedColumnFormula>
    </tableColumn>
    <tableColumn id="4" xr3:uid="{B204C88F-FD8A-4B2A-BE9C-4967E28B4979}" name="Total Profit" dataDxfId="33" dataCellStyle="Currency">
      <calculatedColumnFormula>SUMIFS(Global_trade!K2:K501,Global_trade!F2:F501,'Q6'!B2,Global_trade!N2:N501,'Q6'!A2)</calculatedColumnFormula>
    </tableColumn>
    <tableColumn id="5" xr3:uid="{0C01DA52-D68F-43CE-848F-6E9C66A7D22F}" name="Avg  Sales" dataDxfId="32" dataCellStyle="Currency">
      <calculatedColumnFormula>AVERAGEIFS(Global_trade!I2:I501,Global_trade!F2:F501,'Q6'!B2,Global_trade!N2:N501,'Q6'!A2)</calculatedColumnFormula>
    </tableColumn>
    <tableColumn id="6" xr3:uid="{344C9D8F-793F-4D7F-A843-79FF24B57C49}" name="Avg Profits" dataDxfId="31" dataCellStyle="Currency">
      <calculatedColumnFormula>AVERAGEIFS(Global_trade!K2:K501,Global_trade!F2:F501,'Q6'!B2,Global_trade!N2:N501,'Q6'!A2)</calculatedColumnFormula>
    </tableColumn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CE57ADD-AA7D-49EE-9288-CAEF741B5130}" name="Table14" displayName="Table14" ref="A1:S501" totalsRowShown="0">
  <autoFilter ref="A1:S501" xr:uid="{5CE57ADD-AA7D-49EE-9288-CAEF741B5130}"/>
  <tableColumns count="19">
    <tableColumn id="1" xr3:uid="{D22DCA53-121A-4A3B-B6B8-0E079FC494BA}" name="i"/>
    <tableColumn id="2" xr3:uid="{8342CB53-B958-48C0-9D19-5DF39755714E}" name="Order_Date" dataDxfId="30"/>
    <tableColumn id="3" xr3:uid="{A8568305-8579-4263-B0B7-46F38975E811}" name="Customer_Name"/>
    <tableColumn id="4" xr3:uid="{13CA0368-0BA4-4AB7-837F-9140F658A1A9}" name="Country"/>
    <tableColumn id="5" xr3:uid="{6FCF8F94-8C53-4A6E-87B2-72B9967255C6}" name="Product"/>
    <tableColumn id="6" xr3:uid="{DC5EB5FC-695E-4283-A9D5-E8C4841C0A38}" name="Category"/>
    <tableColumn id="7" xr3:uid="{B3F7AA2D-99D5-47F7-AE7A-E34ED832FD76}" name="Quantity"/>
    <tableColumn id="8" xr3:uid="{1101F4CF-897A-42D5-B364-2F8417CBCFAA}" name="Unit_Price" dataDxfId="29"/>
    <tableColumn id="9" xr3:uid="{21ACE24C-E7CC-4670-8905-01ECF29FEE4D}" name="Total_Sales" dataDxfId="28"/>
    <tableColumn id="10" xr3:uid="{DDE4FCC1-9FCA-4C08-92D0-7279D8CE5B89}" name="Shipping_Cost"/>
    <tableColumn id="11" xr3:uid="{5BE23898-472A-4DAA-9275-32A042B19E69}" name="Profit"/>
    <tableColumn id="12" xr3:uid="{052616CD-47EF-4F3B-874A-9CEC30F28286}" name="Ship_Mode"/>
    <tableColumn id="13" xr3:uid="{6067D906-2252-4D32-B0F8-513839A10594}" name="Order_Priority"/>
    <tableColumn id="14" xr3:uid="{C317C769-9AF2-4DC7-9373-EADD13CFCB86}" name="Region_Code"/>
    <tableColumn id="19" xr3:uid="{C5ECE0E8-8D21-4509-92A4-C56A5E2E3382}" name="Profit Margin" dataDxfId="27">
      <calculatedColumnFormula>Table14[[#This Row],[Profit]]/Table14[[#This Row],[Total_Sales]]</calculatedColumnFormula>
    </tableColumn>
    <tableColumn id="15" xr3:uid="{DFD40DFB-367E-4BBA-BA5A-A66F4CAD44E5}" name="Clean Date" dataDxfId="26">
      <calculatedColumnFormula>DATE(YEAR(Table14[[#This Row],[Order_Date]]), MONTH(Table14[[#This Row],[Order_Date]]), 1)</calculatedColumnFormula>
    </tableColumn>
    <tableColumn id="16" xr3:uid="{5BB72774-9BFA-465C-B7F6-598DAB1A66DE}" name="Supplier" dataDxfId="25">
      <calculatedColumnFormula>_xlfn.XLOOKUP(Table14[[#This Row],[Product]],Product_Master!$B$2:$B$11,Product_Master!$D$2:$D$11)</calculatedColumnFormula>
    </tableColumn>
    <tableColumn id="17" xr3:uid="{3D87224B-42C7-43F5-9A42-0EDB50238C2A}" name="Origin_Country" dataDxfId="24">
      <calculatedColumnFormula>_xlfn.XLOOKUP(Table14[[#This Row],[Product]],Product_Master!$B$2:$B$11,Product_Master!$E$2:$E$11)</calculatedColumnFormula>
    </tableColumn>
    <tableColumn id="18" xr3:uid="{6C6C9E6C-4B98-42CF-93F1-28DBD77522CB}" name="Unit_Cost" dataDxfId="23">
      <calculatedColumnFormula>_xlfn.XLOOKUP(Table14[[#This Row],[Product]],Product_Master!$B$2:$B$11,Product_Master!$F$2:$F$11)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7" Type="http://schemas.openxmlformats.org/officeDocument/2006/relationships/pivotTable" Target="../pivotTables/pivotTable10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D4DC1-A4BB-4879-A4E5-F0CB6BDF954C}">
  <dimension ref="A3:H33"/>
  <sheetViews>
    <sheetView zoomScale="93" zoomScaleNormal="100" workbookViewId="0">
      <selection activeCell="A4" sqref="A4"/>
    </sheetView>
  </sheetViews>
  <sheetFormatPr defaultRowHeight="14.4" x14ac:dyDescent="0.3"/>
  <cols>
    <col min="1" max="1" width="13" bestFit="1" customWidth="1"/>
    <col min="2" max="2" width="17" bestFit="1" customWidth="1"/>
    <col min="3" max="3" width="12.109375" bestFit="1" customWidth="1"/>
    <col min="4" max="4" width="10.77734375" bestFit="1" customWidth="1"/>
    <col min="5" max="7" width="9.6640625" bestFit="1" customWidth="1"/>
    <col min="8" max="8" width="10.88671875" bestFit="1" customWidth="1"/>
    <col min="9" max="9" width="10.77734375" bestFit="1" customWidth="1"/>
  </cols>
  <sheetData>
    <row r="3" spans="1:3" x14ac:dyDescent="0.3">
      <c r="A3" s="26" t="s">
        <v>802</v>
      </c>
      <c r="B3" t="s">
        <v>805</v>
      </c>
      <c r="C3" t="s">
        <v>806</v>
      </c>
    </row>
    <row r="4" spans="1:3" x14ac:dyDescent="0.3">
      <c r="A4" s="27" t="s">
        <v>34</v>
      </c>
      <c r="B4">
        <v>14076.35</v>
      </c>
      <c r="C4">
        <v>4322.6099999999997</v>
      </c>
    </row>
    <row r="5" spans="1:3" x14ac:dyDescent="0.3">
      <c r="A5" s="27" t="s">
        <v>75</v>
      </c>
      <c r="B5">
        <v>36539.25</v>
      </c>
      <c r="C5">
        <v>10237.879999999999</v>
      </c>
    </row>
    <row r="6" spans="1:3" x14ac:dyDescent="0.3">
      <c r="A6" s="27" t="s">
        <v>71</v>
      </c>
      <c r="B6">
        <v>28579.070000000003</v>
      </c>
      <c r="C6">
        <v>7976.39</v>
      </c>
    </row>
    <row r="7" spans="1:3" x14ac:dyDescent="0.3">
      <c r="A7" s="27" t="s">
        <v>78</v>
      </c>
      <c r="B7">
        <v>39119.29</v>
      </c>
      <c r="C7">
        <v>10480.899999999998</v>
      </c>
    </row>
    <row r="8" spans="1:3" x14ac:dyDescent="0.3">
      <c r="A8" s="27" t="s">
        <v>83</v>
      </c>
      <c r="B8">
        <v>29912.000000000004</v>
      </c>
      <c r="C8">
        <v>9234.0300000000025</v>
      </c>
    </row>
    <row r="9" spans="1:3" x14ac:dyDescent="0.3">
      <c r="A9" s="27" t="s">
        <v>26</v>
      </c>
      <c r="B9">
        <v>25532.23</v>
      </c>
      <c r="C9">
        <v>7308.920000000001</v>
      </c>
    </row>
    <row r="10" spans="1:3" x14ac:dyDescent="0.3">
      <c r="A10" s="27" t="s">
        <v>157</v>
      </c>
      <c r="B10">
        <v>23642.310000000005</v>
      </c>
      <c r="C10">
        <v>6054.28</v>
      </c>
    </row>
    <row r="11" spans="1:3" x14ac:dyDescent="0.3">
      <c r="A11" s="27" t="s">
        <v>17</v>
      </c>
      <c r="B11">
        <v>25063.020000000004</v>
      </c>
      <c r="C11">
        <v>7409.7800000000007</v>
      </c>
    </row>
    <row r="12" spans="1:3" x14ac:dyDescent="0.3">
      <c r="A12" s="27" t="s">
        <v>95</v>
      </c>
      <c r="B12">
        <v>30288.910000000003</v>
      </c>
      <c r="C12">
        <v>8441.1899999999987</v>
      </c>
    </row>
    <row r="13" spans="1:3" x14ac:dyDescent="0.3">
      <c r="A13" s="27" t="s">
        <v>56</v>
      </c>
      <c r="B13">
        <v>38692.6</v>
      </c>
      <c r="C13">
        <v>11775.910000000003</v>
      </c>
    </row>
    <row r="14" spans="1:3" x14ac:dyDescent="0.3">
      <c r="A14" s="27" t="s">
        <v>86</v>
      </c>
      <c r="B14">
        <v>27450.579999999998</v>
      </c>
      <c r="C14">
        <v>7448.9700000000021</v>
      </c>
    </row>
    <row r="15" spans="1:3" x14ac:dyDescent="0.3">
      <c r="A15" s="27" t="s">
        <v>104</v>
      </c>
      <c r="B15">
        <v>32154.879999999997</v>
      </c>
      <c r="C15">
        <v>10348.179999999998</v>
      </c>
    </row>
    <row r="16" spans="1:3" x14ac:dyDescent="0.3">
      <c r="A16" s="27" t="s">
        <v>107</v>
      </c>
      <c r="B16">
        <v>25044.649999999998</v>
      </c>
      <c r="C16">
        <v>6249.32</v>
      </c>
    </row>
    <row r="17" spans="1:8" x14ac:dyDescent="0.3">
      <c r="A17" s="27" t="s">
        <v>61</v>
      </c>
      <c r="B17">
        <v>9732.4599999999991</v>
      </c>
      <c r="C17">
        <v>2537.1800000000007</v>
      </c>
    </row>
    <row r="18" spans="1:8" x14ac:dyDescent="0.3">
      <c r="A18" s="27" t="s">
        <v>132</v>
      </c>
      <c r="B18">
        <v>31766.41</v>
      </c>
      <c r="C18">
        <v>7763.1299999999983</v>
      </c>
    </row>
    <row r="19" spans="1:8" x14ac:dyDescent="0.3">
      <c r="A19" s="27" t="s">
        <v>39</v>
      </c>
      <c r="B19">
        <v>25371.880000000005</v>
      </c>
      <c r="C19">
        <v>7552.51</v>
      </c>
    </row>
    <row r="20" spans="1:8" x14ac:dyDescent="0.3">
      <c r="A20" s="27" t="s">
        <v>68</v>
      </c>
      <c r="B20">
        <v>31738.729999999996</v>
      </c>
      <c r="C20">
        <v>8387.18</v>
      </c>
    </row>
    <row r="21" spans="1:8" x14ac:dyDescent="0.3">
      <c r="A21" s="27" t="s">
        <v>803</v>
      </c>
    </row>
    <row r="22" spans="1:8" x14ac:dyDescent="0.3">
      <c r="A22" s="27" t="s">
        <v>804</v>
      </c>
      <c r="B22">
        <v>474704.62000000005</v>
      </c>
      <c r="C22">
        <v>133528.35999999999</v>
      </c>
    </row>
    <row r="26" spans="1:8" x14ac:dyDescent="0.3">
      <c r="A26" s="26" t="s">
        <v>805</v>
      </c>
      <c r="B26" s="26" t="s">
        <v>807</v>
      </c>
    </row>
    <row r="27" spans="1:8" x14ac:dyDescent="0.3">
      <c r="A27" s="26" t="s">
        <v>802</v>
      </c>
      <c r="B27" t="s">
        <v>102</v>
      </c>
      <c r="C27" t="s">
        <v>66</v>
      </c>
      <c r="D27" t="s">
        <v>32</v>
      </c>
      <c r="E27" t="s">
        <v>24</v>
      </c>
      <c r="F27" t="s">
        <v>148</v>
      </c>
      <c r="G27" t="s">
        <v>45</v>
      </c>
      <c r="H27" t="s">
        <v>804</v>
      </c>
    </row>
    <row r="28" spans="1:8" x14ac:dyDescent="0.3">
      <c r="A28" s="27" t="s">
        <v>21</v>
      </c>
      <c r="B28">
        <v>6956.41</v>
      </c>
      <c r="C28">
        <v>33225.639999999992</v>
      </c>
      <c r="D28">
        <v>30642.080000000002</v>
      </c>
      <c r="E28">
        <v>24079.71</v>
      </c>
      <c r="F28">
        <v>6810.06</v>
      </c>
      <c r="G28">
        <v>8480.99</v>
      </c>
      <c r="H28">
        <v>110194.89</v>
      </c>
    </row>
    <row r="29" spans="1:8" x14ac:dyDescent="0.3">
      <c r="A29" s="27" t="s">
        <v>50</v>
      </c>
      <c r="B29">
        <v>6721.25</v>
      </c>
      <c r="C29">
        <v>30263.43</v>
      </c>
      <c r="D29">
        <v>11433.35</v>
      </c>
      <c r="E29">
        <v>9625.9699999999993</v>
      </c>
      <c r="F29">
        <v>12174.14</v>
      </c>
      <c r="G29">
        <v>2134.23</v>
      </c>
      <c r="H29">
        <v>72352.37</v>
      </c>
    </row>
    <row r="30" spans="1:8" x14ac:dyDescent="0.3">
      <c r="A30" s="27" t="s">
        <v>43</v>
      </c>
      <c r="B30">
        <v>7452.9400000000005</v>
      </c>
      <c r="C30">
        <v>34174.130000000005</v>
      </c>
      <c r="D30">
        <v>25086.150000000005</v>
      </c>
      <c r="E30">
        <v>22495.010000000002</v>
      </c>
      <c r="F30">
        <v>8892.01</v>
      </c>
      <c r="G30">
        <v>16927.670000000002</v>
      </c>
      <c r="H30">
        <v>115027.91</v>
      </c>
    </row>
    <row r="31" spans="1:8" x14ac:dyDescent="0.3">
      <c r="A31" s="27" t="s">
        <v>59</v>
      </c>
      <c r="B31">
        <v>8364.44</v>
      </c>
      <c r="C31">
        <v>51860.89</v>
      </c>
      <c r="D31">
        <v>33685.94</v>
      </c>
      <c r="E31">
        <v>26924.320000000003</v>
      </c>
      <c r="F31">
        <v>6972.93</v>
      </c>
      <c r="G31">
        <v>2088.92</v>
      </c>
      <c r="H31">
        <v>129897.44000000002</v>
      </c>
    </row>
    <row r="32" spans="1:8" x14ac:dyDescent="0.3">
      <c r="A32" s="27" t="s">
        <v>65</v>
      </c>
      <c r="C32">
        <v>21644.309999999998</v>
      </c>
      <c r="D32">
        <v>14367.099999999999</v>
      </c>
      <c r="E32">
        <v>3820.0600000000004</v>
      </c>
      <c r="F32">
        <v>2168.3200000000002</v>
      </c>
      <c r="G32">
        <v>5232.22</v>
      </c>
      <c r="H32">
        <v>47232.009999999995</v>
      </c>
    </row>
    <row r="33" spans="1:8" x14ac:dyDescent="0.3">
      <c r="A33" s="27" t="s">
        <v>804</v>
      </c>
      <c r="B33">
        <v>29495.040000000001</v>
      </c>
      <c r="C33">
        <v>171168.4</v>
      </c>
      <c r="D33">
        <v>115214.62</v>
      </c>
      <c r="E33">
        <v>86945.07</v>
      </c>
      <c r="F33">
        <v>37017.46</v>
      </c>
      <c r="G33">
        <v>34864.03</v>
      </c>
      <c r="H33">
        <v>474704.62000000005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7C870-C98C-4383-A6C9-91E9A65B788E}">
  <dimension ref="A1:Q501"/>
  <sheetViews>
    <sheetView topLeftCell="A466" zoomScale="74" workbookViewId="0">
      <selection sqref="A1:O501"/>
    </sheetView>
  </sheetViews>
  <sheetFormatPr defaultRowHeight="14.4" x14ac:dyDescent="0.3"/>
  <cols>
    <col min="1" max="1" width="14.77734375" bestFit="1" customWidth="1"/>
    <col min="2" max="2" width="13.33203125" customWidth="1"/>
    <col min="3" max="3" width="17.6640625" customWidth="1"/>
    <col min="4" max="4" width="10.88671875" bestFit="1" customWidth="1"/>
    <col min="5" max="5" width="16.109375" bestFit="1" customWidth="1"/>
    <col min="6" max="6" width="11.21875" bestFit="1" customWidth="1"/>
    <col min="7" max="7" width="11" customWidth="1"/>
    <col min="8" max="8" width="12" customWidth="1"/>
    <col min="9" max="9" width="13.109375" style="8" customWidth="1"/>
    <col min="10" max="10" width="15.77734375" customWidth="1"/>
    <col min="11" max="11" width="8" bestFit="1" customWidth="1"/>
    <col min="12" max="12" width="13.21875" customWidth="1"/>
    <col min="13" max="13" width="15.6640625" customWidth="1"/>
    <col min="14" max="14" width="14.6640625" customWidth="1"/>
    <col min="15" max="15" width="10.6640625" bestFit="1" customWidth="1"/>
    <col min="16" max="16" width="5.6640625" bestFit="1" customWidth="1"/>
    <col min="17" max="17" width="12.1093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9" t="s">
        <v>808</v>
      </c>
      <c r="P1" s="2"/>
      <c r="Q1" s="2"/>
    </row>
    <row r="2" spans="1:17" x14ac:dyDescent="0.3">
      <c r="A2" t="s">
        <v>16</v>
      </c>
      <c r="B2" s="23" t="s">
        <v>17</v>
      </c>
      <c r="C2" t="s">
        <v>18</v>
      </c>
      <c r="D2" t="s">
        <v>19</v>
      </c>
      <c r="E2" t="s">
        <v>20</v>
      </c>
      <c r="F2" t="s">
        <v>21</v>
      </c>
      <c r="G2">
        <v>20</v>
      </c>
      <c r="H2" s="4">
        <v>55.22</v>
      </c>
      <c r="I2">
        <v>1104.4000000000001</v>
      </c>
      <c r="J2">
        <v>49.36</v>
      </c>
      <c r="K2">
        <v>355.04</v>
      </c>
      <c r="L2" t="s">
        <v>22</v>
      </c>
      <c r="M2" t="s">
        <v>23</v>
      </c>
      <c r="N2" t="s">
        <v>24</v>
      </c>
      <c r="O2" s="23">
        <f>DATE(YEAR(Table1[[#This Row],[Order_Date]]), MONTH(Table1[[#This Row],[Order_Date]]), 1)</f>
        <v>45658</v>
      </c>
      <c r="Q2" s="5"/>
    </row>
    <row r="3" spans="1:17" x14ac:dyDescent="0.3">
      <c r="A3" t="s">
        <v>25</v>
      </c>
      <c r="B3" s="23" t="s">
        <v>26</v>
      </c>
      <c r="C3" t="s">
        <v>27</v>
      </c>
      <c r="D3" t="s">
        <v>28</v>
      </c>
      <c r="E3" t="s">
        <v>29</v>
      </c>
      <c r="F3" t="s">
        <v>21</v>
      </c>
      <c r="G3">
        <v>33</v>
      </c>
      <c r="H3" s="4">
        <v>32.03</v>
      </c>
      <c r="I3" s="8">
        <v>1056.99</v>
      </c>
      <c r="J3">
        <v>59.59</v>
      </c>
      <c r="K3">
        <v>403.4</v>
      </c>
      <c r="L3" t="s">
        <v>30</v>
      </c>
      <c r="M3" t="s">
        <v>31</v>
      </c>
      <c r="N3" t="s">
        <v>32</v>
      </c>
      <c r="O3" s="23">
        <f>DATE(YEAR(Table1[[#This Row],[Order_Date]]), MONTH(Table1[[#This Row],[Order_Date]]), 1)</f>
        <v>45689</v>
      </c>
      <c r="Q3" s="5"/>
    </row>
    <row r="4" spans="1:17" x14ac:dyDescent="0.3">
      <c r="A4" t="s">
        <v>33</v>
      </c>
      <c r="B4" s="23" t="s">
        <v>34</v>
      </c>
      <c r="C4" t="s">
        <v>35</v>
      </c>
      <c r="D4" t="s">
        <v>36</v>
      </c>
      <c r="E4" t="s">
        <v>29</v>
      </c>
      <c r="F4" t="s">
        <v>21</v>
      </c>
      <c r="G4">
        <v>34</v>
      </c>
      <c r="H4" s="4">
        <v>28.48</v>
      </c>
      <c r="I4" s="8">
        <v>968.32</v>
      </c>
      <c r="J4">
        <v>73.95</v>
      </c>
      <c r="K4">
        <v>282.37</v>
      </c>
      <c r="L4" t="s">
        <v>22</v>
      </c>
      <c r="M4" t="s">
        <v>37</v>
      </c>
      <c r="N4" t="s">
        <v>32</v>
      </c>
      <c r="O4" s="23">
        <f>DATE(YEAR(Table1[[#This Row],[Order_Date]]), MONTH(Table1[[#This Row],[Order_Date]]), 1)</f>
        <v>45383</v>
      </c>
      <c r="Q4" s="5"/>
    </row>
    <row r="5" spans="1:17" x14ac:dyDescent="0.3">
      <c r="A5" t="s">
        <v>38</v>
      </c>
      <c r="B5" s="23" t="s">
        <v>39</v>
      </c>
      <c r="C5" t="s">
        <v>40</v>
      </c>
      <c r="D5" t="s">
        <v>41</v>
      </c>
      <c r="E5" t="s">
        <v>42</v>
      </c>
      <c r="F5" t="s">
        <v>43</v>
      </c>
      <c r="G5">
        <v>6</v>
      </c>
      <c r="H5" s="4">
        <v>56.36</v>
      </c>
      <c r="I5" s="8">
        <v>338.16</v>
      </c>
      <c r="J5">
        <v>11.39</v>
      </c>
      <c r="K5">
        <v>134.77000000000001</v>
      </c>
      <c r="L5" t="s">
        <v>44</v>
      </c>
      <c r="M5" t="s">
        <v>31</v>
      </c>
      <c r="N5" t="s">
        <v>45</v>
      </c>
      <c r="O5" s="23">
        <f>DATE(YEAR(Table1[[#This Row],[Order_Date]]), MONTH(Table1[[#This Row],[Order_Date]]), 1)</f>
        <v>45566</v>
      </c>
      <c r="Q5" s="5"/>
    </row>
    <row r="6" spans="1:17" x14ac:dyDescent="0.3">
      <c r="A6" t="s">
        <v>46</v>
      </c>
      <c r="B6" s="23" t="s">
        <v>26</v>
      </c>
      <c r="C6" t="s">
        <v>47</v>
      </c>
      <c r="D6" t="s">
        <v>48</v>
      </c>
      <c r="E6" t="s">
        <v>49</v>
      </c>
      <c r="F6" t="s">
        <v>50</v>
      </c>
      <c r="G6">
        <v>17</v>
      </c>
      <c r="H6" s="4">
        <v>69.22</v>
      </c>
      <c r="I6" s="8">
        <v>1176.74</v>
      </c>
      <c r="J6">
        <v>65.94</v>
      </c>
      <c r="K6">
        <v>430.8</v>
      </c>
      <c r="L6" t="s">
        <v>30</v>
      </c>
      <c r="M6" t="s">
        <v>23</v>
      </c>
      <c r="N6" t="s">
        <v>24</v>
      </c>
      <c r="O6" s="23">
        <f>DATE(YEAR(Table1[[#This Row],[Order_Date]]), MONTH(Table1[[#This Row],[Order_Date]]), 1)</f>
        <v>45689</v>
      </c>
      <c r="Q6" s="5"/>
    </row>
    <row r="7" spans="1:17" x14ac:dyDescent="0.3">
      <c r="A7" t="s">
        <v>51</v>
      </c>
      <c r="B7" s="23" t="s">
        <v>26</v>
      </c>
      <c r="C7" t="s">
        <v>52</v>
      </c>
      <c r="D7" t="s">
        <v>53</v>
      </c>
      <c r="E7" t="s">
        <v>54</v>
      </c>
      <c r="F7" t="s">
        <v>43</v>
      </c>
      <c r="G7">
        <v>13</v>
      </c>
      <c r="H7" s="4">
        <v>27.94</v>
      </c>
      <c r="I7" s="8">
        <v>363.22</v>
      </c>
      <c r="J7">
        <v>15.36</v>
      </c>
      <c r="K7">
        <v>87.86</v>
      </c>
      <c r="L7" t="s">
        <v>30</v>
      </c>
      <c r="M7" t="s">
        <v>23</v>
      </c>
      <c r="N7" t="s">
        <v>24</v>
      </c>
      <c r="O7" s="23">
        <f>DATE(YEAR(Table1[[#This Row],[Order_Date]]), MONTH(Table1[[#This Row],[Order_Date]]), 1)</f>
        <v>45689</v>
      </c>
      <c r="Q7" s="5"/>
    </row>
    <row r="8" spans="1:17" x14ac:dyDescent="0.3">
      <c r="A8" t="s">
        <v>55</v>
      </c>
      <c r="B8" s="23" t="s">
        <v>56</v>
      </c>
      <c r="C8" t="s">
        <v>57</v>
      </c>
      <c r="D8" t="s">
        <v>28</v>
      </c>
      <c r="E8" t="s">
        <v>58</v>
      </c>
      <c r="F8" t="s">
        <v>59</v>
      </c>
      <c r="G8">
        <v>3</v>
      </c>
      <c r="H8" s="4">
        <v>31.52</v>
      </c>
      <c r="I8" s="8">
        <v>94.56</v>
      </c>
      <c r="J8">
        <v>6.98</v>
      </c>
      <c r="K8">
        <v>20.079999999999998</v>
      </c>
      <c r="L8" t="s">
        <v>22</v>
      </c>
      <c r="M8" t="s">
        <v>37</v>
      </c>
      <c r="N8" t="s">
        <v>32</v>
      </c>
      <c r="O8" s="23">
        <f>DATE(YEAR(Table1[[#This Row],[Order_Date]]), MONTH(Table1[[#This Row],[Order_Date]]), 1)</f>
        <v>45444</v>
      </c>
      <c r="Q8" s="5"/>
    </row>
    <row r="9" spans="1:17" x14ac:dyDescent="0.3">
      <c r="A9" t="s">
        <v>60</v>
      </c>
      <c r="B9" s="23" t="s">
        <v>61</v>
      </c>
      <c r="C9" t="s">
        <v>62</v>
      </c>
      <c r="D9" t="s">
        <v>63</v>
      </c>
      <c r="E9" t="s">
        <v>64</v>
      </c>
      <c r="F9" t="s">
        <v>65</v>
      </c>
      <c r="G9">
        <v>14</v>
      </c>
      <c r="H9" s="4">
        <v>30.71</v>
      </c>
      <c r="I9" s="8">
        <v>429.94</v>
      </c>
      <c r="J9">
        <v>13.03</v>
      </c>
      <c r="K9">
        <v>66.91</v>
      </c>
      <c r="L9" t="s">
        <v>30</v>
      </c>
      <c r="M9" t="s">
        <v>23</v>
      </c>
      <c r="N9" t="s">
        <v>66</v>
      </c>
      <c r="O9" s="23">
        <f>DATE(YEAR(Table1[[#This Row],[Order_Date]]), MONTH(Table1[[#This Row],[Order_Date]]), 1)</f>
        <v>45778</v>
      </c>
      <c r="Q9" s="5"/>
    </row>
    <row r="10" spans="1:17" x14ac:dyDescent="0.3">
      <c r="A10" t="s">
        <v>67</v>
      </c>
      <c r="B10" s="23" t="s">
        <v>68</v>
      </c>
      <c r="C10" t="s">
        <v>35</v>
      </c>
      <c r="D10" t="s">
        <v>19</v>
      </c>
      <c r="E10" t="s">
        <v>69</v>
      </c>
      <c r="F10" t="s">
        <v>59</v>
      </c>
      <c r="G10">
        <v>47</v>
      </c>
      <c r="H10" s="4">
        <v>24.47</v>
      </c>
      <c r="I10" s="8">
        <v>1150.0899999999999</v>
      </c>
      <c r="J10">
        <v>61.3</v>
      </c>
      <c r="K10">
        <v>360.29</v>
      </c>
      <c r="L10" t="s">
        <v>30</v>
      </c>
      <c r="M10" t="s">
        <v>23</v>
      </c>
      <c r="N10" t="s">
        <v>24</v>
      </c>
      <c r="O10" s="23">
        <f>DATE(YEAR(Table1[[#This Row],[Order_Date]]), MONTH(Table1[[#This Row],[Order_Date]]), 1)</f>
        <v>45536</v>
      </c>
      <c r="Q10" s="5"/>
    </row>
    <row r="11" spans="1:17" x14ac:dyDescent="0.3">
      <c r="A11" t="s">
        <v>70</v>
      </c>
      <c r="B11" s="23" t="s">
        <v>71</v>
      </c>
      <c r="C11" t="s">
        <v>72</v>
      </c>
      <c r="D11" t="s">
        <v>36</v>
      </c>
      <c r="E11" t="s">
        <v>73</v>
      </c>
      <c r="F11" t="s">
        <v>43</v>
      </c>
      <c r="G11">
        <v>27</v>
      </c>
      <c r="H11" s="4">
        <v>18.98</v>
      </c>
      <c r="I11" s="8">
        <v>512.46</v>
      </c>
      <c r="J11">
        <v>28.89</v>
      </c>
      <c r="K11">
        <v>139.32</v>
      </c>
      <c r="L11" t="s">
        <v>30</v>
      </c>
      <c r="M11" t="s">
        <v>37</v>
      </c>
      <c r="N11" t="s">
        <v>32</v>
      </c>
      <c r="O11" s="23">
        <f>DATE(YEAR(Table1[[#This Row],[Order_Date]]), MONTH(Table1[[#This Row],[Order_Date]]), 1)</f>
        <v>45505</v>
      </c>
      <c r="Q11" s="5"/>
    </row>
    <row r="12" spans="1:17" x14ac:dyDescent="0.3">
      <c r="A12" t="s">
        <v>74</v>
      </c>
      <c r="B12" s="23" t="s">
        <v>75</v>
      </c>
      <c r="C12" t="s">
        <v>76</v>
      </c>
      <c r="D12" t="s">
        <v>63</v>
      </c>
      <c r="E12" t="s">
        <v>20</v>
      </c>
      <c r="F12" t="s">
        <v>21</v>
      </c>
      <c r="G12">
        <v>32</v>
      </c>
      <c r="H12" s="4">
        <v>57.84</v>
      </c>
      <c r="I12" s="8">
        <v>1850.88</v>
      </c>
      <c r="J12">
        <v>55.15</v>
      </c>
      <c r="K12">
        <v>675.73</v>
      </c>
      <c r="L12" t="s">
        <v>22</v>
      </c>
      <c r="M12" t="s">
        <v>23</v>
      </c>
      <c r="N12" t="s">
        <v>66</v>
      </c>
      <c r="O12" s="23">
        <f>DATE(YEAR(Table1[[#This Row],[Order_Date]]), MONTH(Table1[[#This Row],[Order_Date]]), 1)</f>
        <v>45748</v>
      </c>
      <c r="Q12" s="5"/>
    </row>
    <row r="13" spans="1:17" x14ac:dyDescent="0.3">
      <c r="A13" t="s">
        <v>77</v>
      </c>
      <c r="B13" s="23" t="s">
        <v>78</v>
      </c>
      <c r="C13" t="s">
        <v>79</v>
      </c>
      <c r="D13" t="s">
        <v>48</v>
      </c>
      <c r="E13" t="s">
        <v>49</v>
      </c>
      <c r="F13" t="s">
        <v>50</v>
      </c>
      <c r="G13">
        <v>49</v>
      </c>
      <c r="H13" s="4">
        <v>58.77</v>
      </c>
      <c r="I13" s="8">
        <v>2879.73</v>
      </c>
      <c r="J13">
        <v>140.29</v>
      </c>
      <c r="K13">
        <v>779.44</v>
      </c>
      <c r="L13" t="s">
        <v>44</v>
      </c>
      <c r="M13" t="s">
        <v>37</v>
      </c>
      <c r="N13" t="s">
        <v>24</v>
      </c>
      <c r="O13" s="23">
        <f>DATE(YEAR(Table1[[#This Row],[Order_Date]]), MONTH(Table1[[#This Row],[Order_Date]]), 1)</f>
        <v>45627</v>
      </c>
      <c r="Q13" s="5"/>
    </row>
    <row r="14" spans="1:17" x14ac:dyDescent="0.3">
      <c r="A14" t="s">
        <v>80</v>
      </c>
      <c r="B14" s="23" t="s">
        <v>68</v>
      </c>
      <c r="C14" t="s">
        <v>76</v>
      </c>
      <c r="D14" t="s">
        <v>81</v>
      </c>
      <c r="E14" t="s">
        <v>20</v>
      </c>
      <c r="F14" t="s">
        <v>21</v>
      </c>
      <c r="G14">
        <v>43</v>
      </c>
      <c r="H14" s="4">
        <v>56.92</v>
      </c>
      <c r="I14" s="8">
        <v>2447.56</v>
      </c>
      <c r="J14">
        <v>140.4</v>
      </c>
      <c r="K14">
        <v>802.16</v>
      </c>
      <c r="L14" t="s">
        <v>22</v>
      </c>
      <c r="M14" t="s">
        <v>31</v>
      </c>
      <c r="N14" t="s">
        <v>66</v>
      </c>
      <c r="O14" s="23">
        <f>DATE(YEAR(Table1[[#This Row],[Order_Date]]), MONTH(Table1[[#This Row],[Order_Date]]), 1)</f>
        <v>45536</v>
      </c>
      <c r="Q14" s="5"/>
    </row>
    <row r="15" spans="1:17" x14ac:dyDescent="0.3">
      <c r="A15" t="s">
        <v>82</v>
      </c>
      <c r="B15" s="23" t="s">
        <v>83</v>
      </c>
      <c r="C15" t="s">
        <v>84</v>
      </c>
      <c r="D15" t="s">
        <v>36</v>
      </c>
      <c r="E15" t="s">
        <v>64</v>
      </c>
      <c r="F15" t="s">
        <v>65</v>
      </c>
      <c r="G15">
        <v>32</v>
      </c>
      <c r="H15" s="4">
        <v>43.45</v>
      </c>
      <c r="I15" s="8">
        <v>1390.4</v>
      </c>
      <c r="J15">
        <v>30.04</v>
      </c>
      <c r="K15">
        <v>560.36</v>
      </c>
      <c r="L15" t="s">
        <v>22</v>
      </c>
      <c r="M15" t="s">
        <v>37</v>
      </c>
      <c r="N15" t="s">
        <v>32</v>
      </c>
      <c r="O15" s="23">
        <f>DATE(YEAR(Table1[[#This Row],[Order_Date]]), MONTH(Table1[[#This Row],[Order_Date]]), 1)</f>
        <v>45323</v>
      </c>
      <c r="Q15" s="5"/>
    </row>
    <row r="16" spans="1:17" x14ac:dyDescent="0.3">
      <c r="A16" t="s">
        <v>85</v>
      </c>
      <c r="B16" s="23" t="s">
        <v>86</v>
      </c>
      <c r="C16" t="s">
        <v>87</v>
      </c>
      <c r="D16" t="s">
        <v>88</v>
      </c>
      <c r="E16" t="s">
        <v>64</v>
      </c>
      <c r="F16" t="s">
        <v>65</v>
      </c>
      <c r="G16">
        <v>22</v>
      </c>
      <c r="H16" s="4">
        <v>42.59</v>
      </c>
      <c r="I16" s="8">
        <v>936.98</v>
      </c>
      <c r="J16">
        <v>29.87</v>
      </c>
      <c r="K16">
        <v>357.11</v>
      </c>
      <c r="L16" t="s">
        <v>30</v>
      </c>
      <c r="M16" t="s">
        <v>37</v>
      </c>
      <c r="N16" t="s">
        <v>66</v>
      </c>
      <c r="O16" s="23">
        <f>DATE(YEAR(Table1[[#This Row],[Order_Date]]), MONTH(Table1[[#This Row],[Order_Date]]), 1)</f>
        <v>45352</v>
      </c>
      <c r="Q16" s="5"/>
    </row>
    <row r="17" spans="1:17" x14ac:dyDescent="0.3">
      <c r="A17" t="s">
        <v>89</v>
      </c>
      <c r="B17" s="23" t="s">
        <v>68</v>
      </c>
      <c r="C17" t="s">
        <v>90</v>
      </c>
      <c r="D17" t="s">
        <v>91</v>
      </c>
      <c r="E17" t="s">
        <v>54</v>
      </c>
      <c r="F17" t="s">
        <v>43</v>
      </c>
      <c r="G17">
        <v>48</v>
      </c>
      <c r="H17" s="4">
        <v>25.36</v>
      </c>
      <c r="I17" s="8">
        <v>1217.28</v>
      </c>
      <c r="J17">
        <v>49.68</v>
      </c>
      <c r="K17">
        <v>207.6</v>
      </c>
      <c r="L17" t="s">
        <v>30</v>
      </c>
      <c r="M17" t="s">
        <v>23</v>
      </c>
      <c r="N17" t="s">
        <v>66</v>
      </c>
      <c r="O17" s="23">
        <f>DATE(YEAR(Table1[[#This Row],[Order_Date]]), MONTH(Table1[[#This Row],[Order_Date]]), 1)</f>
        <v>45536</v>
      </c>
      <c r="Q17" s="5"/>
    </row>
    <row r="18" spans="1:17" x14ac:dyDescent="0.3">
      <c r="A18" t="s">
        <v>92</v>
      </c>
      <c r="B18" s="23" t="s">
        <v>71</v>
      </c>
      <c r="C18" t="s">
        <v>76</v>
      </c>
      <c r="D18" t="s">
        <v>88</v>
      </c>
      <c r="E18" t="s">
        <v>29</v>
      </c>
      <c r="F18" t="s">
        <v>21</v>
      </c>
      <c r="G18">
        <v>48</v>
      </c>
      <c r="H18" s="4">
        <v>30.07</v>
      </c>
      <c r="I18" s="8">
        <v>1443.36</v>
      </c>
      <c r="J18">
        <v>102.31</v>
      </c>
      <c r="K18">
        <v>477.05</v>
      </c>
      <c r="L18" t="s">
        <v>44</v>
      </c>
      <c r="M18" t="s">
        <v>23</v>
      </c>
      <c r="N18" t="s">
        <v>66</v>
      </c>
      <c r="O18" s="23">
        <f>DATE(YEAR(Table1[[#This Row],[Order_Date]]), MONTH(Table1[[#This Row],[Order_Date]]), 1)</f>
        <v>45505</v>
      </c>
      <c r="Q18" s="5"/>
    </row>
    <row r="19" spans="1:17" x14ac:dyDescent="0.3">
      <c r="A19" t="s">
        <v>93</v>
      </c>
      <c r="B19" s="23" t="s">
        <v>68</v>
      </c>
      <c r="C19" t="s">
        <v>52</v>
      </c>
      <c r="D19" t="s">
        <v>88</v>
      </c>
      <c r="E19" t="s">
        <v>54</v>
      </c>
      <c r="F19" t="s">
        <v>43</v>
      </c>
      <c r="G19">
        <v>6</v>
      </c>
      <c r="H19" s="4">
        <v>32.17</v>
      </c>
      <c r="I19" s="8">
        <v>193.02</v>
      </c>
      <c r="J19">
        <v>14.45</v>
      </c>
      <c r="K19">
        <v>58.57</v>
      </c>
      <c r="L19" t="s">
        <v>44</v>
      </c>
      <c r="M19" t="s">
        <v>23</v>
      </c>
      <c r="N19" t="s">
        <v>66</v>
      </c>
      <c r="O19" s="23">
        <f>DATE(YEAR(Table1[[#This Row],[Order_Date]]), MONTH(Table1[[#This Row],[Order_Date]]), 1)</f>
        <v>45536</v>
      </c>
      <c r="Q19" s="5"/>
    </row>
    <row r="20" spans="1:17" x14ac:dyDescent="0.3">
      <c r="A20" t="s">
        <v>94</v>
      </c>
      <c r="B20" s="23" t="s">
        <v>95</v>
      </c>
      <c r="C20" t="s">
        <v>96</v>
      </c>
      <c r="D20" t="s">
        <v>81</v>
      </c>
      <c r="E20" t="s">
        <v>29</v>
      </c>
      <c r="F20" t="s">
        <v>21</v>
      </c>
      <c r="G20">
        <v>37</v>
      </c>
      <c r="H20" s="4">
        <v>24.14</v>
      </c>
      <c r="I20" s="8">
        <v>893.18</v>
      </c>
      <c r="J20">
        <v>31.39</v>
      </c>
      <c r="K20">
        <v>195.79</v>
      </c>
      <c r="L20" t="s">
        <v>30</v>
      </c>
      <c r="M20" t="s">
        <v>31</v>
      </c>
      <c r="N20" t="s">
        <v>66</v>
      </c>
      <c r="O20" s="23">
        <f>DATE(YEAR(Table1[[#This Row],[Order_Date]]), MONTH(Table1[[#This Row],[Order_Date]]), 1)</f>
        <v>45474</v>
      </c>
      <c r="Q20" s="5"/>
    </row>
    <row r="21" spans="1:17" x14ac:dyDescent="0.3">
      <c r="A21" t="s">
        <v>97</v>
      </c>
      <c r="B21" s="23" t="s">
        <v>75</v>
      </c>
      <c r="C21" t="s">
        <v>47</v>
      </c>
      <c r="D21" t="s">
        <v>28</v>
      </c>
      <c r="E21" t="s">
        <v>98</v>
      </c>
      <c r="F21" t="s">
        <v>59</v>
      </c>
      <c r="G21">
        <v>39</v>
      </c>
      <c r="H21" s="4">
        <v>37.840000000000003</v>
      </c>
      <c r="I21" s="8">
        <v>1475.76</v>
      </c>
      <c r="J21">
        <v>73.400000000000006</v>
      </c>
      <c r="K21">
        <v>310.36</v>
      </c>
      <c r="L21" t="s">
        <v>30</v>
      </c>
      <c r="M21" t="s">
        <v>37</v>
      </c>
      <c r="N21" t="s">
        <v>32</v>
      </c>
      <c r="O21" s="23">
        <f>DATE(YEAR(Table1[[#This Row],[Order_Date]]), MONTH(Table1[[#This Row],[Order_Date]]), 1)</f>
        <v>45748</v>
      </c>
      <c r="Q21" s="5"/>
    </row>
    <row r="22" spans="1:17" x14ac:dyDescent="0.3">
      <c r="A22" t="s">
        <v>99</v>
      </c>
      <c r="B22" s="23" t="s">
        <v>26</v>
      </c>
      <c r="C22" t="s">
        <v>100</v>
      </c>
      <c r="D22" t="s">
        <v>101</v>
      </c>
      <c r="E22" t="s">
        <v>49</v>
      </c>
      <c r="F22" t="s">
        <v>50</v>
      </c>
      <c r="G22">
        <v>6</v>
      </c>
      <c r="H22" s="4">
        <v>68.77</v>
      </c>
      <c r="I22" s="8">
        <v>412.62</v>
      </c>
      <c r="J22">
        <v>17.18</v>
      </c>
      <c r="K22">
        <v>155.44</v>
      </c>
      <c r="L22" t="s">
        <v>30</v>
      </c>
      <c r="M22" t="s">
        <v>23</v>
      </c>
      <c r="N22" t="s">
        <v>102</v>
      </c>
      <c r="O22" s="23">
        <f>DATE(YEAR(Table1[[#This Row],[Order_Date]]), MONTH(Table1[[#This Row],[Order_Date]]), 1)</f>
        <v>45689</v>
      </c>
      <c r="Q22" s="5"/>
    </row>
    <row r="23" spans="1:17" x14ac:dyDescent="0.3">
      <c r="A23" t="s">
        <v>103</v>
      </c>
      <c r="B23" s="23" t="s">
        <v>104</v>
      </c>
      <c r="C23" t="s">
        <v>105</v>
      </c>
      <c r="D23" t="s">
        <v>48</v>
      </c>
      <c r="E23" t="s">
        <v>73</v>
      </c>
      <c r="F23" t="s">
        <v>43</v>
      </c>
      <c r="G23">
        <v>6</v>
      </c>
      <c r="H23" s="4">
        <v>18.5</v>
      </c>
      <c r="I23" s="8">
        <v>111</v>
      </c>
      <c r="J23">
        <v>5.26</v>
      </c>
      <c r="K23">
        <v>29.24</v>
      </c>
      <c r="L23" t="s">
        <v>44</v>
      </c>
      <c r="M23" t="s">
        <v>31</v>
      </c>
      <c r="N23" t="s">
        <v>24</v>
      </c>
      <c r="O23" s="23">
        <f>DATE(YEAR(Table1[[#This Row],[Order_Date]]), MONTH(Table1[[#This Row],[Order_Date]]), 1)</f>
        <v>45717</v>
      </c>
      <c r="Q23" s="5"/>
    </row>
    <row r="24" spans="1:17" x14ac:dyDescent="0.3">
      <c r="A24" t="s">
        <v>106</v>
      </c>
      <c r="B24" s="23" t="s">
        <v>107</v>
      </c>
      <c r="C24" t="s">
        <v>108</v>
      </c>
      <c r="D24" t="s">
        <v>36</v>
      </c>
      <c r="E24" t="s">
        <v>58</v>
      </c>
      <c r="F24" t="s">
        <v>59</v>
      </c>
      <c r="G24">
        <v>33</v>
      </c>
      <c r="H24" s="4">
        <v>28.96</v>
      </c>
      <c r="I24" s="8">
        <v>955.68</v>
      </c>
      <c r="J24">
        <v>49.07</v>
      </c>
      <c r="K24">
        <v>164.11</v>
      </c>
      <c r="L24" t="s">
        <v>30</v>
      </c>
      <c r="M24" t="s">
        <v>23</v>
      </c>
      <c r="N24" t="s">
        <v>32</v>
      </c>
      <c r="O24" s="23">
        <f>DATE(YEAR(Table1[[#This Row],[Order_Date]]), MONTH(Table1[[#This Row],[Order_Date]]), 1)</f>
        <v>45413</v>
      </c>
      <c r="Q24" s="5"/>
    </row>
    <row r="25" spans="1:17" x14ac:dyDescent="0.3">
      <c r="A25" t="s">
        <v>109</v>
      </c>
      <c r="B25" s="23" t="s">
        <v>83</v>
      </c>
      <c r="C25" t="s">
        <v>110</v>
      </c>
      <c r="D25" t="s">
        <v>48</v>
      </c>
      <c r="E25" t="s">
        <v>58</v>
      </c>
      <c r="F25" t="s">
        <v>59</v>
      </c>
      <c r="G25">
        <v>31</v>
      </c>
      <c r="H25" s="4">
        <v>35.020000000000003</v>
      </c>
      <c r="I25" s="8">
        <v>1085.6199999999999</v>
      </c>
      <c r="J25">
        <v>74.650000000000006</v>
      </c>
      <c r="K25">
        <v>313.47000000000003</v>
      </c>
      <c r="L25" t="s">
        <v>44</v>
      </c>
      <c r="M25" t="s">
        <v>23</v>
      </c>
      <c r="N25" t="s">
        <v>24</v>
      </c>
      <c r="O25" s="23">
        <f>DATE(YEAR(Table1[[#This Row],[Order_Date]]), MONTH(Table1[[#This Row],[Order_Date]]), 1)</f>
        <v>45323</v>
      </c>
      <c r="Q25" s="5"/>
    </row>
    <row r="26" spans="1:17" x14ac:dyDescent="0.3">
      <c r="A26" t="s">
        <v>111</v>
      </c>
      <c r="B26" s="23" t="s">
        <v>75</v>
      </c>
      <c r="C26" t="s">
        <v>112</v>
      </c>
      <c r="D26" t="s">
        <v>48</v>
      </c>
      <c r="E26" t="s">
        <v>54</v>
      </c>
      <c r="F26" t="s">
        <v>43</v>
      </c>
      <c r="G26">
        <v>25</v>
      </c>
      <c r="H26" s="4">
        <v>31.57</v>
      </c>
      <c r="I26" s="8">
        <v>789.25</v>
      </c>
      <c r="J26">
        <v>56.47</v>
      </c>
      <c r="K26">
        <v>232.78</v>
      </c>
      <c r="L26" t="s">
        <v>30</v>
      </c>
      <c r="M26" t="s">
        <v>31</v>
      </c>
      <c r="N26" t="s">
        <v>24</v>
      </c>
      <c r="O26" s="23">
        <f>DATE(YEAR(Table1[[#This Row],[Order_Date]]), MONTH(Table1[[#This Row],[Order_Date]]), 1)</f>
        <v>45748</v>
      </c>
      <c r="Q26" s="5"/>
    </row>
    <row r="27" spans="1:17" x14ac:dyDescent="0.3">
      <c r="A27" t="s">
        <v>113</v>
      </c>
      <c r="B27" s="23" t="s">
        <v>78</v>
      </c>
      <c r="C27" t="s">
        <v>114</v>
      </c>
      <c r="D27" t="s">
        <v>36</v>
      </c>
      <c r="E27" t="s">
        <v>69</v>
      </c>
      <c r="F27" t="s">
        <v>59</v>
      </c>
      <c r="G27">
        <v>14</v>
      </c>
      <c r="H27" s="4">
        <v>27.08</v>
      </c>
      <c r="I27" s="8">
        <v>379.12</v>
      </c>
      <c r="J27">
        <v>11.12</v>
      </c>
      <c r="K27">
        <v>151</v>
      </c>
      <c r="L27" t="s">
        <v>30</v>
      </c>
      <c r="M27" t="s">
        <v>37</v>
      </c>
      <c r="N27" t="s">
        <v>32</v>
      </c>
      <c r="O27" s="23">
        <f>DATE(YEAR(Table1[[#This Row],[Order_Date]]), MONTH(Table1[[#This Row],[Order_Date]]), 1)</f>
        <v>45627</v>
      </c>
      <c r="Q27" s="5"/>
    </row>
    <row r="28" spans="1:17" x14ac:dyDescent="0.3">
      <c r="A28" t="s">
        <v>115</v>
      </c>
      <c r="B28" s="23" t="s">
        <v>56</v>
      </c>
      <c r="C28" t="s">
        <v>40</v>
      </c>
      <c r="D28" t="s">
        <v>36</v>
      </c>
      <c r="E28" t="s">
        <v>98</v>
      </c>
      <c r="F28" t="s">
        <v>59</v>
      </c>
      <c r="G28">
        <v>39</v>
      </c>
      <c r="H28" s="4">
        <v>35.32</v>
      </c>
      <c r="I28" s="8">
        <v>1377.48</v>
      </c>
      <c r="J28">
        <v>63.72</v>
      </c>
      <c r="K28">
        <v>221.76</v>
      </c>
      <c r="L28" t="s">
        <v>30</v>
      </c>
      <c r="M28" t="s">
        <v>31</v>
      </c>
      <c r="N28" t="s">
        <v>32</v>
      </c>
      <c r="O28" s="23">
        <f>DATE(YEAR(Table1[[#This Row],[Order_Date]]), MONTH(Table1[[#This Row],[Order_Date]]), 1)</f>
        <v>45444</v>
      </c>
      <c r="Q28" s="5"/>
    </row>
    <row r="29" spans="1:17" x14ac:dyDescent="0.3">
      <c r="A29" t="s">
        <v>116</v>
      </c>
      <c r="B29" s="23" t="s">
        <v>71</v>
      </c>
      <c r="C29" t="s">
        <v>117</v>
      </c>
      <c r="D29" t="s">
        <v>63</v>
      </c>
      <c r="E29" t="s">
        <v>58</v>
      </c>
      <c r="F29" t="s">
        <v>59</v>
      </c>
      <c r="G29">
        <v>6</v>
      </c>
      <c r="H29" s="4">
        <v>39.630000000000003</v>
      </c>
      <c r="I29" s="8">
        <v>237.78</v>
      </c>
      <c r="J29">
        <v>8.08</v>
      </c>
      <c r="K29">
        <v>94.7</v>
      </c>
      <c r="L29" t="s">
        <v>22</v>
      </c>
      <c r="M29" t="s">
        <v>37</v>
      </c>
      <c r="N29" t="s">
        <v>66</v>
      </c>
      <c r="O29" s="23">
        <f>DATE(YEAR(Table1[[#This Row],[Order_Date]]), MONTH(Table1[[#This Row],[Order_Date]]), 1)</f>
        <v>45505</v>
      </c>
      <c r="Q29" s="5"/>
    </row>
    <row r="30" spans="1:17" x14ac:dyDescent="0.3">
      <c r="A30" t="s">
        <v>118</v>
      </c>
      <c r="B30" s="23" t="s">
        <v>17</v>
      </c>
      <c r="C30" t="s">
        <v>119</v>
      </c>
      <c r="D30" t="s">
        <v>101</v>
      </c>
      <c r="E30" t="s">
        <v>49</v>
      </c>
      <c r="F30" t="s">
        <v>50</v>
      </c>
      <c r="G30">
        <v>36</v>
      </c>
      <c r="H30" s="4">
        <v>68.400000000000006</v>
      </c>
      <c r="I30" s="8">
        <v>2462.4</v>
      </c>
      <c r="J30">
        <v>150.83000000000001</v>
      </c>
      <c r="K30">
        <v>871.57</v>
      </c>
      <c r="L30" t="s">
        <v>30</v>
      </c>
      <c r="M30" t="s">
        <v>23</v>
      </c>
      <c r="N30" t="s">
        <v>102</v>
      </c>
      <c r="O30" s="23">
        <f>DATE(YEAR(Table1[[#This Row],[Order_Date]]), MONTH(Table1[[#This Row],[Order_Date]]), 1)</f>
        <v>45658</v>
      </c>
      <c r="Q30" s="5"/>
    </row>
    <row r="31" spans="1:17" x14ac:dyDescent="0.3">
      <c r="A31" t="s">
        <v>120</v>
      </c>
      <c r="B31" s="23" t="s">
        <v>95</v>
      </c>
      <c r="C31" t="s">
        <v>90</v>
      </c>
      <c r="D31" t="s">
        <v>36</v>
      </c>
      <c r="E31" t="s">
        <v>64</v>
      </c>
      <c r="F31" t="s">
        <v>65</v>
      </c>
      <c r="G31">
        <v>1</v>
      </c>
      <c r="H31" s="4">
        <v>44.98</v>
      </c>
      <c r="I31" s="8">
        <v>44.98</v>
      </c>
      <c r="J31">
        <v>2.81</v>
      </c>
      <c r="K31">
        <v>17.170000000000002</v>
      </c>
      <c r="L31" t="s">
        <v>30</v>
      </c>
      <c r="M31" t="s">
        <v>31</v>
      </c>
      <c r="N31" t="s">
        <v>32</v>
      </c>
      <c r="O31" s="23">
        <f>DATE(YEAR(Table1[[#This Row],[Order_Date]]), MONTH(Table1[[#This Row],[Order_Date]]), 1)</f>
        <v>45474</v>
      </c>
      <c r="Q31" s="5"/>
    </row>
    <row r="32" spans="1:17" x14ac:dyDescent="0.3">
      <c r="A32" t="s">
        <v>121</v>
      </c>
      <c r="B32" s="23" t="s">
        <v>75</v>
      </c>
      <c r="C32" t="s">
        <v>122</v>
      </c>
      <c r="D32" t="s">
        <v>123</v>
      </c>
      <c r="E32" t="s">
        <v>98</v>
      </c>
      <c r="F32" t="s">
        <v>59</v>
      </c>
      <c r="G32">
        <v>3</v>
      </c>
      <c r="H32" s="4">
        <v>37.74</v>
      </c>
      <c r="I32" s="8">
        <v>113.22</v>
      </c>
      <c r="J32">
        <v>4.04</v>
      </c>
      <c r="K32">
        <v>25.18</v>
      </c>
      <c r="L32" t="s">
        <v>30</v>
      </c>
      <c r="M32" t="s">
        <v>31</v>
      </c>
      <c r="N32" t="s">
        <v>32</v>
      </c>
      <c r="O32" s="23">
        <f>DATE(YEAR(Table1[[#This Row],[Order_Date]]), MONTH(Table1[[#This Row],[Order_Date]]), 1)</f>
        <v>45748</v>
      </c>
      <c r="Q32" s="5"/>
    </row>
    <row r="33" spans="1:17" x14ac:dyDescent="0.3">
      <c r="A33" t="s">
        <v>124</v>
      </c>
      <c r="B33" s="23" t="s">
        <v>107</v>
      </c>
      <c r="C33" t="s">
        <v>125</v>
      </c>
      <c r="D33" t="s">
        <v>123</v>
      </c>
      <c r="E33" t="s">
        <v>64</v>
      </c>
      <c r="F33" t="s">
        <v>65</v>
      </c>
      <c r="G33">
        <v>12</v>
      </c>
      <c r="H33" s="4">
        <v>39.799999999999997</v>
      </c>
      <c r="I33" s="8">
        <v>477.6</v>
      </c>
      <c r="J33">
        <v>20.54</v>
      </c>
      <c r="K33">
        <v>157.06</v>
      </c>
      <c r="L33" t="s">
        <v>44</v>
      </c>
      <c r="M33" t="s">
        <v>31</v>
      </c>
      <c r="N33" t="s">
        <v>32</v>
      </c>
      <c r="O33" s="23">
        <f>DATE(YEAR(Table1[[#This Row],[Order_Date]]), MONTH(Table1[[#This Row],[Order_Date]]), 1)</f>
        <v>45413</v>
      </c>
      <c r="Q33" s="5"/>
    </row>
    <row r="34" spans="1:17" x14ac:dyDescent="0.3">
      <c r="A34" t="s">
        <v>126</v>
      </c>
      <c r="B34" s="23" t="s">
        <v>34</v>
      </c>
      <c r="C34" t="s">
        <v>127</v>
      </c>
      <c r="D34" t="s">
        <v>63</v>
      </c>
      <c r="E34" t="s">
        <v>42</v>
      </c>
      <c r="F34" t="s">
        <v>43</v>
      </c>
      <c r="G34">
        <v>26</v>
      </c>
      <c r="H34" s="4">
        <v>43.23</v>
      </c>
      <c r="I34" s="8">
        <v>1123.98</v>
      </c>
      <c r="J34">
        <v>57.2</v>
      </c>
      <c r="K34">
        <v>234.78</v>
      </c>
      <c r="L34" t="s">
        <v>30</v>
      </c>
      <c r="M34" t="s">
        <v>37</v>
      </c>
      <c r="N34" t="s">
        <v>66</v>
      </c>
      <c r="O34" s="23">
        <f>DATE(YEAR(Table1[[#This Row],[Order_Date]]), MONTH(Table1[[#This Row],[Order_Date]]), 1)</f>
        <v>45383</v>
      </c>
      <c r="Q34" s="5"/>
    </row>
    <row r="35" spans="1:17" x14ac:dyDescent="0.3">
      <c r="A35" t="s">
        <v>128</v>
      </c>
      <c r="B35" s="23" t="s">
        <v>17</v>
      </c>
      <c r="C35" t="s">
        <v>40</v>
      </c>
      <c r="D35" t="s">
        <v>36</v>
      </c>
      <c r="E35" t="s">
        <v>49</v>
      </c>
      <c r="F35" t="s">
        <v>50</v>
      </c>
      <c r="G35">
        <v>17</v>
      </c>
      <c r="H35" s="4">
        <v>66.34</v>
      </c>
      <c r="I35" s="8">
        <v>1127.78</v>
      </c>
      <c r="J35">
        <v>81.150000000000006</v>
      </c>
      <c r="K35">
        <v>366.63</v>
      </c>
      <c r="L35" t="s">
        <v>30</v>
      </c>
      <c r="M35" t="s">
        <v>37</v>
      </c>
      <c r="N35" t="s">
        <v>32</v>
      </c>
      <c r="O35" s="23">
        <f>DATE(YEAR(Table1[[#This Row],[Order_Date]]), MONTH(Table1[[#This Row],[Order_Date]]), 1)</f>
        <v>45658</v>
      </c>
      <c r="Q35" s="5"/>
    </row>
    <row r="36" spans="1:17" x14ac:dyDescent="0.3">
      <c r="A36" t="s">
        <v>129</v>
      </c>
      <c r="B36" s="23" t="s">
        <v>39</v>
      </c>
      <c r="C36" t="s">
        <v>130</v>
      </c>
      <c r="D36" t="s">
        <v>81</v>
      </c>
      <c r="E36" t="s">
        <v>64</v>
      </c>
      <c r="F36" t="s">
        <v>65</v>
      </c>
      <c r="G36">
        <v>4</v>
      </c>
      <c r="H36" s="4">
        <v>33.869999999999997</v>
      </c>
      <c r="I36" s="8">
        <v>135.47999999999999</v>
      </c>
      <c r="J36">
        <v>6.59</v>
      </c>
      <c r="K36">
        <v>28.89</v>
      </c>
      <c r="L36" t="s">
        <v>22</v>
      </c>
      <c r="M36" t="s">
        <v>37</v>
      </c>
      <c r="N36" t="s">
        <v>66</v>
      </c>
      <c r="O36" s="23">
        <f>DATE(YEAR(Table1[[#This Row],[Order_Date]]), MONTH(Table1[[#This Row],[Order_Date]]), 1)</f>
        <v>45566</v>
      </c>
      <c r="Q36" s="5"/>
    </row>
    <row r="37" spans="1:17" x14ac:dyDescent="0.3">
      <c r="A37" t="s">
        <v>131</v>
      </c>
      <c r="B37" s="23" t="s">
        <v>132</v>
      </c>
      <c r="C37" t="s">
        <v>133</v>
      </c>
      <c r="D37" t="s">
        <v>36</v>
      </c>
      <c r="E37" t="s">
        <v>49</v>
      </c>
      <c r="F37" t="s">
        <v>50</v>
      </c>
      <c r="G37">
        <v>10</v>
      </c>
      <c r="H37" s="4">
        <v>64.650000000000006</v>
      </c>
      <c r="I37" s="8">
        <v>646.5</v>
      </c>
      <c r="J37">
        <v>17.89</v>
      </c>
      <c r="K37">
        <v>228.61</v>
      </c>
      <c r="L37" t="s">
        <v>44</v>
      </c>
      <c r="M37" t="s">
        <v>23</v>
      </c>
      <c r="N37" t="s">
        <v>32</v>
      </c>
      <c r="O37" s="23">
        <f>DATE(YEAR(Table1[[#This Row],[Order_Date]]), MONTH(Table1[[#This Row],[Order_Date]]), 1)</f>
        <v>45597</v>
      </c>
      <c r="Q37" s="5"/>
    </row>
    <row r="38" spans="1:17" x14ac:dyDescent="0.3">
      <c r="A38" t="s">
        <v>134</v>
      </c>
      <c r="B38" s="23" t="s">
        <v>78</v>
      </c>
      <c r="C38" t="s">
        <v>135</v>
      </c>
      <c r="D38" t="s">
        <v>101</v>
      </c>
      <c r="E38" t="s">
        <v>58</v>
      </c>
      <c r="F38" t="s">
        <v>59</v>
      </c>
      <c r="G38">
        <v>12</v>
      </c>
      <c r="H38" s="4">
        <v>29.56</v>
      </c>
      <c r="I38" s="8">
        <v>354.72</v>
      </c>
      <c r="J38">
        <v>21.4</v>
      </c>
      <c r="K38">
        <v>63.32</v>
      </c>
      <c r="L38" t="s">
        <v>30</v>
      </c>
      <c r="M38" t="s">
        <v>23</v>
      </c>
      <c r="N38" t="s">
        <v>102</v>
      </c>
      <c r="O38" s="23">
        <f>DATE(YEAR(Table1[[#This Row],[Order_Date]]), MONTH(Table1[[#This Row],[Order_Date]]), 1)</f>
        <v>45627</v>
      </c>
      <c r="Q38" s="5"/>
    </row>
    <row r="39" spans="1:17" x14ac:dyDescent="0.3">
      <c r="A39" t="s">
        <v>136</v>
      </c>
      <c r="B39" s="23" t="s">
        <v>107</v>
      </c>
      <c r="C39" t="s">
        <v>137</v>
      </c>
      <c r="D39" t="s">
        <v>19</v>
      </c>
      <c r="E39" t="s">
        <v>64</v>
      </c>
      <c r="F39" t="s">
        <v>65</v>
      </c>
      <c r="G39">
        <v>4</v>
      </c>
      <c r="H39" s="4">
        <v>35.36</v>
      </c>
      <c r="I39" s="8">
        <v>141.44</v>
      </c>
      <c r="J39">
        <v>8.66</v>
      </c>
      <c r="K39">
        <v>32.78</v>
      </c>
      <c r="L39" t="s">
        <v>44</v>
      </c>
      <c r="M39" t="s">
        <v>31</v>
      </c>
      <c r="N39" t="s">
        <v>24</v>
      </c>
      <c r="O39" s="23">
        <f>DATE(YEAR(Table1[[#This Row],[Order_Date]]), MONTH(Table1[[#This Row],[Order_Date]]), 1)</f>
        <v>45413</v>
      </c>
      <c r="Q39" s="5"/>
    </row>
    <row r="40" spans="1:17" x14ac:dyDescent="0.3">
      <c r="A40" t="s">
        <v>138</v>
      </c>
      <c r="B40" s="23" t="s">
        <v>17</v>
      </c>
      <c r="C40" t="s">
        <v>139</v>
      </c>
      <c r="D40" t="s">
        <v>36</v>
      </c>
      <c r="E40" t="s">
        <v>54</v>
      </c>
      <c r="F40" t="s">
        <v>43</v>
      </c>
      <c r="G40">
        <v>28</v>
      </c>
      <c r="H40" s="4">
        <v>31.42</v>
      </c>
      <c r="I40" s="8">
        <v>879.76</v>
      </c>
      <c r="J40">
        <v>69.319999999999993</v>
      </c>
      <c r="K40">
        <v>250.44</v>
      </c>
      <c r="L40" t="s">
        <v>22</v>
      </c>
      <c r="M40" t="s">
        <v>37</v>
      </c>
      <c r="N40" t="s">
        <v>32</v>
      </c>
      <c r="O40" s="23">
        <f>DATE(YEAR(Table1[[#This Row],[Order_Date]]), MONTH(Table1[[#This Row],[Order_Date]]), 1)</f>
        <v>45658</v>
      </c>
      <c r="Q40" s="5"/>
    </row>
    <row r="41" spans="1:17" x14ac:dyDescent="0.3">
      <c r="A41" t="s">
        <v>140</v>
      </c>
      <c r="B41" s="23" t="s">
        <v>107</v>
      </c>
      <c r="C41" t="s">
        <v>141</v>
      </c>
      <c r="D41" t="s">
        <v>19</v>
      </c>
      <c r="E41" t="s">
        <v>20</v>
      </c>
      <c r="F41" t="s">
        <v>21</v>
      </c>
      <c r="G41">
        <v>35</v>
      </c>
      <c r="H41">
        <v>55.12</v>
      </c>
      <c r="I41">
        <v>1929.2</v>
      </c>
      <c r="J41">
        <v>58.22</v>
      </c>
      <c r="K41">
        <v>645.98</v>
      </c>
      <c r="L41" t="s">
        <v>22</v>
      </c>
      <c r="M41" t="s">
        <v>23</v>
      </c>
      <c r="N41" t="s">
        <v>24</v>
      </c>
      <c r="O41" s="23">
        <f>DATE(YEAR(Table1[[#This Row],[Order_Date]]), MONTH(Table1[[#This Row],[Order_Date]]), 1)</f>
        <v>45413</v>
      </c>
      <c r="Q41" s="5"/>
    </row>
    <row r="42" spans="1:17" x14ac:dyDescent="0.3">
      <c r="A42" t="s">
        <v>142</v>
      </c>
      <c r="B42" s="23" t="s">
        <v>75</v>
      </c>
      <c r="C42" t="s">
        <v>143</v>
      </c>
      <c r="D42" t="s">
        <v>88</v>
      </c>
      <c r="E42" t="s">
        <v>58</v>
      </c>
      <c r="F42" t="s">
        <v>59</v>
      </c>
      <c r="G42">
        <v>41</v>
      </c>
      <c r="H42" s="4">
        <v>33.94</v>
      </c>
      <c r="I42" s="8">
        <v>1391.54</v>
      </c>
      <c r="J42">
        <v>33.26</v>
      </c>
      <c r="K42">
        <v>435.78</v>
      </c>
      <c r="L42" t="s">
        <v>22</v>
      </c>
      <c r="M42" t="s">
        <v>37</v>
      </c>
      <c r="N42" t="s">
        <v>66</v>
      </c>
      <c r="O42" s="23">
        <f>DATE(YEAR(Table1[[#This Row],[Order_Date]]), MONTH(Table1[[#This Row],[Order_Date]]), 1)</f>
        <v>45748</v>
      </c>
      <c r="Q42" s="5"/>
    </row>
    <row r="43" spans="1:17" x14ac:dyDescent="0.3">
      <c r="A43" t="s">
        <v>144</v>
      </c>
      <c r="B43" s="23" t="s">
        <v>71</v>
      </c>
      <c r="C43" t="s">
        <v>84</v>
      </c>
      <c r="D43" t="s">
        <v>81</v>
      </c>
      <c r="E43" t="s">
        <v>58</v>
      </c>
      <c r="F43" t="s">
        <v>59</v>
      </c>
      <c r="G43">
        <v>20</v>
      </c>
      <c r="H43" s="4">
        <v>38.43</v>
      </c>
      <c r="I43" s="8">
        <v>768.6</v>
      </c>
      <c r="J43">
        <v>60.07</v>
      </c>
      <c r="K43">
        <v>258.52999999999997</v>
      </c>
      <c r="L43" t="s">
        <v>44</v>
      </c>
      <c r="M43" t="s">
        <v>37</v>
      </c>
      <c r="N43" t="s">
        <v>66</v>
      </c>
      <c r="O43" s="23">
        <f>DATE(YEAR(Table1[[#This Row],[Order_Date]]), MONTH(Table1[[#This Row],[Order_Date]]), 1)</f>
        <v>45505</v>
      </c>
      <c r="Q43" s="5"/>
    </row>
    <row r="44" spans="1:17" x14ac:dyDescent="0.3">
      <c r="A44" t="s">
        <v>145</v>
      </c>
      <c r="B44" s="23" t="s">
        <v>107</v>
      </c>
      <c r="C44" t="s">
        <v>87</v>
      </c>
      <c r="D44" t="s">
        <v>41</v>
      </c>
      <c r="E44" t="s">
        <v>64</v>
      </c>
      <c r="F44" t="s">
        <v>65</v>
      </c>
      <c r="G44">
        <v>23</v>
      </c>
      <c r="H44" s="4">
        <v>35.07</v>
      </c>
      <c r="I44" s="8">
        <v>806.61</v>
      </c>
      <c r="J44">
        <v>21.23</v>
      </c>
      <c r="K44">
        <v>210.38</v>
      </c>
      <c r="L44" t="s">
        <v>22</v>
      </c>
      <c r="M44" t="s">
        <v>37</v>
      </c>
      <c r="N44" t="s">
        <v>45</v>
      </c>
      <c r="O44" s="23">
        <f>DATE(YEAR(Table1[[#This Row],[Order_Date]]), MONTH(Table1[[#This Row],[Order_Date]]), 1)</f>
        <v>45413</v>
      </c>
      <c r="Q44" s="5"/>
    </row>
    <row r="45" spans="1:17" x14ac:dyDescent="0.3">
      <c r="A45" t="s">
        <v>146</v>
      </c>
      <c r="B45" s="23" t="s">
        <v>104</v>
      </c>
      <c r="C45" t="s">
        <v>79</v>
      </c>
      <c r="D45" t="s">
        <v>147</v>
      </c>
      <c r="E45" t="s">
        <v>49</v>
      </c>
      <c r="F45" t="s">
        <v>50</v>
      </c>
      <c r="G45">
        <v>35</v>
      </c>
      <c r="H45" s="4">
        <v>71.44</v>
      </c>
      <c r="I45" s="8">
        <v>2500.4</v>
      </c>
      <c r="J45">
        <v>166.81</v>
      </c>
      <c r="K45">
        <v>933.59</v>
      </c>
      <c r="L45" t="s">
        <v>30</v>
      </c>
      <c r="M45" t="s">
        <v>31</v>
      </c>
      <c r="N45" t="s">
        <v>148</v>
      </c>
      <c r="O45" s="23">
        <f>DATE(YEAR(Table1[[#This Row],[Order_Date]]), MONTH(Table1[[#This Row],[Order_Date]]), 1)</f>
        <v>45717</v>
      </c>
      <c r="Q45" s="5"/>
    </row>
    <row r="46" spans="1:17" x14ac:dyDescent="0.3">
      <c r="A46" t="s">
        <v>149</v>
      </c>
      <c r="B46" s="23" t="s">
        <v>78</v>
      </c>
      <c r="C46" t="s">
        <v>133</v>
      </c>
      <c r="D46" t="s">
        <v>48</v>
      </c>
      <c r="E46" t="s">
        <v>29</v>
      </c>
      <c r="F46" t="s">
        <v>21</v>
      </c>
      <c r="G46">
        <v>11</v>
      </c>
      <c r="H46">
        <v>26.05</v>
      </c>
      <c r="I46">
        <v>286.55</v>
      </c>
      <c r="J46">
        <v>13.39</v>
      </c>
      <c r="K46">
        <v>75.16</v>
      </c>
      <c r="L46" t="s">
        <v>30</v>
      </c>
      <c r="M46" t="s">
        <v>23</v>
      </c>
      <c r="N46" t="s">
        <v>24</v>
      </c>
      <c r="O46" s="23">
        <f>DATE(YEAR(Table1[[#This Row],[Order_Date]]), MONTH(Table1[[#This Row],[Order_Date]]), 1)</f>
        <v>45627</v>
      </c>
      <c r="Q46" s="5"/>
    </row>
    <row r="47" spans="1:17" x14ac:dyDescent="0.3">
      <c r="A47" t="s">
        <v>150</v>
      </c>
      <c r="B47" s="23" t="s">
        <v>83</v>
      </c>
      <c r="C47" t="s">
        <v>47</v>
      </c>
      <c r="D47" t="s">
        <v>28</v>
      </c>
      <c r="E47" t="s">
        <v>69</v>
      </c>
      <c r="F47" t="s">
        <v>59</v>
      </c>
      <c r="G47">
        <v>46</v>
      </c>
      <c r="H47" s="4">
        <v>26.67</v>
      </c>
      <c r="I47" s="8">
        <v>1226.82</v>
      </c>
      <c r="J47">
        <v>83.55</v>
      </c>
      <c r="K47">
        <v>430.27</v>
      </c>
      <c r="L47" t="s">
        <v>22</v>
      </c>
      <c r="M47" t="s">
        <v>37</v>
      </c>
      <c r="N47" t="s">
        <v>32</v>
      </c>
      <c r="O47" s="23">
        <f>DATE(YEAR(Table1[[#This Row],[Order_Date]]), MONTH(Table1[[#This Row],[Order_Date]]), 1)</f>
        <v>45323</v>
      </c>
      <c r="Q47" s="5"/>
    </row>
    <row r="48" spans="1:17" x14ac:dyDescent="0.3">
      <c r="A48" t="s">
        <v>151</v>
      </c>
      <c r="B48" s="23" t="s">
        <v>132</v>
      </c>
      <c r="C48" t="s">
        <v>108</v>
      </c>
      <c r="D48" t="s">
        <v>28</v>
      </c>
      <c r="E48" t="s">
        <v>98</v>
      </c>
      <c r="F48" t="s">
        <v>59</v>
      </c>
      <c r="G48">
        <v>12</v>
      </c>
      <c r="H48" s="4">
        <v>42.84</v>
      </c>
      <c r="I48" s="8">
        <v>514.08000000000004</v>
      </c>
      <c r="J48">
        <v>22.74</v>
      </c>
      <c r="K48">
        <v>155.34</v>
      </c>
      <c r="L48" t="s">
        <v>44</v>
      </c>
      <c r="M48" t="s">
        <v>23</v>
      </c>
      <c r="N48" t="s">
        <v>32</v>
      </c>
      <c r="O48" s="23">
        <f>DATE(YEAR(Table1[[#This Row],[Order_Date]]), MONTH(Table1[[#This Row],[Order_Date]]), 1)</f>
        <v>45597</v>
      </c>
      <c r="Q48" s="5"/>
    </row>
    <row r="49" spans="1:17" x14ac:dyDescent="0.3">
      <c r="A49" t="s">
        <v>152</v>
      </c>
      <c r="B49" s="23" t="s">
        <v>95</v>
      </c>
      <c r="C49" t="s">
        <v>153</v>
      </c>
      <c r="D49" t="s">
        <v>81</v>
      </c>
      <c r="E49" t="s">
        <v>29</v>
      </c>
      <c r="F49" t="s">
        <v>21</v>
      </c>
      <c r="G49">
        <v>18</v>
      </c>
      <c r="H49" s="4">
        <v>30.89</v>
      </c>
      <c r="I49" s="8">
        <v>556.02</v>
      </c>
      <c r="J49">
        <v>12</v>
      </c>
      <c r="K49">
        <v>220.02</v>
      </c>
      <c r="L49" t="s">
        <v>30</v>
      </c>
      <c r="M49" t="s">
        <v>23</v>
      </c>
      <c r="N49" t="s">
        <v>66</v>
      </c>
      <c r="O49" s="23">
        <f>DATE(YEAR(Table1[[#This Row],[Order_Date]]), MONTH(Table1[[#This Row],[Order_Date]]), 1)</f>
        <v>45474</v>
      </c>
      <c r="Q49" s="5"/>
    </row>
    <row r="50" spans="1:17" x14ac:dyDescent="0.3">
      <c r="A50" t="s">
        <v>154</v>
      </c>
      <c r="B50" s="23" t="s">
        <v>78</v>
      </c>
      <c r="C50" t="s">
        <v>155</v>
      </c>
      <c r="D50" t="s">
        <v>48</v>
      </c>
      <c r="E50" t="s">
        <v>20</v>
      </c>
      <c r="F50" t="s">
        <v>21</v>
      </c>
      <c r="G50">
        <v>21</v>
      </c>
      <c r="H50">
        <v>52.41</v>
      </c>
      <c r="I50">
        <v>1100.6099999999999</v>
      </c>
      <c r="J50">
        <v>81.099999999999994</v>
      </c>
      <c r="K50">
        <v>284.51</v>
      </c>
      <c r="L50" t="s">
        <v>44</v>
      </c>
      <c r="M50" t="s">
        <v>31</v>
      </c>
      <c r="N50" t="s">
        <v>24</v>
      </c>
      <c r="O50" s="23">
        <f>DATE(YEAR(Table1[[#This Row],[Order_Date]]), MONTH(Table1[[#This Row],[Order_Date]]), 1)</f>
        <v>45627</v>
      </c>
      <c r="Q50" s="5"/>
    </row>
    <row r="51" spans="1:17" x14ac:dyDescent="0.3">
      <c r="A51" t="s">
        <v>156</v>
      </c>
      <c r="B51" s="23" t="s">
        <v>157</v>
      </c>
      <c r="C51" t="s">
        <v>158</v>
      </c>
      <c r="D51" t="s">
        <v>147</v>
      </c>
      <c r="E51" t="s">
        <v>98</v>
      </c>
      <c r="F51" t="s">
        <v>59</v>
      </c>
      <c r="G51">
        <v>17</v>
      </c>
      <c r="H51" s="4">
        <v>38.64</v>
      </c>
      <c r="I51" s="8">
        <v>656.88</v>
      </c>
      <c r="J51">
        <v>13.86</v>
      </c>
      <c r="K51">
        <v>167.02</v>
      </c>
      <c r="L51" t="s">
        <v>30</v>
      </c>
      <c r="M51" t="s">
        <v>23</v>
      </c>
      <c r="N51" t="s">
        <v>148</v>
      </c>
      <c r="O51" s="23">
        <f>DATE(YEAR(Table1[[#This Row],[Order_Date]]), MONTH(Table1[[#This Row],[Order_Date]]), 1)</f>
        <v>45292</v>
      </c>
      <c r="Q51" s="5"/>
    </row>
    <row r="52" spans="1:17" x14ac:dyDescent="0.3">
      <c r="A52" t="s">
        <v>159</v>
      </c>
      <c r="B52" s="23" t="s">
        <v>75</v>
      </c>
      <c r="C52" t="s">
        <v>137</v>
      </c>
      <c r="D52" t="s">
        <v>91</v>
      </c>
      <c r="E52" t="s">
        <v>29</v>
      </c>
      <c r="F52" t="s">
        <v>21</v>
      </c>
      <c r="G52">
        <v>41</v>
      </c>
      <c r="H52" s="4">
        <v>25.79</v>
      </c>
      <c r="I52" s="8">
        <v>1057.3900000000001</v>
      </c>
      <c r="J52">
        <v>71.22</v>
      </c>
      <c r="K52">
        <v>248.17</v>
      </c>
      <c r="L52" t="s">
        <v>30</v>
      </c>
      <c r="M52" t="s">
        <v>31</v>
      </c>
      <c r="N52" t="s">
        <v>66</v>
      </c>
      <c r="O52" s="23">
        <f>DATE(YEAR(Table1[[#This Row],[Order_Date]]), MONTH(Table1[[#This Row],[Order_Date]]), 1)</f>
        <v>45748</v>
      </c>
      <c r="Q52" s="5"/>
    </row>
    <row r="53" spans="1:17" x14ac:dyDescent="0.3">
      <c r="A53" t="s">
        <v>160</v>
      </c>
      <c r="B53" s="23" t="s">
        <v>95</v>
      </c>
      <c r="C53" t="s">
        <v>161</v>
      </c>
      <c r="D53" t="s">
        <v>91</v>
      </c>
      <c r="E53" t="s">
        <v>98</v>
      </c>
      <c r="F53" t="s">
        <v>59</v>
      </c>
      <c r="G53">
        <v>41</v>
      </c>
      <c r="H53" s="4">
        <v>41.13</v>
      </c>
      <c r="I53" s="8">
        <v>1686.33</v>
      </c>
      <c r="J53">
        <v>80.12</v>
      </c>
      <c r="K53">
        <v>458.21</v>
      </c>
      <c r="L53" t="s">
        <v>30</v>
      </c>
      <c r="M53" t="s">
        <v>37</v>
      </c>
      <c r="N53" t="s">
        <v>66</v>
      </c>
      <c r="O53" s="23">
        <f>DATE(YEAR(Table1[[#This Row],[Order_Date]]), MONTH(Table1[[#This Row],[Order_Date]]), 1)</f>
        <v>45474</v>
      </c>
      <c r="Q53" s="5"/>
    </row>
    <row r="54" spans="1:17" x14ac:dyDescent="0.3">
      <c r="A54" t="s">
        <v>162</v>
      </c>
      <c r="B54" s="23" t="s">
        <v>132</v>
      </c>
      <c r="C54" t="s">
        <v>79</v>
      </c>
      <c r="D54" t="s">
        <v>63</v>
      </c>
      <c r="E54" t="s">
        <v>49</v>
      </c>
      <c r="F54" t="s">
        <v>50</v>
      </c>
      <c r="G54">
        <v>33</v>
      </c>
      <c r="H54" s="4">
        <v>55.67</v>
      </c>
      <c r="I54" s="8">
        <v>1837.11</v>
      </c>
      <c r="J54">
        <v>144.32</v>
      </c>
      <c r="K54">
        <v>372.79</v>
      </c>
      <c r="L54" t="s">
        <v>22</v>
      </c>
      <c r="M54" t="s">
        <v>23</v>
      </c>
      <c r="N54" t="s">
        <v>66</v>
      </c>
      <c r="O54" s="23">
        <f>DATE(YEAR(Table1[[#This Row],[Order_Date]]), MONTH(Table1[[#This Row],[Order_Date]]), 1)</f>
        <v>45597</v>
      </c>
      <c r="Q54" s="5"/>
    </row>
    <row r="55" spans="1:17" x14ac:dyDescent="0.3">
      <c r="A55" t="s">
        <v>163</v>
      </c>
      <c r="B55" s="23" t="s">
        <v>132</v>
      </c>
      <c r="C55" t="s">
        <v>164</v>
      </c>
      <c r="D55" t="s">
        <v>91</v>
      </c>
      <c r="E55" t="s">
        <v>49</v>
      </c>
      <c r="F55" t="s">
        <v>50</v>
      </c>
      <c r="G55">
        <v>18</v>
      </c>
      <c r="H55" s="4">
        <v>50.87</v>
      </c>
      <c r="I55" s="8">
        <v>915.66</v>
      </c>
      <c r="J55">
        <v>49.93</v>
      </c>
      <c r="K55">
        <v>145.72999999999999</v>
      </c>
      <c r="L55" t="s">
        <v>22</v>
      </c>
      <c r="M55" t="s">
        <v>31</v>
      </c>
      <c r="N55" t="s">
        <v>66</v>
      </c>
      <c r="O55" s="23">
        <f>DATE(YEAR(Table1[[#This Row],[Order_Date]]), MONTH(Table1[[#This Row],[Order_Date]]), 1)</f>
        <v>45597</v>
      </c>
      <c r="Q55" s="5"/>
    </row>
    <row r="56" spans="1:17" x14ac:dyDescent="0.3">
      <c r="A56" t="s">
        <v>165</v>
      </c>
      <c r="B56" s="23" t="s">
        <v>75</v>
      </c>
      <c r="C56" t="s">
        <v>166</v>
      </c>
      <c r="D56" t="s">
        <v>101</v>
      </c>
      <c r="E56" t="s">
        <v>69</v>
      </c>
      <c r="F56" t="s">
        <v>59</v>
      </c>
      <c r="G56">
        <v>14</v>
      </c>
      <c r="H56" s="4">
        <v>26.7</v>
      </c>
      <c r="I56" s="8">
        <v>373.8</v>
      </c>
      <c r="J56">
        <v>11.84</v>
      </c>
      <c r="K56">
        <v>144.96</v>
      </c>
      <c r="L56" t="s">
        <v>44</v>
      </c>
      <c r="M56" t="s">
        <v>23</v>
      </c>
      <c r="N56" t="s">
        <v>102</v>
      </c>
      <c r="O56" s="23">
        <f>DATE(YEAR(Table1[[#This Row],[Order_Date]]), MONTH(Table1[[#This Row],[Order_Date]]), 1)</f>
        <v>45748</v>
      </c>
      <c r="Q56" s="5"/>
    </row>
    <row r="57" spans="1:17" x14ac:dyDescent="0.3">
      <c r="A57" t="s">
        <v>167</v>
      </c>
      <c r="B57" s="23" t="s">
        <v>68</v>
      </c>
      <c r="C57" t="s">
        <v>168</v>
      </c>
      <c r="D57" t="s">
        <v>19</v>
      </c>
      <c r="E57" t="s">
        <v>29</v>
      </c>
      <c r="F57" t="s">
        <v>21</v>
      </c>
      <c r="G57">
        <v>16</v>
      </c>
      <c r="H57">
        <v>28.96</v>
      </c>
      <c r="I57">
        <v>463.36</v>
      </c>
      <c r="J57">
        <v>35.65</v>
      </c>
      <c r="K57">
        <v>139.71</v>
      </c>
      <c r="L57" t="s">
        <v>22</v>
      </c>
      <c r="M57" t="s">
        <v>37</v>
      </c>
      <c r="N57" t="s">
        <v>24</v>
      </c>
      <c r="O57" s="23">
        <f>DATE(YEAR(Table1[[#This Row],[Order_Date]]), MONTH(Table1[[#This Row],[Order_Date]]), 1)</f>
        <v>45536</v>
      </c>
      <c r="Q57" s="5"/>
    </row>
    <row r="58" spans="1:17" x14ac:dyDescent="0.3">
      <c r="A58" t="s">
        <v>169</v>
      </c>
      <c r="B58" s="23" t="s">
        <v>107</v>
      </c>
      <c r="C58" t="s">
        <v>79</v>
      </c>
      <c r="D58" t="s">
        <v>170</v>
      </c>
      <c r="E58" t="s">
        <v>29</v>
      </c>
      <c r="F58" t="s">
        <v>21</v>
      </c>
      <c r="G58">
        <v>47</v>
      </c>
      <c r="H58" s="4">
        <v>23.03</v>
      </c>
      <c r="I58" s="8">
        <v>1082.4100000000001</v>
      </c>
      <c r="J58">
        <v>50.12</v>
      </c>
      <c r="K58">
        <v>186.29</v>
      </c>
      <c r="L58" t="s">
        <v>44</v>
      </c>
      <c r="M58" t="s">
        <v>23</v>
      </c>
      <c r="N58" t="s">
        <v>32</v>
      </c>
      <c r="O58" s="23">
        <f>DATE(YEAR(Table1[[#This Row],[Order_Date]]), MONTH(Table1[[#This Row],[Order_Date]]), 1)</f>
        <v>45413</v>
      </c>
      <c r="Q58" s="5"/>
    </row>
    <row r="59" spans="1:17" x14ac:dyDescent="0.3">
      <c r="A59" t="s">
        <v>171</v>
      </c>
      <c r="B59" s="23" t="s">
        <v>107</v>
      </c>
      <c r="C59" t="s">
        <v>168</v>
      </c>
      <c r="D59" t="s">
        <v>147</v>
      </c>
      <c r="E59" t="s">
        <v>20</v>
      </c>
      <c r="F59" t="s">
        <v>21</v>
      </c>
      <c r="G59">
        <v>18</v>
      </c>
      <c r="H59" s="4">
        <v>50.03</v>
      </c>
      <c r="I59" s="8">
        <v>900.54</v>
      </c>
      <c r="J59">
        <v>68.44</v>
      </c>
      <c r="K59">
        <v>202.1</v>
      </c>
      <c r="L59" t="s">
        <v>44</v>
      </c>
      <c r="M59" t="s">
        <v>23</v>
      </c>
      <c r="N59" t="s">
        <v>148</v>
      </c>
      <c r="O59" s="23">
        <f>DATE(YEAR(Table1[[#This Row],[Order_Date]]), MONTH(Table1[[#This Row],[Order_Date]]), 1)</f>
        <v>45413</v>
      </c>
      <c r="Q59" s="5"/>
    </row>
    <row r="60" spans="1:17" x14ac:dyDescent="0.3">
      <c r="A60" t="s">
        <v>172</v>
      </c>
      <c r="B60" s="23" t="s">
        <v>95</v>
      </c>
      <c r="C60" t="s">
        <v>173</v>
      </c>
      <c r="D60" t="s">
        <v>28</v>
      </c>
      <c r="E60" t="s">
        <v>64</v>
      </c>
      <c r="F60" t="s">
        <v>65</v>
      </c>
      <c r="G60">
        <v>38</v>
      </c>
      <c r="H60" s="4">
        <v>32.07</v>
      </c>
      <c r="I60" s="8">
        <v>1218.6600000000001</v>
      </c>
      <c r="J60">
        <v>54.49</v>
      </c>
      <c r="K60">
        <v>214.17</v>
      </c>
      <c r="L60" t="s">
        <v>44</v>
      </c>
      <c r="M60" t="s">
        <v>37</v>
      </c>
      <c r="N60" t="s">
        <v>32</v>
      </c>
      <c r="O60" s="23">
        <f>DATE(YEAR(Table1[[#This Row],[Order_Date]]), MONTH(Table1[[#This Row],[Order_Date]]), 1)</f>
        <v>45474</v>
      </c>
      <c r="Q60" s="5"/>
    </row>
    <row r="61" spans="1:17" x14ac:dyDescent="0.3">
      <c r="A61" t="s">
        <v>174</v>
      </c>
      <c r="B61" s="23" t="s">
        <v>75</v>
      </c>
      <c r="C61" t="s">
        <v>175</v>
      </c>
      <c r="D61" t="s">
        <v>41</v>
      </c>
      <c r="E61" t="s">
        <v>42</v>
      </c>
      <c r="F61" t="s">
        <v>43</v>
      </c>
      <c r="G61">
        <v>23</v>
      </c>
      <c r="H61" s="4">
        <v>50.96</v>
      </c>
      <c r="I61" s="8">
        <v>1172.08</v>
      </c>
      <c r="J61">
        <v>61</v>
      </c>
      <c r="K61">
        <v>375.08</v>
      </c>
      <c r="L61" t="s">
        <v>44</v>
      </c>
      <c r="M61" t="s">
        <v>31</v>
      </c>
      <c r="N61" t="s">
        <v>45</v>
      </c>
      <c r="O61" s="23">
        <f>DATE(YEAR(Table1[[#This Row],[Order_Date]]), MONTH(Table1[[#This Row],[Order_Date]]), 1)</f>
        <v>45748</v>
      </c>
      <c r="Q61" s="5"/>
    </row>
    <row r="62" spans="1:17" x14ac:dyDescent="0.3">
      <c r="A62" t="s">
        <v>176</v>
      </c>
      <c r="B62" s="23" t="s">
        <v>104</v>
      </c>
      <c r="C62" t="s">
        <v>177</v>
      </c>
      <c r="D62" t="s">
        <v>91</v>
      </c>
      <c r="E62" t="s">
        <v>49</v>
      </c>
      <c r="F62" t="s">
        <v>50</v>
      </c>
      <c r="G62">
        <v>46</v>
      </c>
      <c r="H62" s="4">
        <v>70.599999999999994</v>
      </c>
      <c r="I62" s="8">
        <v>3247.6</v>
      </c>
      <c r="J62">
        <v>166.91</v>
      </c>
      <c r="K62">
        <v>1240.69</v>
      </c>
      <c r="L62" t="s">
        <v>44</v>
      </c>
      <c r="M62" t="s">
        <v>31</v>
      </c>
      <c r="N62" t="s">
        <v>66</v>
      </c>
      <c r="O62" s="23">
        <f>DATE(YEAR(Table1[[#This Row],[Order_Date]]), MONTH(Table1[[#This Row],[Order_Date]]), 1)</f>
        <v>45717</v>
      </c>
      <c r="Q62" s="5"/>
    </row>
    <row r="63" spans="1:17" x14ac:dyDescent="0.3">
      <c r="A63" t="s">
        <v>178</v>
      </c>
      <c r="B63" s="23" t="s">
        <v>71</v>
      </c>
      <c r="C63" t="s">
        <v>108</v>
      </c>
      <c r="D63" t="s">
        <v>91</v>
      </c>
      <c r="E63" t="s">
        <v>49</v>
      </c>
      <c r="F63" t="s">
        <v>50</v>
      </c>
      <c r="G63">
        <v>15</v>
      </c>
      <c r="H63" s="4">
        <v>53.36</v>
      </c>
      <c r="I63" s="8">
        <v>800.4</v>
      </c>
      <c r="J63">
        <v>56.29</v>
      </c>
      <c r="K63">
        <v>144.11000000000001</v>
      </c>
      <c r="L63" t="s">
        <v>22</v>
      </c>
      <c r="M63" t="s">
        <v>23</v>
      </c>
      <c r="N63" t="s">
        <v>66</v>
      </c>
      <c r="O63" s="23">
        <f>DATE(YEAR(Table1[[#This Row],[Order_Date]]), MONTH(Table1[[#This Row],[Order_Date]]), 1)</f>
        <v>45505</v>
      </c>
      <c r="Q63" s="5"/>
    </row>
    <row r="64" spans="1:17" x14ac:dyDescent="0.3">
      <c r="A64" t="s">
        <v>179</v>
      </c>
      <c r="B64" s="23" t="s">
        <v>86</v>
      </c>
      <c r="C64" t="s">
        <v>180</v>
      </c>
      <c r="D64" t="s">
        <v>147</v>
      </c>
      <c r="E64" t="s">
        <v>42</v>
      </c>
      <c r="F64" t="s">
        <v>43</v>
      </c>
      <c r="G64">
        <v>42</v>
      </c>
      <c r="H64" s="4">
        <v>39.840000000000003</v>
      </c>
      <c r="I64" s="8">
        <v>1673.28</v>
      </c>
      <c r="J64">
        <v>132.74</v>
      </c>
      <c r="K64">
        <v>196.54</v>
      </c>
      <c r="L64" t="s">
        <v>22</v>
      </c>
      <c r="M64" t="s">
        <v>37</v>
      </c>
      <c r="N64" t="s">
        <v>148</v>
      </c>
      <c r="O64" s="23">
        <f>DATE(YEAR(Table1[[#This Row],[Order_Date]]), MONTH(Table1[[#This Row],[Order_Date]]), 1)</f>
        <v>45352</v>
      </c>
      <c r="Q64" s="5"/>
    </row>
    <row r="65" spans="1:17" x14ac:dyDescent="0.3">
      <c r="A65" t="s">
        <v>181</v>
      </c>
      <c r="B65" s="23" t="s">
        <v>75</v>
      </c>
      <c r="C65" t="s">
        <v>164</v>
      </c>
      <c r="D65" t="s">
        <v>91</v>
      </c>
      <c r="E65" t="s">
        <v>64</v>
      </c>
      <c r="F65" t="s">
        <v>65</v>
      </c>
      <c r="G65">
        <v>31</v>
      </c>
      <c r="H65" s="4">
        <v>38.26</v>
      </c>
      <c r="I65" s="8">
        <v>1186.06</v>
      </c>
      <c r="J65">
        <v>69.33</v>
      </c>
      <c r="K65">
        <v>341.73</v>
      </c>
      <c r="L65" t="s">
        <v>30</v>
      </c>
      <c r="M65" t="s">
        <v>23</v>
      </c>
      <c r="N65" t="s">
        <v>66</v>
      </c>
      <c r="O65" s="23">
        <f>DATE(YEAR(Table1[[#This Row],[Order_Date]]), MONTH(Table1[[#This Row],[Order_Date]]), 1)</f>
        <v>45748</v>
      </c>
      <c r="Q65" s="5"/>
    </row>
    <row r="66" spans="1:17" x14ac:dyDescent="0.3">
      <c r="A66" t="s">
        <v>182</v>
      </c>
      <c r="B66" s="23" t="s">
        <v>39</v>
      </c>
      <c r="C66" t="s">
        <v>166</v>
      </c>
      <c r="D66" t="s">
        <v>123</v>
      </c>
      <c r="E66" t="s">
        <v>69</v>
      </c>
      <c r="F66" t="s">
        <v>59</v>
      </c>
      <c r="G66">
        <v>2</v>
      </c>
      <c r="H66" s="4">
        <v>23.09</v>
      </c>
      <c r="I66" s="8">
        <v>46.18</v>
      </c>
      <c r="J66">
        <v>2.52</v>
      </c>
      <c r="K66">
        <v>12.66</v>
      </c>
      <c r="L66" t="s">
        <v>30</v>
      </c>
      <c r="M66" t="s">
        <v>31</v>
      </c>
      <c r="N66" t="s">
        <v>32</v>
      </c>
      <c r="O66" s="23">
        <f>DATE(YEAR(Table1[[#This Row],[Order_Date]]), MONTH(Table1[[#This Row],[Order_Date]]), 1)</f>
        <v>45566</v>
      </c>
      <c r="Q66" s="5"/>
    </row>
    <row r="67" spans="1:17" x14ac:dyDescent="0.3">
      <c r="A67" t="s">
        <v>183</v>
      </c>
      <c r="B67" s="23" t="s">
        <v>78</v>
      </c>
      <c r="C67" t="s">
        <v>57</v>
      </c>
      <c r="D67" t="s">
        <v>88</v>
      </c>
      <c r="E67" t="s">
        <v>42</v>
      </c>
      <c r="F67" t="s">
        <v>43</v>
      </c>
      <c r="G67">
        <v>40</v>
      </c>
      <c r="H67" s="4">
        <v>46.81</v>
      </c>
      <c r="I67" s="8">
        <v>1872.4</v>
      </c>
      <c r="J67">
        <v>43.01</v>
      </c>
      <c r="K67">
        <v>549.39</v>
      </c>
      <c r="L67" t="s">
        <v>22</v>
      </c>
      <c r="M67" t="s">
        <v>37</v>
      </c>
      <c r="N67" t="s">
        <v>66</v>
      </c>
      <c r="O67" s="23">
        <f>DATE(YEAR(Table1[[#This Row],[Order_Date]]), MONTH(Table1[[#This Row],[Order_Date]]), 1)</f>
        <v>45627</v>
      </c>
      <c r="Q67" s="5"/>
    </row>
    <row r="68" spans="1:17" x14ac:dyDescent="0.3">
      <c r="A68" t="s">
        <v>184</v>
      </c>
      <c r="B68" s="23" t="s">
        <v>104</v>
      </c>
      <c r="C68" t="s">
        <v>185</v>
      </c>
      <c r="D68" t="s">
        <v>63</v>
      </c>
      <c r="E68" t="s">
        <v>42</v>
      </c>
      <c r="F68" t="s">
        <v>43</v>
      </c>
      <c r="G68">
        <v>43</v>
      </c>
      <c r="H68" s="4">
        <v>57.01</v>
      </c>
      <c r="I68" s="8">
        <v>2451.4299999999998</v>
      </c>
      <c r="J68">
        <v>115.04</v>
      </c>
      <c r="K68">
        <v>960.39</v>
      </c>
      <c r="L68" t="s">
        <v>30</v>
      </c>
      <c r="M68" t="s">
        <v>23</v>
      </c>
      <c r="N68" t="s">
        <v>66</v>
      </c>
      <c r="O68" s="23">
        <f>DATE(YEAR(Table1[[#This Row],[Order_Date]]), MONTH(Table1[[#This Row],[Order_Date]]), 1)</f>
        <v>45717</v>
      </c>
      <c r="Q68" s="5"/>
    </row>
    <row r="69" spans="1:17" x14ac:dyDescent="0.3">
      <c r="A69" t="s">
        <v>186</v>
      </c>
      <c r="B69" s="23" t="s">
        <v>86</v>
      </c>
      <c r="C69" t="s">
        <v>187</v>
      </c>
      <c r="D69" t="s">
        <v>53</v>
      </c>
      <c r="E69" t="s">
        <v>73</v>
      </c>
      <c r="F69" t="s">
        <v>43</v>
      </c>
      <c r="G69">
        <v>15</v>
      </c>
      <c r="H69" s="4">
        <v>22.23</v>
      </c>
      <c r="I69" s="8">
        <v>333.45</v>
      </c>
      <c r="J69">
        <v>16.89</v>
      </c>
      <c r="K69">
        <v>125.31</v>
      </c>
      <c r="L69" t="s">
        <v>44</v>
      </c>
      <c r="M69" t="s">
        <v>31</v>
      </c>
      <c r="N69" t="s">
        <v>24</v>
      </c>
      <c r="O69" s="23">
        <f>DATE(YEAR(Table1[[#This Row],[Order_Date]]), MONTH(Table1[[#This Row],[Order_Date]]), 1)</f>
        <v>45352</v>
      </c>
      <c r="Q69" s="5"/>
    </row>
    <row r="70" spans="1:17" x14ac:dyDescent="0.3">
      <c r="A70" t="s">
        <v>188</v>
      </c>
      <c r="B70" s="23" t="s">
        <v>71</v>
      </c>
      <c r="C70" t="s">
        <v>189</v>
      </c>
      <c r="D70" t="s">
        <v>123</v>
      </c>
      <c r="E70" t="s">
        <v>69</v>
      </c>
      <c r="F70" t="s">
        <v>59</v>
      </c>
      <c r="G70">
        <v>15</v>
      </c>
      <c r="H70" s="4">
        <v>19.23</v>
      </c>
      <c r="I70" s="8">
        <v>288.45</v>
      </c>
      <c r="J70">
        <v>20.22</v>
      </c>
      <c r="K70">
        <v>35.729999999999997</v>
      </c>
      <c r="L70" t="s">
        <v>22</v>
      </c>
      <c r="M70" t="s">
        <v>23</v>
      </c>
      <c r="N70" t="s">
        <v>32</v>
      </c>
      <c r="O70" s="23">
        <f>DATE(YEAR(Table1[[#This Row],[Order_Date]]), MONTH(Table1[[#This Row],[Order_Date]]), 1)</f>
        <v>45505</v>
      </c>
      <c r="Q70" s="5"/>
    </row>
    <row r="71" spans="1:17" x14ac:dyDescent="0.3">
      <c r="A71" t="s">
        <v>190</v>
      </c>
      <c r="B71" s="23" t="s">
        <v>56</v>
      </c>
      <c r="C71" t="s">
        <v>110</v>
      </c>
      <c r="D71" t="s">
        <v>36</v>
      </c>
      <c r="E71" t="s">
        <v>98</v>
      </c>
      <c r="F71" t="s">
        <v>59</v>
      </c>
      <c r="G71">
        <v>34</v>
      </c>
      <c r="H71" s="4">
        <v>45.54</v>
      </c>
      <c r="I71" s="8">
        <v>1548.36</v>
      </c>
      <c r="J71">
        <v>36.76</v>
      </c>
      <c r="K71">
        <v>559.6</v>
      </c>
      <c r="L71" t="s">
        <v>22</v>
      </c>
      <c r="M71" t="s">
        <v>23</v>
      </c>
      <c r="N71" t="s">
        <v>32</v>
      </c>
      <c r="O71" s="23">
        <f>DATE(YEAR(Table1[[#This Row],[Order_Date]]), MONTH(Table1[[#This Row],[Order_Date]]), 1)</f>
        <v>45444</v>
      </c>
      <c r="Q71" s="5"/>
    </row>
    <row r="72" spans="1:17" x14ac:dyDescent="0.3">
      <c r="A72" t="s">
        <v>191</v>
      </c>
      <c r="B72" s="23" t="s">
        <v>71</v>
      </c>
      <c r="C72" t="s">
        <v>192</v>
      </c>
      <c r="D72" t="s">
        <v>123</v>
      </c>
      <c r="E72" t="s">
        <v>49</v>
      </c>
      <c r="F72" t="s">
        <v>50</v>
      </c>
      <c r="G72">
        <v>33</v>
      </c>
      <c r="H72" s="4">
        <v>63.88</v>
      </c>
      <c r="I72" s="8">
        <v>2108.04</v>
      </c>
      <c r="J72">
        <v>111.7</v>
      </c>
      <c r="K72">
        <v>676.34</v>
      </c>
      <c r="L72" t="s">
        <v>22</v>
      </c>
      <c r="M72" t="s">
        <v>37</v>
      </c>
      <c r="N72" t="s">
        <v>32</v>
      </c>
      <c r="O72" s="23">
        <f>DATE(YEAR(Table1[[#This Row],[Order_Date]]), MONTH(Table1[[#This Row],[Order_Date]]), 1)</f>
        <v>45505</v>
      </c>
      <c r="Q72" s="5"/>
    </row>
    <row r="73" spans="1:17" x14ac:dyDescent="0.3">
      <c r="A73" t="s">
        <v>193</v>
      </c>
      <c r="B73" s="23" t="s">
        <v>56</v>
      </c>
      <c r="C73" t="s">
        <v>108</v>
      </c>
      <c r="D73" t="s">
        <v>170</v>
      </c>
      <c r="E73" t="s">
        <v>29</v>
      </c>
      <c r="F73" t="s">
        <v>21</v>
      </c>
      <c r="G73">
        <v>39</v>
      </c>
      <c r="H73" s="4">
        <v>25.38</v>
      </c>
      <c r="I73" s="8">
        <v>989.82</v>
      </c>
      <c r="J73">
        <v>50.82</v>
      </c>
      <c r="K73">
        <v>237</v>
      </c>
      <c r="L73" t="s">
        <v>30</v>
      </c>
      <c r="M73" t="s">
        <v>31</v>
      </c>
      <c r="N73" t="s">
        <v>32</v>
      </c>
      <c r="O73" s="23">
        <f>DATE(YEAR(Table1[[#This Row],[Order_Date]]), MONTH(Table1[[#This Row],[Order_Date]]), 1)</f>
        <v>45444</v>
      </c>
      <c r="Q73" s="5"/>
    </row>
    <row r="74" spans="1:17" x14ac:dyDescent="0.3">
      <c r="A74" t="s">
        <v>194</v>
      </c>
      <c r="B74" s="23" t="s">
        <v>56</v>
      </c>
      <c r="C74" t="s">
        <v>195</v>
      </c>
      <c r="D74" t="s">
        <v>196</v>
      </c>
      <c r="E74" t="s">
        <v>64</v>
      </c>
      <c r="F74" t="s">
        <v>65</v>
      </c>
      <c r="G74">
        <v>9</v>
      </c>
      <c r="H74" s="4">
        <v>38.979999999999997</v>
      </c>
      <c r="I74" s="8">
        <v>350.82</v>
      </c>
      <c r="J74">
        <v>25.56</v>
      </c>
      <c r="K74">
        <v>100.26</v>
      </c>
      <c r="L74" t="s">
        <v>22</v>
      </c>
      <c r="M74" t="s">
        <v>23</v>
      </c>
      <c r="N74" t="s">
        <v>66</v>
      </c>
      <c r="O74" s="23">
        <f>DATE(YEAR(Table1[[#This Row],[Order_Date]]), MONTH(Table1[[#This Row],[Order_Date]]), 1)</f>
        <v>45444</v>
      </c>
      <c r="Q74" s="5"/>
    </row>
    <row r="75" spans="1:17" x14ac:dyDescent="0.3">
      <c r="A75" t="s">
        <v>197</v>
      </c>
      <c r="B75" s="23" t="s">
        <v>39</v>
      </c>
      <c r="C75" t="s">
        <v>198</v>
      </c>
      <c r="D75" t="s">
        <v>101</v>
      </c>
      <c r="E75" t="s">
        <v>54</v>
      </c>
      <c r="F75" t="s">
        <v>43</v>
      </c>
      <c r="G75">
        <v>14</v>
      </c>
      <c r="H75" s="4">
        <v>35.86</v>
      </c>
      <c r="I75" s="8">
        <v>502.04</v>
      </c>
      <c r="J75">
        <v>40.130000000000003</v>
      </c>
      <c r="K75">
        <v>181.91</v>
      </c>
      <c r="L75" t="s">
        <v>44</v>
      </c>
      <c r="M75" t="s">
        <v>37</v>
      </c>
      <c r="N75" t="s">
        <v>102</v>
      </c>
      <c r="O75" s="23">
        <f>DATE(YEAR(Table1[[#This Row],[Order_Date]]), MONTH(Table1[[#This Row],[Order_Date]]), 1)</f>
        <v>45566</v>
      </c>
      <c r="Q75" s="5"/>
    </row>
    <row r="76" spans="1:17" x14ac:dyDescent="0.3">
      <c r="A76" t="s">
        <v>199</v>
      </c>
      <c r="B76" s="23" t="s">
        <v>157</v>
      </c>
      <c r="C76" t="s">
        <v>200</v>
      </c>
      <c r="D76" t="s">
        <v>91</v>
      </c>
      <c r="E76" t="s">
        <v>69</v>
      </c>
      <c r="F76" t="s">
        <v>59</v>
      </c>
      <c r="G76">
        <v>49</v>
      </c>
      <c r="H76" s="4">
        <v>21.37</v>
      </c>
      <c r="I76" s="8">
        <v>1047.1300000000001</v>
      </c>
      <c r="J76">
        <v>65.98</v>
      </c>
      <c r="K76">
        <v>221.65</v>
      </c>
      <c r="L76" t="s">
        <v>44</v>
      </c>
      <c r="M76" t="s">
        <v>37</v>
      </c>
      <c r="N76" t="s">
        <v>66</v>
      </c>
      <c r="O76" s="23">
        <f>DATE(YEAR(Table1[[#This Row],[Order_Date]]), MONTH(Table1[[#This Row],[Order_Date]]), 1)</f>
        <v>45292</v>
      </c>
      <c r="Q76" s="5"/>
    </row>
    <row r="77" spans="1:17" x14ac:dyDescent="0.3">
      <c r="A77" t="s">
        <v>201</v>
      </c>
      <c r="B77" s="23" t="s">
        <v>104</v>
      </c>
      <c r="C77" t="s">
        <v>202</v>
      </c>
      <c r="D77" t="s">
        <v>53</v>
      </c>
      <c r="E77" t="s">
        <v>29</v>
      </c>
      <c r="F77" t="s">
        <v>21</v>
      </c>
      <c r="G77">
        <v>42</v>
      </c>
      <c r="H77">
        <v>24.57</v>
      </c>
      <c r="I77">
        <v>1031.94</v>
      </c>
      <c r="J77">
        <v>56.45</v>
      </c>
      <c r="K77">
        <v>219.49</v>
      </c>
      <c r="L77" t="s">
        <v>30</v>
      </c>
      <c r="M77" t="s">
        <v>23</v>
      </c>
      <c r="N77" t="s">
        <v>24</v>
      </c>
      <c r="O77" s="23">
        <f>DATE(YEAR(Table1[[#This Row],[Order_Date]]), MONTH(Table1[[#This Row],[Order_Date]]), 1)</f>
        <v>45717</v>
      </c>
      <c r="Q77" s="5"/>
    </row>
    <row r="78" spans="1:17" x14ac:dyDescent="0.3">
      <c r="A78" t="s">
        <v>203</v>
      </c>
      <c r="B78" s="23" t="s">
        <v>132</v>
      </c>
      <c r="C78" t="s">
        <v>202</v>
      </c>
      <c r="D78" t="s">
        <v>81</v>
      </c>
      <c r="E78" t="s">
        <v>29</v>
      </c>
      <c r="F78" t="s">
        <v>21</v>
      </c>
      <c r="G78">
        <v>42</v>
      </c>
      <c r="H78" s="4">
        <v>26.39</v>
      </c>
      <c r="I78" s="8">
        <v>1108.3800000000001</v>
      </c>
      <c r="J78">
        <v>44.56</v>
      </c>
      <c r="K78">
        <v>307.82</v>
      </c>
      <c r="L78" t="s">
        <v>30</v>
      </c>
      <c r="M78" t="s">
        <v>23</v>
      </c>
      <c r="N78" t="s">
        <v>66</v>
      </c>
      <c r="O78" s="23">
        <f>DATE(YEAR(Table1[[#This Row],[Order_Date]]), MONTH(Table1[[#This Row],[Order_Date]]), 1)</f>
        <v>45597</v>
      </c>
      <c r="Q78" s="5"/>
    </row>
    <row r="79" spans="1:17" x14ac:dyDescent="0.3">
      <c r="A79" t="s">
        <v>204</v>
      </c>
      <c r="B79" s="23" t="s">
        <v>132</v>
      </c>
      <c r="C79" t="s">
        <v>200</v>
      </c>
      <c r="D79" t="s">
        <v>48</v>
      </c>
      <c r="E79" t="s">
        <v>54</v>
      </c>
      <c r="F79" t="s">
        <v>43</v>
      </c>
      <c r="G79">
        <v>50</v>
      </c>
      <c r="H79" s="4">
        <v>29.73</v>
      </c>
      <c r="I79" s="8">
        <v>1486.5</v>
      </c>
      <c r="J79">
        <v>96.77</v>
      </c>
      <c r="K79">
        <v>389.73</v>
      </c>
      <c r="L79" t="s">
        <v>44</v>
      </c>
      <c r="M79" t="s">
        <v>23</v>
      </c>
      <c r="N79" t="s">
        <v>24</v>
      </c>
      <c r="O79" s="23">
        <f>DATE(YEAR(Table1[[#This Row],[Order_Date]]), MONTH(Table1[[#This Row],[Order_Date]]), 1)</f>
        <v>45597</v>
      </c>
      <c r="Q79" s="5"/>
    </row>
    <row r="80" spans="1:17" x14ac:dyDescent="0.3">
      <c r="A80" t="s">
        <v>205</v>
      </c>
      <c r="B80" s="23" t="s">
        <v>104</v>
      </c>
      <c r="C80" t="s">
        <v>198</v>
      </c>
      <c r="D80" t="s">
        <v>63</v>
      </c>
      <c r="E80" t="s">
        <v>69</v>
      </c>
      <c r="F80" t="s">
        <v>59</v>
      </c>
      <c r="G80">
        <v>39</v>
      </c>
      <c r="H80" s="4">
        <v>20.56</v>
      </c>
      <c r="I80" s="8">
        <v>801.84</v>
      </c>
      <c r="J80">
        <v>43.55</v>
      </c>
      <c r="K80">
        <v>153.79</v>
      </c>
      <c r="L80" t="s">
        <v>22</v>
      </c>
      <c r="M80" t="s">
        <v>23</v>
      </c>
      <c r="N80" t="s">
        <v>66</v>
      </c>
      <c r="O80" s="23">
        <f>DATE(YEAR(Table1[[#This Row],[Order_Date]]), MONTH(Table1[[#This Row],[Order_Date]]), 1)</f>
        <v>45717</v>
      </c>
      <c r="Q80" s="5"/>
    </row>
    <row r="81" spans="1:17" x14ac:dyDescent="0.3">
      <c r="A81" t="s">
        <v>206</v>
      </c>
      <c r="B81" s="23" t="s">
        <v>157</v>
      </c>
      <c r="C81" t="s">
        <v>27</v>
      </c>
      <c r="D81" t="s">
        <v>63</v>
      </c>
      <c r="E81" t="s">
        <v>69</v>
      </c>
      <c r="F81" t="s">
        <v>59</v>
      </c>
      <c r="G81">
        <v>48</v>
      </c>
      <c r="H81" s="4">
        <v>24.36</v>
      </c>
      <c r="I81" s="8">
        <v>1169.28</v>
      </c>
      <c r="J81">
        <v>81.599999999999994</v>
      </c>
      <c r="K81">
        <v>343.68</v>
      </c>
      <c r="L81" t="s">
        <v>44</v>
      </c>
      <c r="M81" t="s">
        <v>37</v>
      </c>
      <c r="N81" t="s">
        <v>66</v>
      </c>
      <c r="O81" s="23">
        <f>DATE(YEAR(Table1[[#This Row],[Order_Date]]), MONTH(Table1[[#This Row],[Order_Date]]), 1)</f>
        <v>45292</v>
      </c>
      <c r="Q81" s="5"/>
    </row>
    <row r="82" spans="1:17" x14ac:dyDescent="0.3">
      <c r="A82" t="s">
        <v>207</v>
      </c>
      <c r="B82" s="23" t="s">
        <v>68</v>
      </c>
      <c r="C82" t="s">
        <v>208</v>
      </c>
      <c r="D82" t="s">
        <v>170</v>
      </c>
      <c r="E82" t="s">
        <v>58</v>
      </c>
      <c r="F82" t="s">
        <v>59</v>
      </c>
      <c r="G82">
        <v>40</v>
      </c>
      <c r="H82" s="4">
        <v>27.95</v>
      </c>
      <c r="I82" s="8">
        <v>1118</v>
      </c>
      <c r="J82">
        <v>37.590000000000003</v>
      </c>
      <c r="K82">
        <v>180.41</v>
      </c>
      <c r="L82" t="s">
        <v>44</v>
      </c>
      <c r="M82" t="s">
        <v>37</v>
      </c>
      <c r="N82" t="s">
        <v>32</v>
      </c>
      <c r="O82" s="23">
        <f>DATE(YEAR(Table1[[#This Row],[Order_Date]]), MONTH(Table1[[#This Row],[Order_Date]]), 1)</f>
        <v>45536</v>
      </c>
      <c r="Q82" s="5"/>
    </row>
    <row r="83" spans="1:17" x14ac:dyDescent="0.3">
      <c r="A83" t="s">
        <v>209</v>
      </c>
      <c r="B83" s="23" t="s">
        <v>26</v>
      </c>
      <c r="C83" t="s">
        <v>137</v>
      </c>
      <c r="D83" t="s">
        <v>196</v>
      </c>
      <c r="E83" t="s">
        <v>98</v>
      </c>
      <c r="F83" t="s">
        <v>59</v>
      </c>
      <c r="G83">
        <v>21</v>
      </c>
      <c r="H83" s="4">
        <v>40.19</v>
      </c>
      <c r="I83" s="8">
        <v>843.99</v>
      </c>
      <c r="J83">
        <v>32.4</v>
      </c>
      <c r="K83">
        <v>223.59</v>
      </c>
      <c r="L83" t="s">
        <v>30</v>
      </c>
      <c r="M83" t="s">
        <v>31</v>
      </c>
      <c r="N83" t="s">
        <v>66</v>
      </c>
      <c r="O83" s="23">
        <f>DATE(YEAR(Table1[[#This Row],[Order_Date]]), MONTH(Table1[[#This Row],[Order_Date]]), 1)</f>
        <v>45689</v>
      </c>
      <c r="Q83" s="5"/>
    </row>
    <row r="84" spans="1:17" x14ac:dyDescent="0.3">
      <c r="A84" t="s">
        <v>210</v>
      </c>
      <c r="B84" s="23" t="s">
        <v>56</v>
      </c>
      <c r="C84" t="s">
        <v>105</v>
      </c>
      <c r="D84" t="s">
        <v>81</v>
      </c>
      <c r="E84" t="s">
        <v>73</v>
      </c>
      <c r="F84" t="s">
        <v>43</v>
      </c>
      <c r="G84">
        <v>26</v>
      </c>
      <c r="H84" s="4">
        <v>16.670000000000002</v>
      </c>
      <c r="I84" s="8">
        <v>433.42</v>
      </c>
      <c r="J84">
        <v>32.79</v>
      </c>
      <c r="K84">
        <v>69.13</v>
      </c>
      <c r="L84" t="s">
        <v>44</v>
      </c>
      <c r="M84" t="s">
        <v>31</v>
      </c>
      <c r="N84" t="s">
        <v>66</v>
      </c>
      <c r="O84" s="23">
        <f>DATE(YEAR(Table1[[#This Row],[Order_Date]]), MONTH(Table1[[#This Row],[Order_Date]]), 1)</f>
        <v>45444</v>
      </c>
      <c r="Q84" s="5"/>
    </row>
    <row r="85" spans="1:17" x14ac:dyDescent="0.3">
      <c r="A85" t="s">
        <v>211</v>
      </c>
      <c r="B85" s="23" t="s">
        <v>132</v>
      </c>
      <c r="C85" t="s">
        <v>212</v>
      </c>
      <c r="D85" t="s">
        <v>41</v>
      </c>
      <c r="E85" t="s">
        <v>42</v>
      </c>
      <c r="F85" t="s">
        <v>43</v>
      </c>
      <c r="G85">
        <v>28</v>
      </c>
      <c r="H85" s="4">
        <v>39.85</v>
      </c>
      <c r="I85" s="8">
        <v>1115.8</v>
      </c>
      <c r="J85">
        <v>43.87</v>
      </c>
      <c r="K85">
        <v>175.93</v>
      </c>
      <c r="L85" t="s">
        <v>44</v>
      </c>
      <c r="M85" t="s">
        <v>23</v>
      </c>
      <c r="N85" t="s">
        <v>45</v>
      </c>
      <c r="O85" s="23">
        <f>DATE(YEAR(Table1[[#This Row],[Order_Date]]), MONTH(Table1[[#This Row],[Order_Date]]), 1)</f>
        <v>45597</v>
      </c>
      <c r="Q85" s="5"/>
    </row>
    <row r="86" spans="1:17" x14ac:dyDescent="0.3">
      <c r="A86" t="s">
        <v>213</v>
      </c>
      <c r="B86" s="23" t="s">
        <v>132</v>
      </c>
      <c r="C86" t="s">
        <v>212</v>
      </c>
      <c r="D86" t="s">
        <v>53</v>
      </c>
      <c r="E86" t="s">
        <v>73</v>
      </c>
      <c r="F86" t="s">
        <v>43</v>
      </c>
      <c r="G86">
        <v>47</v>
      </c>
      <c r="H86" s="4">
        <v>15.97</v>
      </c>
      <c r="I86" s="8">
        <v>750.59</v>
      </c>
      <c r="J86">
        <v>48.55</v>
      </c>
      <c r="K86">
        <v>102.79</v>
      </c>
      <c r="L86" t="s">
        <v>44</v>
      </c>
      <c r="M86" t="s">
        <v>37</v>
      </c>
      <c r="N86" t="s">
        <v>24</v>
      </c>
      <c r="O86" s="23">
        <f>DATE(YEAR(Table1[[#This Row],[Order_Date]]), MONTH(Table1[[#This Row],[Order_Date]]), 1)</f>
        <v>45597</v>
      </c>
      <c r="Q86" s="5"/>
    </row>
    <row r="87" spans="1:17" x14ac:dyDescent="0.3">
      <c r="A87" t="s">
        <v>214</v>
      </c>
      <c r="B87" s="23" t="s">
        <v>132</v>
      </c>
      <c r="C87" t="s">
        <v>153</v>
      </c>
      <c r="D87" t="s">
        <v>63</v>
      </c>
      <c r="E87" t="s">
        <v>49</v>
      </c>
      <c r="F87" t="s">
        <v>50</v>
      </c>
      <c r="G87">
        <v>28</v>
      </c>
      <c r="H87" s="4">
        <v>53.6</v>
      </c>
      <c r="I87" s="8">
        <v>1500.8</v>
      </c>
      <c r="J87">
        <v>68.55</v>
      </c>
      <c r="K87">
        <v>312.25</v>
      </c>
      <c r="L87" t="s">
        <v>30</v>
      </c>
      <c r="M87" t="s">
        <v>31</v>
      </c>
      <c r="N87" t="s">
        <v>66</v>
      </c>
      <c r="O87" s="23">
        <f>DATE(YEAR(Table1[[#This Row],[Order_Date]]), MONTH(Table1[[#This Row],[Order_Date]]), 1)</f>
        <v>45597</v>
      </c>
      <c r="Q87" s="5"/>
    </row>
    <row r="88" spans="1:17" x14ac:dyDescent="0.3">
      <c r="A88" t="s">
        <v>215</v>
      </c>
      <c r="B88" s="23" t="s">
        <v>78</v>
      </c>
      <c r="C88" t="s">
        <v>125</v>
      </c>
      <c r="D88" t="s">
        <v>196</v>
      </c>
      <c r="E88" t="s">
        <v>98</v>
      </c>
      <c r="F88" t="s">
        <v>59</v>
      </c>
      <c r="G88">
        <v>37</v>
      </c>
      <c r="H88" s="4">
        <v>40.049999999999997</v>
      </c>
      <c r="I88" s="8">
        <v>1481.85</v>
      </c>
      <c r="J88">
        <v>45.6</v>
      </c>
      <c r="K88">
        <v>400.25</v>
      </c>
      <c r="L88" t="s">
        <v>22</v>
      </c>
      <c r="M88" t="s">
        <v>37</v>
      </c>
      <c r="N88" t="s">
        <v>66</v>
      </c>
      <c r="O88" s="23">
        <f>DATE(YEAR(Table1[[#This Row],[Order_Date]]), MONTH(Table1[[#This Row],[Order_Date]]), 1)</f>
        <v>45627</v>
      </c>
      <c r="Q88" s="5"/>
    </row>
    <row r="89" spans="1:17" x14ac:dyDescent="0.3">
      <c r="A89" t="s">
        <v>216</v>
      </c>
      <c r="B89" s="23" t="s">
        <v>26</v>
      </c>
      <c r="C89" t="s">
        <v>158</v>
      </c>
      <c r="D89" t="s">
        <v>36</v>
      </c>
      <c r="E89" t="s">
        <v>20</v>
      </c>
      <c r="F89" t="s">
        <v>21</v>
      </c>
      <c r="G89">
        <v>45</v>
      </c>
      <c r="H89" s="4">
        <v>43.74</v>
      </c>
      <c r="I89" s="8">
        <v>1968.3</v>
      </c>
      <c r="J89">
        <v>80.55</v>
      </c>
      <c r="K89">
        <v>312.75</v>
      </c>
      <c r="L89" t="s">
        <v>30</v>
      </c>
      <c r="M89" t="s">
        <v>37</v>
      </c>
      <c r="N89" t="s">
        <v>32</v>
      </c>
      <c r="O89" s="23">
        <f>DATE(YEAR(Table1[[#This Row],[Order_Date]]), MONTH(Table1[[#This Row],[Order_Date]]), 1)</f>
        <v>45689</v>
      </c>
      <c r="Q89" s="5"/>
    </row>
    <row r="90" spans="1:17" x14ac:dyDescent="0.3">
      <c r="A90" t="s">
        <v>217</v>
      </c>
      <c r="B90" s="23" t="s">
        <v>104</v>
      </c>
      <c r="C90" t="s">
        <v>218</v>
      </c>
      <c r="D90" t="s">
        <v>28</v>
      </c>
      <c r="E90" t="s">
        <v>69</v>
      </c>
      <c r="F90" t="s">
        <v>59</v>
      </c>
      <c r="G90">
        <v>9</v>
      </c>
      <c r="H90" s="4">
        <v>24.63</v>
      </c>
      <c r="I90" s="8">
        <v>221.67</v>
      </c>
      <c r="J90">
        <v>13.53</v>
      </c>
      <c r="K90">
        <v>68.64</v>
      </c>
      <c r="L90" t="s">
        <v>30</v>
      </c>
      <c r="M90" t="s">
        <v>37</v>
      </c>
      <c r="N90" t="s">
        <v>32</v>
      </c>
      <c r="O90" s="23">
        <f>DATE(YEAR(Table1[[#This Row],[Order_Date]]), MONTH(Table1[[#This Row],[Order_Date]]), 1)</f>
        <v>45717</v>
      </c>
      <c r="Q90" s="5"/>
    </row>
    <row r="91" spans="1:17" x14ac:dyDescent="0.3">
      <c r="A91" t="s">
        <v>219</v>
      </c>
      <c r="B91" s="23" t="s">
        <v>104</v>
      </c>
      <c r="C91" t="s">
        <v>47</v>
      </c>
      <c r="D91" t="s">
        <v>101</v>
      </c>
      <c r="E91" t="s">
        <v>69</v>
      </c>
      <c r="F91" t="s">
        <v>59</v>
      </c>
      <c r="G91">
        <v>6</v>
      </c>
      <c r="H91" s="4">
        <v>21.79</v>
      </c>
      <c r="I91" s="8">
        <v>130.74</v>
      </c>
      <c r="J91">
        <v>7.75</v>
      </c>
      <c r="K91">
        <v>29.99</v>
      </c>
      <c r="L91" t="s">
        <v>30</v>
      </c>
      <c r="M91" t="s">
        <v>37</v>
      </c>
      <c r="N91" t="s">
        <v>102</v>
      </c>
      <c r="O91" s="23">
        <f>DATE(YEAR(Table1[[#This Row],[Order_Date]]), MONTH(Table1[[#This Row],[Order_Date]]), 1)</f>
        <v>45717</v>
      </c>
      <c r="Q91" s="5"/>
    </row>
    <row r="92" spans="1:17" x14ac:dyDescent="0.3">
      <c r="A92" t="s">
        <v>220</v>
      </c>
      <c r="B92" s="23" t="s">
        <v>95</v>
      </c>
      <c r="C92" t="s">
        <v>221</v>
      </c>
      <c r="D92" t="s">
        <v>123</v>
      </c>
      <c r="E92" t="s">
        <v>20</v>
      </c>
      <c r="F92" t="s">
        <v>21</v>
      </c>
      <c r="G92">
        <v>23</v>
      </c>
      <c r="H92" s="4">
        <v>58.43</v>
      </c>
      <c r="I92" s="8">
        <v>1343.89</v>
      </c>
      <c r="J92">
        <v>38.729999999999997</v>
      </c>
      <c r="K92">
        <v>500.16</v>
      </c>
      <c r="L92" t="s">
        <v>30</v>
      </c>
      <c r="M92" t="s">
        <v>23</v>
      </c>
      <c r="N92" t="s">
        <v>32</v>
      </c>
      <c r="O92" s="23">
        <f>DATE(YEAR(Table1[[#This Row],[Order_Date]]), MONTH(Table1[[#This Row],[Order_Date]]), 1)</f>
        <v>45474</v>
      </c>
      <c r="Q92" s="5"/>
    </row>
    <row r="93" spans="1:17" x14ac:dyDescent="0.3">
      <c r="A93" t="s">
        <v>222</v>
      </c>
      <c r="B93" s="23" t="s">
        <v>68</v>
      </c>
      <c r="C93" t="s">
        <v>223</v>
      </c>
      <c r="D93" t="s">
        <v>81</v>
      </c>
      <c r="E93" t="s">
        <v>49</v>
      </c>
      <c r="F93" t="s">
        <v>50</v>
      </c>
      <c r="G93">
        <v>19</v>
      </c>
      <c r="H93" s="4">
        <v>67.06</v>
      </c>
      <c r="I93" s="8">
        <v>1274.1400000000001</v>
      </c>
      <c r="J93">
        <v>85.73</v>
      </c>
      <c r="K93">
        <v>428.41</v>
      </c>
      <c r="L93" t="s">
        <v>22</v>
      </c>
      <c r="M93" t="s">
        <v>31</v>
      </c>
      <c r="N93" t="s">
        <v>66</v>
      </c>
      <c r="O93" s="23">
        <f>DATE(YEAR(Table1[[#This Row],[Order_Date]]), MONTH(Table1[[#This Row],[Order_Date]]), 1)</f>
        <v>45536</v>
      </c>
      <c r="Q93" s="5"/>
    </row>
    <row r="94" spans="1:17" x14ac:dyDescent="0.3">
      <c r="A94" t="s">
        <v>224</v>
      </c>
      <c r="B94" s="23" t="s">
        <v>95</v>
      </c>
      <c r="C94" t="s">
        <v>218</v>
      </c>
      <c r="D94" t="s">
        <v>36</v>
      </c>
      <c r="E94" t="s">
        <v>29</v>
      </c>
      <c r="F94" t="s">
        <v>21</v>
      </c>
      <c r="G94">
        <v>4</v>
      </c>
      <c r="H94" s="4">
        <v>25.13</v>
      </c>
      <c r="I94" s="8">
        <v>100.52</v>
      </c>
      <c r="J94">
        <v>5.6</v>
      </c>
      <c r="K94">
        <v>22.92</v>
      </c>
      <c r="L94" t="s">
        <v>30</v>
      </c>
      <c r="M94" t="s">
        <v>37</v>
      </c>
      <c r="N94" t="s">
        <v>32</v>
      </c>
      <c r="O94" s="23">
        <f>DATE(YEAR(Table1[[#This Row],[Order_Date]]), MONTH(Table1[[#This Row],[Order_Date]]), 1)</f>
        <v>45474</v>
      </c>
      <c r="Q94" s="5"/>
    </row>
    <row r="95" spans="1:17" x14ac:dyDescent="0.3">
      <c r="A95" t="s">
        <v>225</v>
      </c>
      <c r="B95" s="23" t="s">
        <v>75</v>
      </c>
      <c r="C95" t="s">
        <v>226</v>
      </c>
      <c r="D95" t="s">
        <v>36</v>
      </c>
      <c r="E95" t="s">
        <v>69</v>
      </c>
      <c r="F95" t="s">
        <v>59</v>
      </c>
      <c r="G95">
        <v>26</v>
      </c>
      <c r="H95" s="4">
        <v>19.34</v>
      </c>
      <c r="I95" s="8">
        <v>502.84</v>
      </c>
      <c r="J95">
        <v>26.51</v>
      </c>
      <c r="K95">
        <v>73.33</v>
      </c>
      <c r="L95" t="s">
        <v>30</v>
      </c>
      <c r="M95" t="s">
        <v>23</v>
      </c>
      <c r="N95" t="s">
        <v>32</v>
      </c>
      <c r="O95" s="23">
        <f>DATE(YEAR(Table1[[#This Row],[Order_Date]]), MONTH(Table1[[#This Row],[Order_Date]]), 1)</f>
        <v>45748</v>
      </c>
      <c r="Q95" s="5"/>
    </row>
    <row r="96" spans="1:17" x14ac:dyDescent="0.3">
      <c r="A96" t="s">
        <v>227</v>
      </c>
      <c r="B96" s="23" t="s">
        <v>68</v>
      </c>
      <c r="C96" t="s">
        <v>228</v>
      </c>
      <c r="D96" t="s">
        <v>101</v>
      </c>
      <c r="E96" t="s">
        <v>54</v>
      </c>
      <c r="F96" t="s">
        <v>43</v>
      </c>
      <c r="G96">
        <v>26</v>
      </c>
      <c r="H96" s="4">
        <v>35.81</v>
      </c>
      <c r="I96" s="8">
        <v>931.06</v>
      </c>
      <c r="J96">
        <v>61.06</v>
      </c>
      <c r="K96">
        <v>350</v>
      </c>
      <c r="L96" t="s">
        <v>22</v>
      </c>
      <c r="M96" t="s">
        <v>23</v>
      </c>
      <c r="N96" t="s">
        <v>102</v>
      </c>
      <c r="O96" s="23">
        <f>DATE(YEAR(Table1[[#This Row],[Order_Date]]), MONTH(Table1[[#This Row],[Order_Date]]), 1)</f>
        <v>45536</v>
      </c>
      <c r="Q96" s="5"/>
    </row>
    <row r="97" spans="1:17" x14ac:dyDescent="0.3">
      <c r="A97" t="s">
        <v>229</v>
      </c>
      <c r="B97" s="23" t="s">
        <v>104</v>
      </c>
      <c r="C97" t="s">
        <v>230</v>
      </c>
      <c r="D97" t="s">
        <v>81</v>
      </c>
      <c r="E97" t="s">
        <v>58</v>
      </c>
      <c r="F97" t="s">
        <v>59</v>
      </c>
      <c r="G97">
        <v>42</v>
      </c>
      <c r="H97" s="4">
        <v>39.950000000000003</v>
      </c>
      <c r="I97" s="8">
        <v>1677.9</v>
      </c>
      <c r="J97">
        <v>93.95</v>
      </c>
      <c r="K97">
        <v>638.95000000000005</v>
      </c>
      <c r="L97" t="s">
        <v>30</v>
      </c>
      <c r="M97" t="s">
        <v>31</v>
      </c>
      <c r="N97" t="s">
        <v>66</v>
      </c>
      <c r="O97" s="23">
        <f>DATE(YEAR(Table1[[#This Row],[Order_Date]]), MONTH(Table1[[#This Row],[Order_Date]]), 1)</f>
        <v>45717</v>
      </c>
      <c r="Q97" s="5"/>
    </row>
    <row r="98" spans="1:17" x14ac:dyDescent="0.3">
      <c r="A98" t="s">
        <v>231</v>
      </c>
      <c r="B98" s="23" t="s">
        <v>95</v>
      </c>
      <c r="C98" t="s">
        <v>105</v>
      </c>
      <c r="D98" t="s">
        <v>88</v>
      </c>
      <c r="E98" t="s">
        <v>20</v>
      </c>
      <c r="F98" t="s">
        <v>21</v>
      </c>
      <c r="G98">
        <v>38</v>
      </c>
      <c r="H98" s="4">
        <v>49.98</v>
      </c>
      <c r="I98" s="8">
        <v>1899.24</v>
      </c>
      <c r="J98">
        <v>112.91</v>
      </c>
      <c r="K98">
        <v>456.33</v>
      </c>
      <c r="L98" t="s">
        <v>44</v>
      </c>
      <c r="M98" t="s">
        <v>37</v>
      </c>
      <c r="N98" t="s">
        <v>66</v>
      </c>
      <c r="O98" s="23">
        <f>DATE(YEAR(Table1[[#This Row],[Order_Date]]), MONTH(Table1[[#This Row],[Order_Date]]), 1)</f>
        <v>45474</v>
      </c>
      <c r="Q98" s="5"/>
    </row>
    <row r="99" spans="1:17" x14ac:dyDescent="0.3">
      <c r="A99" t="s">
        <v>232</v>
      </c>
      <c r="B99" s="23" t="s">
        <v>71</v>
      </c>
      <c r="C99" t="s">
        <v>137</v>
      </c>
      <c r="D99" t="s">
        <v>91</v>
      </c>
      <c r="E99" t="s">
        <v>98</v>
      </c>
      <c r="F99" t="s">
        <v>59</v>
      </c>
      <c r="G99">
        <v>1</v>
      </c>
      <c r="H99" s="4">
        <v>45.84</v>
      </c>
      <c r="I99" s="8">
        <v>45.84</v>
      </c>
      <c r="J99">
        <v>1.26</v>
      </c>
      <c r="K99">
        <v>16.579999999999998</v>
      </c>
      <c r="L99" t="s">
        <v>44</v>
      </c>
      <c r="M99" t="s">
        <v>23</v>
      </c>
      <c r="N99" t="s">
        <v>66</v>
      </c>
      <c r="O99" s="23">
        <f>DATE(YEAR(Table1[[#This Row],[Order_Date]]), MONTH(Table1[[#This Row],[Order_Date]]), 1)</f>
        <v>45505</v>
      </c>
      <c r="Q99" s="5"/>
    </row>
    <row r="100" spans="1:17" x14ac:dyDescent="0.3">
      <c r="A100" t="s">
        <v>233</v>
      </c>
      <c r="B100" s="23" t="s">
        <v>75</v>
      </c>
      <c r="C100" t="s">
        <v>208</v>
      </c>
      <c r="D100" t="s">
        <v>147</v>
      </c>
      <c r="E100" t="s">
        <v>29</v>
      </c>
      <c r="F100" t="s">
        <v>21</v>
      </c>
      <c r="G100">
        <v>38</v>
      </c>
      <c r="H100" s="4">
        <v>26.34</v>
      </c>
      <c r="I100" s="8">
        <v>1000.92</v>
      </c>
      <c r="J100">
        <v>47.88</v>
      </c>
      <c r="K100">
        <v>269.04000000000002</v>
      </c>
      <c r="L100" t="s">
        <v>22</v>
      </c>
      <c r="M100" t="s">
        <v>31</v>
      </c>
      <c r="N100" t="s">
        <v>148</v>
      </c>
      <c r="O100" s="23">
        <f>DATE(YEAR(Table1[[#This Row],[Order_Date]]), MONTH(Table1[[#This Row],[Order_Date]]), 1)</f>
        <v>45748</v>
      </c>
      <c r="Q100" s="5"/>
    </row>
    <row r="101" spans="1:17" x14ac:dyDescent="0.3">
      <c r="A101" t="s">
        <v>234</v>
      </c>
      <c r="B101" s="23" t="s">
        <v>39</v>
      </c>
      <c r="C101" t="s">
        <v>187</v>
      </c>
      <c r="D101" t="s">
        <v>123</v>
      </c>
      <c r="E101" t="s">
        <v>64</v>
      </c>
      <c r="F101" t="s">
        <v>65</v>
      </c>
      <c r="G101">
        <v>30</v>
      </c>
      <c r="H101" s="4">
        <v>36.43</v>
      </c>
      <c r="I101" s="8">
        <v>1092.9000000000001</v>
      </c>
      <c r="J101">
        <v>61.97</v>
      </c>
      <c r="K101">
        <v>280.93</v>
      </c>
      <c r="L101" t="s">
        <v>44</v>
      </c>
      <c r="M101" t="s">
        <v>31</v>
      </c>
      <c r="N101" t="s">
        <v>32</v>
      </c>
      <c r="O101" s="23">
        <f>DATE(YEAR(Table1[[#This Row],[Order_Date]]), MONTH(Table1[[#This Row],[Order_Date]]), 1)</f>
        <v>45566</v>
      </c>
      <c r="Q101" s="5"/>
    </row>
    <row r="102" spans="1:17" x14ac:dyDescent="0.3">
      <c r="A102" t="s">
        <v>235</v>
      </c>
      <c r="B102" s="23" t="s">
        <v>56</v>
      </c>
      <c r="C102" t="s">
        <v>212</v>
      </c>
      <c r="D102" t="s">
        <v>36</v>
      </c>
      <c r="E102" t="s">
        <v>73</v>
      </c>
      <c r="F102" t="s">
        <v>43</v>
      </c>
      <c r="G102">
        <v>9</v>
      </c>
      <c r="H102" s="4">
        <v>22.27</v>
      </c>
      <c r="I102" s="8">
        <v>200.43</v>
      </c>
      <c r="J102">
        <v>13.21</v>
      </c>
      <c r="K102">
        <v>72.47</v>
      </c>
      <c r="L102" t="s">
        <v>30</v>
      </c>
      <c r="M102" t="s">
        <v>31</v>
      </c>
      <c r="N102" t="s">
        <v>32</v>
      </c>
      <c r="O102" s="23">
        <f>DATE(YEAR(Table1[[#This Row],[Order_Date]]), MONTH(Table1[[#This Row],[Order_Date]]), 1)</f>
        <v>45444</v>
      </c>
      <c r="Q102" s="5"/>
    </row>
    <row r="103" spans="1:17" x14ac:dyDescent="0.3">
      <c r="A103" t="s">
        <v>236</v>
      </c>
      <c r="B103" s="23" t="s">
        <v>68</v>
      </c>
      <c r="C103" t="s">
        <v>117</v>
      </c>
      <c r="D103" t="s">
        <v>147</v>
      </c>
      <c r="E103" t="s">
        <v>69</v>
      </c>
      <c r="F103" t="s">
        <v>59</v>
      </c>
      <c r="G103">
        <v>26</v>
      </c>
      <c r="H103" s="4">
        <v>27.65</v>
      </c>
      <c r="I103" s="8">
        <v>718.9</v>
      </c>
      <c r="J103">
        <v>46.25</v>
      </c>
      <c r="K103">
        <v>269.64999999999998</v>
      </c>
      <c r="L103" t="s">
        <v>30</v>
      </c>
      <c r="M103" t="s">
        <v>37</v>
      </c>
      <c r="N103" t="s">
        <v>148</v>
      </c>
      <c r="O103" s="23">
        <f>DATE(YEAR(Table1[[#This Row],[Order_Date]]), MONTH(Table1[[#This Row],[Order_Date]]), 1)</f>
        <v>45536</v>
      </c>
      <c r="Q103" s="5"/>
    </row>
    <row r="104" spans="1:17" x14ac:dyDescent="0.3">
      <c r="A104" t="s">
        <v>237</v>
      </c>
      <c r="B104" s="23" t="s">
        <v>95</v>
      </c>
      <c r="C104" t="s">
        <v>208</v>
      </c>
      <c r="D104" t="s">
        <v>28</v>
      </c>
      <c r="E104" t="s">
        <v>69</v>
      </c>
      <c r="F104" t="s">
        <v>59</v>
      </c>
      <c r="G104">
        <v>23</v>
      </c>
      <c r="H104" s="4">
        <v>22.45</v>
      </c>
      <c r="I104" s="8">
        <v>516.35</v>
      </c>
      <c r="J104">
        <v>15.68</v>
      </c>
      <c r="K104">
        <v>144.16999999999999</v>
      </c>
      <c r="L104" t="s">
        <v>44</v>
      </c>
      <c r="M104" t="s">
        <v>37</v>
      </c>
      <c r="N104" t="s">
        <v>32</v>
      </c>
      <c r="O104" s="23">
        <f>DATE(YEAR(Table1[[#This Row],[Order_Date]]), MONTH(Table1[[#This Row],[Order_Date]]), 1)</f>
        <v>45474</v>
      </c>
      <c r="Q104" s="5"/>
    </row>
    <row r="105" spans="1:17" x14ac:dyDescent="0.3">
      <c r="A105" t="s">
        <v>238</v>
      </c>
      <c r="B105" s="23" t="s">
        <v>71</v>
      </c>
      <c r="C105" t="s">
        <v>141</v>
      </c>
      <c r="D105" t="s">
        <v>28</v>
      </c>
      <c r="E105" t="s">
        <v>69</v>
      </c>
      <c r="F105" t="s">
        <v>59</v>
      </c>
      <c r="G105">
        <v>30</v>
      </c>
      <c r="H105" s="4">
        <v>21.93</v>
      </c>
      <c r="I105" s="8">
        <v>657.9</v>
      </c>
      <c r="J105">
        <v>24.66</v>
      </c>
      <c r="K105">
        <v>168.24</v>
      </c>
      <c r="L105" t="s">
        <v>30</v>
      </c>
      <c r="M105" t="s">
        <v>23</v>
      </c>
      <c r="N105" t="s">
        <v>32</v>
      </c>
      <c r="O105" s="23">
        <f>DATE(YEAR(Table1[[#This Row],[Order_Date]]), MONTH(Table1[[#This Row],[Order_Date]]), 1)</f>
        <v>45505</v>
      </c>
      <c r="Q105" s="5"/>
    </row>
    <row r="106" spans="1:17" x14ac:dyDescent="0.3">
      <c r="A106" t="s">
        <v>239</v>
      </c>
      <c r="B106" s="23" t="s">
        <v>68</v>
      </c>
      <c r="C106" t="s">
        <v>240</v>
      </c>
      <c r="D106" t="s">
        <v>81</v>
      </c>
      <c r="E106" t="s">
        <v>73</v>
      </c>
      <c r="F106" t="s">
        <v>43</v>
      </c>
      <c r="G106">
        <v>43</v>
      </c>
      <c r="H106" s="4">
        <v>21.92</v>
      </c>
      <c r="I106" s="8">
        <v>942.56</v>
      </c>
      <c r="J106">
        <v>51.15</v>
      </c>
      <c r="K106">
        <v>343.16</v>
      </c>
      <c r="L106" t="s">
        <v>22</v>
      </c>
      <c r="M106" t="s">
        <v>37</v>
      </c>
      <c r="N106" t="s">
        <v>66</v>
      </c>
      <c r="O106" s="23">
        <f>DATE(YEAR(Table1[[#This Row],[Order_Date]]), MONTH(Table1[[#This Row],[Order_Date]]), 1)</f>
        <v>45536</v>
      </c>
      <c r="Q106" s="5"/>
    </row>
    <row r="107" spans="1:17" x14ac:dyDescent="0.3">
      <c r="A107" t="s">
        <v>241</v>
      </c>
      <c r="B107" s="23" t="s">
        <v>26</v>
      </c>
      <c r="C107" t="s">
        <v>72</v>
      </c>
      <c r="D107" t="s">
        <v>41</v>
      </c>
      <c r="E107" t="s">
        <v>49</v>
      </c>
      <c r="F107" t="s">
        <v>50</v>
      </c>
      <c r="G107">
        <v>3</v>
      </c>
      <c r="H107" s="4">
        <v>56.21</v>
      </c>
      <c r="I107" s="8">
        <v>168.63</v>
      </c>
      <c r="J107">
        <v>7.56</v>
      </c>
      <c r="K107">
        <v>41.07</v>
      </c>
      <c r="L107" t="s">
        <v>44</v>
      </c>
      <c r="M107" t="s">
        <v>23</v>
      </c>
      <c r="N107" t="s">
        <v>45</v>
      </c>
      <c r="O107" s="23">
        <f>DATE(YEAR(Table1[[#This Row],[Order_Date]]), MONTH(Table1[[#This Row],[Order_Date]]), 1)</f>
        <v>45689</v>
      </c>
      <c r="Q107" s="5"/>
    </row>
    <row r="108" spans="1:17" x14ac:dyDescent="0.3">
      <c r="A108" t="s">
        <v>242</v>
      </c>
      <c r="B108" s="23" t="s">
        <v>34</v>
      </c>
      <c r="C108" t="s">
        <v>18</v>
      </c>
      <c r="D108" t="s">
        <v>36</v>
      </c>
      <c r="E108" t="s">
        <v>73</v>
      </c>
      <c r="F108" t="s">
        <v>43</v>
      </c>
      <c r="G108">
        <v>33</v>
      </c>
      <c r="H108" s="4">
        <v>15.44</v>
      </c>
      <c r="I108" s="8">
        <v>509.52</v>
      </c>
      <c r="J108">
        <v>19.7</v>
      </c>
      <c r="K108">
        <v>69.069999999999993</v>
      </c>
      <c r="L108" t="s">
        <v>22</v>
      </c>
      <c r="M108" t="s">
        <v>37</v>
      </c>
      <c r="N108" t="s">
        <v>32</v>
      </c>
      <c r="O108" s="23">
        <f>DATE(YEAR(Table1[[#This Row],[Order_Date]]), MONTH(Table1[[#This Row],[Order_Date]]), 1)</f>
        <v>45383</v>
      </c>
      <c r="Q108" s="5"/>
    </row>
    <row r="109" spans="1:17" x14ac:dyDescent="0.3">
      <c r="A109" t="s">
        <v>243</v>
      </c>
      <c r="B109" s="23" t="s">
        <v>68</v>
      </c>
      <c r="C109" t="s">
        <v>110</v>
      </c>
      <c r="D109" t="s">
        <v>101</v>
      </c>
      <c r="E109" t="s">
        <v>69</v>
      </c>
      <c r="F109" t="s">
        <v>59</v>
      </c>
      <c r="G109">
        <v>50</v>
      </c>
      <c r="H109" s="4">
        <v>23.02</v>
      </c>
      <c r="I109" s="8">
        <v>1151</v>
      </c>
      <c r="J109">
        <v>69.3</v>
      </c>
      <c r="K109">
        <v>306.7</v>
      </c>
      <c r="L109" t="s">
        <v>30</v>
      </c>
      <c r="M109" t="s">
        <v>31</v>
      </c>
      <c r="N109" t="s">
        <v>102</v>
      </c>
      <c r="O109" s="23">
        <f>DATE(YEAR(Table1[[#This Row],[Order_Date]]), MONTH(Table1[[#This Row],[Order_Date]]), 1)</f>
        <v>45536</v>
      </c>
      <c r="Q109" s="5"/>
    </row>
    <row r="110" spans="1:17" x14ac:dyDescent="0.3">
      <c r="A110" t="s">
        <v>244</v>
      </c>
      <c r="B110" s="23" t="s">
        <v>86</v>
      </c>
      <c r="C110" t="s">
        <v>245</v>
      </c>
      <c r="D110" t="s">
        <v>41</v>
      </c>
      <c r="E110" t="s">
        <v>73</v>
      </c>
      <c r="F110" t="s">
        <v>43</v>
      </c>
      <c r="G110">
        <v>8</v>
      </c>
      <c r="H110" s="4">
        <v>17.010000000000002</v>
      </c>
      <c r="I110" s="8">
        <v>136.08000000000001</v>
      </c>
      <c r="J110">
        <v>8.84</v>
      </c>
      <c r="K110">
        <v>25.24</v>
      </c>
      <c r="L110" t="s">
        <v>22</v>
      </c>
      <c r="M110" t="s">
        <v>37</v>
      </c>
      <c r="N110" t="s">
        <v>45</v>
      </c>
      <c r="O110" s="23">
        <f>DATE(YEAR(Table1[[#This Row],[Order_Date]]), MONTH(Table1[[#This Row],[Order_Date]]), 1)</f>
        <v>45352</v>
      </c>
      <c r="Q110" s="5"/>
    </row>
    <row r="111" spans="1:17" x14ac:dyDescent="0.3">
      <c r="A111" t="s">
        <v>246</v>
      </c>
      <c r="B111" s="23" t="s">
        <v>39</v>
      </c>
      <c r="C111" t="s">
        <v>208</v>
      </c>
      <c r="D111" t="s">
        <v>123</v>
      </c>
      <c r="E111" t="s">
        <v>29</v>
      </c>
      <c r="F111" t="s">
        <v>21</v>
      </c>
      <c r="G111">
        <v>16</v>
      </c>
      <c r="H111" s="4">
        <v>26.47</v>
      </c>
      <c r="I111" s="8">
        <v>423.52</v>
      </c>
      <c r="J111">
        <v>15.87</v>
      </c>
      <c r="K111">
        <v>119.65</v>
      </c>
      <c r="L111" t="s">
        <v>30</v>
      </c>
      <c r="M111" t="s">
        <v>23</v>
      </c>
      <c r="N111" t="s">
        <v>32</v>
      </c>
      <c r="O111" s="23">
        <f>DATE(YEAR(Table1[[#This Row],[Order_Date]]), MONTH(Table1[[#This Row],[Order_Date]]), 1)</f>
        <v>45566</v>
      </c>
      <c r="Q111" s="5"/>
    </row>
    <row r="112" spans="1:17" x14ac:dyDescent="0.3">
      <c r="A112" t="s">
        <v>247</v>
      </c>
      <c r="B112" s="23" t="s">
        <v>68</v>
      </c>
      <c r="C112" t="s">
        <v>189</v>
      </c>
      <c r="D112" t="s">
        <v>41</v>
      </c>
      <c r="E112" t="s">
        <v>42</v>
      </c>
      <c r="F112" t="s">
        <v>43</v>
      </c>
      <c r="G112">
        <v>32</v>
      </c>
      <c r="H112" s="4">
        <v>43.18</v>
      </c>
      <c r="I112" s="8">
        <v>1381.76</v>
      </c>
      <c r="J112">
        <v>88.54</v>
      </c>
      <c r="K112">
        <v>269.22000000000003</v>
      </c>
      <c r="L112" t="s">
        <v>30</v>
      </c>
      <c r="M112" t="s">
        <v>37</v>
      </c>
      <c r="N112" t="s">
        <v>45</v>
      </c>
      <c r="O112" s="23">
        <f>DATE(YEAR(Table1[[#This Row],[Order_Date]]), MONTH(Table1[[#This Row],[Order_Date]]), 1)</f>
        <v>45536</v>
      </c>
      <c r="Q112" s="5"/>
    </row>
    <row r="113" spans="1:17" x14ac:dyDescent="0.3">
      <c r="A113" t="s">
        <v>248</v>
      </c>
      <c r="B113" s="23" t="s">
        <v>56</v>
      </c>
      <c r="C113" t="s">
        <v>127</v>
      </c>
      <c r="D113" t="s">
        <v>147</v>
      </c>
      <c r="E113" t="s">
        <v>69</v>
      </c>
      <c r="F113" t="s">
        <v>59</v>
      </c>
      <c r="G113">
        <v>29</v>
      </c>
      <c r="H113" s="4">
        <v>18.850000000000001</v>
      </c>
      <c r="I113" s="8">
        <v>546.65</v>
      </c>
      <c r="J113">
        <v>13.22</v>
      </c>
      <c r="K113">
        <v>83.93</v>
      </c>
      <c r="L113" t="s">
        <v>22</v>
      </c>
      <c r="M113" t="s">
        <v>37</v>
      </c>
      <c r="N113" t="s">
        <v>148</v>
      </c>
      <c r="O113" s="23">
        <f>DATE(YEAR(Table1[[#This Row],[Order_Date]]), MONTH(Table1[[#This Row],[Order_Date]]), 1)</f>
        <v>45444</v>
      </c>
      <c r="Q113" s="5"/>
    </row>
    <row r="114" spans="1:17" x14ac:dyDescent="0.3">
      <c r="A114" t="s">
        <v>249</v>
      </c>
      <c r="B114" s="23" t="s">
        <v>17</v>
      </c>
      <c r="C114" t="s">
        <v>250</v>
      </c>
      <c r="D114" t="s">
        <v>123</v>
      </c>
      <c r="E114" t="s">
        <v>49</v>
      </c>
      <c r="F114" t="s">
        <v>50</v>
      </c>
      <c r="G114">
        <v>16</v>
      </c>
      <c r="H114" s="4">
        <v>64.400000000000006</v>
      </c>
      <c r="I114" s="8">
        <v>1030.4000000000001</v>
      </c>
      <c r="J114">
        <v>61.72</v>
      </c>
      <c r="K114">
        <v>328.68</v>
      </c>
      <c r="L114" t="s">
        <v>30</v>
      </c>
      <c r="M114" t="s">
        <v>31</v>
      </c>
      <c r="N114" t="s">
        <v>32</v>
      </c>
      <c r="O114" s="23">
        <f>DATE(YEAR(Table1[[#This Row],[Order_Date]]), MONTH(Table1[[#This Row],[Order_Date]]), 1)</f>
        <v>45658</v>
      </c>
      <c r="Q114" s="5"/>
    </row>
    <row r="115" spans="1:17" x14ac:dyDescent="0.3">
      <c r="A115" t="s">
        <v>251</v>
      </c>
      <c r="B115" s="23" t="s">
        <v>132</v>
      </c>
      <c r="C115" t="s">
        <v>252</v>
      </c>
      <c r="D115" t="s">
        <v>81</v>
      </c>
      <c r="E115" t="s">
        <v>69</v>
      </c>
      <c r="F115" t="s">
        <v>59</v>
      </c>
      <c r="G115">
        <v>15</v>
      </c>
      <c r="H115" s="4">
        <v>19.53</v>
      </c>
      <c r="I115" s="8">
        <v>292.95</v>
      </c>
      <c r="J115">
        <v>7.15</v>
      </c>
      <c r="K115">
        <v>53.3</v>
      </c>
      <c r="L115" t="s">
        <v>44</v>
      </c>
      <c r="M115" t="s">
        <v>31</v>
      </c>
      <c r="N115" t="s">
        <v>66</v>
      </c>
      <c r="O115" s="23">
        <f>DATE(YEAR(Table1[[#This Row],[Order_Date]]), MONTH(Table1[[#This Row],[Order_Date]]), 1)</f>
        <v>45597</v>
      </c>
      <c r="Q115" s="5"/>
    </row>
    <row r="116" spans="1:17" x14ac:dyDescent="0.3">
      <c r="A116" t="s">
        <v>253</v>
      </c>
      <c r="B116" s="23" t="s">
        <v>95</v>
      </c>
      <c r="C116" t="s">
        <v>130</v>
      </c>
      <c r="D116" t="s">
        <v>170</v>
      </c>
      <c r="E116" t="s">
        <v>54</v>
      </c>
      <c r="F116" t="s">
        <v>43</v>
      </c>
      <c r="G116">
        <v>36</v>
      </c>
      <c r="H116" s="4">
        <v>26.05</v>
      </c>
      <c r="I116" s="8">
        <v>937.8</v>
      </c>
      <c r="J116">
        <v>32.799999999999997</v>
      </c>
      <c r="K116">
        <v>185</v>
      </c>
      <c r="L116" t="s">
        <v>22</v>
      </c>
      <c r="M116" t="s">
        <v>37</v>
      </c>
      <c r="N116" t="s">
        <v>32</v>
      </c>
      <c r="O116" s="23">
        <f>DATE(YEAR(Table1[[#This Row],[Order_Date]]), MONTH(Table1[[#This Row],[Order_Date]]), 1)</f>
        <v>45474</v>
      </c>
      <c r="Q116" s="5"/>
    </row>
    <row r="117" spans="1:17" x14ac:dyDescent="0.3">
      <c r="A117" t="s">
        <v>254</v>
      </c>
      <c r="B117" s="23" t="s">
        <v>83</v>
      </c>
      <c r="C117" t="s">
        <v>62</v>
      </c>
      <c r="D117" t="s">
        <v>101</v>
      </c>
      <c r="E117" t="s">
        <v>42</v>
      </c>
      <c r="F117" t="s">
        <v>43</v>
      </c>
      <c r="G117">
        <v>26</v>
      </c>
      <c r="H117" s="4">
        <v>47.52</v>
      </c>
      <c r="I117" s="8">
        <v>1235.52</v>
      </c>
      <c r="J117">
        <v>31.41</v>
      </c>
      <c r="K117">
        <v>372.11</v>
      </c>
      <c r="L117" t="s">
        <v>30</v>
      </c>
      <c r="M117" t="s">
        <v>23</v>
      </c>
      <c r="N117" t="s">
        <v>102</v>
      </c>
      <c r="O117" s="23">
        <f>DATE(YEAR(Table1[[#This Row],[Order_Date]]), MONTH(Table1[[#This Row],[Order_Date]]), 1)</f>
        <v>45323</v>
      </c>
      <c r="Q117" s="5"/>
    </row>
    <row r="118" spans="1:17" x14ac:dyDescent="0.3">
      <c r="A118" t="s">
        <v>255</v>
      </c>
      <c r="B118" s="23" t="s">
        <v>68</v>
      </c>
      <c r="C118" t="s">
        <v>230</v>
      </c>
      <c r="D118" t="s">
        <v>123</v>
      </c>
      <c r="E118" t="s">
        <v>29</v>
      </c>
      <c r="F118" t="s">
        <v>21</v>
      </c>
      <c r="G118">
        <v>38</v>
      </c>
      <c r="H118" s="4">
        <v>26.38</v>
      </c>
      <c r="I118" s="8">
        <v>1002.44</v>
      </c>
      <c r="J118">
        <v>33.049999999999997</v>
      </c>
      <c r="K118">
        <v>285.39</v>
      </c>
      <c r="L118" t="s">
        <v>30</v>
      </c>
      <c r="M118" t="s">
        <v>23</v>
      </c>
      <c r="N118" t="s">
        <v>32</v>
      </c>
      <c r="O118" s="23">
        <f>DATE(YEAR(Table1[[#This Row],[Order_Date]]), MONTH(Table1[[#This Row],[Order_Date]]), 1)</f>
        <v>45536</v>
      </c>
      <c r="Q118" s="5"/>
    </row>
    <row r="119" spans="1:17" x14ac:dyDescent="0.3">
      <c r="A119" t="s">
        <v>256</v>
      </c>
      <c r="B119" s="23" t="s">
        <v>75</v>
      </c>
      <c r="C119" t="s">
        <v>158</v>
      </c>
      <c r="D119" t="s">
        <v>91</v>
      </c>
      <c r="E119" t="s">
        <v>73</v>
      </c>
      <c r="F119" t="s">
        <v>43</v>
      </c>
      <c r="G119">
        <v>7</v>
      </c>
      <c r="H119" s="4">
        <v>17.66</v>
      </c>
      <c r="I119" s="8">
        <v>123.62</v>
      </c>
      <c r="J119">
        <v>6.95</v>
      </c>
      <c r="K119">
        <v>27.42</v>
      </c>
      <c r="L119" t="s">
        <v>22</v>
      </c>
      <c r="M119" t="s">
        <v>23</v>
      </c>
      <c r="N119" t="s">
        <v>66</v>
      </c>
      <c r="O119" s="23">
        <f>DATE(YEAR(Table1[[#This Row],[Order_Date]]), MONTH(Table1[[#This Row],[Order_Date]]), 1)</f>
        <v>45748</v>
      </c>
      <c r="Q119" s="5"/>
    </row>
    <row r="120" spans="1:17" x14ac:dyDescent="0.3">
      <c r="A120" t="s">
        <v>257</v>
      </c>
      <c r="B120" s="23" t="s">
        <v>132</v>
      </c>
      <c r="C120" t="s">
        <v>161</v>
      </c>
      <c r="D120" t="s">
        <v>147</v>
      </c>
      <c r="E120" t="s">
        <v>20</v>
      </c>
      <c r="F120" t="s">
        <v>21</v>
      </c>
      <c r="G120">
        <v>26</v>
      </c>
      <c r="H120" s="4">
        <v>51.5</v>
      </c>
      <c r="I120" s="8">
        <v>1339</v>
      </c>
      <c r="J120">
        <v>92.09</v>
      </c>
      <c r="K120">
        <v>336.91</v>
      </c>
      <c r="L120" t="s">
        <v>30</v>
      </c>
      <c r="M120" t="s">
        <v>31</v>
      </c>
      <c r="N120" t="s">
        <v>148</v>
      </c>
      <c r="O120" s="23">
        <f>DATE(YEAR(Table1[[#This Row],[Order_Date]]), MONTH(Table1[[#This Row],[Order_Date]]), 1)</f>
        <v>45597</v>
      </c>
      <c r="Q120" s="5"/>
    </row>
    <row r="121" spans="1:17" x14ac:dyDescent="0.3">
      <c r="A121" t="s">
        <v>258</v>
      </c>
      <c r="B121" s="23" t="s">
        <v>75</v>
      </c>
      <c r="C121" t="s">
        <v>259</v>
      </c>
      <c r="D121" t="s">
        <v>19</v>
      </c>
      <c r="E121" t="s">
        <v>69</v>
      </c>
      <c r="F121" t="s">
        <v>59</v>
      </c>
      <c r="G121">
        <v>27</v>
      </c>
      <c r="H121" s="4">
        <v>25</v>
      </c>
      <c r="I121" s="8">
        <v>675</v>
      </c>
      <c r="J121">
        <v>15.49</v>
      </c>
      <c r="K121">
        <v>241.01</v>
      </c>
      <c r="L121" t="s">
        <v>30</v>
      </c>
      <c r="M121" t="s">
        <v>31</v>
      </c>
      <c r="N121" t="s">
        <v>24</v>
      </c>
      <c r="O121" s="23">
        <f>DATE(YEAR(Table1[[#This Row],[Order_Date]]), MONTH(Table1[[#This Row],[Order_Date]]), 1)</f>
        <v>45748</v>
      </c>
      <c r="Q121" s="5"/>
    </row>
    <row r="122" spans="1:17" x14ac:dyDescent="0.3">
      <c r="A122" t="s">
        <v>260</v>
      </c>
      <c r="B122" s="23" t="s">
        <v>95</v>
      </c>
      <c r="C122" t="s">
        <v>52</v>
      </c>
      <c r="D122" t="s">
        <v>101</v>
      </c>
      <c r="E122" t="s">
        <v>73</v>
      </c>
      <c r="F122" t="s">
        <v>43</v>
      </c>
      <c r="G122">
        <v>4</v>
      </c>
      <c r="H122" s="4">
        <v>19</v>
      </c>
      <c r="I122" s="8">
        <v>76</v>
      </c>
      <c r="J122">
        <v>3.78</v>
      </c>
      <c r="K122">
        <v>21.22</v>
      </c>
      <c r="L122" t="s">
        <v>30</v>
      </c>
      <c r="M122" t="s">
        <v>37</v>
      </c>
      <c r="N122" t="s">
        <v>102</v>
      </c>
      <c r="O122" s="23">
        <f>DATE(YEAR(Table1[[#This Row],[Order_Date]]), MONTH(Table1[[#This Row],[Order_Date]]), 1)</f>
        <v>45474</v>
      </c>
      <c r="Q122" s="5"/>
    </row>
    <row r="123" spans="1:17" x14ac:dyDescent="0.3">
      <c r="A123" t="s">
        <v>261</v>
      </c>
      <c r="B123" s="23" t="s">
        <v>107</v>
      </c>
      <c r="C123" t="s">
        <v>212</v>
      </c>
      <c r="D123" t="s">
        <v>48</v>
      </c>
      <c r="E123" t="s">
        <v>69</v>
      </c>
      <c r="F123" t="s">
        <v>59</v>
      </c>
      <c r="G123">
        <v>24</v>
      </c>
      <c r="H123" s="4">
        <v>26.63</v>
      </c>
      <c r="I123" s="8">
        <v>639.12</v>
      </c>
      <c r="J123">
        <v>31.92</v>
      </c>
      <c r="K123">
        <v>235.2</v>
      </c>
      <c r="L123" t="s">
        <v>44</v>
      </c>
      <c r="M123" t="s">
        <v>37</v>
      </c>
      <c r="N123" t="s">
        <v>24</v>
      </c>
      <c r="O123" s="23">
        <f>DATE(YEAR(Table1[[#This Row],[Order_Date]]), MONTH(Table1[[#This Row],[Order_Date]]), 1)</f>
        <v>45413</v>
      </c>
      <c r="Q123" s="5"/>
    </row>
    <row r="124" spans="1:17" x14ac:dyDescent="0.3">
      <c r="A124" t="s">
        <v>262</v>
      </c>
      <c r="B124" s="23" t="s">
        <v>17</v>
      </c>
      <c r="C124" t="s">
        <v>96</v>
      </c>
      <c r="D124" t="s">
        <v>81</v>
      </c>
      <c r="E124" t="s">
        <v>64</v>
      </c>
      <c r="F124" t="s">
        <v>65</v>
      </c>
      <c r="G124">
        <v>26</v>
      </c>
      <c r="H124" s="4">
        <v>43.14</v>
      </c>
      <c r="I124" s="8">
        <v>1121.6400000000001</v>
      </c>
      <c r="J124">
        <v>48.08</v>
      </c>
      <c r="K124">
        <v>423.56</v>
      </c>
      <c r="L124" t="s">
        <v>22</v>
      </c>
      <c r="M124" t="s">
        <v>31</v>
      </c>
      <c r="N124" t="s">
        <v>66</v>
      </c>
      <c r="O124" s="23">
        <f>DATE(YEAR(Table1[[#This Row],[Order_Date]]), MONTH(Table1[[#This Row],[Order_Date]]), 1)</f>
        <v>45658</v>
      </c>
      <c r="Q124" s="5"/>
    </row>
    <row r="125" spans="1:17" x14ac:dyDescent="0.3">
      <c r="A125" t="s">
        <v>263</v>
      </c>
      <c r="B125" s="23" t="s">
        <v>78</v>
      </c>
      <c r="C125" t="s">
        <v>218</v>
      </c>
      <c r="D125" t="s">
        <v>48</v>
      </c>
      <c r="E125" t="s">
        <v>64</v>
      </c>
      <c r="F125" t="s">
        <v>65</v>
      </c>
      <c r="G125">
        <v>39</v>
      </c>
      <c r="H125" s="4">
        <v>30.01</v>
      </c>
      <c r="I125" s="8">
        <v>1170.3900000000001</v>
      </c>
      <c r="J125">
        <v>60.43</v>
      </c>
      <c r="K125">
        <v>134.96</v>
      </c>
      <c r="L125" t="s">
        <v>30</v>
      </c>
      <c r="M125" t="s">
        <v>23</v>
      </c>
      <c r="N125" t="s">
        <v>24</v>
      </c>
      <c r="O125" s="23">
        <f>DATE(YEAR(Table1[[#This Row],[Order_Date]]), MONTH(Table1[[#This Row],[Order_Date]]), 1)</f>
        <v>45627</v>
      </c>
      <c r="Q125" s="5"/>
    </row>
    <row r="126" spans="1:17" x14ac:dyDescent="0.3">
      <c r="A126" t="s">
        <v>264</v>
      </c>
      <c r="B126" s="23" t="s">
        <v>78</v>
      </c>
      <c r="C126" t="s">
        <v>265</v>
      </c>
      <c r="D126" t="s">
        <v>170</v>
      </c>
      <c r="E126" t="s">
        <v>58</v>
      </c>
      <c r="F126" t="s">
        <v>59</v>
      </c>
      <c r="G126">
        <v>5</v>
      </c>
      <c r="H126" s="4">
        <v>31.31</v>
      </c>
      <c r="I126" s="8">
        <v>156.55000000000001</v>
      </c>
      <c r="J126">
        <v>4.04</v>
      </c>
      <c r="K126">
        <v>40.01</v>
      </c>
      <c r="L126" t="s">
        <v>44</v>
      </c>
      <c r="M126" t="s">
        <v>37</v>
      </c>
      <c r="N126" t="s">
        <v>32</v>
      </c>
      <c r="O126" s="23">
        <f>DATE(YEAR(Table1[[#This Row],[Order_Date]]), MONTH(Table1[[#This Row],[Order_Date]]), 1)</f>
        <v>45627</v>
      </c>
      <c r="Q126" s="5"/>
    </row>
    <row r="127" spans="1:17" x14ac:dyDescent="0.3">
      <c r="A127" t="s">
        <v>266</v>
      </c>
      <c r="B127" s="23" t="s">
        <v>71</v>
      </c>
      <c r="C127" t="s">
        <v>202</v>
      </c>
      <c r="D127" t="s">
        <v>19</v>
      </c>
      <c r="E127" t="s">
        <v>98</v>
      </c>
      <c r="F127" t="s">
        <v>59</v>
      </c>
      <c r="G127">
        <v>42</v>
      </c>
      <c r="H127" s="4">
        <v>36.950000000000003</v>
      </c>
      <c r="I127" s="8">
        <v>1551.9</v>
      </c>
      <c r="J127">
        <v>74.260000000000005</v>
      </c>
      <c r="K127">
        <v>301.64</v>
      </c>
      <c r="L127" t="s">
        <v>30</v>
      </c>
      <c r="M127" t="s">
        <v>31</v>
      </c>
      <c r="N127" t="s">
        <v>24</v>
      </c>
      <c r="O127" s="23">
        <f>DATE(YEAR(Table1[[#This Row],[Order_Date]]), MONTH(Table1[[#This Row],[Order_Date]]), 1)</f>
        <v>45505</v>
      </c>
      <c r="Q127" s="5"/>
    </row>
    <row r="128" spans="1:17" x14ac:dyDescent="0.3">
      <c r="A128" t="s">
        <v>267</v>
      </c>
      <c r="B128" s="23" t="s">
        <v>17</v>
      </c>
      <c r="C128" t="s">
        <v>268</v>
      </c>
      <c r="D128" t="s">
        <v>81</v>
      </c>
      <c r="E128" t="s">
        <v>49</v>
      </c>
      <c r="F128" t="s">
        <v>50</v>
      </c>
      <c r="G128">
        <v>36</v>
      </c>
      <c r="H128" s="4">
        <v>57.37</v>
      </c>
      <c r="I128" s="8">
        <v>2065.3200000000002</v>
      </c>
      <c r="J128">
        <v>94.34</v>
      </c>
      <c r="K128">
        <v>530.98</v>
      </c>
      <c r="L128" t="s">
        <v>44</v>
      </c>
      <c r="M128" t="s">
        <v>23</v>
      </c>
      <c r="N128" t="s">
        <v>66</v>
      </c>
      <c r="O128" s="23">
        <f>DATE(YEAR(Table1[[#This Row],[Order_Date]]), MONTH(Table1[[#This Row],[Order_Date]]), 1)</f>
        <v>45658</v>
      </c>
      <c r="Q128" s="5"/>
    </row>
    <row r="129" spans="1:17" x14ac:dyDescent="0.3">
      <c r="A129" t="s">
        <v>269</v>
      </c>
      <c r="B129" s="23" t="s">
        <v>132</v>
      </c>
      <c r="C129" t="s">
        <v>40</v>
      </c>
      <c r="D129" t="s">
        <v>88</v>
      </c>
      <c r="E129" t="s">
        <v>98</v>
      </c>
      <c r="F129" t="s">
        <v>59</v>
      </c>
      <c r="G129">
        <v>13</v>
      </c>
      <c r="H129" s="4">
        <v>40.18</v>
      </c>
      <c r="I129" s="8">
        <v>522.34</v>
      </c>
      <c r="J129">
        <v>37.369999999999997</v>
      </c>
      <c r="K129">
        <v>120.97</v>
      </c>
      <c r="L129" t="s">
        <v>30</v>
      </c>
      <c r="M129" t="s">
        <v>37</v>
      </c>
      <c r="N129" t="s">
        <v>66</v>
      </c>
      <c r="O129" s="23">
        <f>DATE(YEAR(Table1[[#This Row],[Order_Date]]), MONTH(Table1[[#This Row],[Order_Date]]), 1)</f>
        <v>45597</v>
      </c>
      <c r="Q129" s="5"/>
    </row>
    <row r="130" spans="1:17" x14ac:dyDescent="0.3">
      <c r="A130" t="s">
        <v>270</v>
      </c>
      <c r="B130" s="23" t="s">
        <v>75</v>
      </c>
      <c r="C130" t="s">
        <v>226</v>
      </c>
      <c r="D130" t="s">
        <v>91</v>
      </c>
      <c r="E130" t="s">
        <v>42</v>
      </c>
      <c r="F130" t="s">
        <v>43</v>
      </c>
      <c r="G130">
        <v>37</v>
      </c>
      <c r="H130" s="4">
        <v>39.299999999999997</v>
      </c>
      <c r="I130" s="8">
        <v>1454.1</v>
      </c>
      <c r="J130">
        <v>67.08</v>
      </c>
      <c r="K130">
        <v>203.02</v>
      </c>
      <c r="L130" t="s">
        <v>44</v>
      </c>
      <c r="M130" t="s">
        <v>23</v>
      </c>
      <c r="N130" t="s">
        <v>66</v>
      </c>
      <c r="O130" s="23">
        <f>DATE(YEAR(Table1[[#This Row],[Order_Date]]), MONTH(Table1[[#This Row],[Order_Date]]), 1)</f>
        <v>45748</v>
      </c>
      <c r="Q130" s="5"/>
    </row>
    <row r="131" spans="1:17" x14ac:dyDescent="0.3">
      <c r="A131" t="s">
        <v>271</v>
      </c>
      <c r="B131" s="23" t="s">
        <v>75</v>
      </c>
      <c r="C131" t="s">
        <v>212</v>
      </c>
      <c r="D131" t="s">
        <v>48</v>
      </c>
      <c r="E131" t="s">
        <v>42</v>
      </c>
      <c r="F131" t="s">
        <v>43</v>
      </c>
      <c r="G131">
        <v>17</v>
      </c>
      <c r="H131" s="4">
        <v>43.28</v>
      </c>
      <c r="I131" s="8">
        <v>735.76</v>
      </c>
      <c r="J131">
        <v>50.96</v>
      </c>
      <c r="K131">
        <v>140.80000000000001</v>
      </c>
      <c r="L131" t="s">
        <v>30</v>
      </c>
      <c r="M131" t="s">
        <v>31</v>
      </c>
      <c r="N131" t="s">
        <v>24</v>
      </c>
      <c r="O131" s="23">
        <f>DATE(YEAR(Table1[[#This Row],[Order_Date]]), MONTH(Table1[[#This Row],[Order_Date]]), 1)</f>
        <v>45748</v>
      </c>
      <c r="Q131" s="5"/>
    </row>
    <row r="132" spans="1:17" x14ac:dyDescent="0.3">
      <c r="A132" t="s">
        <v>272</v>
      </c>
      <c r="B132" s="23" t="s">
        <v>39</v>
      </c>
      <c r="C132" t="s">
        <v>18</v>
      </c>
      <c r="D132" t="s">
        <v>88</v>
      </c>
      <c r="E132" t="s">
        <v>20</v>
      </c>
      <c r="F132" t="s">
        <v>21</v>
      </c>
      <c r="G132">
        <v>22</v>
      </c>
      <c r="H132" s="4">
        <v>62.79</v>
      </c>
      <c r="I132" s="8">
        <v>1381.38</v>
      </c>
      <c r="J132">
        <v>75.84</v>
      </c>
      <c r="K132">
        <v>535.54</v>
      </c>
      <c r="L132" t="s">
        <v>44</v>
      </c>
      <c r="M132" t="s">
        <v>37</v>
      </c>
      <c r="N132" t="s">
        <v>66</v>
      </c>
      <c r="O132" s="23">
        <f>DATE(YEAR(Table1[[#This Row],[Order_Date]]), MONTH(Table1[[#This Row],[Order_Date]]), 1)</f>
        <v>45566</v>
      </c>
      <c r="Q132" s="5"/>
    </row>
    <row r="133" spans="1:17" x14ac:dyDescent="0.3">
      <c r="A133" t="s">
        <v>273</v>
      </c>
      <c r="B133" s="23" t="s">
        <v>75</v>
      </c>
      <c r="C133" t="s">
        <v>175</v>
      </c>
      <c r="D133" t="s">
        <v>170</v>
      </c>
      <c r="E133" t="s">
        <v>49</v>
      </c>
      <c r="F133" t="s">
        <v>50</v>
      </c>
      <c r="G133">
        <v>23</v>
      </c>
      <c r="H133" s="4">
        <v>56.76</v>
      </c>
      <c r="I133" s="8">
        <v>1305.48</v>
      </c>
      <c r="J133">
        <v>62.93</v>
      </c>
      <c r="K133">
        <v>322.55</v>
      </c>
      <c r="L133" t="s">
        <v>44</v>
      </c>
      <c r="M133" t="s">
        <v>37</v>
      </c>
      <c r="N133" t="s">
        <v>32</v>
      </c>
      <c r="O133" s="23">
        <f>DATE(YEAR(Table1[[#This Row],[Order_Date]]), MONTH(Table1[[#This Row],[Order_Date]]), 1)</f>
        <v>45748</v>
      </c>
      <c r="Q133" s="5"/>
    </row>
    <row r="134" spans="1:17" x14ac:dyDescent="0.3">
      <c r="A134" t="s">
        <v>274</v>
      </c>
      <c r="B134" s="23" t="s">
        <v>95</v>
      </c>
      <c r="C134" t="s">
        <v>35</v>
      </c>
      <c r="D134" t="s">
        <v>28</v>
      </c>
      <c r="E134" t="s">
        <v>49</v>
      </c>
      <c r="F134" t="s">
        <v>50</v>
      </c>
      <c r="G134">
        <v>22</v>
      </c>
      <c r="H134" s="4">
        <v>60.13</v>
      </c>
      <c r="I134" s="8">
        <v>1322.86</v>
      </c>
      <c r="J134">
        <v>54.06</v>
      </c>
      <c r="K134">
        <v>388.8</v>
      </c>
      <c r="L134" t="s">
        <v>44</v>
      </c>
      <c r="M134" t="s">
        <v>31</v>
      </c>
      <c r="N134" t="s">
        <v>32</v>
      </c>
      <c r="O134" s="23">
        <f>DATE(YEAR(Table1[[#This Row],[Order_Date]]), MONTH(Table1[[#This Row],[Order_Date]]), 1)</f>
        <v>45474</v>
      </c>
      <c r="Q134" s="5"/>
    </row>
    <row r="135" spans="1:17" x14ac:dyDescent="0.3">
      <c r="A135" t="s">
        <v>275</v>
      </c>
      <c r="B135" s="23" t="s">
        <v>17</v>
      </c>
      <c r="C135" t="s">
        <v>276</v>
      </c>
      <c r="D135" t="s">
        <v>81</v>
      </c>
      <c r="E135" t="s">
        <v>64</v>
      </c>
      <c r="F135" t="s">
        <v>65</v>
      </c>
      <c r="G135">
        <v>21</v>
      </c>
      <c r="H135" s="4">
        <v>40.98</v>
      </c>
      <c r="I135" s="8">
        <v>860.58</v>
      </c>
      <c r="J135">
        <v>37.01</v>
      </c>
      <c r="K135">
        <v>298.57</v>
      </c>
      <c r="L135" t="s">
        <v>22</v>
      </c>
      <c r="M135" t="s">
        <v>37</v>
      </c>
      <c r="N135" t="s">
        <v>66</v>
      </c>
      <c r="O135" s="23">
        <f>DATE(YEAR(Table1[[#This Row],[Order_Date]]), MONTH(Table1[[#This Row],[Order_Date]]), 1)</f>
        <v>45658</v>
      </c>
      <c r="Q135" s="5"/>
    </row>
    <row r="136" spans="1:17" x14ac:dyDescent="0.3">
      <c r="A136" t="s">
        <v>277</v>
      </c>
      <c r="B136" s="23" t="s">
        <v>78</v>
      </c>
      <c r="C136" t="s">
        <v>135</v>
      </c>
      <c r="D136" t="s">
        <v>41</v>
      </c>
      <c r="E136" t="s">
        <v>49</v>
      </c>
      <c r="F136" t="s">
        <v>50</v>
      </c>
      <c r="G136">
        <v>36</v>
      </c>
      <c r="H136" s="4">
        <v>54.6</v>
      </c>
      <c r="I136" s="8">
        <v>1965.6</v>
      </c>
      <c r="J136">
        <v>150.34</v>
      </c>
      <c r="K136">
        <v>375.26</v>
      </c>
      <c r="L136" t="s">
        <v>30</v>
      </c>
      <c r="M136" t="s">
        <v>23</v>
      </c>
      <c r="N136" t="s">
        <v>45</v>
      </c>
      <c r="O136" s="23">
        <f>DATE(YEAR(Table1[[#This Row],[Order_Date]]), MONTH(Table1[[#This Row],[Order_Date]]), 1)</f>
        <v>45627</v>
      </c>
      <c r="Q136" s="5"/>
    </row>
    <row r="137" spans="1:17" x14ac:dyDescent="0.3">
      <c r="A137" t="s">
        <v>278</v>
      </c>
      <c r="B137" s="23" t="s">
        <v>95</v>
      </c>
      <c r="C137" t="s">
        <v>245</v>
      </c>
      <c r="D137" t="s">
        <v>36</v>
      </c>
      <c r="E137" t="s">
        <v>69</v>
      </c>
      <c r="F137" t="s">
        <v>59</v>
      </c>
      <c r="G137">
        <v>1</v>
      </c>
      <c r="H137" s="4">
        <v>27.49</v>
      </c>
      <c r="I137" s="8">
        <v>27.49</v>
      </c>
      <c r="J137">
        <v>0.63</v>
      </c>
      <c r="K137">
        <v>11.36</v>
      </c>
      <c r="L137" t="s">
        <v>30</v>
      </c>
      <c r="M137" t="s">
        <v>37</v>
      </c>
      <c r="N137" t="s">
        <v>32</v>
      </c>
      <c r="O137" s="23">
        <f>DATE(YEAR(Table1[[#This Row],[Order_Date]]), MONTH(Table1[[#This Row],[Order_Date]]), 1)</f>
        <v>45474</v>
      </c>
      <c r="Q137" s="5"/>
    </row>
    <row r="138" spans="1:17" x14ac:dyDescent="0.3">
      <c r="A138" t="s">
        <v>279</v>
      </c>
      <c r="B138" s="23" t="s">
        <v>157</v>
      </c>
      <c r="C138" t="s">
        <v>280</v>
      </c>
      <c r="D138" t="s">
        <v>81</v>
      </c>
      <c r="E138" t="s">
        <v>42</v>
      </c>
      <c r="F138" t="s">
        <v>43</v>
      </c>
      <c r="G138">
        <v>50</v>
      </c>
      <c r="H138" s="4">
        <v>41.11</v>
      </c>
      <c r="I138" s="8">
        <v>2055.5</v>
      </c>
      <c r="J138">
        <v>95.61</v>
      </c>
      <c r="K138">
        <v>359.89</v>
      </c>
      <c r="L138" t="s">
        <v>44</v>
      </c>
      <c r="M138" t="s">
        <v>31</v>
      </c>
      <c r="N138" t="s">
        <v>66</v>
      </c>
      <c r="O138" s="23">
        <f>DATE(YEAR(Table1[[#This Row],[Order_Date]]), MONTH(Table1[[#This Row],[Order_Date]]), 1)</f>
        <v>45292</v>
      </c>
      <c r="Q138" s="5"/>
    </row>
    <row r="139" spans="1:17" x14ac:dyDescent="0.3">
      <c r="A139" t="s">
        <v>281</v>
      </c>
      <c r="B139" s="23" t="s">
        <v>78</v>
      </c>
      <c r="C139" t="s">
        <v>137</v>
      </c>
      <c r="D139" t="s">
        <v>63</v>
      </c>
      <c r="E139" t="s">
        <v>69</v>
      </c>
      <c r="F139" t="s">
        <v>59</v>
      </c>
      <c r="G139">
        <v>18</v>
      </c>
      <c r="H139" s="4">
        <v>25.54</v>
      </c>
      <c r="I139" s="8">
        <v>459.72</v>
      </c>
      <c r="J139">
        <v>27.02</v>
      </c>
      <c r="K139">
        <v>153.69999999999999</v>
      </c>
      <c r="L139" t="s">
        <v>30</v>
      </c>
      <c r="M139" t="s">
        <v>23</v>
      </c>
      <c r="N139" t="s">
        <v>66</v>
      </c>
      <c r="O139" s="23">
        <f>DATE(YEAR(Table1[[#This Row],[Order_Date]]), MONTH(Table1[[#This Row],[Order_Date]]), 1)</f>
        <v>45627</v>
      </c>
      <c r="Q139" s="5"/>
    </row>
    <row r="140" spans="1:17" x14ac:dyDescent="0.3">
      <c r="A140" t="s">
        <v>282</v>
      </c>
      <c r="B140" s="23" t="s">
        <v>17</v>
      </c>
      <c r="C140" t="s">
        <v>250</v>
      </c>
      <c r="D140" t="s">
        <v>91</v>
      </c>
      <c r="E140" t="s">
        <v>98</v>
      </c>
      <c r="F140" t="s">
        <v>59</v>
      </c>
      <c r="G140">
        <v>4</v>
      </c>
      <c r="H140" s="4">
        <v>47.52</v>
      </c>
      <c r="I140" s="8">
        <v>190.08</v>
      </c>
      <c r="J140">
        <v>10.23</v>
      </c>
      <c r="K140">
        <v>67.849999999999994</v>
      </c>
      <c r="L140" t="s">
        <v>22</v>
      </c>
      <c r="M140" t="s">
        <v>23</v>
      </c>
      <c r="N140" t="s">
        <v>66</v>
      </c>
      <c r="O140" s="23">
        <f>DATE(YEAR(Table1[[#This Row],[Order_Date]]), MONTH(Table1[[#This Row],[Order_Date]]), 1)</f>
        <v>45658</v>
      </c>
      <c r="Q140" s="5"/>
    </row>
    <row r="141" spans="1:17" x14ac:dyDescent="0.3">
      <c r="A141" t="s">
        <v>283</v>
      </c>
      <c r="B141" s="23" t="s">
        <v>71</v>
      </c>
      <c r="C141" t="s">
        <v>189</v>
      </c>
      <c r="D141" t="s">
        <v>36</v>
      </c>
      <c r="E141" t="s">
        <v>64</v>
      </c>
      <c r="F141" t="s">
        <v>65</v>
      </c>
      <c r="G141">
        <v>29</v>
      </c>
      <c r="H141" s="4">
        <v>30.48</v>
      </c>
      <c r="I141" s="8">
        <v>883.92</v>
      </c>
      <c r="J141">
        <v>33.15</v>
      </c>
      <c r="K141">
        <v>125.77</v>
      </c>
      <c r="L141" t="s">
        <v>44</v>
      </c>
      <c r="M141" t="s">
        <v>23</v>
      </c>
      <c r="N141" t="s">
        <v>32</v>
      </c>
      <c r="O141" s="23">
        <f>DATE(YEAR(Table1[[#This Row],[Order_Date]]), MONTH(Table1[[#This Row],[Order_Date]]), 1)</f>
        <v>45505</v>
      </c>
      <c r="Q141" s="5"/>
    </row>
    <row r="142" spans="1:17" x14ac:dyDescent="0.3">
      <c r="A142" t="s">
        <v>284</v>
      </c>
      <c r="B142" s="23" t="s">
        <v>86</v>
      </c>
      <c r="C142" t="s">
        <v>187</v>
      </c>
      <c r="D142" t="s">
        <v>101</v>
      </c>
      <c r="E142" t="s">
        <v>49</v>
      </c>
      <c r="F142" t="s">
        <v>50</v>
      </c>
      <c r="G142">
        <v>27</v>
      </c>
      <c r="H142" s="4">
        <v>50.39</v>
      </c>
      <c r="I142" s="8">
        <v>1360.53</v>
      </c>
      <c r="J142">
        <v>106.4</v>
      </c>
      <c r="K142">
        <v>174.13</v>
      </c>
      <c r="L142" t="s">
        <v>30</v>
      </c>
      <c r="M142" t="s">
        <v>31</v>
      </c>
      <c r="N142" t="s">
        <v>102</v>
      </c>
      <c r="O142" s="23">
        <f>DATE(YEAR(Table1[[#This Row],[Order_Date]]), MONTH(Table1[[#This Row],[Order_Date]]), 1)</f>
        <v>45352</v>
      </c>
      <c r="Q142" s="5"/>
    </row>
    <row r="143" spans="1:17" x14ac:dyDescent="0.3">
      <c r="A143" t="s">
        <v>285</v>
      </c>
      <c r="B143" s="23" t="s">
        <v>17</v>
      </c>
      <c r="C143" t="s">
        <v>164</v>
      </c>
      <c r="D143" t="s">
        <v>170</v>
      </c>
      <c r="E143" t="s">
        <v>64</v>
      </c>
      <c r="F143" t="s">
        <v>65</v>
      </c>
      <c r="G143">
        <v>34</v>
      </c>
      <c r="H143" s="4">
        <v>37.68</v>
      </c>
      <c r="I143" s="8">
        <v>1281.1199999999999</v>
      </c>
      <c r="J143">
        <v>54.86</v>
      </c>
      <c r="K143">
        <v>376.26</v>
      </c>
      <c r="L143" t="s">
        <v>44</v>
      </c>
      <c r="M143" t="s">
        <v>23</v>
      </c>
      <c r="N143" t="s">
        <v>32</v>
      </c>
      <c r="O143" s="23">
        <f>DATE(YEAR(Table1[[#This Row],[Order_Date]]), MONTH(Table1[[#This Row],[Order_Date]]), 1)</f>
        <v>45658</v>
      </c>
      <c r="Q143" s="5"/>
    </row>
    <row r="144" spans="1:17" x14ac:dyDescent="0.3">
      <c r="A144" t="s">
        <v>286</v>
      </c>
      <c r="B144" s="23" t="s">
        <v>75</v>
      </c>
      <c r="C144" t="s">
        <v>287</v>
      </c>
      <c r="D144" t="s">
        <v>91</v>
      </c>
      <c r="E144" t="s">
        <v>64</v>
      </c>
      <c r="F144" t="s">
        <v>65</v>
      </c>
      <c r="G144">
        <v>3</v>
      </c>
      <c r="H144" s="4">
        <v>39.32</v>
      </c>
      <c r="I144" s="8">
        <v>117.96</v>
      </c>
      <c r="J144">
        <v>6.97</v>
      </c>
      <c r="K144">
        <v>35.99</v>
      </c>
      <c r="L144" t="s">
        <v>30</v>
      </c>
      <c r="M144" t="s">
        <v>31</v>
      </c>
      <c r="N144" t="s">
        <v>66</v>
      </c>
      <c r="O144" s="23">
        <f>DATE(YEAR(Table1[[#This Row],[Order_Date]]), MONTH(Table1[[#This Row],[Order_Date]]), 1)</f>
        <v>45748</v>
      </c>
      <c r="Q144" s="5"/>
    </row>
    <row r="145" spans="1:17" x14ac:dyDescent="0.3">
      <c r="A145" t="s">
        <v>288</v>
      </c>
      <c r="B145" s="23" t="s">
        <v>78</v>
      </c>
      <c r="C145" t="s">
        <v>252</v>
      </c>
      <c r="D145" t="s">
        <v>48</v>
      </c>
      <c r="E145" t="s">
        <v>73</v>
      </c>
      <c r="F145" t="s">
        <v>43</v>
      </c>
      <c r="G145">
        <v>24</v>
      </c>
      <c r="H145" s="4">
        <v>18</v>
      </c>
      <c r="I145" s="8">
        <v>432</v>
      </c>
      <c r="J145">
        <v>22.68</v>
      </c>
      <c r="K145">
        <v>103.32</v>
      </c>
      <c r="L145" t="s">
        <v>22</v>
      </c>
      <c r="M145" t="s">
        <v>37</v>
      </c>
      <c r="N145" t="s">
        <v>24</v>
      </c>
      <c r="O145" s="23">
        <f>DATE(YEAR(Table1[[#This Row],[Order_Date]]), MONTH(Table1[[#This Row],[Order_Date]]), 1)</f>
        <v>45627</v>
      </c>
      <c r="Q145" s="5"/>
    </row>
    <row r="146" spans="1:17" x14ac:dyDescent="0.3">
      <c r="A146" t="s">
        <v>289</v>
      </c>
      <c r="B146" s="23" t="s">
        <v>78</v>
      </c>
      <c r="C146" t="s">
        <v>117</v>
      </c>
      <c r="D146" t="s">
        <v>28</v>
      </c>
      <c r="E146" t="s">
        <v>58</v>
      </c>
      <c r="F146" t="s">
        <v>59</v>
      </c>
      <c r="G146">
        <v>5</v>
      </c>
      <c r="H146" s="4">
        <v>36.43</v>
      </c>
      <c r="I146" s="8">
        <v>182.15</v>
      </c>
      <c r="J146">
        <v>7.82</v>
      </c>
      <c r="K146">
        <v>61.83</v>
      </c>
      <c r="L146" t="s">
        <v>22</v>
      </c>
      <c r="M146" t="s">
        <v>37</v>
      </c>
      <c r="N146" t="s">
        <v>32</v>
      </c>
      <c r="O146" s="23">
        <f>DATE(YEAR(Table1[[#This Row],[Order_Date]]), MONTH(Table1[[#This Row],[Order_Date]]), 1)</f>
        <v>45627</v>
      </c>
      <c r="Q146" s="5"/>
    </row>
    <row r="147" spans="1:17" x14ac:dyDescent="0.3">
      <c r="A147" t="s">
        <v>290</v>
      </c>
      <c r="B147" s="23" t="s">
        <v>95</v>
      </c>
      <c r="C147" t="s">
        <v>122</v>
      </c>
      <c r="D147" t="s">
        <v>63</v>
      </c>
      <c r="E147" t="s">
        <v>58</v>
      </c>
      <c r="F147" t="s">
        <v>59</v>
      </c>
      <c r="G147">
        <v>27</v>
      </c>
      <c r="H147" s="4">
        <v>38.39</v>
      </c>
      <c r="I147" s="8">
        <v>1036.53</v>
      </c>
      <c r="J147">
        <v>28.6</v>
      </c>
      <c r="K147">
        <v>400.43</v>
      </c>
      <c r="L147" t="s">
        <v>30</v>
      </c>
      <c r="M147" t="s">
        <v>23</v>
      </c>
      <c r="N147" t="s">
        <v>66</v>
      </c>
      <c r="O147" s="23">
        <f>DATE(YEAR(Table1[[#This Row],[Order_Date]]), MONTH(Table1[[#This Row],[Order_Date]]), 1)</f>
        <v>45474</v>
      </c>
      <c r="Q147" s="5"/>
    </row>
    <row r="148" spans="1:17" x14ac:dyDescent="0.3">
      <c r="A148" t="s">
        <v>291</v>
      </c>
      <c r="B148" s="23" t="s">
        <v>107</v>
      </c>
      <c r="C148" t="s">
        <v>155</v>
      </c>
      <c r="D148" t="s">
        <v>41</v>
      </c>
      <c r="E148" t="s">
        <v>98</v>
      </c>
      <c r="F148" t="s">
        <v>59</v>
      </c>
      <c r="G148">
        <v>10</v>
      </c>
      <c r="H148" s="4">
        <v>47.5</v>
      </c>
      <c r="I148" s="8">
        <v>475</v>
      </c>
      <c r="J148">
        <v>15.95</v>
      </c>
      <c r="K148">
        <v>179.05</v>
      </c>
      <c r="L148" t="s">
        <v>22</v>
      </c>
      <c r="M148" t="s">
        <v>23</v>
      </c>
      <c r="N148" t="s">
        <v>45</v>
      </c>
      <c r="O148" s="23">
        <f>DATE(YEAR(Table1[[#This Row],[Order_Date]]), MONTH(Table1[[#This Row],[Order_Date]]), 1)</f>
        <v>45413</v>
      </c>
      <c r="Q148" s="5"/>
    </row>
    <row r="149" spans="1:17" x14ac:dyDescent="0.3">
      <c r="A149" t="s">
        <v>292</v>
      </c>
      <c r="B149" s="23" t="s">
        <v>56</v>
      </c>
      <c r="C149" t="s">
        <v>293</v>
      </c>
      <c r="D149" t="s">
        <v>88</v>
      </c>
      <c r="E149" t="s">
        <v>42</v>
      </c>
      <c r="F149" t="s">
        <v>43</v>
      </c>
      <c r="G149">
        <v>47</v>
      </c>
      <c r="H149" s="4">
        <v>50.13</v>
      </c>
      <c r="I149" s="8">
        <v>2356.11</v>
      </c>
      <c r="J149">
        <v>166.22</v>
      </c>
      <c r="K149">
        <v>685.89</v>
      </c>
      <c r="L149" t="s">
        <v>22</v>
      </c>
      <c r="M149" t="s">
        <v>23</v>
      </c>
      <c r="N149" t="s">
        <v>66</v>
      </c>
      <c r="O149" s="23">
        <f>DATE(YEAR(Table1[[#This Row],[Order_Date]]), MONTH(Table1[[#This Row],[Order_Date]]), 1)</f>
        <v>45444</v>
      </c>
      <c r="Q149" s="5"/>
    </row>
    <row r="150" spans="1:17" x14ac:dyDescent="0.3">
      <c r="A150" t="s">
        <v>294</v>
      </c>
      <c r="B150" s="23" t="s">
        <v>39</v>
      </c>
      <c r="C150" t="s">
        <v>295</v>
      </c>
      <c r="D150" t="s">
        <v>53</v>
      </c>
      <c r="E150" t="s">
        <v>98</v>
      </c>
      <c r="F150" t="s">
        <v>59</v>
      </c>
      <c r="G150">
        <v>47</v>
      </c>
      <c r="H150" s="4">
        <v>42.25</v>
      </c>
      <c r="I150" s="8">
        <v>1985.75</v>
      </c>
      <c r="J150">
        <v>116.75</v>
      </c>
      <c r="K150">
        <v>553</v>
      </c>
      <c r="L150" t="s">
        <v>30</v>
      </c>
      <c r="M150" t="s">
        <v>23</v>
      </c>
      <c r="N150" t="s">
        <v>24</v>
      </c>
      <c r="O150" s="23">
        <f>DATE(YEAR(Table1[[#This Row],[Order_Date]]), MONTH(Table1[[#This Row],[Order_Date]]), 1)</f>
        <v>45566</v>
      </c>
      <c r="Q150" s="5"/>
    </row>
    <row r="151" spans="1:17" x14ac:dyDescent="0.3">
      <c r="A151" t="s">
        <v>296</v>
      </c>
      <c r="B151" s="23" t="s">
        <v>86</v>
      </c>
      <c r="C151" t="s">
        <v>297</v>
      </c>
      <c r="D151" t="s">
        <v>63</v>
      </c>
      <c r="E151" t="s">
        <v>64</v>
      </c>
      <c r="F151" t="s">
        <v>65</v>
      </c>
      <c r="G151">
        <v>18</v>
      </c>
      <c r="H151" s="4">
        <v>38.26</v>
      </c>
      <c r="I151" s="8">
        <v>688.68</v>
      </c>
      <c r="J151">
        <v>18.78</v>
      </c>
      <c r="K151">
        <v>219.9</v>
      </c>
      <c r="L151" t="s">
        <v>30</v>
      </c>
      <c r="M151" t="s">
        <v>23</v>
      </c>
      <c r="N151" t="s">
        <v>66</v>
      </c>
      <c r="O151" s="23">
        <f>DATE(YEAR(Table1[[#This Row],[Order_Date]]), MONTH(Table1[[#This Row],[Order_Date]]), 1)</f>
        <v>45352</v>
      </c>
      <c r="Q151" s="5"/>
    </row>
    <row r="152" spans="1:17" x14ac:dyDescent="0.3">
      <c r="A152" t="s">
        <v>298</v>
      </c>
      <c r="B152" s="23" t="s">
        <v>83</v>
      </c>
      <c r="C152" t="s">
        <v>100</v>
      </c>
      <c r="D152" t="s">
        <v>81</v>
      </c>
      <c r="E152" t="s">
        <v>98</v>
      </c>
      <c r="F152" t="s">
        <v>59</v>
      </c>
      <c r="G152">
        <v>31</v>
      </c>
      <c r="H152" s="4">
        <v>46.66</v>
      </c>
      <c r="I152" s="8">
        <v>1446.46</v>
      </c>
      <c r="J152">
        <v>109.24</v>
      </c>
      <c r="K152">
        <v>469.22</v>
      </c>
      <c r="L152" t="s">
        <v>22</v>
      </c>
      <c r="M152" t="s">
        <v>37</v>
      </c>
      <c r="N152" t="s">
        <v>66</v>
      </c>
      <c r="O152" s="23">
        <f>DATE(YEAR(Table1[[#This Row],[Order_Date]]), MONTH(Table1[[#This Row],[Order_Date]]), 1)</f>
        <v>45323</v>
      </c>
      <c r="Q152" s="5"/>
    </row>
    <row r="153" spans="1:17" x14ac:dyDescent="0.3">
      <c r="A153" t="s">
        <v>299</v>
      </c>
      <c r="B153" s="23" t="s">
        <v>86</v>
      </c>
      <c r="C153" t="s">
        <v>300</v>
      </c>
      <c r="D153" t="s">
        <v>101</v>
      </c>
      <c r="E153" t="s">
        <v>42</v>
      </c>
      <c r="F153" t="s">
        <v>43</v>
      </c>
      <c r="G153">
        <v>41</v>
      </c>
      <c r="H153" s="4">
        <v>52.65</v>
      </c>
      <c r="I153" s="8">
        <v>2158.65</v>
      </c>
      <c r="J153">
        <v>110.1</v>
      </c>
      <c r="K153">
        <v>736.55</v>
      </c>
      <c r="L153" t="s">
        <v>30</v>
      </c>
      <c r="M153" t="s">
        <v>37</v>
      </c>
      <c r="N153" t="s">
        <v>102</v>
      </c>
      <c r="O153" s="23">
        <f>DATE(YEAR(Table1[[#This Row],[Order_Date]]), MONTH(Table1[[#This Row],[Order_Date]]), 1)</f>
        <v>45352</v>
      </c>
      <c r="Q153" s="5"/>
    </row>
    <row r="154" spans="1:17" x14ac:dyDescent="0.3">
      <c r="A154" t="s">
        <v>301</v>
      </c>
      <c r="B154" s="23" t="s">
        <v>86</v>
      </c>
      <c r="C154" t="s">
        <v>133</v>
      </c>
      <c r="D154" t="s">
        <v>91</v>
      </c>
      <c r="E154" t="s">
        <v>29</v>
      </c>
      <c r="F154" t="s">
        <v>21</v>
      </c>
      <c r="G154">
        <v>28</v>
      </c>
      <c r="H154" s="4">
        <v>22.66</v>
      </c>
      <c r="I154" s="8">
        <v>634.48</v>
      </c>
      <c r="J154">
        <v>15.55</v>
      </c>
      <c r="K154">
        <v>114.93</v>
      </c>
      <c r="L154" t="s">
        <v>44</v>
      </c>
      <c r="M154" t="s">
        <v>23</v>
      </c>
      <c r="N154" t="s">
        <v>66</v>
      </c>
      <c r="O154" s="23">
        <f>DATE(YEAR(Table1[[#This Row],[Order_Date]]), MONTH(Table1[[#This Row],[Order_Date]]), 1)</f>
        <v>45352</v>
      </c>
      <c r="Q154" s="5"/>
    </row>
    <row r="155" spans="1:17" x14ac:dyDescent="0.3">
      <c r="A155" t="s">
        <v>302</v>
      </c>
      <c r="B155" s="23" t="s">
        <v>26</v>
      </c>
      <c r="C155" t="s">
        <v>287</v>
      </c>
      <c r="D155" t="s">
        <v>53</v>
      </c>
      <c r="E155" t="s">
        <v>69</v>
      </c>
      <c r="F155" t="s">
        <v>59</v>
      </c>
      <c r="G155">
        <v>48</v>
      </c>
      <c r="H155" s="4">
        <v>25.07</v>
      </c>
      <c r="I155" s="8">
        <v>1203.3599999999999</v>
      </c>
      <c r="J155">
        <v>29.93</v>
      </c>
      <c r="K155">
        <v>429.43</v>
      </c>
      <c r="L155" t="s">
        <v>30</v>
      </c>
      <c r="M155" t="s">
        <v>31</v>
      </c>
      <c r="N155" t="s">
        <v>24</v>
      </c>
      <c r="O155" s="23">
        <f>DATE(YEAR(Table1[[#This Row],[Order_Date]]), MONTH(Table1[[#This Row],[Order_Date]]), 1)</f>
        <v>45689</v>
      </c>
      <c r="Q155" s="5"/>
    </row>
    <row r="156" spans="1:17" x14ac:dyDescent="0.3">
      <c r="A156" t="s">
        <v>303</v>
      </c>
      <c r="B156" s="23" t="s">
        <v>107</v>
      </c>
      <c r="C156" t="s">
        <v>40</v>
      </c>
      <c r="D156" t="s">
        <v>41</v>
      </c>
      <c r="E156" t="s">
        <v>29</v>
      </c>
      <c r="F156" t="s">
        <v>21</v>
      </c>
      <c r="G156">
        <v>31</v>
      </c>
      <c r="H156" s="4">
        <v>30.53</v>
      </c>
      <c r="I156" s="8">
        <v>946.43</v>
      </c>
      <c r="J156">
        <v>72.150000000000006</v>
      </c>
      <c r="K156">
        <v>316.27999999999997</v>
      </c>
      <c r="L156" t="s">
        <v>44</v>
      </c>
      <c r="M156" t="s">
        <v>31</v>
      </c>
      <c r="N156" t="s">
        <v>45</v>
      </c>
      <c r="O156" s="23">
        <f>DATE(YEAR(Table1[[#This Row],[Order_Date]]), MONTH(Table1[[#This Row],[Order_Date]]), 1)</f>
        <v>45413</v>
      </c>
      <c r="Q156" s="5"/>
    </row>
    <row r="157" spans="1:17" x14ac:dyDescent="0.3">
      <c r="A157" t="s">
        <v>304</v>
      </c>
      <c r="B157" s="23" t="s">
        <v>78</v>
      </c>
      <c r="C157" t="s">
        <v>305</v>
      </c>
      <c r="D157" t="s">
        <v>101</v>
      </c>
      <c r="E157" t="s">
        <v>58</v>
      </c>
      <c r="F157" t="s">
        <v>59</v>
      </c>
      <c r="G157">
        <v>33</v>
      </c>
      <c r="H157" s="4">
        <v>31</v>
      </c>
      <c r="I157" s="8">
        <v>1023</v>
      </c>
      <c r="J157">
        <v>63.94</v>
      </c>
      <c r="K157">
        <v>216.56</v>
      </c>
      <c r="L157" t="s">
        <v>30</v>
      </c>
      <c r="M157" t="s">
        <v>23</v>
      </c>
      <c r="N157" t="s">
        <v>102</v>
      </c>
      <c r="O157" s="23">
        <f>DATE(YEAR(Table1[[#This Row],[Order_Date]]), MONTH(Table1[[#This Row],[Order_Date]]), 1)</f>
        <v>45627</v>
      </c>
      <c r="Q157" s="5"/>
    </row>
    <row r="158" spans="1:17" x14ac:dyDescent="0.3">
      <c r="A158" t="s">
        <v>306</v>
      </c>
      <c r="B158" s="23" t="s">
        <v>39</v>
      </c>
      <c r="C158" t="s">
        <v>137</v>
      </c>
      <c r="D158" t="s">
        <v>28</v>
      </c>
      <c r="E158" t="s">
        <v>69</v>
      </c>
      <c r="F158" t="s">
        <v>59</v>
      </c>
      <c r="G158">
        <v>32</v>
      </c>
      <c r="H158" s="4">
        <v>20.86</v>
      </c>
      <c r="I158" s="8">
        <v>667.52</v>
      </c>
      <c r="J158">
        <v>21.62</v>
      </c>
      <c r="K158">
        <v>149.9</v>
      </c>
      <c r="L158" t="s">
        <v>44</v>
      </c>
      <c r="M158" t="s">
        <v>37</v>
      </c>
      <c r="N158" t="s">
        <v>32</v>
      </c>
      <c r="O158" s="23">
        <f>DATE(YEAR(Table1[[#This Row],[Order_Date]]), MONTH(Table1[[#This Row],[Order_Date]]), 1)</f>
        <v>45566</v>
      </c>
      <c r="Q158" s="5"/>
    </row>
    <row r="159" spans="1:17" x14ac:dyDescent="0.3">
      <c r="A159" t="s">
        <v>307</v>
      </c>
      <c r="B159" s="23" t="s">
        <v>68</v>
      </c>
      <c r="C159" t="s">
        <v>158</v>
      </c>
      <c r="D159" t="s">
        <v>170</v>
      </c>
      <c r="E159" t="s">
        <v>54</v>
      </c>
      <c r="F159" t="s">
        <v>43</v>
      </c>
      <c r="G159">
        <v>18</v>
      </c>
      <c r="H159" s="4">
        <v>24.61</v>
      </c>
      <c r="I159" s="8">
        <v>442.98</v>
      </c>
      <c r="J159">
        <v>26.99</v>
      </c>
      <c r="K159">
        <v>55.99</v>
      </c>
      <c r="L159" t="s">
        <v>44</v>
      </c>
      <c r="M159" t="s">
        <v>23</v>
      </c>
      <c r="N159" t="s">
        <v>32</v>
      </c>
      <c r="O159" s="23">
        <f>DATE(YEAR(Table1[[#This Row],[Order_Date]]), MONTH(Table1[[#This Row],[Order_Date]]), 1)</f>
        <v>45536</v>
      </c>
      <c r="Q159" s="5"/>
    </row>
    <row r="160" spans="1:17" x14ac:dyDescent="0.3">
      <c r="A160" t="s">
        <v>308</v>
      </c>
      <c r="B160" s="23" t="s">
        <v>39</v>
      </c>
      <c r="C160" t="s">
        <v>112</v>
      </c>
      <c r="D160" t="s">
        <v>81</v>
      </c>
      <c r="E160" t="s">
        <v>49</v>
      </c>
      <c r="F160" t="s">
        <v>50</v>
      </c>
      <c r="G160">
        <v>18</v>
      </c>
      <c r="H160" s="4">
        <v>64.83</v>
      </c>
      <c r="I160" s="8">
        <v>1166.94</v>
      </c>
      <c r="J160">
        <v>34.28</v>
      </c>
      <c r="K160">
        <v>412.66</v>
      </c>
      <c r="L160" t="s">
        <v>44</v>
      </c>
      <c r="M160" t="s">
        <v>23</v>
      </c>
      <c r="N160" t="s">
        <v>66</v>
      </c>
      <c r="O160" s="23">
        <f>DATE(YEAR(Table1[[#This Row],[Order_Date]]), MONTH(Table1[[#This Row],[Order_Date]]), 1)</f>
        <v>45566</v>
      </c>
      <c r="Q160" s="5"/>
    </row>
    <row r="161" spans="1:17" x14ac:dyDescent="0.3">
      <c r="A161" t="s">
        <v>309</v>
      </c>
      <c r="B161" s="23" t="s">
        <v>95</v>
      </c>
      <c r="C161" t="s">
        <v>310</v>
      </c>
      <c r="D161" t="s">
        <v>53</v>
      </c>
      <c r="E161" t="s">
        <v>54</v>
      </c>
      <c r="F161" t="s">
        <v>43</v>
      </c>
      <c r="G161">
        <v>49</v>
      </c>
      <c r="H161" s="4">
        <v>29.52</v>
      </c>
      <c r="I161" s="8">
        <v>1446.48</v>
      </c>
      <c r="J161">
        <v>104.7</v>
      </c>
      <c r="K161">
        <v>361.78</v>
      </c>
      <c r="L161" t="s">
        <v>44</v>
      </c>
      <c r="M161" t="s">
        <v>37</v>
      </c>
      <c r="N161" t="s">
        <v>24</v>
      </c>
      <c r="O161" s="23">
        <f>DATE(YEAR(Table1[[#This Row],[Order_Date]]), MONTH(Table1[[#This Row],[Order_Date]]), 1)</f>
        <v>45474</v>
      </c>
      <c r="Q161" s="5"/>
    </row>
    <row r="162" spans="1:17" x14ac:dyDescent="0.3">
      <c r="A162" t="s">
        <v>311</v>
      </c>
      <c r="B162" s="23" t="s">
        <v>95</v>
      </c>
      <c r="C162" t="s">
        <v>312</v>
      </c>
      <c r="D162" t="s">
        <v>101</v>
      </c>
      <c r="E162" t="s">
        <v>54</v>
      </c>
      <c r="F162" t="s">
        <v>43</v>
      </c>
      <c r="G162">
        <v>10</v>
      </c>
      <c r="H162" s="4">
        <v>26.73</v>
      </c>
      <c r="I162" s="8">
        <v>267.3</v>
      </c>
      <c r="J162">
        <v>10.210000000000001</v>
      </c>
      <c r="K162">
        <v>57.09</v>
      </c>
      <c r="L162" t="s">
        <v>44</v>
      </c>
      <c r="M162" t="s">
        <v>37</v>
      </c>
      <c r="N162" t="s">
        <v>102</v>
      </c>
      <c r="O162" s="23">
        <f>DATE(YEAR(Table1[[#This Row],[Order_Date]]), MONTH(Table1[[#This Row],[Order_Date]]), 1)</f>
        <v>45474</v>
      </c>
      <c r="Q162" s="5"/>
    </row>
    <row r="163" spans="1:17" x14ac:dyDescent="0.3">
      <c r="A163" t="s">
        <v>313</v>
      </c>
      <c r="B163" s="23" t="s">
        <v>83</v>
      </c>
      <c r="C163" t="s">
        <v>72</v>
      </c>
      <c r="D163" t="s">
        <v>28</v>
      </c>
      <c r="E163" t="s">
        <v>42</v>
      </c>
      <c r="F163" t="s">
        <v>43</v>
      </c>
      <c r="G163">
        <v>10</v>
      </c>
      <c r="H163" s="4">
        <v>54.45</v>
      </c>
      <c r="I163" s="8">
        <v>544.5</v>
      </c>
      <c r="J163">
        <v>16.59</v>
      </c>
      <c r="K163">
        <v>207.91</v>
      </c>
      <c r="L163" t="s">
        <v>22</v>
      </c>
      <c r="M163" t="s">
        <v>23</v>
      </c>
      <c r="N163" t="s">
        <v>32</v>
      </c>
      <c r="O163" s="23">
        <f>DATE(YEAR(Table1[[#This Row],[Order_Date]]), MONTH(Table1[[#This Row],[Order_Date]]), 1)</f>
        <v>45323</v>
      </c>
      <c r="Q163" s="5"/>
    </row>
    <row r="164" spans="1:17" x14ac:dyDescent="0.3">
      <c r="A164" t="s">
        <v>314</v>
      </c>
      <c r="B164" s="23" t="s">
        <v>56</v>
      </c>
      <c r="C164" t="s">
        <v>72</v>
      </c>
      <c r="D164" t="s">
        <v>196</v>
      </c>
      <c r="E164" t="s">
        <v>29</v>
      </c>
      <c r="F164" t="s">
        <v>21</v>
      </c>
      <c r="G164">
        <v>46</v>
      </c>
      <c r="H164" s="4">
        <v>30.06</v>
      </c>
      <c r="I164" s="8">
        <v>1382.76</v>
      </c>
      <c r="J164">
        <v>77.17</v>
      </c>
      <c r="K164">
        <v>477.59</v>
      </c>
      <c r="L164" t="s">
        <v>30</v>
      </c>
      <c r="M164" t="s">
        <v>31</v>
      </c>
      <c r="N164" t="s">
        <v>66</v>
      </c>
      <c r="O164" s="23">
        <f>DATE(YEAR(Table1[[#This Row],[Order_Date]]), MONTH(Table1[[#This Row],[Order_Date]]), 1)</f>
        <v>45444</v>
      </c>
      <c r="Q164" s="5"/>
    </row>
    <row r="165" spans="1:17" x14ac:dyDescent="0.3">
      <c r="A165" t="s">
        <v>315</v>
      </c>
      <c r="B165" s="23" t="s">
        <v>83</v>
      </c>
      <c r="C165" t="s">
        <v>316</v>
      </c>
      <c r="D165" t="s">
        <v>53</v>
      </c>
      <c r="E165" t="s">
        <v>69</v>
      </c>
      <c r="F165" t="s">
        <v>59</v>
      </c>
      <c r="G165">
        <v>25</v>
      </c>
      <c r="H165" s="4">
        <v>21.52</v>
      </c>
      <c r="I165" s="8">
        <v>538</v>
      </c>
      <c r="J165">
        <v>26.73</v>
      </c>
      <c r="K165">
        <v>123.77</v>
      </c>
      <c r="L165" t="s">
        <v>30</v>
      </c>
      <c r="M165" t="s">
        <v>23</v>
      </c>
      <c r="N165" t="s">
        <v>24</v>
      </c>
      <c r="O165" s="23">
        <f>DATE(YEAR(Table1[[#This Row],[Order_Date]]), MONTH(Table1[[#This Row],[Order_Date]]), 1)</f>
        <v>45323</v>
      </c>
      <c r="Q165" s="5"/>
    </row>
    <row r="166" spans="1:17" x14ac:dyDescent="0.3">
      <c r="A166" t="s">
        <v>317</v>
      </c>
      <c r="B166" s="23" t="s">
        <v>83</v>
      </c>
      <c r="C166" t="s">
        <v>230</v>
      </c>
      <c r="D166" t="s">
        <v>196</v>
      </c>
      <c r="E166" t="s">
        <v>29</v>
      </c>
      <c r="F166" t="s">
        <v>21</v>
      </c>
      <c r="G166">
        <v>5</v>
      </c>
      <c r="H166" s="4">
        <v>26.25</v>
      </c>
      <c r="I166" s="8">
        <v>131.25</v>
      </c>
      <c r="J166">
        <v>3.35</v>
      </c>
      <c r="K166">
        <v>37.9</v>
      </c>
      <c r="L166" t="s">
        <v>30</v>
      </c>
      <c r="M166" t="s">
        <v>31</v>
      </c>
      <c r="N166" t="s">
        <v>66</v>
      </c>
      <c r="O166" s="23">
        <f>DATE(YEAR(Table1[[#This Row],[Order_Date]]), MONTH(Table1[[#This Row],[Order_Date]]), 1)</f>
        <v>45323</v>
      </c>
      <c r="Q166" s="5"/>
    </row>
    <row r="167" spans="1:17" x14ac:dyDescent="0.3">
      <c r="A167" t="s">
        <v>318</v>
      </c>
      <c r="B167" s="23" t="s">
        <v>56</v>
      </c>
      <c r="C167" t="s">
        <v>319</v>
      </c>
      <c r="D167" t="s">
        <v>28</v>
      </c>
      <c r="E167" t="s">
        <v>64</v>
      </c>
      <c r="F167" t="s">
        <v>65</v>
      </c>
      <c r="G167">
        <v>10</v>
      </c>
      <c r="H167" s="4">
        <v>31.48</v>
      </c>
      <c r="I167" s="8">
        <v>314.8</v>
      </c>
      <c r="J167">
        <v>10.23</v>
      </c>
      <c r="K167">
        <v>54.57</v>
      </c>
      <c r="L167" t="s">
        <v>44</v>
      </c>
      <c r="M167" t="s">
        <v>37</v>
      </c>
      <c r="N167" t="s">
        <v>32</v>
      </c>
      <c r="O167" s="23">
        <f>DATE(YEAR(Table1[[#This Row],[Order_Date]]), MONTH(Table1[[#This Row],[Order_Date]]), 1)</f>
        <v>45444</v>
      </c>
      <c r="Q167" s="5"/>
    </row>
    <row r="168" spans="1:17" x14ac:dyDescent="0.3">
      <c r="A168" t="s">
        <v>320</v>
      </c>
      <c r="B168" s="23" t="s">
        <v>71</v>
      </c>
      <c r="C168" t="s">
        <v>127</v>
      </c>
      <c r="D168" t="s">
        <v>41</v>
      </c>
      <c r="E168" t="s">
        <v>54</v>
      </c>
      <c r="F168" t="s">
        <v>43</v>
      </c>
      <c r="G168">
        <v>21</v>
      </c>
      <c r="H168" s="4">
        <v>30.91</v>
      </c>
      <c r="I168" s="8">
        <v>649.11</v>
      </c>
      <c r="J168">
        <v>38.42</v>
      </c>
      <c r="K168">
        <v>190.69</v>
      </c>
      <c r="L168" t="s">
        <v>30</v>
      </c>
      <c r="M168" t="s">
        <v>37</v>
      </c>
      <c r="N168" t="s">
        <v>45</v>
      </c>
      <c r="O168" s="23">
        <f>DATE(YEAR(Table1[[#This Row],[Order_Date]]), MONTH(Table1[[#This Row],[Order_Date]]), 1)</f>
        <v>45505</v>
      </c>
      <c r="Q168" s="5"/>
    </row>
    <row r="169" spans="1:17" x14ac:dyDescent="0.3">
      <c r="A169" t="s">
        <v>321</v>
      </c>
      <c r="B169" s="23" t="s">
        <v>61</v>
      </c>
      <c r="C169" t="s">
        <v>322</v>
      </c>
      <c r="D169" t="s">
        <v>81</v>
      </c>
      <c r="E169" t="s">
        <v>73</v>
      </c>
      <c r="F169" t="s">
        <v>43</v>
      </c>
      <c r="G169">
        <v>29</v>
      </c>
      <c r="H169" s="4">
        <v>18.47</v>
      </c>
      <c r="I169" s="8">
        <v>535.63</v>
      </c>
      <c r="J169">
        <v>13.21</v>
      </c>
      <c r="K169">
        <v>152.66999999999999</v>
      </c>
      <c r="L169" t="s">
        <v>22</v>
      </c>
      <c r="M169" t="s">
        <v>23</v>
      </c>
      <c r="N169" t="s">
        <v>66</v>
      </c>
      <c r="O169" s="23">
        <f>DATE(YEAR(Table1[[#This Row],[Order_Date]]), MONTH(Table1[[#This Row],[Order_Date]]), 1)</f>
        <v>45778</v>
      </c>
      <c r="Q169" s="5"/>
    </row>
    <row r="170" spans="1:17" x14ac:dyDescent="0.3">
      <c r="A170" t="s">
        <v>323</v>
      </c>
      <c r="B170" s="23" t="s">
        <v>132</v>
      </c>
      <c r="C170" t="s">
        <v>133</v>
      </c>
      <c r="D170" t="s">
        <v>53</v>
      </c>
      <c r="E170" t="s">
        <v>20</v>
      </c>
      <c r="F170" t="s">
        <v>21</v>
      </c>
      <c r="G170">
        <v>36</v>
      </c>
      <c r="H170">
        <v>44.79</v>
      </c>
      <c r="I170">
        <v>1612.44</v>
      </c>
      <c r="J170">
        <v>68.599999999999994</v>
      </c>
      <c r="K170">
        <v>283.83999999999997</v>
      </c>
      <c r="L170" t="s">
        <v>44</v>
      </c>
      <c r="M170" t="s">
        <v>31</v>
      </c>
      <c r="N170" t="s">
        <v>24</v>
      </c>
      <c r="O170" s="23">
        <f>DATE(YEAR(Table1[[#This Row],[Order_Date]]), MONTH(Table1[[#This Row],[Order_Date]]), 1)</f>
        <v>45597</v>
      </c>
      <c r="Q170" s="5"/>
    </row>
    <row r="171" spans="1:17" x14ac:dyDescent="0.3">
      <c r="A171" t="s">
        <v>324</v>
      </c>
      <c r="B171" s="23" t="s">
        <v>34</v>
      </c>
      <c r="C171" t="s">
        <v>325</v>
      </c>
      <c r="D171" t="s">
        <v>41</v>
      </c>
      <c r="E171" t="s">
        <v>69</v>
      </c>
      <c r="F171" t="s">
        <v>59</v>
      </c>
      <c r="G171">
        <v>3</v>
      </c>
      <c r="H171" s="4">
        <v>18.86</v>
      </c>
      <c r="I171" s="8">
        <v>56.58</v>
      </c>
      <c r="J171">
        <v>2.61</v>
      </c>
      <c r="K171">
        <v>7.47</v>
      </c>
      <c r="L171" t="s">
        <v>30</v>
      </c>
      <c r="M171" t="s">
        <v>37</v>
      </c>
      <c r="N171" t="s">
        <v>45</v>
      </c>
      <c r="O171" s="23">
        <f>DATE(YEAR(Table1[[#This Row],[Order_Date]]), MONTH(Table1[[#This Row],[Order_Date]]), 1)</f>
        <v>45383</v>
      </c>
      <c r="Q171" s="5"/>
    </row>
    <row r="172" spans="1:17" x14ac:dyDescent="0.3">
      <c r="A172" t="s">
        <v>326</v>
      </c>
      <c r="B172" s="23" t="s">
        <v>132</v>
      </c>
      <c r="C172" t="s">
        <v>57</v>
      </c>
      <c r="D172" t="s">
        <v>63</v>
      </c>
      <c r="E172" t="s">
        <v>98</v>
      </c>
      <c r="F172" t="s">
        <v>59</v>
      </c>
      <c r="G172">
        <v>10</v>
      </c>
      <c r="H172" s="4">
        <v>45.86</v>
      </c>
      <c r="I172" s="8">
        <v>458.6</v>
      </c>
      <c r="J172">
        <v>14.4</v>
      </c>
      <c r="K172">
        <v>164.2</v>
      </c>
      <c r="L172" t="s">
        <v>44</v>
      </c>
      <c r="M172" t="s">
        <v>23</v>
      </c>
      <c r="N172" t="s">
        <v>66</v>
      </c>
      <c r="O172" s="23">
        <f>DATE(YEAR(Table1[[#This Row],[Order_Date]]), MONTH(Table1[[#This Row],[Order_Date]]), 1)</f>
        <v>45597</v>
      </c>
      <c r="Q172" s="5"/>
    </row>
    <row r="173" spans="1:17" x14ac:dyDescent="0.3">
      <c r="A173" t="s">
        <v>327</v>
      </c>
      <c r="B173" s="23" t="s">
        <v>83</v>
      </c>
      <c r="C173" t="s">
        <v>325</v>
      </c>
      <c r="D173" t="s">
        <v>36</v>
      </c>
      <c r="E173" t="s">
        <v>29</v>
      </c>
      <c r="F173" t="s">
        <v>21</v>
      </c>
      <c r="G173">
        <v>1</v>
      </c>
      <c r="H173" s="4">
        <v>24.64</v>
      </c>
      <c r="I173" s="8">
        <v>24.64</v>
      </c>
      <c r="J173">
        <v>0.65</v>
      </c>
      <c r="K173">
        <v>5.99</v>
      </c>
      <c r="L173" t="s">
        <v>44</v>
      </c>
      <c r="M173" t="s">
        <v>31</v>
      </c>
      <c r="N173" t="s">
        <v>32</v>
      </c>
      <c r="O173" s="23">
        <f>DATE(YEAR(Table1[[#This Row],[Order_Date]]), MONTH(Table1[[#This Row],[Order_Date]]), 1)</f>
        <v>45323</v>
      </c>
      <c r="Q173" s="5"/>
    </row>
    <row r="174" spans="1:17" x14ac:dyDescent="0.3">
      <c r="A174" t="s">
        <v>328</v>
      </c>
      <c r="B174" s="23" t="s">
        <v>95</v>
      </c>
      <c r="C174" t="s">
        <v>173</v>
      </c>
      <c r="D174" t="s">
        <v>36</v>
      </c>
      <c r="E174" t="s">
        <v>69</v>
      </c>
      <c r="F174" t="s">
        <v>59</v>
      </c>
      <c r="G174">
        <v>49</v>
      </c>
      <c r="H174" s="4">
        <v>22.8</v>
      </c>
      <c r="I174" s="8">
        <v>1117.2</v>
      </c>
      <c r="J174">
        <v>51.06</v>
      </c>
      <c r="K174">
        <v>306.64</v>
      </c>
      <c r="L174" t="s">
        <v>22</v>
      </c>
      <c r="M174" t="s">
        <v>31</v>
      </c>
      <c r="N174" t="s">
        <v>32</v>
      </c>
      <c r="O174" s="23">
        <f>DATE(YEAR(Table1[[#This Row],[Order_Date]]), MONTH(Table1[[#This Row],[Order_Date]]), 1)</f>
        <v>45474</v>
      </c>
      <c r="Q174" s="5"/>
    </row>
    <row r="175" spans="1:17" x14ac:dyDescent="0.3">
      <c r="A175" t="s">
        <v>329</v>
      </c>
      <c r="B175" s="23" t="s">
        <v>39</v>
      </c>
      <c r="C175" t="s">
        <v>212</v>
      </c>
      <c r="D175" t="s">
        <v>53</v>
      </c>
      <c r="E175" t="s">
        <v>20</v>
      </c>
      <c r="F175" t="s">
        <v>21</v>
      </c>
      <c r="G175">
        <v>32</v>
      </c>
      <c r="H175">
        <v>44.5</v>
      </c>
      <c r="I175">
        <v>1424</v>
      </c>
      <c r="J175">
        <v>43.92</v>
      </c>
      <c r="K175">
        <v>260.08</v>
      </c>
      <c r="L175" t="s">
        <v>44</v>
      </c>
      <c r="M175" t="s">
        <v>31</v>
      </c>
      <c r="N175" t="s">
        <v>24</v>
      </c>
      <c r="O175" s="23">
        <f>DATE(YEAR(Table1[[#This Row],[Order_Date]]), MONTH(Table1[[#This Row],[Order_Date]]), 1)</f>
        <v>45566</v>
      </c>
      <c r="Q175" s="5"/>
    </row>
    <row r="176" spans="1:17" x14ac:dyDescent="0.3">
      <c r="A176" t="s">
        <v>330</v>
      </c>
      <c r="B176" s="23" t="s">
        <v>71</v>
      </c>
      <c r="C176" t="s">
        <v>228</v>
      </c>
      <c r="D176" t="s">
        <v>41</v>
      </c>
      <c r="E176" t="s">
        <v>20</v>
      </c>
      <c r="F176" t="s">
        <v>21</v>
      </c>
      <c r="G176">
        <v>43</v>
      </c>
      <c r="H176" s="4">
        <v>55.74</v>
      </c>
      <c r="I176" s="8">
        <v>2396.8200000000002</v>
      </c>
      <c r="J176">
        <v>63.85</v>
      </c>
      <c r="K176">
        <v>827.97</v>
      </c>
      <c r="L176" t="s">
        <v>30</v>
      </c>
      <c r="M176" t="s">
        <v>37</v>
      </c>
      <c r="N176" t="s">
        <v>45</v>
      </c>
      <c r="O176" s="23">
        <f>DATE(YEAR(Table1[[#This Row],[Order_Date]]), MONTH(Table1[[#This Row],[Order_Date]]), 1)</f>
        <v>45505</v>
      </c>
      <c r="Q176" s="5"/>
    </row>
    <row r="177" spans="1:17" x14ac:dyDescent="0.3">
      <c r="A177" t="s">
        <v>331</v>
      </c>
      <c r="B177" s="23" t="s">
        <v>39</v>
      </c>
      <c r="C177" t="s">
        <v>122</v>
      </c>
      <c r="D177" t="s">
        <v>81</v>
      </c>
      <c r="E177" t="s">
        <v>69</v>
      </c>
      <c r="F177" t="s">
        <v>59</v>
      </c>
      <c r="G177">
        <v>19</v>
      </c>
      <c r="H177" s="4">
        <v>25.78</v>
      </c>
      <c r="I177" s="8">
        <v>489.82</v>
      </c>
      <c r="J177">
        <v>28.4</v>
      </c>
      <c r="K177">
        <v>166.92</v>
      </c>
      <c r="L177" t="s">
        <v>44</v>
      </c>
      <c r="M177" t="s">
        <v>31</v>
      </c>
      <c r="N177" t="s">
        <v>66</v>
      </c>
      <c r="O177" s="23">
        <f>DATE(YEAR(Table1[[#This Row],[Order_Date]]), MONTH(Table1[[#This Row],[Order_Date]]), 1)</f>
        <v>45566</v>
      </c>
      <c r="Q177" s="5"/>
    </row>
    <row r="178" spans="1:17" x14ac:dyDescent="0.3">
      <c r="A178" t="s">
        <v>332</v>
      </c>
      <c r="B178" s="23" t="s">
        <v>83</v>
      </c>
      <c r="C178" t="s">
        <v>265</v>
      </c>
      <c r="D178" t="s">
        <v>53</v>
      </c>
      <c r="E178" t="s">
        <v>29</v>
      </c>
      <c r="F178" t="s">
        <v>21</v>
      </c>
      <c r="G178">
        <v>43</v>
      </c>
      <c r="H178">
        <v>30.43</v>
      </c>
      <c r="I178">
        <v>1308.49</v>
      </c>
      <c r="J178">
        <v>35.340000000000003</v>
      </c>
      <c r="K178">
        <v>499.15</v>
      </c>
      <c r="L178" t="s">
        <v>30</v>
      </c>
      <c r="M178" t="s">
        <v>31</v>
      </c>
      <c r="N178" t="s">
        <v>24</v>
      </c>
      <c r="O178" s="23">
        <f>DATE(YEAR(Table1[[#This Row],[Order_Date]]), MONTH(Table1[[#This Row],[Order_Date]]), 1)</f>
        <v>45323</v>
      </c>
      <c r="Q178" s="5"/>
    </row>
    <row r="179" spans="1:17" x14ac:dyDescent="0.3">
      <c r="A179" t="s">
        <v>333</v>
      </c>
      <c r="B179" s="23" t="s">
        <v>78</v>
      </c>
      <c r="C179" t="s">
        <v>334</v>
      </c>
      <c r="D179" t="s">
        <v>123</v>
      </c>
      <c r="E179" t="s">
        <v>69</v>
      </c>
      <c r="F179" t="s">
        <v>59</v>
      </c>
      <c r="G179">
        <v>17</v>
      </c>
      <c r="H179" s="4">
        <v>18.71</v>
      </c>
      <c r="I179" s="8">
        <v>318.07</v>
      </c>
      <c r="J179">
        <v>22.03</v>
      </c>
      <c r="K179">
        <v>32.54</v>
      </c>
      <c r="L179" t="s">
        <v>44</v>
      </c>
      <c r="M179" t="s">
        <v>23</v>
      </c>
      <c r="N179" t="s">
        <v>32</v>
      </c>
      <c r="O179" s="23">
        <f>DATE(YEAR(Table1[[#This Row],[Order_Date]]), MONTH(Table1[[#This Row],[Order_Date]]), 1)</f>
        <v>45627</v>
      </c>
      <c r="Q179" s="5"/>
    </row>
    <row r="180" spans="1:17" x14ac:dyDescent="0.3">
      <c r="A180" t="s">
        <v>335</v>
      </c>
      <c r="B180" s="23" t="s">
        <v>86</v>
      </c>
      <c r="C180" t="s">
        <v>47</v>
      </c>
      <c r="D180" t="s">
        <v>63</v>
      </c>
      <c r="E180" t="s">
        <v>69</v>
      </c>
      <c r="F180" t="s">
        <v>59</v>
      </c>
      <c r="G180">
        <v>44</v>
      </c>
      <c r="H180" s="4">
        <v>23.87</v>
      </c>
      <c r="I180" s="8">
        <v>1050.28</v>
      </c>
      <c r="J180">
        <v>33.51</v>
      </c>
      <c r="K180">
        <v>334.77</v>
      </c>
      <c r="L180" t="s">
        <v>22</v>
      </c>
      <c r="M180" t="s">
        <v>31</v>
      </c>
      <c r="N180" t="s">
        <v>66</v>
      </c>
      <c r="O180" s="23">
        <f>DATE(YEAR(Table1[[#This Row],[Order_Date]]), MONTH(Table1[[#This Row],[Order_Date]]), 1)</f>
        <v>45352</v>
      </c>
      <c r="Q180" s="5"/>
    </row>
    <row r="181" spans="1:17" x14ac:dyDescent="0.3">
      <c r="A181" t="s">
        <v>336</v>
      </c>
      <c r="B181" s="23" t="s">
        <v>68</v>
      </c>
      <c r="C181" t="s">
        <v>139</v>
      </c>
      <c r="D181" t="s">
        <v>147</v>
      </c>
      <c r="E181" t="s">
        <v>42</v>
      </c>
      <c r="F181" t="s">
        <v>43</v>
      </c>
      <c r="G181">
        <v>12</v>
      </c>
      <c r="H181" s="4">
        <v>42.91</v>
      </c>
      <c r="I181" s="8">
        <v>514.91999999999996</v>
      </c>
      <c r="J181">
        <v>15.18</v>
      </c>
      <c r="K181">
        <v>115.74</v>
      </c>
      <c r="L181" t="s">
        <v>44</v>
      </c>
      <c r="M181" t="s">
        <v>37</v>
      </c>
      <c r="N181" t="s">
        <v>148</v>
      </c>
      <c r="O181" s="23">
        <f>DATE(YEAR(Table1[[#This Row],[Order_Date]]), MONTH(Table1[[#This Row],[Order_Date]]), 1)</f>
        <v>45536</v>
      </c>
      <c r="Q181" s="5"/>
    </row>
    <row r="182" spans="1:17" x14ac:dyDescent="0.3">
      <c r="A182" t="s">
        <v>337</v>
      </c>
      <c r="B182" s="23" t="s">
        <v>132</v>
      </c>
      <c r="C182" t="s">
        <v>338</v>
      </c>
      <c r="D182" t="s">
        <v>196</v>
      </c>
      <c r="E182" t="s">
        <v>49</v>
      </c>
      <c r="F182" t="s">
        <v>50</v>
      </c>
      <c r="G182">
        <v>21</v>
      </c>
      <c r="H182" s="4">
        <v>50.49</v>
      </c>
      <c r="I182" s="8">
        <v>1060.29</v>
      </c>
      <c r="J182">
        <v>32.340000000000003</v>
      </c>
      <c r="K182">
        <v>187.95</v>
      </c>
      <c r="L182" t="s">
        <v>44</v>
      </c>
      <c r="M182" t="s">
        <v>23</v>
      </c>
      <c r="N182" t="s">
        <v>66</v>
      </c>
      <c r="O182" s="23">
        <f>DATE(YEAR(Table1[[#This Row],[Order_Date]]), MONTH(Table1[[#This Row],[Order_Date]]), 1)</f>
        <v>45597</v>
      </c>
      <c r="Q182" s="5"/>
    </row>
    <row r="183" spans="1:17" x14ac:dyDescent="0.3">
      <c r="A183" t="s">
        <v>339</v>
      </c>
      <c r="B183" s="23" t="s">
        <v>78</v>
      </c>
      <c r="C183" t="s">
        <v>212</v>
      </c>
      <c r="D183" t="s">
        <v>36</v>
      </c>
      <c r="E183" t="s">
        <v>20</v>
      </c>
      <c r="F183" t="s">
        <v>21</v>
      </c>
      <c r="G183">
        <v>41</v>
      </c>
      <c r="H183" s="4">
        <v>43.18</v>
      </c>
      <c r="I183" s="8">
        <v>1770.38</v>
      </c>
      <c r="J183">
        <v>128.4</v>
      </c>
      <c r="K183">
        <v>206.98</v>
      </c>
      <c r="L183" t="s">
        <v>30</v>
      </c>
      <c r="M183" t="s">
        <v>37</v>
      </c>
      <c r="N183" t="s">
        <v>32</v>
      </c>
      <c r="O183" s="23">
        <f>DATE(YEAR(Table1[[#This Row],[Order_Date]]), MONTH(Table1[[#This Row],[Order_Date]]), 1)</f>
        <v>45627</v>
      </c>
      <c r="Q183" s="5"/>
    </row>
    <row r="184" spans="1:17" x14ac:dyDescent="0.3">
      <c r="A184" t="s">
        <v>340</v>
      </c>
      <c r="B184" s="23" t="s">
        <v>86</v>
      </c>
      <c r="C184" t="s">
        <v>117</v>
      </c>
      <c r="D184" t="s">
        <v>147</v>
      </c>
      <c r="E184" t="s">
        <v>73</v>
      </c>
      <c r="F184" t="s">
        <v>43</v>
      </c>
      <c r="G184">
        <v>37</v>
      </c>
      <c r="H184" s="4">
        <v>19.8</v>
      </c>
      <c r="I184" s="8">
        <v>732.6</v>
      </c>
      <c r="J184">
        <v>54.68</v>
      </c>
      <c r="K184">
        <v>206.17</v>
      </c>
      <c r="L184" t="s">
        <v>22</v>
      </c>
      <c r="M184" t="s">
        <v>31</v>
      </c>
      <c r="N184" t="s">
        <v>148</v>
      </c>
      <c r="O184" s="23">
        <f>DATE(YEAR(Table1[[#This Row],[Order_Date]]), MONTH(Table1[[#This Row],[Order_Date]]), 1)</f>
        <v>45352</v>
      </c>
      <c r="Q184" s="5"/>
    </row>
    <row r="185" spans="1:17" x14ac:dyDescent="0.3">
      <c r="A185" t="s">
        <v>341</v>
      </c>
      <c r="B185" s="23" t="s">
        <v>86</v>
      </c>
      <c r="C185" t="s">
        <v>342</v>
      </c>
      <c r="D185" t="s">
        <v>53</v>
      </c>
      <c r="E185" t="s">
        <v>73</v>
      </c>
      <c r="F185" t="s">
        <v>43</v>
      </c>
      <c r="G185">
        <v>4</v>
      </c>
      <c r="H185" s="4">
        <v>18.059999999999999</v>
      </c>
      <c r="I185" s="8">
        <v>72.239999999999995</v>
      </c>
      <c r="J185">
        <v>4.66</v>
      </c>
      <c r="K185">
        <v>16.579999999999998</v>
      </c>
      <c r="L185" t="s">
        <v>22</v>
      </c>
      <c r="M185" t="s">
        <v>23</v>
      </c>
      <c r="N185" t="s">
        <v>24</v>
      </c>
      <c r="O185" s="23">
        <f>DATE(YEAR(Table1[[#This Row],[Order_Date]]), MONTH(Table1[[#This Row],[Order_Date]]), 1)</f>
        <v>45352</v>
      </c>
      <c r="Q185" s="5"/>
    </row>
    <row r="186" spans="1:17" x14ac:dyDescent="0.3">
      <c r="A186" t="s">
        <v>343</v>
      </c>
      <c r="B186" s="23" t="s">
        <v>78</v>
      </c>
      <c r="C186" t="s">
        <v>265</v>
      </c>
      <c r="D186" t="s">
        <v>19</v>
      </c>
      <c r="E186" t="s">
        <v>20</v>
      </c>
      <c r="F186" t="s">
        <v>21</v>
      </c>
      <c r="G186">
        <v>40</v>
      </c>
      <c r="H186">
        <v>55.59</v>
      </c>
      <c r="I186">
        <v>2223.6</v>
      </c>
      <c r="J186">
        <v>74.569999999999993</v>
      </c>
      <c r="K186">
        <v>749.03</v>
      </c>
      <c r="L186" t="s">
        <v>22</v>
      </c>
      <c r="M186" t="s">
        <v>23</v>
      </c>
      <c r="N186" t="s">
        <v>24</v>
      </c>
      <c r="O186" s="23">
        <f>DATE(YEAR(Table1[[#This Row],[Order_Date]]), MONTH(Table1[[#This Row],[Order_Date]]), 1)</f>
        <v>45627</v>
      </c>
      <c r="Q186" s="5"/>
    </row>
    <row r="187" spans="1:17" x14ac:dyDescent="0.3">
      <c r="A187" t="s">
        <v>344</v>
      </c>
      <c r="B187" s="23" t="s">
        <v>75</v>
      </c>
      <c r="C187" t="s">
        <v>18</v>
      </c>
      <c r="D187" t="s">
        <v>91</v>
      </c>
      <c r="E187" t="s">
        <v>64</v>
      </c>
      <c r="F187" t="s">
        <v>65</v>
      </c>
      <c r="G187">
        <v>5</v>
      </c>
      <c r="H187" s="4">
        <v>31.58</v>
      </c>
      <c r="I187" s="8">
        <v>157.9</v>
      </c>
      <c r="J187">
        <v>3.73</v>
      </c>
      <c r="K187">
        <v>29.17</v>
      </c>
      <c r="L187" t="s">
        <v>22</v>
      </c>
      <c r="M187" t="s">
        <v>31</v>
      </c>
      <c r="N187" t="s">
        <v>66</v>
      </c>
      <c r="O187" s="23">
        <f>DATE(YEAR(Table1[[#This Row],[Order_Date]]), MONTH(Table1[[#This Row],[Order_Date]]), 1)</f>
        <v>45748</v>
      </c>
      <c r="Q187" s="5"/>
    </row>
    <row r="188" spans="1:17" x14ac:dyDescent="0.3">
      <c r="A188" t="s">
        <v>345</v>
      </c>
      <c r="B188" s="23" t="s">
        <v>34</v>
      </c>
      <c r="C188" t="s">
        <v>135</v>
      </c>
      <c r="D188" t="s">
        <v>48</v>
      </c>
      <c r="E188" t="s">
        <v>29</v>
      </c>
      <c r="F188" t="s">
        <v>21</v>
      </c>
      <c r="G188">
        <v>50</v>
      </c>
      <c r="H188">
        <v>26.67</v>
      </c>
      <c r="I188">
        <v>1333.5</v>
      </c>
      <c r="J188">
        <v>80.150000000000006</v>
      </c>
      <c r="K188">
        <v>353.35</v>
      </c>
      <c r="L188" t="s">
        <v>44</v>
      </c>
      <c r="M188" t="s">
        <v>23</v>
      </c>
      <c r="N188" t="s">
        <v>24</v>
      </c>
      <c r="O188" s="23">
        <f>DATE(YEAR(Table1[[#This Row],[Order_Date]]), MONTH(Table1[[#This Row],[Order_Date]]), 1)</f>
        <v>45383</v>
      </c>
      <c r="Q188" s="5"/>
    </row>
    <row r="189" spans="1:17" x14ac:dyDescent="0.3">
      <c r="A189" t="s">
        <v>346</v>
      </c>
      <c r="B189" s="23" t="s">
        <v>86</v>
      </c>
      <c r="C189" t="s">
        <v>240</v>
      </c>
      <c r="D189" t="s">
        <v>81</v>
      </c>
      <c r="E189" t="s">
        <v>69</v>
      </c>
      <c r="F189" t="s">
        <v>59</v>
      </c>
      <c r="G189">
        <v>17</v>
      </c>
      <c r="H189" s="4">
        <v>20.68</v>
      </c>
      <c r="I189" s="8">
        <v>351.56</v>
      </c>
      <c r="J189">
        <v>18.47</v>
      </c>
      <c r="K189">
        <v>69.59</v>
      </c>
      <c r="L189" t="s">
        <v>44</v>
      </c>
      <c r="M189" t="s">
        <v>31</v>
      </c>
      <c r="N189" t="s">
        <v>66</v>
      </c>
      <c r="O189" s="23">
        <f>DATE(YEAR(Table1[[#This Row],[Order_Date]]), MONTH(Table1[[#This Row],[Order_Date]]), 1)</f>
        <v>45352</v>
      </c>
      <c r="Q189" s="5"/>
    </row>
    <row r="190" spans="1:17" x14ac:dyDescent="0.3">
      <c r="A190" t="s">
        <v>347</v>
      </c>
      <c r="B190" s="23" t="s">
        <v>75</v>
      </c>
      <c r="C190" t="s">
        <v>295</v>
      </c>
      <c r="D190" t="s">
        <v>101</v>
      </c>
      <c r="E190" t="s">
        <v>20</v>
      </c>
      <c r="F190" t="s">
        <v>21</v>
      </c>
      <c r="G190">
        <v>29</v>
      </c>
      <c r="H190" s="4">
        <v>55.19</v>
      </c>
      <c r="I190" s="8">
        <v>1600.51</v>
      </c>
      <c r="J190">
        <v>103.06</v>
      </c>
      <c r="K190">
        <v>482.45</v>
      </c>
      <c r="L190" t="s">
        <v>22</v>
      </c>
      <c r="M190" t="s">
        <v>37</v>
      </c>
      <c r="N190" t="s">
        <v>102</v>
      </c>
      <c r="O190" s="23">
        <f>DATE(YEAR(Table1[[#This Row],[Order_Date]]), MONTH(Table1[[#This Row],[Order_Date]]), 1)</f>
        <v>45748</v>
      </c>
      <c r="Q190" s="5"/>
    </row>
    <row r="191" spans="1:17" x14ac:dyDescent="0.3">
      <c r="A191" t="s">
        <v>348</v>
      </c>
      <c r="B191" s="23" t="s">
        <v>34</v>
      </c>
      <c r="C191" t="s">
        <v>349</v>
      </c>
      <c r="D191" t="s">
        <v>81</v>
      </c>
      <c r="E191" t="s">
        <v>20</v>
      </c>
      <c r="F191" t="s">
        <v>21</v>
      </c>
      <c r="G191">
        <v>34</v>
      </c>
      <c r="H191" s="4">
        <v>61.62</v>
      </c>
      <c r="I191" s="8">
        <v>2095.08</v>
      </c>
      <c r="J191">
        <v>80.13</v>
      </c>
      <c r="K191">
        <v>824.95</v>
      </c>
      <c r="L191" t="s">
        <v>30</v>
      </c>
      <c r="M191" t="s">
        <v>23</v>
      </c>
      <c r="N191" t="s">
        <v>66</v>
      </c>
      <c r="O191" s="23">
        <f>DATE(YEAR(Table1[[#This Row],[Order_Date]]), MONTH(Table1[[#This Row],[Order_Date]]), 1)</f>
        <v>45383</v>
      </c>
      <c r="Q191" s="5"/>
    </row>
    <row r="192" spans="1:17" x14ac:dyDescent="0.3">
      <c r="A192" t="s">
        <v>350</v>
      </c>
      <c r="B192" s="23" t="s">
        <v>132</v>
      </c>
      <c r="C192" t="s">
        <v>192</v>
      </c>
      <c r="D192" t="s">
        <v>53</v>
      </c>
      <c r="E192" t="s">
        <v>58</v>
      </c>
      <c r="F192" t="s">
        <v>59</v>
      </c>
      <c r="G192">
        <v>10</v>
      </c>
      <c r="H192" s="4">
        <v>40.03</v>
      </c>
      <c r="I192" s="8">
        <v>400.3</v>
      </c>
      <c r="J192">
        <v>25.8</v>
      </c>
      <c r="K192">
        <v>149.5</v>
      </c>
      <c r="L192" t="s">
        <v>44</v>
      </c>
      <c r="M192" t="s">
        <v>23</v>
      </c>
      <c r="N192" t="s">
        <v>24</v>
      </c>
      <c r="O192" s="23">
        <f>DATE(YEAR(Table1[[#This Row],[Order_Date]]), MONTH(Table1[[#This Row],[Order_Date]]), 1)</f>
        <v>45597</v>
      </c>
      <c r="Q192" s="5"/>
    </row>
    <row r="193" spans="1:17" x14ac:dyDescent="0.3">
      <c r="A193" t="s">
        <v>351</v>
      </c>
      <c r="B193" s="23" t="s">
        <v>104</v>
      </c>
      <c r="C193" t="s">
        <v>96</v>
      </c>
      <c r="D193" t="s">
        <v>88</v>
      </c>
      <c r="E193" t="s">
        <v>54</v>
      </c>
      <c r="F193" t="s">
        <v>43</v>
      </c>
      <c r="G193">
        <v>23</v>
      </c>
      <c r="H193" s="4">
        <v>31.3</v>
      </c>
      <c r="I193" s="8">
        <v>719.9</v>
      </c>
      <c r="J193">
        <v>47.88</v>
      </c>
      <c r="K193">
        <v>212.02</v>
      </c>
      <c r="L193" t="s">
        <v>30</v>
      </c>
      <c r="M193" t="s">
        <v>31</v>
      </c>
      <c r="N193" t="s">
        <v>66</v>
      </c>
      <c r="O193" s="23">
        <f>DATE(YEAR(Table1[[#This Row],[Order_Date]]), MONTH(Table1[[#This Row],[Order_Date]]), 1)</f>
        <v>45717</v>
      </c>
      <c r="Q193" s="5"/>
    </row>
    <row r="194" spans="1:17" x14ac:dyDescent="0.3">
      <c r="A194" t="s">
        <v>352</v>
      </c>
      <c r="B194" s="23" t="s">
        <v>61</v>
      </c>
      <c r="C194" t="s">
        <v>108</v>
      </c>
      <c r="D194" t="s">
        <v>53</v>
      </c>
      <c r="E194" t="s">
        <v>20</v>
      </c>
      <c r="F194" t="s">
        <v>21</v>
      </c>
      <c r="G194">
        <v>37</v>
      </c>
      <c r="H194">
        <v>50.39</v>
      </c>
      <c r="I194">
        <v>1864.43</v>
      </c>
      <c r="J194">
        <v>60.06</v>
      </c>
      <c r="K194">
        <v>509.37</v>
      </c>
      <c r="L194" t="s">
        <v>30</v>
      </c>
      <c r="M194" t="s">
        <v>31</v>
      </c>
      <c r="N194" t="s">
        <v>24</v>
      </c>
      <c r="O194" s="23">
        <f>DATE(YEAR(Table1[[#This Row],[Order_Date]]), MONTH(Table1[[#This Row],[Order_Date]]), 1)</f>
        <v>45778</v>
      </c>
      <c r="Q194" s="5"/>
    </row>
    <row r="195" spans="1:17" x14ac:dyDescent="0.3">
      <c r="A195" t="s">
        <v>353</v>
      </c>
      <c r="B195" s="23" t="s">
        <v>78</v>
      </c>
      <c r="C195" t="s">
        <v>297</v>
      </c>
      <c r="D195" t="s">
        <v>19</v>
      </c>
      <c r="E195" t="s">
        <v>73</v>
      </c>
      <c r="F195" t="s">
        <v>43</v>
      </c>
      <c r="G195">
        <v>38</v>
      </c>
      <c r="H195" s="4">
        <v>16.97</v>
      </c>
      <c r="I195" s="8">
        <v>644.86</v>
      </c>
      <c r="J195">
        <v>40</v>
      </c>
      <c r="K195">
        <v>120.36</v>
      </c>
      <c r="L195" t="s">
        <v>44</v>
      </c>
      <c r="M195" t="s">
        <v>23</v>
      </c>
      <c r="N195" t="s">
        <v>24</v>
      </c>
      <c r="O195" s="23">
        <f>DATE(YEAR(Table1[[#This Row],[Order_Date]]), MONTH(Table1[[#This Row],[Order_Date]]), 1)</f>
        <v>45627</v>
      </c>
      <c r="Q195" s="5"/>
    </row>
    <row r="196" spans="1:17" x14ac:dyDescent="0.3">
      <c r="A196" t="s">
        <v>354</v>
      </c>
      <c r="B196" s="23" t="s">
        <v>95</v>
      </c>
      <c r="C196" t="s">
        <v>226</v>
      </c>
      <c r="D196" t="s">
        <v>101</v>
      </c>
      <c r="E196" t="s">
        <v>54</v>
      </c>
      <c r="F196" t="s">
        <v>43</v>
      </c>
      <c r="G196">
        <v>2</v>
      </c>
      <c r="H196" s="4">
        <v>35.92</v>
      </c>
      <c r="I196" s="8">
        <v>71.84</v>
      </c>
      <c r="J196">
        <v>2.34</v>
      </c>
      <c r="K196">
        <v>29.5</v>
      </c>
      <c r="L196" t="s">
        <v>44</v>
      </c>
      <c r="M196" t="s">
        <v>31</v>
      </c>
      <c r="N196" t="s">
        <v>102</v>
      </c>
      <c r="O196" s="23">
        <f>DATE(YEAR(Table1[[#This Row],[Order_Date]]), MONTH(Table1[[#This Row],[Order_Date]]), 1)</f>
        <v>45474</v>
      </c>
      <c r="Q196" s="5"/>
    </row>
    <row r="197" spans="1:17" x14ac:dyDescent="0.3">
      <c r="A197" t="s">
        <v>355</v>
      </c>
      <c r="B197" s="23" t="s">
        <v>107</v>
      </c>
      <c r="C197" t="s">
        <v>72</v>
      </c>
      <c r="D197" t="s">
        <v>41</v>
      </c>
      <c r="E197" t="s">
        <v>54</v>
      </c>
      <c r="F197" t="s">
        <v>43</v>
      </c>
      <c r="G197">
        <v>48</v>
      </c>
      <c r="H197" s="4">
        <v>31.87</v>
      </c>
      <c r="I197" s="8">
        <v>1529.76</v>
      </c>
      <c r="J197">
        <v>89.85</v>
      </c>
      <c r="K197">
        <v>479.91</v>
      </c>
      <c r="L197" t="s">
        <v>44</v>
      </c>
      <c r="M197" t="s">
        <v>23</v>
      </c>
      <c r="N197" t="s">
        <v>45</v>
      </c>
      <c r="O197" s="23">
        <f>DATE(YEAR(Table1[[#This Row],[Order_Date]]), MONTH(Table1[[#This Row],[Order_Date]]), 1)</f>
        <v>45413</v>
      </c>
      <c r="Q197" s="5"/>
    </row>
    <row r="198" spans="1:17" x14ac:dyDescent="0.3">
      <c r="A198" t="s">
        <v>356</v>
      </c>
      <c r="B198" s="23" t="s">
        <v>78</v>
      </c>
      <c r="C198" t="s">
        <v>240</v>
      </c>
      <c r="D198" t="s">
        <v>147</v>
      </c>
      <c r="E198" t="s">
        <v>49</v>
      </c>
      <c r="F198" t="s">
        <v>50</v>
      </c>
      <c r="G198">
        <v>46</v>
      </c>
      <c r="H198" s="4">
        <v>70</v>
      </c>
      <c r="I198" s="8">
        <v>3220</v>
      </c>
      <c r="J198">
        <v>160.11000000000001</v>
      </c>
      <c r="K198">
        <v>1219.8900000000001</v>
      </c>
      <c r="L198" t="s">
        <v>30</v>
      </c>
      <c r="M198" t="s">
        <v>31</v>
      </c>
      <c r="N198" t="s">
        <v>148</v>
      </c>
      <c r="O198" s="23">
        <f>DATE(YEAR(Table1[[#This Row],[Order_Date]]), MONTH(Table1[[#This Row],[Order_Date]]), 1)</f>
        <v>45627</v>
      </c>
      <c r="Q198" s="5"/>
    </row>
    <row r="199" spans="1:17" x14ac:dyDescent="0.3">
      <c r="A199" t="s">
        <v>357</v>
      </c>
      <c r="B199" s="23" t="s">
        <v>75</v>
      </c>
      <c r="C199" t="s">
        <v>322</v>
      </c>
      <c r="D199" t="s">
        <v>81</v>
      </c>
      <c r="E199" t="s">
        <v>20</v>
      </c>
      <c r="F199" t="s">
        <v>21</v>
      </c>
      <c r="G199">
        <v>45</v>
      </c>
      <c r="H199" s="4">
        <v>57.7</v>
      </c>
      <c r="I199" s="8">
        <v>2596.5</v>
      </c>
      <c r="J199">
        <v>102.52</v>
      </c>
      <c r="K199">
        <v>918.98</v>
      </c>
      <c r="L199" t="s">
        <v>30</v>
      </c>
      <c r="M199" t="s">
        <v>23</v>
      </c>
      <c r="N199" t="s">
        <v>66</v>
      </c>
      <c r="O199" s="23">
        <f>DATE(YEAR(Table1[[#This Row],[Order_Date]]), MONTH(Table1[[#This Row],[Order_Date]]), 1)</f>
        <v>45748</v>
      </c>
      <c r="Q199" s="5"/>
    </row>
    <row r="200" spans="1:17" x14ac:dyDescent="0.3">
      <c r="A200" t="s">
        <v>358</v>
      </c>
      <c r="B200" s="23" t="s">
        <v>61</v>
      </c>
      <c r="C200" t="s">
        <v>137</v>
      </c>
      <c r="D200" t="s">
        <v>91</v>
      </c>
      <c r="E200" t="s">
        <v>73</v>
      </c>
      <c r="F200" t="s">
        <v>43</v>
      </c>
      <c r="G200">
        <v>23</v>
      </c>
      <c r="H200" s="4">
        <v>20.23</v>
      </c>
      <c r="I200" s="8">
        <v>465.29</v>
      </c>
      <c r="J200">
        <v>17.29</v>
      </c>
      <c r="K200">
        <v>154.75</v>
      </c>
      <c r="L200" t="s">
        <v>44</v>
      </c>
      <c r="M200" t="s">
        <v>23</v>
      </c>
      <c r="N200" t="s">
        <v>66</v>
      </c>
      <c r="O200" s="23">
        <f>DATE(YEAR(Table1[[#This Row],[Order_Date]]), MONTH(Table1[[#This Row],[Order_Date]]), 1)</f>
        <v>45778</v>
      </c>
      <c r="Q200" s="5"/>
    </row>
    <row r="201" spans="1:17" x14ac:dyDescent="0.3">
      <c r="A201" t="s">
        <v>359</v>
      </c>
      <c r="B201" s="23" t="s">
        <v>75</v>
      </c>
      <c r="C201" t="s">
        <v>139</v>
      </c>
      <c r="D201" t="s">
        <v>36</v>
      </c>
      <c r="E201" t="s">
        <v>29</v>
      </c>
      <c r="F201" t="s">
        <v>21</v>
      </c>
      <c r="G201">
        <v>10</v>
      </c>
      <c r="H201" s="4">
        <v>22.96</v>
      </c>
      <c r="I201" s="8">
        <v>229.6</v>
      </c>
      <c r="J201">
        <v>18.260000000000002</v>
      </c>
      <c r="K201">
        <v>31.34</v>
      </c>
      <c r="L201" t="s">
        <v>22</v>
      </c>
      <c r="M201" t="s">
        <v>37</v>
      </c>
      <c r="N201" t="s">
        <v>32</v>
      </c>
      <c r="O201" s="23">
        <f>DATE(YEAR(Table1[[#This Row],[Order_Date]]), MONTH(Table1[[#This Row],[Order_Date]]), 1)</f>
        <v>45748</v>
      </c>
      <c r="Q201" s="5"/>
    </row>
    <row r="202" spans="1:17" x14ac:dyDescent="0.3">
      <c r="A202" t="s">
        <v>360</v>
      </c>
      <c r="B202" s="23" t="s">
        <v>71</v>
      </c>
      <c r="C202" t="s">
        <v>361</v>
      </c>
      <c r="D202" t="s">
        <v>41</v>
      </c>
      <c r="E202" t="s">
        <v>20</v>
      </c>
      <c r="F202" t="s">
        <v>21</v>
      </c>
      <c r="G202">
        <v>40</v>
      </c>
      <c r="H202" s="4">
        <v>54.84</v>
      </c>
      <c r="I202" s="8">
        <v>2193.6</v>
      </c>
      <c r="J202">
        <v>89.26</v>
      </c>
      <c r="K202">
        <v>704.34</v>
      </c>
      <c r="L202" t="s">
        <v>30</v>
      </c>
      <c r="M202" t="s">
        <v>23</v>
      </c>
      <c r="N202" t="s">
        <v>45</v>
      </c>
      <c r="O202" s="23">
        <f>DATE(YEAR(Table1[[#This Row],[Order_Date]]), MONTH(Table1[[#This Row],[Order_Date]]), 1)</f>
        <v>45505</v>
      </c>
      <c r="Q202" s="5"/>
    </row>
    <row r="203" spans="1:17" x14ac:dyDescent="0.3">
      <c r="A203" t="s">
        <v>362</v>
      </c>
      <c r="B203" s="23" t="s">
        <v>34</v>
      </c>
      <c r="C203" t="s">
        <v>185</v>
      </c>
      <c r="D203" t="s">
        <v>81</v>
      </c>
      <c r="E203" t="s">
        <v>64</v>
      </c>
      <c r="F203" t="s">
        <v>65</v>
      </c>
      <c r="G203">
        <v>7</v>
      </c>
      <c r="H203" s="4">
        <v>36.43</v>
      </c>
      <c r="I203" s="8">
        <v>255.01</v>
      </c>
      <c r="J203">
        <v>6.3</v>
      </c>
      <c r="K203">
        <v>73.709999999999994</v>
      </c>
      <c r="L203" t="s">
        <v>22</v>
      </c>
      <c r="M203" t="s">
        <v>31</v>
      </c>
      <c r="N203" t="s">
        <v>66</v>
      </c>
      <c r="O203" s="23">
        <f>DATE(YEAR(Table1[[#This Row],[Order_Date]]), MONTH(Table1[[#This Row],[Order_Date]]), 1)</f>
        <v>45383</v>
      </c>
      <c r="Q203" s="5"/>
    </row>
    <row r="204" spans="1:17" x14ac:dyDescent="0.3">
      <c r="A204" t="s">
        <v>363</v>
      </c>
      <c r="B204" s="23" t="s">
        <v>104</v>
      </c>
      <c r="C204" t="s">
        <v>226</v>
      </c>
      <c r="D204" t="s">
        <v>53</v>
      </c>
      <c r="E204" t="s">
        <v>73</v>
      </c>
      <c r="F204" t="s">
        <v>43</v>
      </c>
      <c r="G204">
        <v>39</v>
      </c>
      <c r="H204" s="4">
        <v>19.48</v>
      </c>
      <c r="I204" s="8">
        <v>759.72</v>
      </c>
      <c r="J204">
        <v>40.090000000000003</v>
      </c>
      <c r="K204">
        <v>222.38</v>
      </c>
      <c r="L204" t="s">
        <v>44</v>
      </c>
      <c r="M204" t="s">
        <v>31</v>
      </c>
      <c r="N204" t="s">
        <v>24</v>
      </c>
      <c r="O204" s="23">
        <f>DATE(YEAR(Table1[[#This Row],[Order_Date]]), MONTH(Table1[[#This Row],[Order_Date]]), 1)</f>
        <v>45717</v>
      </c>
      <c r="Q204" s="5"/>
    </row>
    <row r="205" spans="1:17" x14ac:dyDescent="0.3">
      <c r="A205" t="s">
        <v>364</v>
      </c>
      <c r="B205" s="23" t="s">
        <v>83</v>
      </c>
      <c r="C205" t="s">
        <v>287</v>
      </c>
      <c r="D205" t="s">
        <v>101</v>
      </c>
      <c r="E205" t="s">
        <v>58</v>
      </c>
      <c r="F205" t="s">
        <v>59</v>
      </c>
      <c r="G205">
        <v>35</v>
      </c>
      <c r="H205" s="4">
        <v>38.83</v>
      </c>
      <c r="I205" s="8">
        <v>1359.05</v>
      </c>
      <c r="J205">
        <v>93.92</v>
      </c>
      <c r="K205">
        <v>477.63</v>
      </c>
      <c r="L205" t="s">
        <v>44</v>
      </c>
      <c r="M205" t="s">
        <v>31</v>
      </c>
      <c r="N205" t="s">
        <v>102</v>
      </c>
      <c r="O205" s="23">
        <f>DATE(YEAR(Table1[[#This Row],[Order_Date]]), MONTH(Table1[[#This Row],[Order_Date]]), 1)</f>
        <v>45323</v>
      </c>
      <c r="Q205" s="5"/>
    </row>
    <row r="206" spans="1:17" x14ac:dyDescent="0.3">
      <c r="A206" t="s">
        <v>365</v>
      </c>
      <c r="B206" s="23" t="s">
        <v>39</v>
      </c>
      <c r="C206" t="s">
        <v>164</v>
      </c>
      <c r="D206" t="s">
        <v>63</v>
      </c>
      <c r="E206" t="s">
        <v>54</v>
      </c>
      <c r="F206" t="s">
        <v>43</v>
      </c>
      <c r="G206">
        <v>39</v>
      </c>
      <c r="H206" s="4">
        <v>32.76</v>
      </c>
      <c r="I206" s="8">
        <v>1277.6400000000001</v>
      </c>
      <c r="J206">
        <v>35.81</v>
      </c>
      <c r="K206">
        <v>461.83</v>
      </c>
      <c r="L206" t="s">
        <v>30</v>
      </c>
      <c r="M206" t="s">
        <v>37</v>
      </c>
      <c r="N206" t="s">
        <v>66</v>
      </c>
      <c r="O206" s="23">
        <f>DATE(YEAR(Table1[[#This Row],[Order_Date]]), MONTH(Table1[[#This Row],[Order_Date]]), 1)</f>
        <v>45566</v>
      </c>
      <c r="Q206" s="5"/>
    </row>
    <row r="207" spans="1:17" x14ac:dyDescent="0.3">
      <c r="A207" t="s">
        <v>366</v>
      </c>
      <c r="B207" s="23" t="s">
        <v>17</v>
      </c>
      <c r="C207" t="s">
        <v>208</v>
      </c>
      <c r="D207" t="s">
        <v>19</v>
      </c>
      <c r="E207" t="s">
        <v>42</v>
      </c>
      <c r="F207" t="s">
        <v>43</v>
      </c>
      <c r="G207">
        <v>8</v>
      </c>
      <c r="H207" s="4">
        <v>39.869999999999997</v>
      </c>
      <c r="I207" s="8">
        <v>318.95999999999998</v>
      </c>
      <c r="J207">
        <v>15.95</v>
      </c>
      <c r="K207">
        <v>47.01</v>
      </c>
      <c r="L207" t="s">
        <v>44</v>
      </c>
      <c r="M207" t="s">
        <v>37</v>
      </c>
      <c r="N207" t="s">
        <v>24</v>
      </c>
      <c r="O207" s="23">
        <f>DATE(YEAR(Table1[[#This Row],[Order_Date]]), MONTH(Table1[[#This Row],[Order_Date]]), 1)</f>
        <v>45658</v>
      </c>
      <c r="Q207" s="5"/>
    </row>
    <row r="208" spans="1:17" x14ac:dyDescent="0.3">
      <c r="A208" t="s">
        <v>367</v>
      </c>
      <c r="B208" s="23" t="s">
        <v>75</v>
      </c>
      <c r="C208" t="s">
        <v>280</v>
      </c>
      <c r="D208" t="s">
        <v>88</v>
      </c>
      <c r="E208" t="s">
        <v>49</v>
      </c>
      <c r="F208" t="s">
        <v>50</v>
      </c>
      <c r="G208">
        <v>10</v>
      </c>
      <c r="H208" s="4">
        <v>63.1</v>
      </c>
      <c r="I208" s="8">
        <v>631</v>
      </c>
      <c r="J208">
        <v>26.93</v>
      </c>
      <c r="K208">
        <v>204.07</v>
      </c>
      <c r="L208" t="s">
        <v>30</v>
      </c>
      <c r="M208" t="s">
        <v>31</v>
      </c>
      <c r="N208" t="s">
        <v>66</v>
      </c>
      <c r="O208" s="23">
        <f>DATE(YEAR(Table1[[#This Row],[Order_Date]]), MONTH(Table1[[#This Row],[Order_Date]]), 1)</f>
        <v>45748</v>
      </c>
      <c r="Q208" s="5"/>
    </row>
    <row r="209" spans="1:17" x14ac:dyDescent="0.3">
      <c r="A209" t="s">
        <v>368</v>
      </c>
      <c r="B209" s="23" t="s">
        <v>107</v>
      </c>
      <c r="C209" t="s">
        <v>117</v>
      </c>
      <c r="D209" t="s">
        <v>170</v>
      </c>
      <c r="E209" t="s">
        <v>42</v>
      </c>
      <c r="F209" t="s">
        <v>43</v>
      </c>
      <c r="G209">
        <v>3</v>
      </c>
      <c r="H209" s="4">
        <v>55.1</v>
      </c>
      <c r="I209" s="8">
        <v>165.3</v>
      </c>
      <c r="J209">
        <v>9.17</v>
      </c>
      <c r="K209">
        <v>60.13</v>
      </c>
      <c r="L209" t="s">
        <v>22</v>
      </c>
      <c r="M209" t="s">
        <v>23</v>
      </c>
      <c r="N209" t="s">
        <v>32</v>
      </c>
      <c r="O209" s="23">
        <f>DATE(YEAR(Table1[[#This Row],[Order_Date]]), MONTH(Table1[[#This Row],[Order_Date]]), 1)</f>
        <v>45413</v>
      </c>
      <c r="Q209" s="5"/>
    </row>
    <row r="210" spans="1:17" x14ac:dyDescent="0.3">
      <c r="A210" t="s">
        <v>369</v>
      </c>
      <c r="B210" s="23" t="s">
        <v>83</v>
      </c>
      <c r="C210" t="s">
        <v>84</v>
      </c>
      <c r="D210" t="s">
        <v>196</v>
      </c>
      <c r="E210" t="s">
        <v>69</v>
      </c>
      <c r="F210" t="s">
        <v>59</v>
      </c>
      <c r="G210">
        <v>26</v>
      </c>
      <c r="H210" s="4">
        <v>19.809999999999999</v>
      </c>
      <c r="I210" s="8">
        <v>515.05999999999995</v>
      </c>
      <c r="J210">
        <v>10.3</v>
      </c>
      <c r="K210">
        <v>101.76</v>
      </c>
      <c r="L210" t="s">
        <v>44</v>
      </c>
      <c r="M210" t="s">
        <v>31</v>
      </c>
      <c r="N210" t="s">
        <v>66</v>
      </c>
      <c r="O210" s="23">
        <f>DATE(YEAR(Table1[[#This Row],[Order_Date]]), MONTH(Table1[[#This Row],[Order_Date]]), 1)</f>
        <v>45323</v>
      </c>
      <c r="Q210" s="5"/>
    </row>
    <row r="211" spans="1:17" x14ac:dyDescent="0.3">
      <c r="A211" t="s">
        <v>370</v>
      </c>
      <c r="B211" s="23" t="s">
        <v>75</v>
      </c>
      <c r="C211" t="s">
        <v>125</v>
      </c>
      <c r="D211" t="s">
        <v>88</v>
      </c>
      <c r="E211" t="s">
        <v>49</v>
      </c>
      <c r="F211" t="s">
        <v>50</v>
      </c>
      <c r="G211">
        <v>17</v>
      </c>
      <c r="H211" s="4">
        <v>53.34</v>
      </c>
      <c r="I211" s="8">
        <v>906.78</v>
      </c>
      <c r="J211">
        <v>30.6</v>
      </c>
      <c r="K211">
        <v>196.18</v>
      </c>
      <c r="L211" t="s">
        <v>22</v>
      </c>
      <c r="M211" t="s">
        <v>31</v>
      </c>
      <c r="N211" t="s">
        <v>66</v>
      </c>
      <c r="O211" s="23">
        <f>DATE(YEAR(Table1[[#This Row],[Order_Date]]), MONTH(Table1[[#This Row],[Order_Date]]), 1)</f>
        <v>45748</v>
      </c>
      <c r="Q211" s="5"/>
    </row>
    <row r="212" spans="1:17" x14ac:dyDescent="0.3">
      <c r="A212" t="s">
        <v>371</v>
      </c>
      <c r="B212" s="23" t="s">
        <v>95</v>
      </c>
      <c r="C212" t="s">
        <v>110</v>
      </c>
      <c r="D212" t="s">
        <v>63</v>
      </c>
      <c r="E212" t="s">
        <v>54</v>
      </c>
      <c r="F212" t="s">
        <v>43</v>
      </c>
      <c r="G212">
        <v>17</v>
      </c>
      <c r="H212" s="4">
        <v>28.23</v>
      </c>
      <c r="I212" s="8">
        <v>479.91</v>
      </c>
      <c r="J212">
        <v>31.88</v>
      </c>
      <c r="K212">
        <v>108.03</v>
      </c>
      <c r="L212" t="s">
        <v>30</v>
      </c>
      <c r="M212" t="s">
        <v>23</v>
      </c>
      <c r="N212" t="s">
        <v>66</v>
      </c>
      <c r="O212" s="23">
        <f>DATE(YEAR(Table1[[#This Row],[Order_Date]]), MONTH(Table1[[#This Row],[Order_Date]]), 1)</f>
        <v>45474</v>
      </c>
      <c r="Q212" s="5"/>
    </row>
    <row r="213" spans="1:17" x14ac:dyDescent="0.3">
      <c r="A213" t="s">
        <v>372</v>
      </c>
      <c r="B213" s="23" t="s">
        <v>86</v>
      </c>
      <c r="C213" t="s">
        <v>373</v>
      </c>
      <c r="D213" t="s">
        <v>170</v>
      </c>
      <c r="E213" t="s">
        <v>29</v>
      </c>
      <c r="F213" t="s">
        <v>21</v>
      </c>
      <c r="G213">
        <v>42</v>
      </c>
      <c r="H213" s="4">
        <v>25.26</v>
      </c>
      <c r="I213" s="8">
        <v>1060.92</v>
      </c>
      <c r="J213">
        <v>77.05</v>
      </c>
      <c r="K213">
        <v>227.87</v>
      </c>
      <c r="L213" t="s">
        <v>22</v>
      </c>
      <c r="M213" t="s">
        <v>37</v>
      </c>
      <c r="N213" t="s">
        <v>32</v>
      </c>
      <c r="O213" s="23">
        <f>DATE(YEAR(Table1[[#This Row],[Order_Date]]), MONTH(Table1[[#This Row],[Order_Date]]), 1)</f>
        <v>45352</v>
      </c>
      <c r="Q213" s="5"/>
    </row>
    <row r="214" spans="1:17" x14ac:dyDescent="0.3">
      <c r="A214" t="s">
        <v>374</v>
      </c>
      <c r="B214" s="23" t="s">
        <v>68</v>
      </c>
      <c r="C214" t="s">
        <v>168</v>
      </c>
      <c r="D214" t="s">
        <v>196</v>
      </c>
      <c r="E214" t="s">
        <v>29</v>
      </c>
      <c r="F214" t="s">
        <v>21</v>
      </c>
      <c r="G214">
        <v>2</v>
      </c>
      <c r="H214" s="4">
        <v>27.27</v>
      </c>
      <c r="I214" s="8">
        <v>54.54</v>
      </c>
      <c r="J214">
        <v>1.45</v>
      </c>
      <c r="K214">
        <v>17.09</v>
      </c>
      <c r="L214" t="s">
        <v>22</v>
      </c>
      <c r="M214" t="s">
        <v>37</v>
      </c>
      <c r="N214" t="s">
        <v>66</v>
      </c>
      <c r="O214" s="23">
        <f>DATE(YEAR(Table1[[#This Row],[Order_Date]]), MONTH(Table1[[#This Row],[Order_Date]]), 1)</f>
        <v>45536</v>
      </c>
      <c r="Q214" s="5"/>
    </row>
    <row r="215" spans="1:17" x14ac:dyDescent="0.3">
      <c r="A215" t="s">
        <v>375</v>
      </c>
      <c r="B215" s="23" t="s">
        <v>132</v>
      </c>
      <c r="C215" t="s">
        <v>250</v>
      </c>
      <c r="D215" t="s">
        <v>88</v>
      </c>
      <c r="E215" t="s">
        <v>98</v>
      </c>
      <c r="F215" t="s">
        <v>59</v>
      </c>
      <c r="G215">
        <v>48</v>
      </c>
      <c r="H215" s="4">
        <v>44.95</v>
      </c>
      <c r="I215" s="8">
        <v>2157.6</v>
      </c>
      <c r="J215">
        <v>148.41</v>
      </c>
      <c r="K215">
        <v>665.19</v>
      </c>
      <c r="L215" t="s">
        <v>22</v>
      </c>
      <c r="M215" t="s">
        <v>23</v>
      </c>
      <c r="N215" t="s">
        <v>66</v>
      </c>
      <c r="O215" s="23">
        <f>DATE(YEAR(Table1[[#This Row],[Order_Date]]), MONTH(Table1[[#This Row],[Order_Date]]), 1)</f>
        <v>45597</v>
      </c>
      <c r="Q215" s="5"/>
    </row>
    <row r="216" spans="1:17" x14ac:dyDescent="0.3">
      <c r="A216" t="s">
        <v>376</v>
      </c>
      <c r="B216" s="23" t="s">
        <v>75</v>
      </c>
      <c r="C216" t="s">
        <v>373</v>
      </c>
      <c r="D216" t="s">
        <v>81</v>
      </c>
      <c r="E216" t="s">
        <v>54</v>
      </c>
      <c r="F216" t="s">
        <v>43</v>
      </c>
      <c r="G216">
        <v>23</v>
      </c>
      <c r="H216" s="4">
        <v>28.6</v>
      </c>
      <c r="I216" s="8">
        <v>657.8</v>
      </c>
      <c r="J216">
        <v>13.36</v>
      </c>
      <c r="K216">
        <v>184.44</v>
      </c>
      <c r="L216" t="s">
        <v>22</v>
      </c>
      <c r="M216" t="s">
        <v>37</v>
      </c>
      <c r="N216" t="s">
        <v>66</v>
      </c>
      <c r="O216" s="23">
        <f>DATE(YEAR(Table1[[#This Row],[Order_Date]]), MONTH(Table1[[#This Row],[Order_Date]]), 1)</f>
        <v>45748</v>
      </c>
      <c r="Q216" s="5"/>
    </row>
    <row r="217" spans="1:17" x14ac:dyDescent="0.3">
      <c r="A217" t="s">
        <v>377</v>
      </c>
      <c r="B217" s="23" t="s">
        <v>132</v>
      </c>
      <c r="C217" t="s">
        <v>125</v>
      </c>
      <c r="D217" t="s">
        <v>123</v>
      </c>
      <c r="E217" t="s">
        <v>69</v>
      </c>
      <c r="F217" t="s">
        <v>59</v>
      </c>
      <c r="G217">
        <v>18</v>
      </c>
      <c r="H217" s="4">
        <v>26.1</v>
      </c>
      <c r="I217" s="8">
        <v>469.8</v>
      </c>
      <c r="J217">
        <v>19.52</v>
      </c>
      <c r="K217">
        <v>171.28</v>
      </c>
      <c r="L217" t="s">
        <v>44</v>
      </c>
      <c r="M217" t="s">
        <v>23</v>
      </c>
      <c r="N217" t="s">
        <v>32</v>
      </c>
      <c r="O217" s="23">
        <f>DATE(YEAR(Table1[[#This Row],[Order_Date]]), MONTH(Table1[[#This Row],[Order_Date]]), 1)</f>
        <v>45597</v>
      </c>
      <c r="Q217" s="5"/>
    </row>
    <row r="218" spans="1:17" x14ac:dyDescent="0.3">
      <c r="A218" t="s">
        <v>378</v>
      </c>
      <c r="B218" s="23" t="s">
        <v>39</v>
      </c>
      <c r="C218" t="s">
        <v>379</v>
      </c>
      <c r="D218" t="s">
        <v>53</v>
      </c>
      <c r="E218" t="s">
        <v>98</v>
      </c>
      <c r="F218" t="s">
        <v>59</v>
      </c>
      <c r="G218">
        <v>21</v>
      </c>
      <c r="H218" s="4">
        <v>37.450000000000003</v>
      </c>
      <c r="I218" s="8">
        <v>786.45</v>
      </c>
      <c r="J218">
        <v>62.4</v>
      </c>
      <c r="K218">
        <v>136.05000000000001</v>
      </c>
      <c r="L218" t="s">
        <v>22</v>
      </c>
      <c r="M218" t="s">
        <v>37</v>
      </c>
      <c r="N218" t="s">
        <v>24</v>
      </c>
      <c r="O218" s="23">
        <f>DATE(YEAR(Table1[[#This Row],[Order_Date]]), MONTH(Table1[[#This Row],[Order_Date]]), 1)</f>
        <v>45566</v>
      </c>
      <c r="Q218" s="5"/>
    </row>
    <row r="219" spans="1:17" x14ac:dyDescent="0.3">
      <c r="A219" t="s">
        <v>380</v>
      </c>
      <c r="B219" s="23" t="s">
        <v>78</v>
      </c>
      <c r="C219" t="s">
        <v>342</v>
      </c>
      <c r="D219" t="s">
        <v>81</v>
      </c>
      <c r="E219" t="s">
        <v>54</v>
      </c>
      <c r="F219" t="s">
        <v>43</v>
      </c>
      <c r="G219">
        <v>25</v>
      </c>
      <c r="H219" s="4">
        <v>28.54</v>
      </c>
      <c r="I219" s="8">
        <v>713.5</v>
      </c>
      <c r="J219">
        <v>50.38</v>
      </c>
      <c r="K219">
        <v>163.12</v>
      </c>
      <c r="L219" t="s">
        <v>22</v>
      </c>
      <c r="M219" t="s">
        <v>23</v>
      </c>
      <c r="N219" t="s">
        <v>66</v>
      </c>
      <c r="O219" s="23">
        <f>DATE(YEAR(Table1[[#This Row],[Order_Date]]), MONTH(Table1[[#This Row],[Order_Date]]), 1)</f>
        <v>45627</v>
      </c>
      <c r="Q219" s="5"/>
    </row>
    <row r="220" spans="1:17" x14ac:dyDescent="0.3">
      <c r="A220" t="s">
        <v>381</v>
      </c>
      <c r="B220" s="23" t="s">
        <v>26</v>
      </c>
      <c r="C220" t="s">
        <v>130</v>
      </c>
      <c r="D220" t="s">
        <v>19</v>
      </c>
      <c r="E220" t="s">
        <v>64</v>
      </c>
      <c r="F220" t="s">
        <v>65</v>
      </c>
      <c r="G220">
        <v>11</v>
      </c>
      <c r="H220" s="4">
        <v>38.07</v>
      </c>
      <c r="I220" s="8">
        <v>418.77</v>
      </c>
      <c r="J220">
        <v>29.02</v>
      </c>
      <c r="K220">
        <v>114.75</v>
      </c>
      <c r="L220" t="s">
        <v>30</v>
      </c>
      <c r="M220" t="s">
        <v>23</v>
      </c>
      <c r="N220" t="s">
        <v>24</v>
      </c>
      <c r="O220" s="23">
        <f>DATE(YEAR(Table1[[#This Row],[Order_Date]]), MONTH(Table1[[#This Row],[Order_Date]]), 1)</f>
        <v>45689</v>
      </c>
      <c r="Q220" s="5"/>
    </row>
    <row r="221" spans="1:17" x14ac:dyDescent="0.3">
      <c r="A221" t="s">
        <v>382</v>
      </c>
      <c r="B221" s="23" t="s">
        <v>39</v>
      </c>
      <c r="C221" t="s">
        <v>383</v>
      </c>
      <c r="D221" t="s">
        <v>48</v>
      </c>
      <c r="E221" t="s">
        <v>69</v>
      </c>
      <c r="F221" t="s">
        <v>59</v>
      </c>
      <c r="G221">
        <v>18</v>
      </c>
      <c r="H221" s="4">
        <v>19.32</v>
      </c>
      <c r="I221" s="8">
        <v>347.76</v>
      </c>
      <c r="J221">
        <v>21.34</v>
      </c>
      <c r="K221">
        <v>47.42</v>
      </c>
      <c r="L221" t="s">
        <v>30</v>
      </c>
      <c r="M221" t="s">
        <v>23</v>
      </c>
      <c r="N221" t="s">
        <v>24</v>
      </c>
      <c r="O221" s="23">
        <f>DATE(YEAR(Table1[[#This Row],[Order_Date]]), MONTH(Table1[[#This Row],[Order_Date]]), 1)</f>
        <v>45566</v>
      </c>
      <c r="Q221" s="5"/>
    </row>
    <row r="222" spans="1:17" x14ac:dyDescent="0.3">
      <c r="A222" t="s">
        <v>384</v>
      </c>
      <c r="B222" s="23" t="s">
        <v>56</v>
      </c>
      <c r="C222" t="s">
        <v>76</v>
      </c>
      <c r="D222" t="s">
        <v>28</v>
      </c>
      <c r="E222" t="s">
        <v>98</v>
      </c>
      <c r="F222" t="s">
        <v>59</v>
      </c>
      <c r="G222">
        <v>42</v>
      </c>
      <c r="H222" s="4">
        <v>50.02</v>
      </c>
      <c r="I222" s="8">
        <v>2100.84</v>
      </c>
      <c r="J222">
        <v>89.65</v>
      </c>
      <c r="K222">
        <v>835.19</v>
      </c>
      <c r="L222" t="s">
        <v>30</v>
      </c>
      <c r="M222" t="s">
        <v>31</v>
      </c>
      <c r="N222" t="s">
        <v>32</v>
      </c>
      <c r="O222" s="23">
        <f>DATE(YEAR(Table1[[#This Row],[Order_Date]]), MONTH(Table1[[#This Row],[Order_Date]]), 1)</f>
        <v>45444</v>
      </c>
      <c r="Q222" s="5"/>
    </row>
    <row r="223" spans="1:17" x14ac:dyDescent="0.3">
      <c r="A223" t="s">
        <v>385</v>
      </c>
      <c r="B223" s="23" t="s">
        <v>17</v>
      </c>
      <c r="C223" t="s">
        <v>276</v>
      </c>
      <c r="D223" t="s">
        <v>147</v>
      </c>
      <c r="E223" t="s">
        <v>98</v>
      </c>
      <c r="F223" t="s">
        <v>59</v>
      </c>
      <c r="G223">
        <v>13</v>
      </c>
      <c r="H223" s="4">
        <v>49.39</v>
      </c>
      <c r="I223" s="8">
        <v>642.07000000000005</v>
      </c>
      <c r="J223">
        <v>38.32</v>
      </c>
      <c r="K223">
        <v>239.75</v>
      </c>
      <c r="L223" t="s">
        <v>30</v>
      </c>
      <c r="M223" t="s">
        <v>23</v>
      </c>
      <c r="N223" t="s">
        <v>148</v>
      </c>
      <c r="O223" s="23">
        <f>DATE(YEAR(Table1[[#This Row],[Order_Date]]), MONTH(Table1[[#This Row],[Order_Date]]), 1)</f>
        <v>45658</v>
      </c>
      <c r="Q223" s="5"/>
    </row>
    <row r="224" spans="1:17" x14ac:dyDescent="0.3">
      <c r="A224" t="s">
        <v>386</v>
      </c>
      <c r="B224" s="23" t="s">
        <v>61</v>
      </c>
      <c r="C224" t="s">
        <v>135</v>
      </c>
      <c r="D224" t="s">
        <v>28</v>
      </c>
      <c r="E224" t="s">
        <v>29</v>
      </c>
      <c r="F224" t="s">
        <v>21</v>
      </c>
      <c r="G224">
        <v>15</v>
      </c>
      <c r="H224" s="4">
        <v>22.86</v>
      </c>
      <c r="I224" s="8">
        <v>342.9</v>
      </c>
      <c r="J224">
        <v>27.16</v>
      </c>
      <c r="K224">
        <v>45.74</v>
      </c>
      <c r="L224" t="s">
        <v>44</v>
      </c>
      <c r="M224" t="s">
        <v>37</v>
      </c>
      <c r="N224" t="s">
        <v>32</v>
      </c>
      <c r="O224" s="23">
        <f>DATE(YEAR(Table1[[#This Row],[Order_Date]]), MONTH(Table1[[#This Row],[Order_Date]]), 1)</f>
        <v>45778</v>
      </c>
      <c r="Q224" s="5"/>
    </row>
    <row r="225" spans="1:17" x14ac:dyDescent="0.3">
      <c r="A225" t="s">
        <v>387</v>
      </c>
      <c r="B225" s="23" t="s">
        <v>68</v>
      </c>
      <c r="C225" t="s">
        <v>379</v>
      </c>
      <c r="D225" t="s">
        <v>196</v>
      </c>
      <c r="E225" t="s">
        <v>64</v>
      </c>
      <c r="F225" t="s">
        <v>65</v>
      </c>
      <c r="G225">
        <v>37</v>
      </c>
      <c r="H225" s="4">
        <v>37.270000000000003</v>
      </c>
      <c r="I225" s="8">
        <v>1378.99</v>
      </c>
      <c r="J225">
        <v>92.92</v>
      </c>
      <c r="K225">
        <v>361.07</v>
      </c>
      <c r="L225" t="s">
        <v>22</v>
      </c>
      <c r="M225" t="s">
        <v>23</v>
      </c>
      <c r="N225" t="s">
        <v>66</v>
      </c>
      <c r="O225" s="23">
        <f>DATE(YEAR(Table1[[#This Row],[Order_Date]]), MONTH(Table1[[#This Row],[Order_Date]]), 1)</f>
        <v>45536</v>
      </c>
      <c r="Q225" s="5"/>
    </row>
    <row r="226" spans="1:17" x14ac:dyDescent="0.3">
      <c r="A226" t="s">
        <v>388</v>
      </c>
      <c r="B226" s="23" t="s">
        <v>86</v>
      </c>
      <c r="C226" t="s">
        <v>52</v>
      </c>
      <c r="D226" t="s">
        <v>123</v>
      </c>
      <c r="E226" t="s">
        <v>20</v>
      </c>
      <c r="F226" t="s">
        <v>21</v>
      </c>
      <c r="G226">
        <v>49</v>
      </c>
      <c r="H226" s="4">
        <v>54.05</v>
      </c>
      <c r="I226" s="8">
        <v>2648.45</v>
      </c>
      <c r="J226">
        <v>66.8</v>
      </c>
      <c r="K226">
        <v>866.65</v>
      </c>
      <c r="L226" t="s">
        <v>44</v>
      </c>
      <c r="M226" t="s">
        <v>23</v>
      </c>
      <c r="N226" t="s">
        <v>32</v>
      </c>
      <c r="O226" s="23">
        <f>DATE(YEAR(Table1[[#This Row],[Order_Date]]), MONTH(Table1[[#This Row],[Order_Date]]), 1)</f>
        <v>45352</v>
      </c>
      <c r="Q226" s="5"/>
    </row>
    <row r="227" spans="1:17" x14ac:dyDescent="0.3">
      <c r="A227" t="s">
        <v>389</v>
      </c>
      <c r="B227" s="23" t="s">
        <v>71</v>
      </c>
      <c r="C227" t="s">
        <v>390</v>
      </c>
      <c r="D227" t="s">
        <v>28</v>
      </c>
      <c r="E227" t="s">
        <v>73</v>
      </c>
      <c r="F227" t="s">
        <v>43</v>
      </c>
      <c r="G227">
        <v>33</v>
      </c>
      <c r="H227" s="4">
        <v>20.059999999999999</v>
      </c>
      <c r="I227" s="8">
        <v>661.98</v>
      </c>
      <c r="J227">
        <v>50.02</v>
      </c>
      <c r="K227">
        <v>191.21</v>
      </c>
      <c r="L227" t="s">
        <v>44</v>
      </c>
      <c r="M227" t="s">
        <v>31</v>
      </c>
      <c r="N227" t="s">
        <v>32</v>
      </c>
      <c r="O227" s="23">
        <f>DATE(YEAR(Table1[[#This Row],[Order_Date]]), MONTH(Table1[[#This Row],[Order_Date]]), 1)</f>
        <v>45505</v>
      </c>
      <c r="Q227" s="5"/>
    </row>
    <row r="228" spans="1:17" x14ac:dyDescent="0.3">
      <c r="A228" t="s">
        <v>391</v>
      </c>
      <c r="B228" s="23" t="s">
        <v>132</v>
      </c>
      <c r="C228" t="s">
        <v>226</v>
      </c>
      <c r="D228" t="s">
        <v>170</v>
      </c>
      <c r="E228" t="s">
        <v>98</v>
      </c>
      <c r="F228" t="s">
        <v>59</v>
      </c>
      <c r="G228">
        <v>49</v>
      </c>
      <c r="H228" s="4">
        <v>35.68</v>
      </c>
      <c r="I228" s="8">
        <v>1748.32</v>
      </c>
      <c r="J228">
        <v>124.47</v>
      </c>
      <c r="K228">
        <v>251.85</v>
      </c>
      <c r="L228" t="s">
        <v>44</v>
      </c>
      <c r="M228" t="s">
        <v>37</v>
      </c>
      <c r="N228" t="s">
        <v>32</v>
      </c>
      <c r="O228" s="23">
        <f>DATE(YEAR(Table1[[#This Row],[Order_Date]]), MONTH(Table1[[#This Row],[Order_Date]]), 1)</f>
        <v>45597</v>
      </c>
      <c r="Q228" s="5"/>
    </row>
    <row r="229" spans="1:17" x14ac:dyDescent="0.3">
      <c r="A229" t="s">
        <v>392</v>
      </c>
      <c r="B229" s="23" t="s">
        <v>104</v>
      </c>
      <c r="C229" t="s">
        <v>35</v>
      </c>
      <c r="D229" t="s">
        <v>196</v>
      </c>
      <c r="E229" t="s">
        <v>64</v>
      </c>
      <c r="F229" t="s">
        <v>65</v>
      </c>
      <c r="G229">
        <v>23</v>
      </c>
      <c r="H229" s="4">
        <v>30.89</v>
      </c>
      <c r="I229" s="8">
        <v>710.47</v>
      </c>
      <c r="J229">
        <v>18.739999999999998</v>
      </c>
      <c r="K229">
        <v>116.73</v>
      </c>
      <c r="L229" t="s">
        <v>30</v>
      </c>
      <c r="M229" t="s">
        <v>23</v>
      </c>
      <c r="N229" t="s">
        <v>66</v>
      </c>
      <c r="O229" s="23">
        <f>DATE(YEAR(Table1[[#This Row],[Order_Date]]), MONTH(Table1[[#This Row],[Order_Date]]), 1)</f>
        <v>45717</v>
      </c>
      <c r="Q229" s="5"/>
    </row>
    <row r="230" spans="1:17" x14ac:dyDescent="0.3">
      <c r="A230" t="s">
        <v>393</v>
      </c>
      <c r="B230" s="23" t="s">
        <v>39</v>
      </c>
      <c r="C230" t="s">
        <v>40</v>
      </c>
      <c r="D230" t="s">
        <v>123</v>
      </c>
      <c r="E230" t="s">
        <v>20</v>
      </c>
      <c r="F230" t="s">
        <v>21</v>
      </c>
      <c r="G230">
        <v>14</v>
      </c>
      <c r="H230" s="4">
        <v>59.6</v>
      </c>
      <c r="I230" s="8">
        <v>834.4</v>
      </c>
      <c r="J230">
        <v>19.11</v>
      </c>
      <c r="K230">
        <v>325.29000000000002</v>
      </c>
      <c r="L230" t="s">
        <v>30</v>
      </c>
      <c r="M230" t="s">
        <v>31</v>
      </c>
      <c r="N230" t="s">
        <v>32</v>
      </c>
      <c r="O230" s="23">
        <f>DATE(YEAR(Table1[[#This Row],[Order_Date]]), MONTH(Table1[[#This Row],[Order_Date]]), 1)</f>
        <v>45566</v>
      </c>
      <c r="Q230" s="5"/>
    </row>
    <row r="231" spans="1:17" x14ac:dyDescent="0.3">
      <c r="A231" t="s">
        <v>394</v>
      </c>
      <c r="B231" s="23" t="s">
        <v>26</v>
      </c>
      <c r="C231" t="s">
        <v>322</v>
      </c>
      <c r="D231" t="s">
        <v>170</v>
      </c>
      <c r="E231" t="s">
        <v>58</v>
      </c>
      <c r="F231" t="s">
        <v>59</v>
      </c>
      <c r="G231">
        <v>3</v>
      </c>
      <c r="H231" s="4">
        <v>28.36</v>
      </c>
      <c r="I231" s="8">
        <v>85.08</v>
      </c>
      <c r="J231">
        <v>4.46</v>
      </c>
      <c r="K231">
        <v>13.12</v>
      </c>
      <c r="L231" t="s">
        <v>22</v>
      </c>
      <c r="M231" t="s">
        <v>31</v>
      </c>
      <c r="N231" t="s">
        <v>32</v>
      </c>
      <c r="O231" s="23">
        <f>DATE(YEAR(Table1[[#This Row],[Order_Date]]), MONTH(Table1[[#This Row],[Order_Date]]), 1)</f>
        <v>45689</v>
      </c>
      <c r="Q231" s="5"/>
    </row>
    <row r="232" spans="1:17" x14ac:dyDescent="0.3">
      <c r="A232" t="s">
        <v>395</v>
      </c>
      <c r="B232" s="23" t="s">
        <v>132</v>
      </c>
      <c r="C232" t="s">
        <v>153</v>
      </c>
      <c r="D232" t="s">
        <v>170</v>
      </c>
      <c r="E232" t="s">
        <v>73</v>
      </c>
      <c r="F232" t="s">
        <v>43</v>
      </c>
      <c r="G232">
        <v>28</v>
      </c>
      <c r="H232" s="4">
        <v>22.13</v>
      </c>
      <c r="I232" s="8">
        <v>619.64</v>
      </c>
      <c r="J232">
        <v>17.2</v>
      </c>
      <c r="K232">
        <v>245.44</v>
      </c>
      <c r="L232" t="s">
        <v>30</v>
      </c>
      <c r="M232" t="s">
        <v>37</v>
      </c>
      <c r="N232" t="s">
        <v>32</v>
      </c>
      <c r="O232" s="23">
        <f>DATE(YEAR(Table1[[#This Row],[Order_Date]]), MONTH(Table1[[#This Row],[Order_Date]]), 1)</f>
        <v>45597</v>
      </c>
      <c r="Q232" s="5"/>
    </row>
    <row r="233" spans="1:17" x14ac:dyDescent="0.3">
      <c r="A233" t="s">
        <v>396</v>
      </c>
      <c r="B233" s="23" t="s">
        <v>78</v>
      </c>
      <c r="C233" t="s">
        <v>252</v>
      </c>
      <c r="D233" t="s">
        <v>19</v>
      </c>
      <c r="E233" t="s">
        <v>29</v>
      </c>
      <c r="F233" t="s">
        <v>21</v>
      </c>
      <c r="G233">
        <v>28</v>
      </c>
      <c r="H233">
        <v>27.62</v>
      </c>
      <c r="I233">
        <v>773.36</v>
      </c>
      <c r="J233">
        <v>29.88</v>
      </c>
      <c r="K233">
        <v>239.48</v>
      </c>
      <c r="L233" t="s">
        <v>22</v>
      </c>
      <c r="M233" t="s">
        <v>23</v>
      </c>
      <c r="N233" t="s">
        <v>24</v>
      </c>
      <c r="O233" s="23">
        <f>DATE(YEAR(Table1[[#This Row],[Order_Date]]), MONTH(Table1[[#This Row],[Order_Date]]), 1)</f>
        <v>45627</v>
      </c>
      <c r="Q233" s="5"/>
    </row>
    <row r="234" spans="1:17" x14ac:dyDescent="0.3">
      <c r="A234" t="s">
        <v>397</v>
      </c>
      <c r="B234" s="23" t="s">
        <v>104</v>
      </c>
      <c r="C234" t="s">
        <v>139</v>
      </c>
      <c r="D234" t="s">
        <v>48</v>
      </c>
      <c r="E234" t="s">
        <v>64</v>
      </c>
      <c r="F234" t="s">
        <v>65</v>
      </c>
      <c r="G234">
        <v>40</v>
      </c>
      <c r="H234" s="4">
        <v>34.229999999999997</v>
      </c>
      <c r="I234" s="8">
        <v>1369.2</v>
      </c>
      <c r="J234">
        <v>78.03</v>
      </c>
      <c r="K234">
        <v>291.17</v>
      </c>
      <c r="L234" t="s">
        <v>22</v>
      </c>
      <c r="M234" t="s">
        <v>23</v>
      </c>
      <c r="N234" t="s">
        <v>24</v>
      </c>
      <c r="O234" s="23">
        <f>DATE(YEAR(Table1[[#This Row],[Order_Date]]), MONTH(Table1[[#This Row],[Order_Date]]), 1)</f>
        <v>45717</v>
      </c>
      <c r="Q234" s="5"/>
    </row>
    <row r="235" spans="1:17" x14ac:dyDescent="0.3">
      <c r="A235" t="s">
        <v>398</v>
      </c>
      <c r="B235" s="23" t="s">
        <v>17</v>
      </c>
      <c r="C235" t="s">
        <v>198</v>
      </c>
      <c r="D235" t="s">
        <v>91</v>
      </c>
      <c r="E235" t="s">
        <v>49</v>
      </c>
      <c r="F235" t="s">
        <v>50</v>
      </c>
      <c r="G235">
        <v>9</v>
      </c>
      <c r="H235" s="4">
        <v>52.2</v>
      </c>
      <c r="I235" s="8">
        <v>469.8</v>
      </c>
      <c r="J235">
        <v>31.5</v>
      </c>
      <c r="K235">
        <v>78.3</v>
      </c>
      <c r="L235" t="s">
        <v>44</v>
      </c>
      <c r="M235" t="s">
        <v>37</v>
      </c>
      <c r="N235" t="s">
        <v>66</v>
      </c>
      <c r="O235" s="23">
        <f>DATE(YEAR(Table1[[#This Row],[Order_Date]]), MONTH(Table1[[#This Row],[Order_Date]]), 1)</f>
        <v>45658</v>
      </c>
      <c r="Q235" s="5"/>
    </row>
    <row r="236" spans="1:17" x14ac:dyDescent="0.3">
      <c r="A236" t="s">
        <v>399</v>
      </c>
      <c r="B236" s="23" t="s">
        <v>104</v>
      </c>
      <c r="C236" t="s">
        <v>252</v>
      </c>
      <c r="D236" t="s">
        <v>123</v>
      </c>
      <c r="E236" t="s">
        <v>64</v>
      </c>
      <c r="F236" t="s">
        <v>65</v>
      </c>
      <c r="G236">
        <v>31</v>
      </c>
      <c r="H236" s="4">
        <v>43.54</v>
      </c>
      <c r="I236" s="8">
        <v>1349.74</v>
      </c>
      <c r="J236">
        <v>99.86</v>
      </c>
      <c r="K236">
        <v>474.88</v>
      </c>
      <c r="L236" t="s">
        <v>22</v>
      </c>
      <c r="M236" t="s">
        <v>31</v>
      </c>
      <c r="N236" t="s">
        <v>32</v>
      </c>
      <c r="O236" s="23">
        <f>DATE(YEAR(Table1[[#This Row],[Order_Date]]), MONTH(Table1[[#This Row],[Order_Date]]), 1)</f>
        <v>45717</v>
      </c>
      <c r="Q236" s="5"/>
    </row>
    <row r="237" spans="1:17" x14ac:dyDescent="0.3">
      <c r="A237" t="s">
        <v>400</v>
      </c>
      <c r="B237" s="23" t="s">
        <v>61</v>
      </c>
      <c r="C237" t="s">
        <v>133</v>
      </c>
      <c r="D237" t="s">
        <v>88</v>
      </c>
      <c r="E237" t="s">
        <v>69</v>
      </c>
      <c r="F237" t="s">
        <v>59</v>
      </c>
      <c r="G237">
        <v>31</v>
      </c>
      <c r="H237" s="4">
        <v>18.63</v>
      </c>
      <c r="I237" s="8">
        <v>577.53</v>
      </c>
      <c r="J237">
        <v>36.65</v>
      </c>
      <c r="K237">
        <v>60.38</v>
      </c>
      <c r="L237" t="s">
        <v>44</v>
      </c>
      <c r="M237" t="s">
        <v>23</v>
      </c>
      <c r="N237" t="s">
        <v>66</v>
      </c>
      <c r="O237" s="23">
        <f>DATE(YEAR(Table1[[#This Row],[Order_Date]]), MONTH(Table1[[#This Row],[Order_Date]]), 1)</f>
        <v>45778</v>
      </c>
      <c r="Q237" s="5"/>
    </row>
    <row r="238" spans="1:17" x14ac:dyDescent="0.3">
      <c r="A238" t="s">
        <v>401</v>
      </c>
      <c r="B238" s="23" t="s">
        <v>83</v>
      </c>
      <c r="C238" t="s">
        <v>297</v>
      </c>
      <c r="D238" t="s">
        <v>91</v>
      </c>
      <c r="E238" t="s">
        <v>54</v>
      </c>
      <c r="F238" t="s">
        <v>43</v>
      </c>
      <c r="G238">
        <v>38</v>
      </c>
      <c r="H238" s="4">
        <v>27.28</v>
      </c>
      <c r="I238" s="8">
        <v>1036.6400000000001</v>
      </c>
      <c r="J238">
        <v>38.770000000000003</v>
      </c>
      <c r="K238">
        <v>237.87</v>
      </c>
      <c r="L238" t="s">
        <v>22</v>
      </c>
      <c r="M238" t="s">
        <v>37</v>
      </c>
      <c r="N238" t="s">
        <v>66</v>
      </c>
      <c r="O238" s="23">
        <f>DATE(YEAR(Table1[[#This Row],[Order_Date]]), MONTH(Table1[[#This Row],[Order_Date]]), 1)</f>
        <v>45323</v>
      </c>
      <c r="Q238" s="5"/>
    </row>
    <row r="239" spans="1:17" x14ac:dyDescent="0.3">
      <c r="A239" t="s">
        <v>402</v>
      </c>
      <c r="B239" s="23" t="s">
        <v>132</v>
      </c>
      <c r="C239" t="s">
        <v>226</v>
      </c>
      <c r="D239" t="s">
        <v>41</v>
      </c>
      <c r="E239" t="s">
        <v>29</v>
      </c>
      <c r="F239" t="s">
        <v>21</v>
      </c>
      <c r="G239">
        <v>50</v>
      </c>
      <c r="H239" s="4">
        <v>30.97</v>
      </c>
      <c r="I239" s="8">
        <v>1548.5</v>
      </c>
      <c r="J239">
        <v>82.09</v>
      </c>
      <c r="K239">
        <v>566.41</v>
      </c>
      <c r="L239" t="s">
        <v>30</v>
      </c>
      <c r="M239" t="s">
        <v>31</v>
      </c>
      <c r="N239" t="s">
        <v>45</v>
      </c>
      <c r="O239" s="23">
        <f>DATE(YEAR(Table1[[#This Row],[Order_Date]]), MONTH(Table1[[#This Row],[Order_Date]]), 1)</f>
        <v>45597</v>
      </c>
      <c r="Q239" s="5"/>
    </row>
    <row r="240" spans="1:17" x14ac:dyDescent="0.3">
      <c r="A240" t="s">
        <v>403</v>
      </c>
      <c r="B240" s="23" t="s">
        <v>83</v>
      </c>
      <c r="C240" t="s">
        <v>90</v>
      </c>
      <c r="D240" t="s">
        <v>91</v>
      </c>
      <c r="E240" t="s">
        <v>49</v>
      </c>
      <c r="F240" t="s">
        <v>50</v>
      </c>
      <c r="G240">
        <v>17</v>
      </c>
      <c r="H240" s="4">
        <v>60.91</v>
      </c>
      <c r="I240" s="8">
        <v>1035.47</v>
      </c>
      <c r="J240">
        <v>54.09</v>
      </c>
      <c r="K240">
        <v>301.38</v>
      </c>
      <c r="L240" t="s">
        <v>44</v>
      </c>
      <c r="M240" t="s">
        <v>23</v>
      </c>
      <c r="N240" t="s">
        <v>66</v>
      </c>
      <c r="O240" s="23">
        <f>DATE(YEAR(Table1[[#This Row],[Order_Date]]), MONTH(Table1[[#This Row],[Order_Date]]), 1)</f>
        <v>45323</v>
      </c>
      <c r="Q240" s="5"/>
    </row>
    <row r="241" spans="1:17" x14ac:dyDescent="0.3">
      <c r="A241" t="s">
        <v>404</v>
      </c>
      <c r="B241" s="23" t="s">
        <v>61</v>
      </c>
      <c r="C241" t="s">
        <v>293</v>
      </c>
      <c r="D241" t="s">
        <v>63</v>
      </c>
      <c r="E241" t="s">
        <v>54</v>
      </c>
      <c r="F241" t="s">
        <v>43</v>
      </c>
      <c r="G241">
        <v>25</v>
      </c>
      <c r="H241" s="4">
        <v>31.15</v>
      </c>
      <c r="I241" s="8">
        <v>778.75</v>
      </c>
      <c r="J241">
        <v>47.45</v>
      </c>
      <c r="K241">
        <v>231.3</v>
      </c>
      <c r="L241" t="s">
        <v>22</v>
      </c>
      <c r="M241" t="s">
        <v>37</v>
      </c>
      <c r="N241" t="s">
        <v>66</v>
      </c>
      <c r="O241" s="23">
        <f>DATE(YEAR(Table1[[#This Row],[Order_Date]]), MONTH(Table1[[#This Row],[Order_Date]]), 1)</f>
        <v>45778</v>
      </c>
      <c r="Q241" s="5"/>
    </row>
    <row r="242" spans="1:17" x14ac:dyDescent="0.3">
      <c r="A242" t="s">
        <v>405</v>
      </c>
      <c r="B242" s="23" t="s">
        <v>95</v>
      </c>
      <c r="C242" t="s">
        <v>310</v>
      </c>
      <c r="D242" t="s">
        <v>123</v>
      </c>
      <c r="E242" t="s">
        <v>29</v>
      </c>
      <c r="F242" t="s">
        <v>21</v>
      </c>
      <c r="G242">
        <v>30</v>
      </c>
      <c r="H242" s="4">
        <v>31.12</v>
      </c>
      <c r="I242" s="8">
        <v>933.6</v>
      </c>
      <c r="J242">
        <v>50.88</v>
      </c>
      <c r="K242">
        <v>342.72</v>
      </c>
      <c r="L242" t="s">
        <v>30</v>
      </c>
      <c r="M242" t="s">
        <v>31</v>
      </c>
      <c r="N242" t="s">
        <v>32</v>
      </c>
      <c r="O242" s="23">
        <f>DATE(YEAR(Table1[[#This Row],[Order_Date]]), MONTH(Table1[[#This Row],[Order_Date]]), 1)</f>
        <v>45474</v>
      </c>
      <c r="Q242" s="5"/>
    </row>
    <row r="243" spans="1:17" x14ac:dyDescent="0.3">
      <c r="A243" t="s">
        <v>406</v>
      </c>
      <c r="B243" s="23" t="s">
        <v>26</v>
      </c>
      <c r="C243" t="s">
        <v>130</v>
      </c>
      <c r="D243" t="s">
        <v>53</v>
      </c>
      <c r="E243" t="s">
        <v>69</v>
      </c>
      <c r="F243" t="s">
        <v>59</v>
      </c>
      <c r="G243">
        <v>17</v>
      </c>
      <c r="H243" s="4">
        <v>19.64</v>
      </c>
      <c r="I243" s="8">
        <v>333.88</v>
      </c>
      <c r="J243">
        <v>22.23</v>
      </c>
      <c r="K243">
        <v>48.15</v>
      </c>
      <c r="L243" t="s">
        <v>44</v>
      </c>
      <c r="M243" t="s">
        <v>37</v>
      </c>
      <c r="N243" t="s">
        <v>24</v>
      </c>
      <c r="O243" s="23">
        <f>DATE(YEAR(Table1[[#This Row],[Order_Date]]), MONTH(Table1[[#This Row],[Order_Date]]), 1)</f>
        <v>45689</v>
      </c>
      <c r="Q243" s="5"/>
    </row>
    <row r="244" spans="1:17" x14ac:dyDescent="0.3">
      <c r="A244" t="s">
        <v>407</v>
      </c>
      <c r="B244" s="23" t="s">
        <v>56</v>
      </c>
      <c r="C244" t="s">
        <v>408</v>
      </c>
      <c r="D244" t="s">
        <v>19</v>
      </c>
      <c r="E244" t="s">
        <v>42</v>
      </c>
      <c r="F244" t="s">
        <v>43</v>
      </c>
      <c r="G244">
        <v>37</v>
      </c>
      <c r="H244" s="4">
        <v>57.35</v>
      </c>
      <c r="I244" s="8">
        <v>2121.9499999999998</v>
      </c>
      <c r="J244">
        <v>147.38999999999999</v>
      </c>
      <c r="K244">
        <v>790.56</v>
      </c>
      <c r="L244" t="s">
        <v>22</v>
      </c>
      <c r="M244" t="s">
        <v>23</v>
      </c>
      <c r="N244" t="s">
        <v>24</v>
      </c>
      <c r="O244" s="23">
        <f>DATE(YEAR(Table1[[#This Row],[Order_Date]]), MONTH(Table1[[#This Row],[Order_Date]]), 1)</f>
        <v>45444</v>
      </c>
      <c r="Q244" s="5"/>
    </row>
    <row r="245" spans="1:17" x14ac:dyDescent="0.3">
      <c r="A245" t="s">
        <v>409</v>
      </c>
      <c r="B245" s="23" t="s">
        <v>26</v>
      </c>
      <c r="C245" t="s">
        <v>18</v>
      </c>
      <c r="D245" t="s">
        <v>36</v>
      </c>
      <c r="E245" t="s">
        <v>20</v>
      </c>
      <c r="F245" t="s">
        <v>21</v>
      </c>
      <c r="G245">
        <v>45</v>
      </c>
      <c r="H245" s="4">
        <v>42.6</v>
      </c>
      <c r="I245" s="8">
        <v>1917</v>
      </c>
      <c r="J245">
        <v>104.27</v>
      </c>
      <c r="K245">
        <v>237.73</v>
      </c>
      <c r="L245" t="s">
        <v>30</v>
      </c>
      <c r="M245" t="s">
        <v>37</v>
      </c>
      <c r="N245" t="s">
        <v>32</v>
      </c>
      <c r="O245" s="23">
        <f>DATE(YEAR(Table1[[#This Row],[Order_Date]]), MONTH(Table1[[#This Row],[Order_Date]]), 1)</f>
        <v>45689</v>
      </c>
      <c r="Q245" s="5"/>
    </row>
    <row r="246" spans="1:17" x14ac:dyDescent="0.3">
      <c r="A246" t="s">
        <v>410</v>
      </c>
      <c r="B246" s="23" t="s">
        <v>56</v>
      </c>
      <c r="C246" t="s">
        <v>119</v>
      </c>
      <c r="D246" t="s">
        <v>28</v>
      </c>
      <c r="E246" t="s">
        <v>54</v>
      </c>
      <c r="F246" t="s">
        <v>43</v>
      </c>
      <c r="G246">
        <v>25</v>
      </c>
      <c r="H246" s="4">
        <v>31.82</v>
      </c>
      <c r="I246" s="8">
        <v>795.5</v>
      </c>
      <c r="J246">
        <v>37.33</v>
      </c>
      <c r="K246">
        <v>258.17</v>
      </c>
      <c r="L246" t="s">
        <v>22</v>
      </c>
      <c r="M246" t="s">
        <v>31</v>
      </c>
      <c r="N246" t="s">
        <v>32</v>
      </c>
      <c r="O246" s="23">
        <f>DATE(YEAR(Table1[[#This Row],[Order_Date]]), MONTH(Table1[[#This Row],[Order_Date]]), 1)</f>
        <v>45444</v>
      </c>
      <c r="Q246" s="5"/>
    </row>
    <row r="247" spans="1:17" x14ac:dyDescent="0.3">
      <c r="A247" t="s">
        <v>411</v>
      </c>
      <c r="B247" s="23" t="s">
        <v>61</v>
      </c>
      <c r="C247" t="s">
        <v>143</v>
      </c>
      <c r="D247" t="s">
        <v>196</v>
      </c>
      <c r="E247" t="s">
        <v>64</v>
      </c>
      <c r="F247" t="s">
        <v>65</v>
      </c>
      <c r="G247">
        <v>17</v>
      </c>
      <c r="H247" s="4">
        <v>36.270000000000003</v>
      </c>
      <c r="I247" s="8">
        <v>616.59</v>
      </c>
      <c r="J247">
        <v>22.76</v>
      </c>
      <c r="K247">
        <v>168.83</v>
      </c>
      <c r="L247" t="s">
        <v>44</v>
      </c>
      <c r="M247" t="s">
        <v>23</v>
      </c>
      <c r="N247" t="s">
        <v>66</v>
      </c>
      <c r="O247" s="23">
        <f>DATE(YEAR(Table1[[#This Row],[Order_Date]]), MONTH(Table1[[#This Row],[Order_Date]]), 1)</f>
        <v>45778</v>
      </c>
      <c r="Q247" s="5"/>
    </row>
    <row r="248" spans="1:17" x14ac:dyDescent="0.3">
      <c r="A248" t="s">
        <v>412</v>
      </c>
      <c r="B248" s="23" t="s">
        <v>132</v>
      </c>
      <c r="C248" t="s">
        <v>230</v>
      </c>
      <c r="D248" t="s">
        <v>88</v>
      </c>
      <c r="E248" t="s">
        <v>29</v>
      </c>
      <c r="F248" t="s">
        <v>21</v>
      </c>
      <c r="G248">
        <v>4</v>
      </c>
      <c r="H248" s="4">
        <v>27.01</v>
      </c>
      <c r="I248" s="8">
        <v>108.04</v>
      </c>
      <c r="J248">
        <v>4.7300000000000004</v>
      </c>
      <c r="K248">
        <v>31.31</v>
      </c>
      <c r="L248" t="s">
        <v>44</v>
      </c>
      <c r="M248" t="s">
        <v>37</v>
      </c>
      <c r="N248" t="s">
        <v>66</v>
      </c>
      <c r="O248" s="23">
        <f>DATE(YEAR(Table1[[#This Row],[Order_Date]]), MONTH(Table1[[#This Row],[Order_Date]]), 1)</f>
        <v>45597</v>
      </c>
      <c r="Q248" s="5"/>
    </row>
    <row r="249" spans="1:17" x14ac:dyDescent="0.3">
      <c r="A249" t="s">
        <v>413</v>
      </c>
      <c r="B249" s="23" t="s">
        <v>107</v>
      </c>
      <c r="C249" t="s">
        <v>250</v>
      </c>
      <c r="D249" t="s">
        <v>53</v>
      </c>
      <c r="E249" t="s">
        <v>20</v>
      </c>
      <c r="F249" t="s">
        <v>21</v>
      </c>
      <c r="G249">
        <v>22</v>
      </c>
      <c r="H249">
        <v>57.6</v>
      </c>
      <c r="I249">
        <v>1267.2</v>
      </c>
      <c r="J249">
        <v>35.32</v>
      </c>
      <c r="K249">
        <v>461.88</v>
      </c>
      <c r="L249" t="s">
        <v>44</v>
      </c>
      <c r="M249" t="s">
        <v>23</v>
      </c>
      <c r="N249" t="s">
        <v>24</v>
      </c>
      <c r="O249" s="23">
        <f>DATE(YEAR(Table1[[#This Row],[Order_Date]]), MONTH(Table1[[#This Row],[Order_Date]]), 1)</f>
        <v>45413</v>
      </c>
      <c r="Q249" s="5"/>
    </row>
    <row r="250" spans="1:17" x14ac:dyDescent="0.3">
      <c r="A250" t="s">
        <v>414</v>
      </c>
      <c r="B250" s="23" t="s">
        <v>157</v>
      </c>
      <c r="C250" t="s">
        <v>280</v>
      </c>
      <c r="D250" t="s">
        <v>170</v>
      </c>
      <c r="E250" t="s">
        <v>64</v>
      </c>
      <c r="F250" t="s">
        <v>65</v>
      </c>
      <c r="G250">
        <v>24</v>
      </c>
      <c r="H250" s="4">
        <v>43.34</v>
      </c>
      <c r="I250" s="8">
        <v>1040.1600000000001</v>
      </c>
      <c r="J250">
        <v>41.18</v>
      </c>
      <c r="K250">
        <v>398.98</v>
      </c>
      <c r="L250" t="s">
        <v>22</v>
      </c>
      <c r="M250" t="s">
        <v>37</v>
      </c>
      <c r="N250" t="s">
        <v>32</v>
      </c>
      <c r="O250" s="23">
        <f>DATE(YEAR(Table1[[#This Row],[Order_Date]]), MONTH(Table1[[#This Row],[Order_Date]]), 1)</f>
        <v>45292</v>
      </c>
      <c r="Q250" s="5"/>
    </row>
    <row r="251" spans="1:17" x14ac:dyDescent="0.3">
      <c r="A251" t="s">
        <v>415</v>
      </c>
      <c r="B251" s="23" t="s">
        <v>26</v>
      </c>
      <c r="C251" t="s">
        <v>185</v>
      </c>
      <c r="D251" t="s">
        <v>53</v>
      </c>
      <c r="E251" t="s">
        <v>49</v>
      </c>
      <c r="F251" t="s">
        <v>50</v>
      </c>
      <c r="G251">
        <v>37</v>
      </c>
      <c r="H251" s="4">
        <v>71.8</v>
      </c>
      <c r="I251" s="8">
        <v>2656.6</v>
      </c>
      <c r="J251">
        <v>60.3</v>
      </c>
      <c r="K251">
        <v>1116.3</v>
      </c>
      <c r="L251" t="s">
        <v>30</v>
      </c>
      <c r="M251" t="s">
        <v>23</v>
      </c>
      <c r="N251" t="s">
        <v>24</v>
      </c>
      <c r="O251" s="23">
        <f>DATE(YEAR(Table1[[#This Row],[Order_Date]]), MONTH(Table1[[#This Row],[Order_Date]]), 1)</f>
        <v>45689</v>
      </c>
      <c r="Q251" s="5"/>
    </row>
    <row r="252" spans="1:17" x14ac:dyDescent="0.3">
      <c r="A252" t="s">
        <v>416</v>
      </c>
      <c r="B252" s="23" t="s">
        <v>56</v>
      </c>
      <c r="C252" t="s">
        <v>408</v>
      </c>
      <c r="D252" t="s">
        <v>88</v>
      </c>
      <c r="E252" t="s">
        <v>54</v>
      </c>
      <c r="F252" t="s">
        <v>43</v>
      </c>
      <c r="G252">
        <v>24</v>
      </c>
      <c r="H252" s="4">
        <v>29.11</v>
      </c>
      <c r="I252" s="8">
        <v>698.64</v>
      </c>
      <c r="J252">
        <v>53.99</v>
      </c>
      <c r="K252">
        <v>164.65</v>
      </c>
      <c r="L252" t="s">
        <v>44</v>
      </c>
      <c r="M252" t="s">
        <v>37</v>
      </c>
      <c r="N252" t="s">
        <v>66</v>
      </c>
      <c r="O252" s="23">
        <f>DATE(YEAR(Table1[[#This Row],[Order_Date]]), MONTH(Table1[[#This Row],[Order_Date]]), 1)</f>
        <v>45444</v>
      </c>
      <c r="Q252" s="5"/>
    </row>
    <row r="253" spans="1:17" x14ac:dyDescent="0.3">
      <c r="A253" t="s">
        <v>417</v>
      </c>
      <c r="B253" s="23" t="s">
        <v>157</v>
      </c>
      <c r="C253" t="s">
        <v>418</v>
      </c>
      <c r="D253" t="s">
        <v>91</v>
      </c>
      <c r="E253" t="s">
        <v>58</v>
      </c>
      <c r="F253" t="s">
        <v>59</v>
      </c>
      <c r="G253">
        <v>6</v>
      </c>
      <c r="H253" s="4">
        <v>27.91</v>
      </c>
      <c r="I253" s="8">
        <v>167.46</v>
      </c>
      <c r="J253">
        <v>10.01</v>
      </c>
      <c r="K253">
        <v>22.45</v>
      </c>
      <c r="L253" t="s">
        <v>22</v>
      </c>
      <c r="M253" t="s">
        <v>23</v>
      </c>
      <c r="N253" t="s">
        <v>66</v>
      </c>
      <c r="O253" s="23">
        <f>DATE(YEAR(Table1[[#This Row],[Order_Date]]), MONTH(Table1[[#This Row],[Order_Date]]), 1)</f>
        <v>45292</v>
      </c>
      <c r="Q253" s="5"/>
    </row>
    <row r="254" spans="1:17" x14ac:dyDescent="0.3">
      <c r="A254" t="s">
        <v>419</v>
      </c>
      <c r="B254" s="23" t="s">
        <v>83</v>
      </c>
      <c r="C254" t="s">
        <v>40</v>
      </c>
      <c r="D254" t="s">
        <v>63</v>
      </c>
      <c r="E254" t="s">
        <v>58</v>
      </c>
      <c r="F254" t="s">
        <v>59</v>
      </c>
      <c r="G254">
        <v>28</v>
      </c>
      <c r="H254" s="4">
        <v>27.29</v>
      </c>
      <c r="I254" s="8">
        <v>764.12</v>
      </c>
      <c r="J254">
        <v>25.78</v>
      </c>
      <c r="K254">
        <v>108.34</v>
      </c>
      <c r="L254" t="s">
        <v>44</v>
      </c>
      <c r="M254" t="s">
        <v>23</v>
      </c>
      <c r="N254" t="s">
        <v>66</v>
      </c>
      <c r="O254" s="23">
        <f>DATE(YEAR(Table1[[#This Row],[Order_Date]]), MONTH(Table1[[#This Row],[Order_Date]]), 1)</f>
        <v>45323</v>
      </c>
      <c r="Q254" s="5"/>
    </row>
    <row r="255" spans="1:17" x14ac:dyDescent="0.3">
      <c r="A255" t="s">
        <v>420</v>
      </c>
      <c r="B255" s="23" t="s">
        <v>83</v>
      </c>
      <c r="C255" t="s">
        <v>338</v>
      </c>
      <c r="D255" t="s">
        <v>53</v>
      </c>
      <c r="E255" t="s">
        <v>58</v>
      </c>
      <c r="F255" t="s">
        <v>59</v>
      </c>
      <c r="G255">
        <v>47</v>
      </c>
      <c r="H255" s="4">
        <v>35.880000000000003</v>
      </c>
      <c r="I255" s="8">
        <v>1686.36</v>
      </c>
      <c r="J255">
        <v>70.3</v>
      </c>
      <c r="K255">
        <v>558.55999999999995</v>
      </c>
      <c r="L255" t="s">
        <v>22</v>
      </c>
      <c r="M255" t="s">
        <v>31</v>
      </c>
      <c r="N255" t="s">
        <v>24</v>
      </c>
      <c r="O255" s="23">
        <f>DATE(YEAR(Table1[[#This Row],[Order_Date]]), MONTH(Table1[[#This Row],[Order_Date]]), 1)</f>
        <v>45323</v>
      </c>
      <c r="Q255" s="5"/>
    </row>
    <row r="256" spans="1:17" x14ac:dyDescent="0.3">
      <c r="A256" t="s">
        <v>421</v>
      </c>
      <c r="B256" s="23" t="s">
        <v>56</v>
      </c>
      <c r="C256" t="s">
        <v>218</v>
      </c>
      <c r="D256" t="s">
        <v>123</v>
      </c>
      <c r="E256" t="s">
        <v>69</v>
      </c>
      <c r="F256" t="s">
        <v>59</v>
      </c>
      <c r="G256">
        <v>19</v>
      </c>
      <c r="H256" s="4">
        <v>27.47</v>
      </c>
      <c r="I256" s="8">
        <v>521.92999999999995</v>
      </c>
      <c r="J256">
        <v>31.29</v>
      </c>
      <c r="K256">
        <v>196.14</v>
      </c>
      <c r="L256" t="s">
        <v>30</v>
      </c>
      <c r="M256" t="s">
        <v>37</v>
      </c>
      <c r="N256" t="s">
        <v>32</v>
      </c>
      <c r="O256" s="23">
        <f>DATE(YEAR(Table1[[#This Row],[Order_Date]]), MONTH(Table1[[#This Row],[Order_Date]]), 1)</f>
        <v>45444</v>
      </c>
      <c r="Q256" s="5"/>
    </row>
    <row r="257" spans="1:17" x14ac:dyDescent="0.3">
      <c r="A257" t="s">
        <v>422</v>
      </c>
      <c r="B257" s="23" t="s">
        <v>132</v>
      </c>
      <c r="C257" t="s">
        <v>153</v>
      </c>
      <c r="D257" t="s">
        <v>147</v>
      </c>
      <c r="E257" t="s">
        <v>54</v>
      </c>
      <c r="F257" t="s">
        <v>43</v>
      </c>
      <c r="G257">
        <v>13</v>
      </c>
      <c r="H257" s="4">
        <v>29.26</v>
      </c>
      <c r="I257" s="8">
        <v>380.38</v>
      </c>
      <c r="J257">
        <v>9.4700000000000006</v>
      </c>
      <c r="K257">
        <v>110.91</v>
      </c>
      <c r="L257" t="s">
        <v>30</v>
      </c>
      <c r="M257" t="s">
        <v>37</v>
      </c>
      <c r="N257" t="s">
        <v>148</v>
      </c>
      <c r="O257" s="23">
        <f>DATE(YEAR(Table1[[#This Row],[Order_Date]]), MONTH(Table1[[#This Row],[Order_Date]]), 1)</f>
        <v>45597</v>
      </c>
      <c r="Q257" s="5"/>
    </row>
    <row r="258" spans="1:17" x14ac:dyDescent="0.3">
      <c r="A258" t="s">
        <v>423</v>
      </c>
      <c r="B258" s="23" t="s">
        <v>17</v>
      </c>
      <c r="C258" t="s">
        <v>325</v>
      </c>
      <c r="D258" t="s">
        <v>170</v>
      </c>
      <c r="E258" t="s">
        <v>29</v>
      </c>
      <c r="F258" t="s">
        <v>21</v>
      </c>
      <c r="G258">
        <v>4</v>
      </c>
      <c r="H258" s="4">
        <v>26.17</v>
      </c>
      <c r="I258" s="8">
        <v>104.68</v>
      </c>
      <c r="J258">
        <v>6.33</v>
      </c>
      <c r="K258">
        <v>26.35</v>
      </c>
      <c r="L258" t="s">
        <v>22</v>
      </c>
      <c r="M258" t="s">
        <v>31</v>
      </c>
      <c r="N258" t="s">
        <v>32</v>
      </c>
      <c r="O258" s="23">
        <f>DATE(YEAR(Table1[[#This Row],[Order_Date]]), MONTH(Table1[[#This Row],[Order_Date]]), 1)</f>
        <v>45658</v>
      </c>
      <c r="Q258" s="5"/>
    </row>
    <row r="259" spans="1:17" x14ac:dyDescent="0.3">
      <c r="A259" t="s">
        <v>424</v>
      </c>
      <c r="B259" s="23" t="s">
        <v>157</v>
      </c>
      <c r="C259" t="s">
        <v>185</v>
      </c>
      <c r="D259" t="s">
        <v>170</v>
      </c>
      <c r="E259" t="s">
        <v>58</v>
      </c>
      <c r="F259" t="s">
        <v>59</v>
      </c>
      <c r="G259">
        <v>43</v>
      </c>
      <c r="H259" s="4">
        <v>37.32</v>
      </c>
      <c r="I259" s="8">
        <v>1604.76</v>
      </c>
      <c r="J259">
        <v>61.01</v>
      </c>
      <c r="K259">
        <v>576.25</v>
      </c>
      <c r="L259" t="s">
        <v>22</v>
      </c>
      <c r="M259" t="s">
        <v>31</v>
      </c>
      <c r="N259" t="s">
        <v>32</v>
      </c>
      <c r="O259" s="23">
        <f>DATE(YEAR(Table1[[#This Row],[Order_Date]]), MONTH(Table1[[#This Row],[Order_Date]]), 1)</f>
        <v>45292</v>
      </c>
      <c r="Q259" s="5"/>
    </row>
    <row r="260" spans="1:17" x14ac:dyDescent="0.3">
      <c r="A260" t="s">
        <v>425</v>
      </c>
      <c r="B260" s="23" t="s">
        <v>68</v>
      </c>
      <c r="C260" t="s">
        <v>312</v>
      </c>
      <c r="D260" t="s">
        <v>101</v>
      </c>
      <c r="E260" t="s">
        <v>29</v>
      </c>
      <c r="F260" t="s">
        <v>21</v>
      </c>
      <c r="G260">
        <v>27</v>
      </c>
      <c r="H260" s="4">
        <v>23.05</v>
      </c>
      <c r="I260" s="8">
        <v>622.35</v>
      </c>
      <c r="J260">
        <v>20.440000000000001</v>
      </c>
      <c r="K260">
        <v>115.91</v>
      </c>
      <c r="L260" t="s">
        <v>44</v>
      </c>
      <c r="M260" t="s">
        <v>31</v>
      </c>
      <c r="N260" t="s">
        <v>102</v>
      </c>
      <c r="O260" s="23">
        <f>DATE(YEAR(Table1[[#This Row],[Order_Date]]), MONTH(Table1[[#This Row],[Order_Date]]), 1)</f>
        <v>45536</v>
      </c>
      <c r="Q260" s="5"/>
    </row>
    <row r="261" spans="1:17" x14ac:dyDescent="0.3">
      <c r="A261" t="s">
        <v>426</v>
      </c>
      <c r="B261" s="23" t="s">
        <v>39</v>
      </c>
      <c r="C261" t="s">
        <v>427</v>
      </c>
      <c r="D261" t="s">
        <v>91</v>
      </c>
      <c r="E261" t="s">
        <v>73</v>
      </c>
      <c r="F261" t="s">
        <v>43</v>
      </c>
      <c r="G261">
        <v>38</v>
      </c>
      <c r="H261" s="4">
        <v>19.02</v>
      </c>
      <c r="I261" s="8">
        <v>722.76</v>
      </c>
      <c r="J261">
        <v>14.63</v>
      </c>
      <c r="K261">
        <v>223.63</v>
      </c>
      <c r="L261" t="s">
        <v>30</v>
      </c>
      <c r="M261" t="s">
        <v>31</v>
      </c>
      <c r="N261" t="s">
        <v>66</v>
      </c>
      <c r="O261" s="23">
        <f>DATE(YEAR(Table1[[#This Row],[Order_Date]]), MONTH(Table1[[#This Row],[Order_Date]]), 1)</f>
        <v>45566</v>
      </c>
      <c r="Q261" s="5"/>
    </row>
    <row r="262" spans="1:17" x14ac:dyDescent="0.3">
      <c r="A262" t="s">
        <v>428</v>
      </c>
      <c r="B262" s="23" t="s">
        <v>56</v>
      </c>
      <c r="C262" t="s">
        <v>429</v>
      </c>
      <c r="D262" t="s">
        <v>48</v>
      </c>
      <c r="E262" t="s">
        <v>49</v>
      </c>
      <c r="F262" t="s">
        <v>50</v>
      </c>
      <c r="G262">
        <v>10</v>
      </c>
      <c r="H262" s="4">
        <v>70.94</v>
      </c>
      <c r="I262" s="8">
        <v>709.4</v>
      </c>
      <c r="J262">
        <v>18.64</v>
      </c>
      <c r="K262">
        <v>290.76</v>
      </c>
      <c r="L262" t="s">
        <v>30</v>
      </c>
      <c r="M262" t="s">
        <v>37</v>
      </c>
      <c r="N262" t="s">
        <v>24</v>
      </c>
      <c r="O262" s="23">
        <f>DATE(YEAR(Table1[[#This Row],[Order_Date]]), MONTH(Table1[[#This Row],[Order_Date]]), 1)</f>
        <v>45444</v>
      </c>
      <c r="Q262" s="5"/>
    </row>
    <row r="263" spans="1:17" x14ac:dyDescent="0.3">
      <c r="A263" t="s">
        <v>430</v>
      </c>
      <c r="B263" s="23" t="s">
        <v>157</v>
      </c>
      <c r="C263" t="s">
        <v>297</v>
      </c>
      <c r="D263" t="s">
        <v>81</v>
      </c>
      <c r="E263" t="s">
        <v>64</v>
      </c>
      <c r="F263" t="s">
        <v>65</v>
      </c>
      <c r="G263">
        <v>17</v>
      </c>
      <c r="H263" s="4">
        <v>38.28</v>
      </c>
      <c r="I263" s="8">
        <v>650.76</v>
      </c>
      <c r="J263">
        <v>38.43</v>
      </c>
      <c r="K263">
        <v>187.33</v>
      </c>
      <c r="L263" t="s">
        <v>30</v>
      </c>
      <c r="M263" t="s">
        <v>37</v>
      </c>
      <c r="N263" t="s">
        <v>66</v>
      </c>
      <c r="O263" s="23">
        <f>DATE(YEAR(Table1[[#This Row],[Order_Date]]), MONTH(Table1[[#This Row],[Order_Date]]), 1)</f>
        <v>45292</v>
      </c>
      <c r="Q263" s="5"/>
    </row>
    <row r="264" spans="1:17" x14ac:dyDescent="0.3">
      <c r="A264" t="s">
        <v>431</v>
      </c>
      <c r="B264" s="23" t="s">
        <v>68</v>
      </c>
      <c r="C264" t="s">
        <v>383</v>
      </c>
      <c r="D264" t="s">
        <v>19</v>
      </c>
      <c r="E264" t="s">
        <v>42</v>
      </c>
      <c r="F264" t="s">
        <v>43</v>
      </c>
      <c r="G264">
        <v>10</v>
      </c>
      <c r="H264" s="4">
        <v>38.799999999999997</v>
      </c>
      <c r="I264" s="8">
        <v>388</v>
      </c>
      <c r="J264">
        <v>16.39</v>
      </c>
      <c r="K264">
        <v>51.61</v>
      </c>
      <c r="L264" t="s">
        <v>44</v>
      </c>
      <c r="M264" t="s">
        <v>31</v>
      </c>
      <c r="N264" t="s">
        <v>24</v>
      </c>
      <c r="O264" s="23">
        <f>DATE(YEAR(Table1[[#This Row],[Order_Date]]), MONTH(Table1[[#This Row],[Order_Date]]), 1)</f>
        <v>45536</v>
      </c>
      <c r="Q264" s="5"/>
    </row>
    <row r="265" spans="1:17" x14ac:dyDescent="0.3">
      <c r="A265" t="s">
        <v>432</v>
      </c>
      <c r="B265" s="23" t="s">
        <v>107</v>
      </c>
      <c r="C265" t="s">
        <v>185</v>
      </c>
      <c r="D265" t="s">
        <v>63</v>
      </c>
      <c r="E265" t="s">
        <v>64</v>
      </c>
      <c r="F265" t="s">
        <v>65</v>
      </c>
      <c r="G265">
        <v>3</v>
      </c>
      <c r="H265" s="4">
        <v>33.840000000000003</v>
      </c>
      <c r="I265" s="8">
        <v>101.52</v>
      </c>
      <c r="J265">
        <v>2.3199999999999998</v>
      </c>
      <c r="K265">
        <v>24.2</v>
      </c>
      <c r="L265" t="s">
        <v>44</v>
      </c>
      <c r="M265" t="s">
        <v>37</v>
      </c>
      <c r="N265" t="s">
        <v>66</v>
      </c>
      <c r="O265" s="23">
        <f>DATE(YEAR(Table1[[#This Row],[Order_Date]]), MONTH(Table1[[#This Row],[Order_Date]]), 1)</f>
        <v>45413</v>
      </c>
      <c r="Q265" s="5"/>
    </row>
    <row r="266" spans="1:17" x14ac:dyDescent="0.3">
      <c r="A266" t="s">
        <v>433</v>
      </c>
      <c r="B266" s="23" t="s">
        <v>86</v>
      </c>
      <c r="C266" t="s">
        <v>218</v>
      </c>
      <c r="D266" t="s">
        <v>170</v>
      </c>
      <c r="E266" t="s">
        <v>69</v>
      </c>
      <c r="F266" t="s">
        <v>59</v>
      </c>
      <c r="G266">
        <v>20</v>
      </c>
      <c r="H266" s="4">
        <v>21.12</v>
      </c>
      <c r="I266" s="8">
        <v>422.4</v>
      </c>
      <c r="J266">
        <v>22.08</v>
      </c>
      <c r="K266">
        <v>90.32</v>
      </c>
      <c r="L266" t="s">
        <v>30</v>
      </c>
      <c r="M266" t="s">
        <v>37</v>
      </c>
      <c r="N266" t="s">
        <v>32</v>
      </c>
      <c r="O266" s="23">
        <f>DATE(YEAR(Table1[[#This Row],[Order_Date]]), MONTH(Table1[[#This Row],[Order_Date]]), 1)</f>
        <v>45352</v>
      </c>
      <c r="Q266" s="5"/>
    </row>
    <row r="267" spans="1:17" x14ac:dyDescent="0.3">
      <c r="A267" t="s">
        <v>434</v>
      </c>
      <c r="B267" s="23" t="s">
        <v>78</v>
      </c>
      <c r="C267" t="s">
        <v>295</v>
      </c>
      <c r="D267" t="s">
        <v>101</v>
      </c>
      <c r="E267" t="s">
        <v>20</v>
      </c>
      <c r="F267" t="s">
        <v>21</v>
      </c>
      <c r="G267">
        <v>1</v>
      </c>
      <c r="H267" s="4">
        <v>58.15</v>
      </c>
      <c r="I267" s="8">
        <v>58.15</v>
      </c>
      <c r="J267">
        <v>4.2</v>
      </c>
      <c r="K267">
        <v>18.95</v>
      </c>
      <c r="L267" t="s">
        <v>30</v>
      </c>
      <c r="M267" t="s">
        <v>31</v>
      </c>
      <c r="N267" t="s">
        <v>102</v>
      </c>
      <c r="O267" s="23">
        <f>DATE(YEAR(Table1[[#This Row],[Order_Date]]), MONTH(Table1[[#This Row],[Order_Date]]), 1)</f>
        <v>45627</v>
      </c>
      <c r="Q267" s="5"/>
    </row>
    <row r="268" spans="1:17" x14ac:dyDescent="0.3">
      <c r="A268" t="s">
        <v>435</v>
      </c>
      <c r="B268" s="23" t="s">
        <v>86</v>
      </c>
      <c r="C268" t="s">
        <v>114</v>
      </c>
      <c r="D268" t="s">
        <v>41</v>
      </c>
      <c r="E268" t="s">
        <v>42</v>
      </c>
      <c r="F268" t="s">
        <v>43</v>
      </c>
      <c r="G268">
        <v>32</v>
      </c>
      <c r="H268" s="4">
        <v>45.96</v>
      </c>
      <c r="I268" s="8">
        <v>1470.72</v>
      </c>
      <c r="J268">
        <v>82.77</v>
      </c>
      <c r="K268">
        <v>363.95</v>
      </c>
      <c r="L268" t="s">
        <v>22</v>
      </c>
      <c r="M268" t="s">
        <v>31</v>
      </c>
      <c r="N268" t="s">
        <v>45</v>
      </c>
      <c r="O268" s="23">
        <f>DATE(YEAR(Table1[[#This Row],[Order_Date]]), MONTH(Table1[[#This Row],[Order_Date]]), 1)</f>
        <v>45352</v>
      </c>
      <c r="Q268" s="5"/>
    </row>
    <row r="269" spans="1:17" x14ac:dyDescent="0.3">
      <c r="A269" t="s">
        <v>436</v>
      </c>
      <c r="B269" s="23" t="s">
        <v>75</v>
      </c>
      <c r="C269" t="s">
        <v>316</v>
      </c>
      <c r="D269" t="s">
        <v>36</v>
      </c>
      <c r="E269" t="s">
        <v>73</v>
      </c>
      <c r="F269" t="s">
        <v>43</v>
      </c>
      <c r="G269">
        <v>37</v>
      </c>
      <c r="H269" s="4">
        <v>16.82</v>
      </c>
      <c r="I269" s="8">
        <v>622.34</v>
      </c>
      <c r="J269">
        <v>32.9</v>
      </c>
      <c r="K269">
        <v>117.69</v>
      </c>
      <c r="L269" t="s">
        <v>44</v>
      </c>
      <c r="M269" t="s">
        <v>31</v>
      </c>
      <c r="N269" t="s">
        <v>32</v>
      </c>
      <c r="O269" s="23">
        <f>DATE(YEAR(Table1[[#This Row],[Order_Date]]), MONTH(Table1[[#This Row],[Order_Date]]), 1)</f>
        <v>45748</v>
      </c>
      <c r="Q269" s="5"/>
    </row>
    <row r="270" spans="1:17" x14ac:dyDescent="0.3">
      <c r="A270" t="s">
        <v>437</v>
      </c>
      <c r="B270" s="23" t="s">
        <v>34</v>
      </c>
      <c r="C270" t="s">
        <v>57</v>
      </c>
      <c r="D270" t="s">
        <v>36</v>
      </c>
      <c r="E270" t="s">
        <v>42</v>
      </c>
      <c r="F270" t="s">
        <v>43</v>
      </c>
      <c r="G270">
        <v>18</v>
      </c>
      <c r="H270" s="4">
        <v>54.62</v>
      </c>
      <c r="I270" s="8">
        <v>983.16</v>
      </c>
      <c r="J270">
        <v>22.61</v>
      </c>
      <c r="K270">
        <v>384.55</v>
      </c>
      <c r="L270" t="s">
        <v>44</v>
      </c>
      <c r="M270" t="s">
        <v>31</v>
      </c>
      <c r="N270" t="s">
        <v>32</v>
      </c>
      <c r="O270" s="23">
        <f>DATE(YEAR(Table1[[#This Row],[Order_Date]]), MONTH(Table1[[#This Row],[Order_Date]]), 1)</f>
        <v>45383</v>
      </c>
      <c r="Q270" s="5"/>
    </row>
    <row r="271" spans="1:17" x14ac:dyDescent="0.3">
      <c r="A271" t="s">
        <v>438</v>
      </c>
      <c r="B271" s="23" t="s">
        <v>104</v>
      </c>
      <c r="C271" t="s">
        <v>122</v>
      </c>
      <c r="D271" t="s">
        <v>36</v>
      </c>
      <c r="E271" t="s">
        <v>73</v>
      </c>
      <c r="F271" t="s">
        <v>43</v>
      </c>
      <c r="G271">
        <v>30</v>
      </c>
      <c r="H271" s="4">
        <v>22.83</v>
      </c>
      <c r="I271" s="8">
        <v>684.9</v>
      </c>
      <c r="J271">
        <v>32.31</v>
      </c>
      <c r="K271">
        <v>270.08999999999997</v>
      </c>
      <c r="L271" t="s">
        <v>22</v>
      </c>
      <c r="M271" t="s">
        <v>31</v>
      </c>
      <c r="N271" t="s">
        <v>32</v>
      </c>
      <c r="O271" s="23">
        <f>DATE(YEAR(Table1[[#This Row],[Order_Date]]), MONTH(Table1[[#This Row],[Order_Date]]), 1)</f>
        <v>45717</v>
      </c>
      <c r="Q271" s="5"/>
    </row>
    <row r="272" spans="1:17" x14ac:dyDescent="0.3">
      <c r="A272" t="s">
        <v>439</v>
      </c>
      <c r="B272" s="23" t="s">
        <v>78</v>
      </c>
      <c r="C272" t="s">
        <v>440</v>
      </c>
      <c r="D272" t="s">
        <v>123</v>
      </c>
      <c r="E272" t="s">
        <v>42</v>
      </c>
      <c r="F272" t="s">
        <v>43</v>
      </c>
      <c r="G272">
        <v>39</v>
      </c>
      <c r="H272" s="4">
        <v>47.02</v>
      </c>
      <c r="I272" s="8">
        <v>1833.78</v>
      </c>
      <c r="J272">
        <v>50.01</v>
      </c>
      <c r="K272">
        <v>535.77</v>
      </c>
      <c r="L272" t="s">
        <v>44</v>
      </c>
      <c r="M272" t="s">
        <v>31</v>
      </c>
      <c r="N272" t="s">
        <v>32</v>
      </c>
      <c r="O272" s="23">
        <f>DATE(YEAR(Table1[[#This Row],[Order_Date]]), MONTH(Table1[[#This Row],[Order_Date]]), 1)</f>
        <v>45627</v>
      </c>
      <c r="Q272" s="5"/>
    </row>
    <row r="273" spans="1:17" x14ac:dyDescent="0.3">
      <c r="A273" t="s">
        <v>441</v>
      </c>
      <c r="B273" s="23" t="s">
        <v>75</v>
      </c>
      <c r="C273" t="s">
        <v>105</v>
      </c>
      <c r="D273" t="s">
        <v>19</v>
      </c>
      <c r="E273" t="s">
        <v>98</v>
      </c>
      <c r="F273" t="s">
        <v>59</v>
      </c>
      <c r="G273">
        <v>22</v>
      </c>
      <c r="H273" s="4">
        <v>43.32</v>
      </c>
      <c r="I273" s="8">
        <v>953.04</v>
      </c>
      <c r="J273">
        <v>71.3</v>
      </c>
      <c r="K273">
        <v>265.74</v>
      </c>
      <c r="L273" t="s">
        <v>30</v>
      </c>
      <c r="M273" t="s">
        <v>37</v>
      </c>
      <c r="N273" t="s">
        <v>24</v>
      </c>
      <c r="O273" s="23">
        <f>DATE(YEAR(Table1[[#This Row],[Order_Date]]), MONTH(Table1[[#This Row],[Order_Date]]), 1)</f>
        <v>45748</v>
      </c>
      <c r="Q273" s="5"/>
    </row>
    <row r="274" spans="1:17" x14ac:dyDescent="0.3">
      <c r="A274" t="s">
        <v>442</v>
      </c>
      <c r="B274" s="23" t="s">
        <v>39</v>
      </c>
      <c r="C274" t="s">
        <v>319</v>
      </c>
      <c r="D274" t="s">
        <v>91</v>
      </c>
      <c r="E274" t="s">
        <v>58</v>
      </c>
      <c r="F274" t="s">
        <v>59</v>
      </c>
      <c r="G274">
        <v>6</v>
      </c>
      <c r="H274" s="4">
        <v>31.69</v>
      </c>
      <c r="I274" s="8">
        <v>190.14</v>
      </c>
      <c r="J274">
        <v>12.52</v>
      </c>
      <c r="K274">
        <v>42.62</v>
      </c>
      <c r="L274" t="s">
        <v>44</v>
      </c>
      <c r="M274" t="s">
        <v>31</v>
      </c>
      <c r="N274" t="s">
        <v>66</v>
      </c>
      <c r="O274" s="23">
        <f>DATE(YEAR(Table1[[#This Row],[Order_Date]]), MONTH(Table1[[#This Row],[Order_Date]]), 1)</f>
        <v>45566</v>
      </c>
      <c r="Q274" s="5"/>
    </row>
    <row r="275" spans="1:17" x14ac:dyDescent="0.3">
      <c r="A275" t="s">
        <v>443</v>
      </c>
      <c r="B275" s="23" t="s">
        <v>56</v>
      </c>
      <c r="C275" t="s">
        <v>218</v>
      </c>
      <c r="D275" t="s">
        <v>170</v>
      </c>
      <c r="E275" t="s">
        <v>20</v>
      </c>
      <c r="F275" t="s">
        <v>21</v>
      </c>
      <c r="G275">
        <v>19</v>
      </c>
      <c r="H275" s="4">
        <v>53.28</v>
      </c>
      <c r="I275" s="8">
        <v>1012.32</v>
      </c>
      <c r="J275">
        <v>27.24</v>
      </c>
      <c r="K275">
        <v>320.08</v>
      </c>
      <c r="L275" t="s">
        <v>44</v>
      </c>
      <c r="M275" t="s">
        <v>31</v>
      </c>
      <c r="N275" t="s">
        <v>32</v>
      </c>
      <c r="O275" s="23">
        <f>DATE(YEAR(Table1[[#This Row],[Order_Date]]), MONTH(Table1[[#This Row],[Order_Date]]), 1)</f>
        <v>45444</v>
      </c>
      <c r="Q275" s="5"/>
    </row>
    <row r="276" spans="1:17" x14ac:dyDescent="0.3">
      <c r="A276" t="s">
        <v>444</v>
      </c>
      <c r="B276" s="23" t="s">
        <v>107</v>
      </c>
      <c r="C276" t="s">
        <v>173</v>
      </c>
      <c r="D276" t="s">
        <v>19</v>
      </c>
      <c r="E276" t="s">
        <v>20</v>
      </c>
      <c r="F276" t="s">
        <v>21</v>
      </c>
      <c r="G276">
        <v>47</v>
      </c>
      <c r="H276">
        <v>47.53</v>
      </c>
      <c r="I276">
        <v>2233.91</v>
      </c>
      <c r="J276">
        <v>128.91</v>
      </c>
      <c r="K276">
        <v>460</v>
      </c>
      <c r="L276" t="s">
        <v>30</v>
      </c>
      <c r="M276" t="s">
        <v>23</v>
      </c>
      <c r="N276" t="s">
        <v>24</v>
      </c>
      <c r="O276" s="23">
        <f>DATE(YEAR(Table1[[#This Row],[Order_Date]]), MONTH(Table1[[#This Row],[Order_Date]]), 1)</f>
        <v>45413</v>
      </c>
      <c r="Q276" s="5"/>
    </row>
    <row r="277" spans="1:17" x14ac:dyDescent="0.3">
      <c r="A277" t="s">
        <v>445</v>
      </c>
      <c r="B277" s="23" t="s">
        <v>132</v>
      </c>
      <c r="C277" t="s">
        <v>305</v>
      </c>
      <c r="D277" t="s">
        <v>81</v>
      </c>
      <c r="E277" t="s">
        <v>54</v>
      </c>
      <c r="F277" t="s">
        <v>43</v>
      </c>
      <c r="G277">
        <v>12</v>
      </c>
      <c r="H277" s="4">
        <v>24.02</v>
      </c>
      <c r="I277" s="8">
        <v>288.24</v>
      </c>
      <c r="J277">
        <v>9.8000000000000007</v>
      </c>
      <c r="K277">
        <v>38.44</v>
      </c>
      <c r="L277" t="s">
        <v>22</v>
      </c>
      <c r="M277" t="s">
        <v>37</v>
      </c>
      <c r="N277" t="s">
        <v>66</v>
      </c>
      <c r="O277" s="23">
        <f>DATE(YEAR(Table1[[#This Row],[Order_Date]]), MONTH(Table1[[#This Row],[Order_Date]]), 1)</f>
        <v>45597</v>
      </c>
      <c r="Q277" s="5"/>
    </row>
    <row r="278" spans="1:17" x14ac:dyDescent="0.3">
      <c r="A278" t="s">
        <v>446</v>
      </c>
      <c r="B278" s="23" t="s">
        <v>17</v>
      </c>
      <c r="C278" t="s">
        <v>383</v>
      </c>
      <c r="D278" t="s">
        <v>81</v>
      </c>
      <c r="E278" t="s">
        <v>73</v>
      </c>
      <c r="F278" t="s">
        <v>43</v>
      </c>
      <c r="G278">
        <v>32</v>
      </c>
      <c r="H278" s="4">
        <v>15.64</v>
      </c>
      <c r="I278" s="8">
        <v>500.48</v>
      </c>
      <c r="J278">
        <v>24.69</v>
      </c>
      <c r="K278">
        <v>67.790000000000006</v>
      </c>
      <c r="L278" t="s">
        <v>44</v>
      </c>
      <c r="M278" t="s">
        <v>23</v>
      </c>
      <c r="N278" t="s">
        <v>66</v>
      </c>
      <c r="O278" s="23">
        <f>DATE(YEAR(Table1[[#This Row],[Order_Date]]), MONTH(Table1[[#This Row],[Order_Date]]), 1)</f>
        <v>45658</v>
      </c>
      <c r="Q278" s="5"/>
    </row>
    <row r="279" spans="1:17" x14ac:dyDescent="0.3">
      <c r="A279" t="s">
        <v>447</v>
      </c>
      <c r="B279" s="23" t="s">
        <v>39</v>
      </c>
      <c r="C279" t="s">
        <v>259</v>
      </c>
      <c r="D279" t="s">
        <v>147</v>
      </c>
      <c r="E279" t="s">
        <v>42</v>
      </c>
      <c r="F279" t="s">
        <v>43</v>
      </c>
      <c r="G279">
        <v>22</v>
      </c>
      <c r="H279" s="4">
        <v>42.54</v>
      </c>
      <c r="I279" s="8">
        <v>935.88</v>
      </c>
      <c r="J279">
        <v>45.37</v>
      </c>
      <c r="K279">
        <v>186.51</v>
      </c>
      <c r="L279" t="s">
        <v>22</v>
      </c>
      <c r="M279" t="s">
        <v>37</v>
      </c>
      <c r="N279" t="s">
        <v>148</v>
      </c>
      <c r="O279" s="23">
        <f>DATE(YEAR(Table1[[#This Row],[Order_Date]]), MONTH(Table1[[#This Row],[Order_Date]]), 1)</f>
        <v>45566</v>
      </c>
      <c r="Q279" s="5"/>
    </row>
    <row r="280" spans="1:17" x14ac:dyDescent="0.3">
      <c r="A280" t="s">
        <v>448</v>
      </c>
      <c r="B280" s="23" t="s">
        <v>56</v>
      </c>
      <c r="C280" t="s">
        <v>334</v>
      </c>
      <c r="D280" t="s">
        <v>196</v>
      </c>
      <c r="E280" t="s">
        <v>64</v>
      </c>
      <c r="F280" t="s">
        <v>65</v>
      </c>
      <c r="G280">
        <v>37</v>
      </c>
      <c r="H280" s="4">
        <v>43.55</v>
      </c>
      <c r="I280" s="8">
        <v>1611.35</v>
      </c>
      <c r="J280">
        <v>67.78</v>
      </c>
      <c r="K280">
        <v>618.57000000000005</v>
      </c>
      <c r="L280" t="s">
        <v>30</v>
      </c>
      <c r="M280" t="s">
        <v>31</v>
      </c>
      <c r="N280" t="s">
        <v>66</v>
      </c>
      <c r="O280" s="23">
        <f>DATE(YEAR(Table1[[#This Row],[Order_Date]]), MONTH(Table1[[#This Row],[Order_Date]]), 1)</f>
        <v>45444</v>
      </c>
      <c r="Q280" s="5"/>
    </row>
    <row r="281" spans="1:17" x14ac:dyDescent="0.3">
      <c r="A281" t="s">
        <v>449</v>
      </c>
      <c r="B281" s="23" t="s">
        <v>71</v>
      </c>
      <c r="C281" t="s">
        <v>130</v>
      </c>
      <c r="D281" t="s">
        <v>41</v>
      </c>
      <c r="E281" t="s">
        <v>69</v>
      </c>
      <c r="F281" t="s">
        <v>59</v>
      </c>
      <c r="G281">
        <v>42</v>
      </c>
      <c r="H281" s="4">
        <v>20.260000000000002</v>
      </c>
      <c r="I281" s="8">
        <v>850.92</v>
      </c>
      <c r="J281">
        <v>22.43</v>
      </c>
      <c r="K281">
        <v>177.49</v>
      </c>
      <c r="L281" t="s">
        <v>44</v>
      </c>
      <c r="M281" t="s">
        <v>37</v>
      </c>
      <c r="N281" t="s">
        <v>45</v>
      </c>
      <c r="O281" s="23">
        <f>DATE(YEAR(Table1[[#This Row],[Order_Date]]), MONTH(Table1[[#This Row],[Order_Date]]), 1)</f>
        <v>45505</v>
      </c>
      <c r="Q281" s="5"/>
    </row>
    <row r="282" spans="1:17" x14ac:dyDescent="0.3">
      <c r="A282" t="s">
        <v>450</v>
      </c>
      <c r="B282" s="23" t="s">
        <v>61</v>
      </c>
      <c r="C282" t="s">
        <v>79</v>
      </c>
      <c r="D282" t="s">
        <v>48</v>
      </c>
      <c r="E282" t="s">
        <v>29</v>
      </c>
      <c r="F282" t="s">
        <v>21</v>
      </c>
      <c r="G282">
        <v>43</v>
      </c>
      <c r="H282">
        <v>24.08</v>
      </c>
      <c r="I282">
        <v>1035.44</v>
      </c>
      <c r="J282">
        <v>35.07</v>
      </c>
      <c r="K282">
        <v>226.37</v>
      </c>
      <c r="L282" t="s">
        <v>30</v>
      </c>
      <c r="M282" t="s">
        <v>37</v>
      </c>
      <c r="N282" t="s">
        <v>24</v>
      </c>
      <c r="O282" s="23">
        <f>DATE(YEAR(Table1[[#This Row],[Order_Date]]), MONTH(Table1[[#This Row],[Order_Date]]), 1)</f>
        <v>45778</v>
      </c>
      <c r="Q282" s="5"/>
    </row>
    <row r="283" spans="1:17" x14ac:dyDescent="0.3">
      <c r="A283" t="s">
        <v>451</v>
      </c>
      <c r="B283" s="23" t="s">
        <v>56</v>
      </c>
      <c r="C283" t="s">
        <v>316</v>
      </c>
      <c r="D283" t="s">
        <v>170</v>
      </c>
      <c r="E283" t="s">
        <v>49</v>
      </c>
      <c r="F283" t="s">
        <v>50</v>
      </c>
      <c r="G283">
        <v>14</v>
      </c>
      <c r="H283" s="4">
        <v>69.010000000000005</v>
      </c>
      <c r="I283" s="8">
        <v>966.14</v>
      </c>
      <c r="J283">
        <v>32.67</v>
      </c>
      <c r="K283">
        <v>373.47</v>
      </c>
      <c r="L283" t="s">
        <v>30</v>
      </c>
      <c r="M283" t="s">
        <v>23</v>
      </c>
      <c r="N283" t="s">
        <v>32</v>
      </c>
      <c r="O283" s="23">
        <f>DATE(YEAR(Table1[[#This Row],[Order_Date]]), MONTH(Table1[[#This Row],[Order_Date]]), 1)</f>
        <v>45444</v>
      </c>
      <c r="Q283" s="5"/>
    </row>
    <row r="284" spans="1:17" x14ac:dyDescent="0.3">
      <c r="A284" t="s">
        <v>452</v>
      </c>
      <c r="B284" s="23" t="s">
        <v>107</v>
      </c>
      <c r="C284" t="s">
        <v>135</v>
      </c>
      <c r="D284" t="s">
        <v>147</v>
      </c>
      <c r="E284" t="s">
        <v>54</v>
      </c>
      <c r="F284" t="s">
        <v>43</v>
      </c>
      <c r="G284">
        <v>29</v>
      </c>
      <c r="H284" s="4">
        <v>28.29</v>
      </c>
      <c r="I284" s="8">
        <v>820.41</v>
      </c>
      <c r="J284">
        <v>63.15</v>
      </c>
      <c r="K284">
        <v>177.26</v>
      </c>
      <c r="L284" t="s">
        <v>44</v>
      </c>
      <c r="M284" t="s">
        <v>37</v>
      </c>
      <c r="N284" t="s">
        <v>148</v>
      </c>
      <c r="O284" s="23">
        <f>DATE(YEAR(Table1[[#This Row],[Order_Date]]), MONTH(Table1[[#This Row],[Order_Date]]), 1)</f>
        <v>45413</v>
      </c>
      <c r="Q284" s="5"/>
    </row>
    <row r="285" spans="1:17" x14ac:dyDescent="0.3">
      <c r="A285" t="s">
        <v>453</v>
      </c>
      <c r="B285" s="23" t="s">
        <v>157</v>
      </c>
      <c r="C285" t="s">
        <v>240</v>
      </c>
      <c r="D285" t="s">
        <v>53</v>
      </c>
      <c r="E285" t="s">
        <v>69</v>
      </c>
      <c r="F285" t="s">
        <v>59</v>
      </c>
      <c r="G285">
        <v>29</v>
      </c>
      <c r="H285" s="4">
        <v>26.51</v>
      </c>
      <c r="I285" s="8">
        <v>768.79</v>
      </c>
      <c r="J285">
        <v>15.66</v>
      </c>
      <c r="K285">
        <v>303.63</v>
      </c>
      <c r="L285" t="s">
        <v>30</v>
      </c>
      <c r="M285" t="s">
        <v>23</v>
      </c>
      <c r="N285" t="s">
        <v>24</v>
      </c>
      <c r="O285" s="23">
        <f>DATE(YEAR(Table1[[#This Row],[Order_Date]]), MONTH(Table1[[#This Row],[Order_Date]]), 1)</f>
        <v>45292</v>
      </c>
      <c r="Q285" s="5"/>
    </row>
    <row r="286" spans="1:17" x14ac:dyDescent="0.3">
      <c r="A286" t="s">
        <v>454</v>
      </c>
      <c r="B286" s="23" t="s">
        <v>78</v>
      </c>
      <c r="C286" t="s">
        <v>139</v>
      </c>
      <c r="D286" t="s">
        <v>48</v>
      </c>
      <c r="E286" t="s">
        <v>20</v>
      </c>
      <c r="F286" t="s">
        <v>21</v>
      </c>
      <c r="G286">
        <v>11</v>
      </c>
      <c r="H286">
        <v>58.07</v>
      </c>
      <c r="I286">
        <v>638.77</v>
      </c>
      <c r="J286">
        <v>43.89</v>
      </c>
      <c r="K286">
        <v>209.88</v>
      </c>
      <c r="L286" t="s">
        <v>22</v>
      </c>
      <c r="M286" t="s">
        <v>31</v>
      </c>
      <c r="N286" t="s">
        <v>24</v>
      </c>
      <c r="O286" s="23">
        <f>DATE(YEAR(Table1[[#This Row],[Order_Date]]), MONTH(Table1[[#This Row],[Order_Date]]), 1)</f>
        <v>45627</v>
      </c>
      <c r="Q286" s="5"/>
    </row>
    <row r="287" spans="1:17" x14ac:dyDescent="0.3">
      <c r="A287" t="s">
        <v>455</v>
      </c>
      <c r="B287" s="23" t="s">
        <v>61</v>
      </c>
      <c r="C287" t="s">
        <v>127</v>
      </c>
      <c r="D287" t="s">
        <v>28</v>
      </c>
      <c r="E287" t="s">
        <v>42</v>
      </c>
      <c r="F287" t="s">
        <v>43</v>
      </c>
      <c r="G287">
        <v>3</v>
      </c>
      <c r="H287" s="4">
        <v>48.76</v>
      </c>
      <c r="I287" s="8">
        <v>146.28</v>
      </c>
      <c r="J287">
        <v>10.45</v>
      </c>
      <c r="K287">
        <v>39.83</v>
      </c>
      <c r="L287" t="s">
        <v>44</v>
      </c>
      <c r="M287" t="s">
        <v>31</v>
      </c>
      <c r="N287" t="s">
        <v>32</v>
      </c>
      <c r="O287" s="23">
        <f>DATE(YEAR(Table1[[#This Row],[Order_Date]]), MONTH(Table1[[#This Row],[Order_Date]]), 1)</f>
        <v>45778</v>
      </c>
      <c r="Q287" s="5"/>
    </row>
    <row r="288" spans="1:17" x14ac:dyDescent="0.3">
      <c r="A288" t="s">
        <v>456</v>
      </c>
      <c r="B288" s="23" t="s">
        <v>107</v>
      </c>
      <c r="C288" t="s">
        <v>180</v>
      </c>
      <c r="D288" t="s">
        <v>196</v>
      </c>
      <c r="E288" t="s">
        <v>54</v>
      </c>
      <c r="F288" t="s">
        <v>43</v>
      </c>
      <c r="G288">
        <v>49</v>
      </c>
      <c r="H288" s="4">
        <v>30.46</v>
      </c>
      <c r="I288" s="8">
        <v>1492.54</v>
      </c>
      <c r="J288">
        <v>51.82</v>
      </c>
      <c r="K288">
        <v>460.72</v>
      </c>
      <c r="L288" t="s">
        <v>30</v>
      </c>
      <c r="M288" t="s">
        <v>23</v>
      </c>
      <c r="N288" t="s">
        <v>66</v>
      </c>
      <c r="O288" s="23">
        <f>DATE(YEAR(Table1[[#This Row],[Order_Date]]), MONTH(Table1[[#This Row],[Order_Date]]), 1)</f>
        <v>45413</v>
      </c>
      <c r="Q288" s="5"/>
    </row>
    <row r="289" spans="1:17" x14ac:dyDescent="0.3">
      <c r="A289" t="s">
        <v>457</v>
      </c>
      <c r="B289" s="23" t="s">
        <v>68</v>
      </c>
      <c r="C289" t="s">
        <v>35</v>
      </c>
      <c r="D289" t="s">
        <v>63</v>
      </c>
      <c r="E289" t="s">
        <v>98</v>
      </c>
      <c r="F289" t="s">
        <v>59</v>
      </c>
      <c r="G289">
        <v>25</v>
      </c>
      <c r="H289" s="4">
        <v>35.21</v>
      </c>
      <c r="I289" s="8">
        <v>880.25</v>
      </c>
      <c r="J289">
        <v>39.799999999999997</v>
      </c>
      <c r="K289">
        <v>140.44999999999999</v>
      </c>
      <c r="L289" t="s">
        <v>44</v>
      </c>
      <c r="M289" t="s">
        <v>31</v>
      </c>
      <c r="N289" t="s">
        <v>66</v>
      </c>
      <c r="O289" s="23">
        <f>DATE(YEAR(Table1[[#This Row],[Order_Date]]), MONTH(Table1[[#This Row],[Order_Date]]), 1)</f>
        <v>45536</v>
      </c>
      <c r="Q289" s="5"/>
    </row>
    <row r="290" spans="1:17" x14ac:dyDescent="0.3">
      <c r="A290" t="s">
        <v>458</v>
      </c>
      <c r="B290" s="23" t="s">
        <v>157</v>
      </c>
      <c r="C290" t="s">
        <v>240</v>
      </c>
      <c r="D290" t="s">
        <v>19</v>
      </c>
      <c r="E290" t="s">
        <v>98</v>
      </c>
      <c r="F290" t="s">
        <v>59</v>
      </c>
      <c r="G290">
        <v>37</v>
      </c>
      <c r="H290" s="4">
        <v>44.82</v>
      </c>
      <c r="I290" s="8">
        <v>1658.34</v>
      </c>
      <c r="J290">
        <v>65.75</v>
      </c>
      <c r="K290">
        <v>556.59</v>
      </c>
      <c r="L290" t="s">
        <v>30</v>
      </c>
      <c r="M290" t="s">
        <v>31</v>
      </c>
      <c r="N290" t="s">
        <v>24</v>
      </c>
      <c r="O290" s="23">
        <f>DATE(YEAR(Table1[[#This Row],[Order_Date]]), MONTH(Table1[[#This Row],[Order_Date]]), 1)</f>
        <v>45292</v>
      </c>
      <c r="Q290" s="5"/>
    </row>
    <row r="291" spans="1:17" x14ac:dyDescent="0.3">
      <c r="A291" t="s">
        <v>459</v>
      </c>
      <c r="B291" s="23" t="s">
        <v>56</v>
      </c>
      <c r="C291" t="s">
        <v>325</v>
      </c>
      <c r="D291" t="s">
        <v>170</v>
      </c>
      <c r="E291" t="s">
        <v>69</v>
      </c>
      <c r="F291" t="s">
        <v>59</v>
      </c>
      <c r="G291">
        <v>11</v>
      </c>
      <c r="H291" s="4">
        <v>18.75</v>
      </c>
      <c r="I291" s="8">
        <v>206.25</v>
      </c>
      <c r="J291">
        <v>11.67</v>
      </c>
      <c r="K291">
        <v>24.08</v>
      </c>
      <c r="L291" t="s">
        <v>22</v>
      </c>
      <c r="M291" t="s">
        <v>23</v>
      </c>
      <c r="N291" t="s">
        <v>32</v>
      </c>
      <c r="O291" s="23">
        <f>DATE(YEAR(Table1[[#This Row],[Order_Date]]), MONTH(Table1[[#This Row],[Order_Date]]), 1)</f>
        <v>45444</v>
      </c>
      <c r="Q291" s="5"/>
    </row>
    <row r="292" spans="1:17" x14ac:dyDescent="0.3">
      <c r="A292" t="s">
        <v>460</v>
      </c>
      <c r="B292" s="23" t="s">
        <v>83</v>
      </c>
      <c r="C292" t="s">
        <v>240</v>
      </c>
      <c r="D292" t="s">
        <v>41</v>
      </c>
      <c r="E292" t="s">
        <v>54</v>
      </c>
      <c r="F292" t="s">
        <v>43</v>
      </c>
      <c r="G292">
        <v>37</v>
      </c>
      <c r="H292" s="4">
        <v>31.66</v>
      </c>
      <c r="I292" s="8">
        <v>1171.42</v>
      </c>
      <c r="J292">
        <v>58.95</v>
      </c>
      <c r="K292">
        <v>372.47</v>
      </c>
      <c r="L292" t="s">
        <v>44</v>
      </c>
      <c r="M292" t="s">
        <v>23</v>
      </c>
      <c r="N292" t="s">
        <v>45</v>
      </c>
      <c r="O292" s="23">
        <f>DATE(YEAR(Table1[[#This Row],[Order_Date]]), MONTH(Table1[[#This Row],[Order_Date]]), 1)</f>
        <v>45323</v>
      </c>
      <c r="Q292" s="5"/>
    </row>
    <row r="293" spans="1:17" x14ac:dyDescent="0.3">
      <c r="A293" t="s">
        <v>461</v>
      </c>
      <c r="B293" s="23" t="s">
        <v>95</v>
      </c>
      <c r="C293" t="s">
        <v>319</v>
      </c>
      <c r="D293" t="s">
        <v>28</v>
      </c>
      <c r="E293" t="s">
        <v>54</v>
      </c>
      <c r="F293" t="s">
        <v>43</v>
      </c>
      <c r="G293">
        <v>17</v>
      </c>
      <c r="H293" s="4">
        <v>32.74</v>
      </c>
      <c r="I293" s="8">
        <v>556.58000000000004</v>
      </c>
      <c r="J293">
        <v>14.68</v>
      </c>
      <c r="K293">
        <v>201.9</v>
      </c>
      <c r="L293" t="s">
        <v>30</v>
      </c>
      <c r="M293" t="s">
        <v>31</v>
      </c>
      <c r="N293" t="s">
        <v>32</v>
      </c>
      <c r="O293" s="23">
        <f>DATE(YEAR(Table1[[#This Row],[Order_Date]]), MONTH(Table1[[#This Row],[Order_Date]]), 1)</f>
        <v>45474</v>
      </c>
      <c r="Q293" s="5"/>
    </row>
    <row r="294" spans="1:17" x14ac:dyDescent="0.3">
      <c r="A294" t="s">
        <v>462</v>
      </c>
      <c r="B294" s="23" t="s">
        <v>34</v>
      </c>
      <c r="C294" t="s">
        <v>79</v>
      </c>
      <c r="D294" t="s">
        <v>19</v>
      </c>
      <c r="E294" t="s">
        <v>98</v>
      </c>
      <c r="F294" t="s">
        <v>59</v>
      </c>
      <c r="G294">
        <v>7</v>
      </c>
      <c r="H294" s="4">
        <v>46.64</v>
      </c>
      <c r="I294" s="8">
        <v>326.48</v>
      </c>
      <c r="J294">
        <v>25.19</v>
      </c>
      <c r="K294">
        <v>105.29</v>
      </c>
      <c r="L294" t="s">
        <v>30</v>
      </c>
      <c r="M294" t="s">
        <v>37</v>
      </c>
      <c r="N294" t="s">
        <v>24</v>
      </c>
      <c r="O294" s="23">
        <f>DATE(YEAR(Table1[[#This Row],[Order_Date]]), MONTH(Table1[[#This Row],[Order_Date]]), 1)</f>
        <v>45383</v>
      </c>
      <c r="Q294" s="5"/>
    </row>
    <row r="295" spans="1:17" x14ac:dyDescent="0.3">
      <c r="A295" t="s">
        <v>463</v>
      </c>
      <c r="B295" s="23" t="s">
        <v>26</v>
      </c>
      <c r="C295" t="s">
        <v>153</v>
      </c>
      <c r="D295" t="s">
        <v>88</v>
      </c>
      <c r="E295" t="s">
        <v>29</v>
      </c>
      <c r="F295" t="s">
        <v>21</v>
      </c>
      <c r="G295">
        <v>16</v>
      </c>
      <c r="H295" s="4">
        <v>24.77</v>
      </c>
      <c r="I295" s="8">
        <v>396.32</v>
      </c>
      <c r="J295">
        <v>15.6</v>
      </c>
      <c r="K295">
        <v>92.72</v>
      </c>
      <c r="L295" t="s">
        <v>22</v>
      </c>
      <c r="M295" t="s">
        <v>37</v>
      </c>
      <c r="N295" t="s">
        <v>66</v>
      </c>
      <c r="O295" s="23">
        <f>DATE(YEAR(Table1[[#This Row],[Order_Date]]), MONTH(Table1[[#This Row],[Order_Date]]), 1)</f>
        <v>45689</v>
      </c>
      <c r="Q295" s="5"/>
    </row>
    <row r="296" spans="1:17" x14ac:dyDescent="0.3">
      <c r="A296" t="s">
        <v>464</v>
      </c>
      <c r="B296" s="23" t="s">
        <v>75</v>
      </c>
      <c r="C296" t="s">
        <v>72</v>
      </c>
      <c r="D296" t="s">
        <v>53</v>
      </c>
      <c r="E296" t="s">
        <v>49</v>
      </c>
      <c r="F296" t="s">
        <v>50</v>
      </c>
      <c r="G296">
        <v>39</v>
      </c>
      <c r="H296" s="4">
        <v>56.5</v>
      </c>
      <c r="I296" s="8">
        <v>2203.5</v>
      </c>
      <c r="J296">
        <v>141.58000000000001</v>
      </c>
      <c r="K296">
        <v>501.92</v>
      </c>
      <c r="L296" t="s">
        <v>44</v>
      </c>
      <c r="M296" t="s">
        <v>23</v>
      </c>
      <c r="N296" t="s">
        <v>24</v>
      </c>
      <c r="O296" s="23">
        <f>DATE(YEAR(Table1[[#This Row],[Order_Date]]), MONTH(Table1[[#This Row],[Order_Date]]), 1)</f>
        <v>45748</v>
      </c>
      <c r="Q296" s="5"/>
    </row>
    <row r="297" spans="1:17" x14ac:dyDescent="0.3">
      <c r="A297" t="s">
        <v>465</v>
      </c>
      <c r="B297" s="23" t="s">
        <v>68</v>
      </c>
      <c r="C297" t="s">
        <v>383</v>
      </c>
      <c r="D297" t="s">
        <v>196</v>
      </c>
      <c r="E297" t="s">
        <v>69</v>
      </c>
      <c r="F297" t="s">
        <v>59</v>
      </c>
      <c r="G297">
        <v>1</v>
      </c>
      <c r="H297" s="4">
        <v>24.01</v>
      </c>
      <c r="I297" s="8">
        <v>24.01</v>
      </c>
      <c r="J297">
        <v>1.58</v>
      </c>
      <c r="K297">
        <v>6.93</v>
      </c>
      <c r="L297" t="s">
        <v>22</v>
      </c>
      <c r="M297" t="s">
        <v>23</v>
      </c>
      <c r="N297" t="s">
        <v>66</v>
      </c>
      <c r="O297" s="23">
        <f>DATE(YEAR(Table1[[#This Row],[Order_Date]]), MONTH(Table1[[#This Row],[Order_Date]]), 1)</f>
        <v>45536</v>
      </c>
      <c r="Q297" s="5"/>
    </row>
    <row r="298" spans="1:17" x14ac:dyDescent="0.3">
      <c r="A298" t="s">
        <v>466</v>
      </c>
      <c r="B298" s="23" t="s">
        <v>78</v>
      </c>
      <c r="C298" t="s">
        <v>117</v>
      </c>
      <c r="D298" t="s">
        <v>196</v>
      </c>
      <c r="E298" t="s">
        <v>64</v>
      </c>
      <c r="F298" t="s">
        <v>65</v>
      </c>
      <c r="G298">
        <v>45</v>
      </c>
      <c r="H298" s="4">
        <v>35.99</v>
      </c>
      <c r="I298" s="8">
        <v>1619.55</v>
      </c>
      <c r="J298">
        <v>49.95</v>
      </c>
      <c r="K298">
        <v>444.6</v>
      </c>
      <c r="L298" t="s">
        <v>22</v>
      </c>
      <c r="M298" t="s">
        <v>31</v>
      </c>
      <c r="N298" t="s">
        <v>66</v>
      </c>
      <c r="O298" s="23">
        <f>DATE(YEAR(Table1[[#This Row],[Order_Date]]), MONTH(Table1[[#This Row],[Order_Date]]), 1)</f>
        <v>45627</v>
      </c>
      <c r="Q298" s="5"/>
    </row>
    <row r="299" spans="1:17" x14ac:dyDescent="0.3">
      <c r="A299" t="s">
        <v>467</v>
      </c>
      <c r="B299" s="23" t="s">
        <v>26</v>
      </c>
      <c r="C299" t="s">
        <v>185</v>
      </c>
      <c r="D299" t="s">
        <v>81</v>
      </c>
      <c r="E299" t="s">
        <v>54</v>
      </c>
      <c r="F299" t="s">
        <v>43</v>
      </c>
      <c r="G299">
        <v>5</v>
      </c>
      <c r="H299" s="4">
        <v>25.45</v>
      </c>
      <c r="I299" s="8">
        <v>127.25</v>
      </c>
      <c r="J299">
        <v>7.22</v>
      </c>
      <c r="K299">
        <v>20.03</v>
      </c>
      <c r="L299" t="s">
        <v>44</v>
      </c>
      <c r="M299" t="s">
        <v>37</v>
      </c>
      <c r="N299" t="s">
        <v>66</v>
      </c>
      <c r="O299" s="23">
        <f>DATE(YEAR(Table1[[#This Row],[Order_Date]]), MONTH(Table1[[#This Row],[Order_Date]]), 1)</f>
        <v>45689</v>
      </c>
      <c r="Q299" s="5"/>
    </row>
    <row r="300" spans="1:17" x14ac:dyDescent="0.3">
      <c r="A300" t="s">
        <v>468</v>
      </c>
      <c r="B300" s="23" t="s">
        <v>17</v>
      </c>
      <c r="C300" t="s">
        <v>117</v>
      </c>
      <c r="D300" t="s">
        <v>91</v>
      </c>
      <c r="E300" t="s">
        <v>69</v>
      </c>
      <c r="F300" t="s">
        <v>59</v>
      </c>
      <c r="G300">
        <v>24</v>
      </c>
      <c r="H300" s="4">
        <v>19.53</v>
      </c>
      <c r="I300" s="8">
        <v>468.72</v>
      </c>
      <c r="J300">
        <v>14.12</v>
      </c>
      <c r="K300">
        <v>82.6</v>
      </c>
      <c r="L300" t="s">
        <v>22</v>
      </c>
      <c r="M300" t="s">
        <v>23</v>
      </c>
      <c r="N300" t="s">
        <v>66</v>
      </c>
      <c r="O300" s="23">
        <f>DATE(YEAR(Table1[[#This Row],[Order_Date]]), MONTH(Table1[[#This Row],[Order_Date]]), 1)</f>
        <v>45658</v>
      </c>
      <c r="Q300" s="5"/>
    </row>
    <row r="301" spans="1:17" x14ac:dyDescent="0.3">
      <c r="A301" t="s">
        <v>469</v>
      </c>
      <c r="B301" s="23" t="s">
        <v>17</v>
      </c>
      <c r="C301" t="s">
        <v>27</v>
      </c>
      <c r="D301" t="s">
        <v>48</v>
      </c>
      <c r="E301" t="s">
        <v>73</v>
      </c>
      <c r="F301" t="s">
        <v>43</v>
      </c>
      <c r="G301">
        <v>28</v>
      </c>
      <c r="H301" s="4">
        <v>22.33</v>
      </c>
      <c r="I301" s="8">
        <v>625.24</v>
      </c>
      <c r="J301">
        <v>44.24</v>
      </c>
      <c r="K301">
        <v>224</v>
      </c>
      <c r="L301" t="s">
        <v>22</v>
      </c>
      <c r="M301" t="s">
        <v>23</v>
      </c>
      <c r="N301" t="s">
        <v>24</v>
      </c>
      <c r="O301" s="23">
        <f>DATE(YEAR(Table1[[#This Row],[Order_Date]]), MONTH(Table1[[#This Row],[Order_Date]]), 1)</f>
        <v>45658</v>
      </c>
      <c r="Q301" s="5"/>
    </row>
    <row r="302" spans="1:17" x14ac:dyDescent="0.3">
      <c r="A302" t="s">
        <v>470</v>
      </c>
      <c r="B302" s="23" t="s">
        <v>132</v>
      </c>
      <c r="C302" t="s">
        <v>108</v>
      </c>
      <c r="D302" t="s">
        <v>36</v>
      </c>
      <c r="E302" t="s">
        <v>42</v>
      </c>
      <c r="F302" t="s">
        <v>43</v>
      </c>
      <c r="G302">
        <v>49</v>
      </c>
      <c r="H302" s="4">
        <v>39.31</v>
      </c>
      <c r="I302" s="8">
        <v>1926.19</v>
      </c>
      <c r="J302">
        <v>69.7</v>
      </c>
      <c r="K302">
        <v>288.49</v>
      </c>
      <c r="L302" t="s">
        <v>30</v>
      </c>
      <c r="M302" t="s">
        <v>23</v>
      </c>
      <c r="N302" t="s">
        <v>32</v>
      </c>
      <c r="O302" s="23">
        <f>DATE(YEAR(Table1[[#This Row],[Order_Date]]), MONTH(Table1[[#This Row],[Order_Date]]), 1)</f>
        <v>45597</v>
      </c>
      <c r="Q302" s="5"/>
    </row>
    <row r="303" spans="1:17" x14ac:dyDescent="0.3">
      <c r="A303" t="s">
        <v>471</v>
      </c>
      <c r="B303" s="23" t="s">
        <v>95</v>
      </c>
      <c r="C303" t="s">
        <v>202</v>
      </c>
      <c r="D303" t="s">
        <v>196</v>
      </c>
      <c r="E303" t="s">
        <v>69</v>
      </c>
      <c r="F303" t="s">
        <v>59</v>
      </c>
      <c r="G303">
        <v>6</v>
      </c>
      <c r="H303" s="4">
        <v>22.95</v>
      </c>
      <c r="I303" s="8">
        <v>137.69999999999999</v>
      </c>
      <c r="J303">
        <v>5.63</v>
      </c>
      <c r="K303">
        <v>39.07</v>
      </c>
      <c r="L303" t="s">
        <v>30</v>
      </c>
      <c r="M303" t="s">
        <v>31</v>
      </c>
      <c r="N303" t="s">
        <v>66</v>
      </c>
      <c r="O303" s="23">
        <f>DATE(YEAR(Table1[[#This Row],[Order_Date]]), MONTH(Table1[[#This Row],[Order_Date]]), 1)</f>
        <v>45474</v>
      </c>
      <c r="Q303" s="5"/>
    </row>
    <row r="304" spans="1:17" x14ac:dyDescent="0.3">
      <c r="A304" t="s">
        <v>472</v>
      </c>
      <c r="B304" s="23" t="s">
        <v>56</v>
      </c>
      <c r="C304" t="s">
        <v>173</v>
      </c>
      <c r="D304" t="s">
        <v>53</v>
      </c>
      <c r="E304" t="s">
        <v>54</v>
      </c>
      <c r="F304" t="s">
        <v>43</v>
      </c>
      <c r="G304">
        <v>35</v>
      </c>
      <c r="H304" s="4">
        <v>27.72</v>
      </c>
      <c r="I304" s="8">
        <v>970.2</v>
      </c>
      <c r="J304">
        <v>61.74</v>
      </c>
      <c r="K304">
        <v>208.46</v>
      </c>
      <c r="L304" t="s">
        <v>22</v>
      </c>
      <c r="M304" t="s">
        <v>37</v>
      </c>
      <c r="N304" t="s">
        <v>24</v>
      </c>
      <c r="O304" s="23">
        <f>DATE(YEAR(Table1[[#This Row],[Order_Date]]), MONTH(Table1[[#This Row],[Order_Date]]), 1)</f>
        <v>45444</v>
      </c>
      <c r="Q304" s="5"/>
    </row>
    <row r="305" spans="1:17" x14ac:dyDescent="0.3">
      <c r="A305" t="s">
        <v>473</v>
      </c>
      <c r="B305" s="23" t="s">
        <v>39</v>
      </c>
      <c r="C305" t="s">
        <v>164</v>
      </c>
      <c r="D305" t="s">
        <v>63</v>
      </c>
      <c r="E305" t="s">
        <v>49</v>
      </c>
      <c r="F305" t="s">
        <v>50</v>
      </c>
      <c r="G305">
        <v>34</v>
      </c>
      <c r="H305" s="4">
        <v>64.75</v>
      </c>
      <c r="I305" s="8">
        <v>2201.5</v>
      </c>
      <c r="J305">
        <v>68.05</v>
      </c>
      <c r="K305">
        <v>773.45</v>
      </c>
      <c r="L305" t="s">
        <v>44</v>
      </c>
      <c r="M305" t="s">
        <v>37</v>
      </c>
      <c r="N305" t="s">
        <v>66</v>
      </c>
      <c r="O305" s="23">
        <f>DATE(YEAR(Table1[[#This Row],[Order_Date]]), MONTH(Table1[[#This Row],[Order_Date]]), 1)</f>
        <v>45566</v>
      </c>
      <c r="Q305" s="5"/>
    </row>
    <row r="306" spans="1:17" x14ac:dyDescent="0.3">
      <c r="A306" t="s">
        <v>474</v>
      </c>
      <c r="B306" s="23" t="s">
        <v>75</v>
      </c>
      <c r="C306" t="s">
        <v>137</v>
      </c>
      <c r="D306" t="s">
        <v>147</v>
      </c>
      <c r="E306" t="s">
        <v>54</v>
      </c>
      <c r="F306" t="s">
        <v>43</v>
      </c>
      <c r="G306">
        <v>49</v>
      </c>
      <c r="H306" s="4">
        <v>26.02</v>
      </c>
      <c r="I306" s="8">
        <v>1274.98</v>
      </c>
      <c r="J306">
        <v>61.84</v>
      </c>
      <c r="K306">
        <v>233.14</v>
      </c>
      <c r="L306" t="s">
        <v>44</v>
      </c>
      <c r="M306" t="s">
        <v>31</v>
      </c>
      <c r="N306" t="s">
        <v>148</v>
      </c>
      <c r="O306" s="23">
        <f>DATE(YEAR(Table1[[#This Row],[Order_Date]]), MONTH(Table1[[#This Row],[Order_Date]]), 1)</f>
        <v>45748</v>
      </c>
      <c r="Q306" s="5"/>
    </row>
    <row r="307" spans="1:17" x14ac:dyDescent="0.3">
      <c r="A307" t="s">
        <v>475</v>
      </c>
      <c r="B307" s="23" t="s">
        <v>78</v>
      </c>
      <c r="C307" t="s">
        <v>265</v>
      </c>
      <c r="D307" t="s">
        <v>41</v>
      </c>
      <c r="E307" t="s">
        <v>64</v>
      </c>
      <c r="F307" t="s">
        <v>65</v>
      </c>
      <c r="G307">
        <v>1</v>
      </c>
      <c r="H307" s="4">
        <v>32.979999999999997</v>
      </c>
      <c r="I307" s="8">
        <v>32.979999999999997</v>
      </c>
      <c r="J307">
        <v>1.89</v>
      </c>
      <c r="K307">
        <v>6.09</v>
      </c>
      <c r="L307" t="s">
        <v>44</v>
      </c>
      <c r="M307" t="s">
        <v>31</v>
      </c>
      <c r="N307" t="s">
        <v>45</v>
      </c>
      <c r="O307" s="23">
        <f>DATE(YEAR(Table1[[#This Row],[Order_Date]]), MONTH(Table1[[#This Row],[Order_Date]]), 1)</f>
        <v>45627</v>
      </c>
      <c r="Q307" s="5"/>
    </row>
    <row r="308" spans="1:17" x14ac:dyDescent="0.3">
      <c r="A308" t="s">
        <v>476</v>
      </c>
      <c r="B308" s="23" t="s">
        <v>132</v>
      </c>
      <c r="C308" t="s">
        <v>334</v>
      </c>
      <c r="D308" t="s">
        <v>41</v>
      </c>
      <c r="E308" t="s">
        <v>73</v>
      </c>
      <c r="F308" t="s">
        <v>43</v>
      </c>
      <c r="G308">
        <v>18</v>
      </c>
      <c r="H308" s="4">
        <v>20.09</v>
      </c>
      <c r="I308" s="8">
        <v>361.62</v>
      </c>
      <c r="J308">
        <v>8.3800000000000008</v>
      </c>
      <c r="K308">
        <v>123.74</v>
      </c>
      <c r="L308" t="s">
        <v>22</v>
      </c>
      <c r="M308" t="s">
        <v>23</v>
      </c>
      <c r="N308" t="s">
        <v>45</v>
      </c>
      <c r="O308" s="23">
        <f>DATE(YEAR(Table1[[#This Row],[Order_Date]]), MONTH(Table1[[#This Row],[Order_Date]]), 1)</f>
        <v>45597</v>
      </c>
      <c r="Q308" s="5"/>
    </row>
    <row r="309" spans="1:17" x14ac:dyDescent="0.3">
      <c r="A309" t="s">
        <v>477</v>
      </c>
      <c r="B309" s="23" t="s">
        <v>56</v>
      </c>
      <c r="C309" t="s">
        <v>185</v>
      </c>
      <c r="D309" t="s">
        <v>196</v>
      </c>
      <c r="E309" t="s">
        <v>20</v>
      </c>
      <c r="F309" t="s">
        <v>21</v>
      </c>
      <c r="G309">
        <v>39</v>
      </c>
      <c r="H309" s="4">
        <v>49.59</v>
      </c>
      <c r="I309" s="8">
        <v>1934.01</v>
      </c>
      <c r="J309">
        <v>62.79</v>
      </c>
      <c r="K309">
        <v>506.22</v>
      </c>
      <c r="L309" t="s">
        <v>30</v>
      </c>
      <c r="M309" t="s">
        <v>31</v>
      </c>
      <c r="N309" t="s">
        <v>66</v>
      </c>
      <c r="O309" s="23">
        <f>DATE(YEAR(Table1[[#This Row],[Order_Date]]), MONTH(Table1[[#This Row],[Order_Date]]), 1)</f>
        <v>45444</v>
      </c>
      <c r="Q309" s="5"/>
    </row>
    <row r="310" spans="1:17" x14ac:dyDescent="0.3">
      <c r="A310" t="s">
        <v>478</v>
      </c>
      <c r="B310" s="23" t="s">
        <v>75</v>
      </c>
      <c r="C310" t="s">
        <v>310</v>
      </c>
      <c r="D310" t="s">
        <v>48</v>
      </c>
      <c r="E310" t="s">
        <v>42</v>
      </c>
      <c r="F310" t="s">
        <v>43</v>
      </c>
      <c r="G310">
        <v>6</v>
      </c>
      <c r="H310" s="4">
        <v>41.99</v>
      </c>
      <c r="I310" s="8">
        <v>251.94</v>
      </c>
      <c r="J310">
        <v>10.76</v>
      </c>
      <c r="K310">
        <v>49.18</v>
      </c>
      <c r="L310" t="s">
        <v>22</v>
      </c>
      <c r="M310" t="s">
        <v>23</v>
      </c>
      <c r="N310" t="s">
        <v>24</v>
      </c>
      <c r="O310" s="23">
        <f>DATE(YEAR(Table1[[#This Row],[Order_Date]]), MONTH(Table1[[#This Row],[Order_Date]]), 1)</f>
        <v>45748</v>
      </c>
      <c r="Q310" s="5"/>
    </row>
    <row r="311" spans="1:17" x14ac:dyDescent="0.3">
      <c r="A311" t="s">
        <v>479</v>
      </c>
      <c r="B311" s="23" t="s">
        <v>107</v>
      </c>
      <c r="C311" t="s">
        <v>79</v>
      </c>
      <c r="D311" t="s">
        <v>81</v>
      </c>
      <c r="E311" t="s">
        <v>20</v>
      </c>
      <c r="F311" t="s">
        <v>21</v>
      </c>
      <c r="G311">
        <v>12</v>
      </c>
      <c r="H311" s="4">
        <v>47.4</v>
      </c>
      <c r="I311" s="8">
        <v>568.79999999999995</v>
      </c>
      <c r="J311">
        <v>23.31</v>
      </c>
      <c r="K311">
        <v>125.49</v>
      </c>
      <c r="L311" t="s">
        <v>44</v>
      </c>
      <c r="M311" t="s">
        <v>23</v>
      </c>
      <c r="N311" t="s">
        <v>66</v>
      </c>
      <c r="O311" s="23">
        <f>DATE(YEAR(Table1[[#This Row],[Order_Date]]), MONTH(Table1[[#This Row],[Order_Date]]), 1)</f>
        <v>45413</v>
      </c>
      <c r="Q311" s="5"/>
    </row>
    <row r="312" spans="1:17" x14ac:dyDescent="0.3">
      <c r="A312" t="s">
        <v>480</v>
      </c>
      <c r="B312" s="23" t="s">
        <v>95</v>
      </c>
      <c r="C312" t="s">
        <v>268</v>
      </c>
      <c r="D312" t="s">
        <v>88</v>
      </c>
      <c r="E312" t="s">
        <v>54</v>
      </c>
      <c r="F312" t="s">
        <v>43</v>
      </c>
      <c r="G312">
        <v>50</v>
      </c>
      <c r="H312" s="4">
        <v>34.28</v>
      </c>
      <c r="I312" s="8">
        <v>1714</v>
      </c>
      <c r="J312">
        <v>59.84</v>
      </c>
      <c r="K312">
        <v>654.16</v>
      </c>
      <c r="L312" t="s">
        <v>22</v>
      </c>
      <c r="M312" t="s">
        <v>23</v>
      </c>
      <c r="N312" t="s">
        <v>66</v>
      </c>
      <c r="O312" s="23">
        <f>DATE(YEAR(Table1[[#This Row],[Order_Date]]), MONTH(Table1[[#This Row],[Order_Date]]), 1)</f>
        <v>45474</v>
      </c>
      <c r="Q312" s="5"/>
    </row>
    <row r="313" spans="1:17" x14ac:dyDescent="0.3">
      <c r="A313" t="s">
        <v>481</v>
      </c>
      <c r="B313" s="23" t="s">
        <v>104</v>
      </c>
      <c r="C313" t="s">
        <v>223</v>
      </c>
      <c r="D313" t="s">
        <v>101</v>
      </c>
      <c r="E313" t="s">
        <v>29</v>
      </c>
      <c r="F313" t="s">
        <v>21</v>
      </c>
      <c r="G313">
        <v>50</v>
      </c>
      <c r="H313" s="4">
        <v>29.39</v>
      </c>
      <c r="I313" s="8">
        <v>1469.5</v>
      </c>
      <c r="J313">
        <v>101.51</v>
      </c>
      <c r="K313">
        <v>467.99</v>
      </c>
      <c r="L313" t="s">
        <v>44</v>
      </c>
      <c r="M313" t="s">
        <v>37</v>
      </c>
      <c r="N313" t="s">
        <v>102</v>
      </c>
      <c r="O313" s="23">
        <f>DATE(YEAR(Table1[[#This Row],[Order_Date]]), MONTH(Table1[[#This Row],[Order_Date]]), 1)</f>
        <v>45717</v>
      </c>
      <c r="Q313" s="5"/>
    </row>
    <row r="314" spans="1:17" x14ac:dyDescent="0.3">
      <c r="A314" t="s">
        <v>482</v>
      </c>
      <c r="B314" s="23" t="s">
        <v>71</v>
      </c>
      <c r="C314" t="s">
        <v>130</v>
      </c>
      <c r="D314" t="s">
        <v>41</v>
      </c>
      <c r="E314" t="s">
        <v>29</v>
      </c>
      <c r="F314" t="s">
        <v>21</v>
      </c>
      <c r="G314">
        <v>46</v>
      </c>
      <c r="H314" s="4">
        <v>30.34</v>
      </c>
      <c r="I314" s="8">
        <v>1395.64</v>
      </c>
      <c r="J314">
        <v>104.2</v>
      </c>
      <c r="K314">
        <v>463.44</v>
      </c>
      <c r="L314" t="s">
        <v>22</v>
      </c>
      <c r="M314" t="s">
        <v>31</v>
      </c>
      <c r="N314" t="s">
        <v>45</v>
      </c>
      <c r="O314" s="23">
        <f>DATE(YEAR(Table1[[#This Row],[Order_Date]]), MONTH(Table1[[#This Row],[Order_Date]]), 1)</f>
        <v>45505</v>
      </c>
      <c r="Q314" s="5"/>
    </row>
    <row r="315" spans="1:17" x14ac:dyDescent="0.3">
      <c r="A315" t="s">
        <v>483</v>
      </c>
      <c r="B315" s="23" t="s">
        <v>86</v>
      </c>
      <c r="C315" t="s">
        <v>484</v>
      </c>
      <c r="D315" t="s">
        <v>81</v>
      </c>
      <c r="E315" t="s">
        <v>73</v>
      </c>
      <c r="F315" t="s">
        <v>43</v>
      </c>
      <c r="G315">
        <v>50</v>
      </c>
      <c r="H315" s="4">
        <v>18.809999999999999</v>
      </c>
      <c r="I315" s="8">
        <v>940.5</v>
      </c>
      <c r="J315">
        <v>40.25</v>
      </c>
      <c r="K315">
        <v>262.75</v>
      </c>
      <c r="L315" t="s">
        <v>30</v>
      </c>
      <c r="M315" t="s">
        <v>31</v>
      </c>
      <c r="N315" t="s">
        <v>66</v>
      </c>
      <c r="O315" s="23">
        <f>DATE(YEAR(Table1[[#This Row],[Order_Date]]), MONTH(Table1[[#This Row],[Order_Date]]), 1)</f>
        <v>45352</v>
      </c>
      <c r="Q315" s="5"/>
    </row>
    <row r="316" spans="1:17" x14ac:dyDescent="0.3">
      <c r="A316" t="s">
        <v>485</v>
      </c>
      <c r="B316" s="23" t="s">
        <v>95</v>
      </c>
      <c r="C316" t="s">
        <v>223</v>
      </c>
      <c r="D316" t="s">
        <v>147</v>
      </c>
      <c r="E316" t="s">
        <v>58</v>
      </c>
      <c r="F316" t="s">
        <v>59</v>
      </c>
      <c r="G316">
        <v>2</v>
      </c>
      <c r="H316" s="4">
        <v>29.64</v>
      </c>
      <c r="I316" s="8">
        <v>59.28</v>
      </c>
      <c r="J316">
        <v>4.59</v>
      </c>
      <c r="K316">
        <v>9.69</v>
      </c>
      <c r="L316" t="s">
        <v>30</v>
      </c>
      <c r="M316" t="s">
        <v>37</v>
      </c>
      <c r="N316" t="s">
        <v>148</v>
      </c>
      <c r="O316" s="23">
        <f>DATE(YEAR(Table1[[#This Row],[Order_Date]]), MONTH(Table1[[#This Row],[Order_Date]]), 1)</f>
        <v>45474</v>
      </c>
      <c r="Q316" s="5"/>
    </row>
    <row r="317" spans="1:17" x14ac:dyDescent="0.3">
      <c r="A317" t="s">
        <v>486</v>
      </c>
      <c r="B317" s="23" t="s">
        <v>157</v>
      </c>
      <c r="C317" t="s">
        <v>383</v>
      </c>
      <c r="D317" t="s">
        <v>81</v>
      </c>
      <c r="E317" t="s">
        <v>58</v>
      </c>
      <c r="F317" t="s">
        <v>59</v>
      </c>
      <c r="G317">
        <v>48</v>
      </c>
      <c r="H317" s="4">
        <v>27.9</v>
      </c>
      <c r="I317" s="8">
        <v>1339.2</v>
      </c>
      <c r="J317">
        <v>66.31</v>
      </c>
      <c r="K317">
        <v>192.89</v>
      </c>
      <c r="L317" t="s">
        <v>30</v>
      </c>
      <c r="M317" t="s">
        <v>37</v>
      </c>
      <c r="N317" t="s">
        <v>66</v>
      </c>
      <c r="O317" s="23">
        <f>DATE(YEAR(Table1[[#This Row],[Order_Date]]), MONTH(Table1[[#This Row],[Order_Date]]), 1)</f>
        <v>45292</v>
      </c>
      <c r="Q317" s="5"/>
    </row>
    <row r="318" spans="1:17" x14ac:dyDescent="0.3">
      <c r="A318" t="s">
        <v>487</v>
      </c>
      <c r="B318" s="23" t="s">
        <v>78</v>
      </c>
      <c r="C318" t="s">
        <v>312</v>
      </c>
      <c r="D318" t="s">
        <v>123</v>
      </c>
      <c r="E318" t="s">
        <v>64</v>
      </c>
      <c r="F318" t="s">
        <v>65</v>
      </c>
      <c r="G318">
        <v>28</v>
      </c>
      <c r="H318" s="4">
        <v>38.520000000000003</v>
      </c>
      <c r="I318" s="8">
        <v>1078.56</v>
      </c>
      <c r="J318">
        <v>64.510000000000005</v>
      </c>
      <c r="K318">
        <v>314.05</v>
      </c>
      <c r="L318" t="s">
        <v>22</v>
      </c>
      <c r="M318" t="s">
        <v>31</v>
      </c>
      <c r="N318" t="s">
        <v>32</v>
      </c>
      <c r="O318" s="23">
        <f>DATE(YEAR(Table1[[#This Row],[Order_Date]]), MONTH(Table1[[#This Row],[Order_Date]]), 1)</f>
        <v>45627</v>
      </c>
      <c r="Q318" s="5"/>
    </row>
    <row r="319" spans="1:17" x14ac:dyDescent="0.3">
      <c r="A319" t="s">
        <v>488</v>
      </c>
      <c r="B319" s="23" t="s">
        <v>86</v>
      </c>
      <c r="C319" t="s">
        <v>200</v>
      </c>
      <c r="D319" t="s">
        <v>28</v>
      </c>
      <c r="E319" t="s">
        <v>58</v>
      </c>
      <c r="F319" t="s">
        <v>59</v>
      </c>
      <c r="G319">
        <v>11</v>
      </c>
      <c r="H319" s="4">
        <v>31.08</v>
      </c>
      <c r="I319" s="8">
        <v>341.88</v>
      </c>
      <c r="J319">
        <v>17.18</v>
      </c>
      <c r="K319">
        <v>77.2</v>
      </c>
      <c r="L319" t="s">
        <v>44</v>
      </c>
      <c r="M319" t="s">
        <v>37</v>
      </c>
      <c r="N319" t="s">
        <v>32</v>
      </c>
      <c r="O319" s="23">
        <f>DATE(YEAR(Table1[[#This Row],[Order_Date]]), MONTH(Table1[[#This Row],[Order_Date]]), 1)</f>
        <v>45352</v>
      </c>
      <c r="Q319" s="5"/>
    </row>
    <row r="320" spans="1:17" x14ac:dyDescent="0.3">
      <c r="A320" t="s">
        <v>489</v>
      </c>
      <c r="B320" s="23" t="s">
        <v>39</v>
      </c>
      <c r="C320" t="s">
        <v>265</v>
      </c>
      <c r="D320" t="s">
        <v>53</v>
      </c>
      <c r="E320" t="s">
        <v>54</v>
      </c>
      <c r="F320" t="s">
        <v>43</v>
      </c>
      <c r="G320">
        <v>42</v>
      </c>
      <c r="H320" s="4">
        <v>25.95</v>
      </c>
      <c r="I320" s="8">
        <v>1089.9000000000001</v>
      </c>
      <c r="J320">
        <v>27.5</v>
      </c>
      <c r="K320">
        <v>222.4</v>
      </c>
      <c r="L320" t="s">
        <v>44</v>
      </c>
      <c r="M320" t="s">
        <v>37</v>
      </c>
      <c r="N320" t="s">
        <v>24</v>
      </c>
      <c r="O320" s="23">
        <f>DATE(YEAR(Table1[[#This Row],[Order_Date]]), MONTH(Table1[[#This Row],[Order_Date]]), 1)</f>
        <v>45566</v>
      </c>
      <c r="Q320" s="5"/>
    </row>
    <row r="321" spans="1:17" x14ac:dyDescent="0.3">
      <c r="A321" t="s">
        <v>490</v>
      </c>
      <c r="B321" s="23" t="s">
        <v>71</v>
      </c>
      <c r="C321" t="s">
        <v>418</v>
      </c>
      <c r="D321" t="s">
        <v>81</v>
      </c>
      <c r="E321" t="s">
        <v>64</v>
      </c>
      <c r="F321" t="s">
        <v>65</v>
      </c>
      <c r="G321">
        <v>30</v>
      </c>
      <c r="H321" s="4">
        <v>30.16</v>
      </c>
      <c r="I321" s="8">
        <v>904.8</v>
      </c>
      <c r="J321">
        <v>70.13</v>
      </c>
      <c r="K321">
        <v>84.67</v>
      </c>
      <c r="L321" t="s">
        <v>30</v>
      </c>
      <c r="M321" t="s">
        <v>23</v>
      </c>
      <c r="N321" t="s">
        <v>66</v>
      </c>
      <c r="O321" s="23">
        <f>DATE(YEAR(Table1[[#This Row],[Order_Date]]), MONTH(Table1[[#This Row],[Order_Date]]), 1)</f>
        <v>45505</v>
      </c>
      <c r="Q321" s="5"/>
    </row>
    <row r="322" spans="1:17" x14ac:dyDescent="0.3">
      <c r="A322" t="s">
        <v>491</v>
      </c>
      <c r="B322" s="23" t="s">
        <v>95</v>
      </c>
      <c r="C322" t="s">
        <v>492</v>
      </c>
      <c r="D322" t="s">
        <v>41</v>
      </c>
      <c r="E322" t="s">
        <v>54</v>
      </c>
      <c r="F322" t="s">
        <v>43</v>
      </c>
      <c r="G322">
        <v>40</v>
      </c>
      <c r="H322" s="4">
        <v>30.03</v>
      </c>
      <c r="I322" s="8">
        <v>1201.2</v>
      </c>
      <c r="J322">
        <v>71.97</v>
      </c>
      <c r="K322">
        <v>329.23</v>
      </c>
      <c r="L322" t="s">
        <v>30</v>
      </c>
      <c r="M322" t="s">
        <v>23</v>
      </c>
      <c r="N322" t="s">
        <v>45</v>
      </c>
      <c r="O322" s="23">
        <f>DATE(YEAR(Table1[[#This Row],[Order_Date]]), MONTH(Table1[[#This Row],[Order_Date]]), 1)</f>
        <v>45474</v>
      </c>
      <c r="Q322" s="5"/>
    </row>
    <row r="323" spans="1:17" x14ac:dyDescent="0.3">
      <c r="A323" t="s">
        <v>493</v>
      </c>
      <c r="B323" s="23" t="s">
        <v>39</v>
      </c>
      <c r="C323" t="s">
        <v>117</v>
      </c>
      <c r="D323" t="s">
        <v>101</v>
      </c>
      <c r="E323" t="s">
        <v>54</v>
      </c>
      <c r="F323" t="s">
        <v>43</v>
      </c>
      <c r="G323">
        <v>15</v>
      </c>
      <c r="H323" s="4">
        <v>27.12</v>
      </c>
      <c r="I323" s="8">
        <v>406.8</v>
      </c>
      <c r="J323">
        <v>24.28</v>
      </c>
      <c r="K323">
        <v>82.52</v>
      </c>
      <c r="L323" t="s">
        <v>30</v>
      </c>
      <c r="M323" t="s">
        <v>31</v>
      </c>
      <c r="N323" t="s">
        <v>102</v>
      </c>
      <c r="O323" s="23">
        <f>DATE(YEAR(Table1[[#This Row],[Order_Date]]), MONTH(Table1[[#This Row],[Order_Date]]), 1)</f>
        <v>45566</v>
      </c>
      <c r="Q323" s="5"/>
    </row>
    <row r="324" spans="1:17" x14ac:dyDescent="0.3">
      <c r="A324" t="s">
        <v>494</v>
      </c>
      <c r="B324" s="23" t="s">
        <v>39</v>
      </c>
      <c r="C324" t="s">
        <v>180</v>
      </c>
      <c r="D324" t="s">
        <v>123</v>
      </c>
      <c r="E324" t="s">
        <v>73</v>
      </c>
      <c r="F324" t="s">
        <v>43</v>
      </c>
      <c r="G324">
        <v>35</v>
      </c>
      <c r="H324" s="4">
        <v>18.350000000000001</v>
      </c>
      <c r="I324" s="8">
        <v>642.25</v>
      </c>
      <c r="J324">
        <v>29.35</v>
      </c>
      <c r="K324">
        <v>166.65</v>
      </c>
      <c r="L324" t="s">
        <v>22</v>
      </c>
      <c r="M324" t="s">
        <v>31</v>
      </c>
      <c r="N324" t="s">
        <v>32</v>
      </c>
      <c r="O324" s="23">
        <f>DATE(YEAR(Table1[[#This Row],[Order_Date]]), MONTH(Table1[[#This Row],[Order_Date]]), 1)</f>
        <v>45566</v>
      </c>
      <c r="Q324" s="5"/>
    </row>
    <row r="325" spans="1:17" x14ac:dyDescent="0.3">
      <c r="A325" t="s">
        <v>495</v>
      </c>
      <c r="B325" s="23" t="s">
        <v>56</v>
      </c>
      <c r="C325" t="s">
        <v>429</v>
      </c>
      <c r="D325" t="s">
        <v>101</v>
      </c>
      <c r="E325" t="s">
        <v>20</v>
      </c>
      <c r="F325" t="s">
        <v>21</v>
      </c>
      <c r="G325">
        <v>21</v>
      </c>
      <c r="H325" s="4">
        <v>52.59</v>
      </c>
      <c r="I325" s="8">
        <v>1104.3900000000001</v>
      </c>
      <c r="J325">
        <v>57.06</v>
      </c>
      <c r="K325">
        <v>312.33</v>
      </c>
      <c r="L325" t="s">
        <v>30</v>
      </c>
      <c r="M325" t="s">
        <v>31</v>
      </c>
      <c r="N325" t="s">
        <v>102</v>
      </c>
      <c r="O325" s="23">
        <f>DATE(YEAR(Table1[[#This Row],[Order_Date]]), MONTH(Table1[[#This Row],[Order_Date]]), 1)</f>
        <v>45444</v>
      </c>
      <c r="Q325" s="5"/>
    </row>
    <row r="326" spans="1:17" x14ac:dyDescent="0.3">
      <c r="A326" t="s">
        <v>496</v>
      </c>
      <c r="B326" s="23" t="s">
        <v>68</v>
      </c>
      <c r="C326" t="s">
        <v>383</v>
      </c>
      <c r="D326" t="s">
        <v>63</v>
      </c>
      <c r="E326" t="s">
        <v>98</v>
      </c>
      <c r="F326" t="s">
        <v>59</v>
      </c>
      <c r="G326">
        <v>10</v>
      </c>
      <c r="H326" s="4">
        <v>44.2</v>
      </c>
      <c r="I326" s="8">
        <v>442</v>
      </c>
      <c r="J326">
        <v>18.45</v>
      </c>
      <c r="K326">
        <v>143.55000000000001</v>
      </c>
      <c r="L326" t="s">
        <v>22</v>
      </c>
      <c r="M326" t="s">
        <v>23</v>
      </c>
      <c r="N326" t="s">
        <v>66</v>
      </c>
      <c r="O326" s="23">
        <f>DATE(YEAR(Table1[[#This Row],[Order_Date]]), MONTH(Table1[[#This Row],[Order_Date]]), 1)</f>
        <v>45536</v>
      </c>
      <c r="Q326" s="5"/>
    </row>
    <row r="327" spans="1:17" x14ac:dyDescent="0.3">
      <c r="A327" t="s">
        <v>497</v>
      </c>
      <c r="B327" s="23" t="s">
        <v>78</v>
      </c>
      <c r="C327" t="s">
        <v>228</v>
      </c>
      <c r="D327" t="s">
        <v>63</v>
      </c>
      <c r="E327" t="s">
        <v>20</v>
      </c>
      <c r="F327" t="s">
        <v>21</v>
      </c>
      <c r="G327">
        <v>11</v>
      </c>
      <c r="H327" s="4">
        <v>60.9</v>
      </c>
      <c r="I327" s="8">
        <v>669.9</v>
      </c>
      <c r="J327">
        <v>26.28</v>
      </c>
      <c r="K327">
        <v>258.62</v>
      </c>
      <c r="L327" t="s">
        <v>30</v>
      </c>
      <c r="M327" t="s">
        <v>31</v>
      </c>
      <c r="N327" t="s">
        <v>66</v>
      </c>
      <c r="O327" s="23">
        <f>DATE(YEAR(Table1[[#This Row],[Order_Date]]), MONTH(Table1[[#This Row],[Order_Date]]), 1)</f>
        <v>45627</v>
      </c>
      <c r="Q327" s="5"/>
    </row>
    <row r="328" spans="1:17" x14ac:dyDescent="0.3">
      <c r="A328" t="s">
        <v>498</v>
      </c>
      <c r="B328" s="23" t="s">
        <v>68</v>
      </c>
      <c r="C328" t="s">
        <v>62</v>
      </c>
      <c r="D328" t="s">
        <v>88</v>
      </c>
      <c r="E328" t="s">
        <v>73</v>
      </c>
      <c r="F328" t="s">
        <v>43</v>
      </c>
      <c r="G328">
        <v>26</v>
      </c>
      <c r="H328" s="4">
        <v>22.32</v>
      </c>
      <c r="I328" s="8">
        <v>580.32000000000005</v>
      </c>
      <c r="J328">
        <v>45.08</v>
      </c>
      <c r="K328">
        <v>203.74</v>
      </c>
      <c r="L328" t="s">
        <v>30</v>
      </c>
      <c r="M328" t="s">
        <v>31</v>
      </c>
      <c r="N328" t="s">
        <v>66</v>
      </c>
      <c r="O328" s="23">
        <f>DATE(YEAR(Table1[[#This Row],[Order_Date]]), MONTH(Table1[[#This Row],[Order_Date]]), 1)</f>
        <v>45536</v>
      </c>
      <c r="Q328" s="5"/>
    </row>
    <row r="329" spans="1:17" x14ac:dyDescent="0.3">
      <c r="A329" t="s">
        <v>499</v>
      </c>
      <c r="B329" s="23" t="s">
        <v>17</v>
      </c>
      <c r="C329" t="s">
        <v>280</v>
      </c>
      <c r="D329" t="s">
        <v>63</v>
      </c>
      <c r="E329" t="s">
        <v>98</v>
      </c>
      <c r="F329" t="s">
        <v>59</v>
      </c>
      <c r="G329">
        <v>46</v>
      </c>
      <c r="H329" s="4">
        <v>41.89</v>
      </c>
      <c r="I329" s="8">
        <v>1926.94</v>
      </c>
      <c r="J329">
        <v>97.39</v>
      </c>
      <c r="K329">
        <v>541.54999999999995</v>
      </c>
      <c r="L329" t="s">
        <v>22</v>
      </c>
      <c r="M329" t="s">
        <v>37</v>
      </c>
      <c r="N329" t="s">
        <v>66</v>
      </c>
      <c r="O329" s="23">
        <f>DATE(YEAR(Table1[[#This Row],[Order_Date]]), MONTH(Table1[[#This Row],[Order_Date]]), 1)</f>
        <v>45658</v>
      </c>
      <c r="Q329" s="5"/>
    </row>
    <row r="330" spans="1:17" x14ac:dyDescent="0.3">
      <c r="A330" t="s">
        <v>500</v>
      </c>
      <c r="B330" s="23" t="s">
        <v>39</v>
      </c>
      <c r="C330" t="s">
        <v>192</v>
      </c>
      <c r="D330" t="s">
        <v>28</v>
      </c>
      <c r="E330" t="s">
        <v>73</v>
      </c>
      <c r="F330" t="s">
        <v>43</v>
      </c>
      <c r="G330">
        <v>43</v>
      </c>
      <c r="H330" s="4">
        <v>21.24</v>
      </c>
      <c r="I330" s="8">
        <v>913.32</v>
      </c>
      <c r="J330">
        <v>50.32</v>
      </c>
      <c r="K330">
        <v>314.75</v>
      </c>
      <c r="L330" t="s">
        <v>30</v>
      </c>
      <c r="M330" t="s">
        <v>23</v>
      </c>
      <c r="N330" t="s">
        <v>32</v>
      </c>
      <c r="O330" s="23">
        <f>DATE(YEAR(Table1[[#This Row],[Order_Date]]), MONTH(Table1[[#This Row],[Order_Date]]), 1)</f>
        <v>45566</v>
      </c>
      <c r="Q330" s="5"/>
    </row>
    <row r="331" spans="1:17" x14ac:dyDescent="0.3">
      <c r="A331" t="s">
        <v>501</v>
      </c>
      <c r="B331" s="23" t="s">
        <v>86</v>
      </c>
      <c r="C331" t="s">
        <v>502</v>
      </c>
      <c r="D331" t="s">
        <v>170</v>
      </c>
      <c r="E331" t="s">
        <v>58</v>
      </c>
      <c r="F331" t="s">
        <v>59</v>
      </c>
      <c r="G331">
        <v>28</v>
      </c>
      <c r="H331" s="4">
        <v>33.700000000000003</v>
      </c>
      <c r="I331" s="8">
        <v>943.6</v>
      </c>
      <c r="J331">
        <v>20.170000000000002</v>
      </c>
      <c r="K331">
        <v>293.43</v>
      </c>
      <c r="L331" t="s">
        <v>22</v>
      </c>
      <c r="M331" t="s">
        <v>31</v>
      </c>
      <c r="N331" t="s">
        <v>32</v>
      </c>
      <c r="O331" s="23">
        <f>DATE(YEAR(Table1[[#This Row],[Order_Date]]), MONTH(Table1[[#This Row],[Order_Date]]), 1)</f>
        <v>45352</v>
      </c>
      <c r="Q331" s="5"/>
    </row>
    <row r="332" spans="1:17" x14ac:dyDescent="0.3">
      <c r="A332" t="s">
        <v>503</v>
      </c>
      <c r="B332" s="23" t="s">
        <v>71</v>
      </c>
      <c r="C332" t="s">
        <v>230</v>
      </c>
      <c r="D332" t="s">
        <v>196</v>
      </c>
      <c r="E332" t="s">
        <v>20</v>
      </c>
      <c r="F332" t="s">
        <v>21</v>
      </c>
      <c r="G332">
        <v>41</v>
      </c>
      <c r="H332" s="4">
        <v>42.74</v>
      </c>
      <c r="I332" s="8">
        <v>1752.34</v>
      </c>
      <c r="J332">
        <v>92.09</v>
      </c>
      <c r="K332">
        <v>225.25</v>
      </c>
      <c r="L332" t="s">
        <v>44</v>
      </c>
      <c r="M332" t="s">
        <v>23</v>
      </c>
      <c r="N332" t="s">
        <v>66</v>
      </c>
      <c r="O332" s="23">
        <f>DATE(YEAR(Table1[[#This Row],[Order_Date]]), MONTH(Table1[[#This Row],[Order_Date]]), 1)</f>
        <v>45505</v>
      </c>
      <c r="Q332" s="5"/>
    </row>
    <row r="333" spans="1:17" x14ac:dyDescent="0.3">
      <c r="A333" t="s">
        <v>504</v>
      </c>
      <c r="B333" s="23" t="s">
        <v>68</v>
      </c>
      <c r="C333" t="s">
        <v>429</v>
      </c>
      <c r="D333" t="s">
        <v>28</v>
      </c>
      <c r="E333" t="s">
        <v>54</v>
      </c>
      <c r="F333" t="s">
        <v>43</v>
      </c>
      <c r="G333">
        <v>24</v>
      </c>
      <c r="H333" s="4">
        <v>30.18</v>
      </c>
      <c r="I333" s="8">
        <v>724.32</v>
      </c>
      <c r="J333">
        <v>44.97</v>
      </c>
      <c r="K333">
        <v>199.35</v>
      </c>
      <c r="L333" t="s">
        <v>22</v>
      </c>
      <c r="M333" t="s">
        <v>23</v>
      </c>
      <c r="N333" t="s">
        <v>32</v>
      </c>
      <c r="O333" s="23">
        <f>DATE(YEAR(Table1[[#This Row],[Order_Date]]), MONTH(Table1[[#This Row],[Order_Date]]), 1)</f>
        <v>45536</v>
      </c>
      <c r="Q333" s="5"/>
    </row>
    <row r="334" spans="1:17" x14ac:dyDescent="0.3">
      <c r="A334" t="s">
        <v>505</v>
      </c>
      <c r="B334" s="23" t="s">
        <v>26</v>
      </c>
      <c r="C334" t="s">
        <v>127</v>
      </c>
      <c r="D334" t="s">
        <v>91</v>
      </c>
      <c r="E334" t="s">
        <v>69</v>
      </c>
      <c r="F334" t="s">
        <v>59</v>
      </c>
      <c r="G334">
        <v>44</v>
      </c>
      <c r="H334" s="4">
        <v>20.02</v>
      </c>
      <c r="I334" s="8">
        <v>880.88</v>
      </c>
      <c r="J334">
        <v>60.27</v>
      </c>
      <c r="K334">
        <v>138.61000000000001</v>
      </c>
      <c r="L334" t="s">
        <v>30</v>
      </c>
      <c r="M334" t="s">
        <v>31</v>
      </c>
      <c r="N334" t="s">
        <v>66</v>
      </c>
      <c r="O334" s="23">
        <f>DATE(YEAR(Table1[[#This Row],[Order_Date]]), MONTH(Table1[[#This Row],[Order_Date]]), 1)</f>
        <v>45689</v>
      </c>
      <c r="Q334" s="5"/>
    </row>
    <row r="335" spans="1:17" x14ac:dyDescent="0.3">
      <c r="A335" t="s">
        <v>506</v>
      </c>
      <c r="B335" s="23" t="s">
        <v>71</v>
      </c>
      <c r="C335" t="s">
        <v>125</v>
      </c>
      <c r="D335" t="s">
        <v>28</v>
      </c>
      <c r="E335" t="s">
        <v>54</v>
      </c>
      <c r="F335" t="s">
        <v>43</v>
      </c>
      <c r="G335">
        <v>12</v>
      </c>
      <c r="H335" s="4">
        <v>27.45</v>
      </c>
      <c r="I335" s="8">
        <v>329.4</v>
      </c>
      <c r="J335">
        <v>13.22</v>
      </c>
      <c r="K335">
        <v>76.180000000000007</v>
      </c>
      <c r="L335" t="s">
        <v>44</v>
      </c>
      <c r="M335" t="s">
        <v>37</v>
      </c>
      <c r="N335" t="s">
        <v>32</v>
      </c>
      <c r="O335" s="23">
        <f>DATE(YEAR(Table1[[#This Row],[Order_Date]]), MONTH(Table1[[#This Row],[Order_Date]]), 1)</f>
        <v>45505</v>
      </c>
      <c r="Q335" s="5"/>
    </row>
    <row r="336" spans="1:17" x14ac:dyDescent="0.3">
      <c r="A336" t="s">
        <v>507</v>
      </c>
      <c r="B336" s="23" t="s">
        <v>132</v>
      </c>
      <c r="C336" t="s">
        <v>105</v>
      </c>
      <c r="D336" t="s">
        <v>101</v>
      </c>
      <c r="E336" t="s">
        <v>54</v>
      </c>
      <c r="F336" t="s">
        <v>43</v>
      </c>
      <c r="G336">
        <v>26</v>
      </c>
      <c r="H336" s="4">
        <v>30.57</v>
      </c>
      <c r="I336" s="8">
        <v>794.82</v>
      </c>
      <c r="J336">
        <v>19.45</v>
      </c>
      <c r="K336">
        <v>255.37</v>
      </c>
      <c r="L336" t="s">
        <v>44</v>
      </c>
      <c r="M336" t="s">
        <v>31</v>
      </c>
      <c r="N336" t="s">
        <v>102</v>
      </c>
      <c r="O336" s="23">
        <f>DATE(YEAR(Table1[[#This Row],[Order_Date]]), MONTH(Table1[[#This Row],[Order_Date]]), 1)</f>
        <v>45597</v>
      </c>
      <c r="Q336" s="5"/>
    </row>
    <row r="337" spans="1:17" x14ac:dyDescent="0.3">
      <c r="A337" t="s">
        <v>508</v>
      </c>
      <c r="B337" s="23" t="s">
        <v>68</v>
      </c>
      <c r="C337" t="s">
        <v>133</v>
      </c>
      <c r="D337" t="s">
        <v>91</v>
      </c>
      <c r="E337" t="s">
        <v>64</v>
      </c>
      <c r="F337" t="s">
        <v>65</v>
      </c>
      <c r="G337">
        <v>46</v>
      </c>
      <c r="H337" s="4">
        <v>32.19</v>
      </c>
      <c r="I337" s="8">
        <v>1480.74</v>
      </c>
      <c r="J337">
        <v>111.13</v>
      </c>
      <c r="K337">
        <v>219.61</v>
      </c>
      <c r="L337" t="s">
        <v>44</v>
      </c>
      <c r="M337" t="s">
        <v>31</v>
      </c>
      <c r="N337" t="s">
        <v>66</v>
      </c>
      <c r="O337" s="23">
        <f>DATE(YEAR(Table1[[#This Row],[Order_Date]]), MONTH(Table1[[#This Row],[Order_Date]]), 1)</f>
        <v>45536</v>
      </c>
      <c r="Q337" s="5"/>
    </row>
    <row r="338" spans="1:17" x14ac:dyDescent="0.3">
      <c r="A338" t="s">
        <v>509</v>
      </c>
      <c r="B338" s="23" t="s">
        <v>104</v>
      </c>
      <c r="C338" t="s">
        <v>100</v>
      </c>
      <c r="D338" t="s">
        <v>81</v>
      </c>
      <c r="E338" t="s">
        <v>29</v>
      </c>
      <c r="F338" t="s">
        <v>21</v>
      </c>
      <c r="G338">
        <v>20</v>
      </c>
      <c r="H338" s="4">
        <v>31.79</v>
      </c>
      <c r="I338" s="8">
        <v>635.79999999999995</v>
      </c>
      <c r="J338">
        <v>38.43</v>
      </c>
      <c r="K338">
        <v>237.37</v>
      </c>
      <c r="L338" t="s">
        <v>22</v>
      </c>
      <c r="M338" t="s">
        <v>31</v>
      </c>
      <c r="N338" t="s">
        <v>66</v>
      </c>
      <c r="O338" s="23">
        <f>DATE(YEAR(Table1[[#This Row],[Order_Date]]), MONTH(Table1[[#This Row],[Order_Date]]), 1)</f>
        <v>45717</v>
      </c>
      <c r="Q338" s="5"/>
    </row>
    <row r="339" spans="1:17" x14ac:dyDescent="0.3">
      <c r="A339" t="s">
        <v>510</v>
      </c>
      <c r="B339" s="23" t="s">
        <v>104</v>
      </c>
      <c r="C339" t="s">
        <v>18</v>
      </c>
      <c r="D339" t="s">
        <v>147</v>
      </c>
      <c r="E339" t="s">
        <v>29</v>
      </c>
      <c r="F339" t="s">
        <v>21</v>
      </c>
      <c r="G339">
        <v>8</v>
      </c>
      <c r="H339" s="4">
        <v>28.94</v>
      </c>
      <c r="I339" s="8">
        <v>231.52</v>
      </c>
      <c r="J339">
        <v>7</v>
      </c>
      <c r="K339">
        <v>80.52</v>
      </c>
      <c r="L339" t="s">
        <v>44</v>
      </c>
      <c r="M339" t="s">
        <v>31</v>
      </c>
      <c r="N339" t="s">
        <v>148</v>
      </c>
      <c r="O339" s="23">
        <f>DATE(YEAR(Table1[[#This Row],[Order_Date]]), MONTH(Table1[[#This Row],[Order_Date]]), 1)</f>
        <v>45717</v>
      </c>
      <c r="Q339" s="5"/>
    </row>
    <row r="340" spans="1:17" x14ac:dyDescent="0.3">
      <c r="A340" t="s">
        <v>511</v>
      </c>
      <c r="B340" s="23" t="s">
        <v>39</v>
      </c>
      <c r="C340" t="s">
        <v>230</v>
      </c>
      <c r="D340" t="s">
        <v>123</v>
      </c>
      <c r="E340" t="s">
        <v>29</v>
      </c>
      <c r="F340" t="s">
        <v>21</v>
      </c>
      <c r="G340">
        <v>40</v>
      </c>
      <c r="H340" s="4">
        <v>30.66</v>
      </c>
      <c r="I340" s="8">
        <v>1226.4000000000001</v>
      </c>
      <c r="J340">
        <v>85.24</v>
      </c>
      <c r="K340">
        <v>421.16</v>
      </c>
      <c r="L340" t="s">
        <v>22</v>
      </c>
      <c r="M340" t="s">
        <v>23</v>
      </c>
      <c r="N340" t="s">
        <v>32</v>
      </c>
      <c r="O340" s="23">
        <f>DATE(YEAR(Table1[[#This Row],[Order_Date]]), MONTH(Table1[[#This Row],[Order_Date]]), 1)</f>
        <v>45566</v>
      </c>
      <c r="Q340" s="5"/>
    </row>
    <row r="341" spans="1:17" x14ac:dyDescent="0.3">
      <c r="A341" t="s">
        <v>512</v>
      </c>
      <c r="B341" s="23" t="s">
        <v>104</v>
      </c>
      <c r="C341" t="s">
        <v>361</v>
      </c>
      <c r="D341" t="s">
        <v>147</v>
      </c>
      <c r="E341" t="s">
        <v>42</v>
      </c>
      <c r="F341" t="s">
        <v>43</v>
      </c>
      <c r="G341">
        <v>44</v>
      </c>
      <c r="H341" s="4">
        <v>54.09</v>
      </c>
      <c r="I341" s="8">
        <v>2379.96</v>
      </c>
      <c r="J341">
        <v>106.39</v>
      </c>
      <c r="K341">
        <v>865.57</v>
      </c>
      <c r="L341" t="s">
        <v>22</v>
      </c>
      <c r="M341" t="s">
        <v>31</v>
      </c>
      <c r="N341" t="s">
        <v>148</v>
      </c>
      <c r="O341" s="23">
        <f>DATE(YEAR(Table1[[#This Row],[Order_Date]]), MONTH(Table1[[#This Row],[Order_Date]]), 1)</f>
        <v>45717</v>
      </c>
      <c r="Q341" s="5"/>
    </row>
    <row r="342" spans="1:17" x14ac:dyDescent="0.3">
      <c r="A342" t="s">
        <v>513</v>
      </c>
      <c r="B342" s="23" t="s">
        <v>26</v>
      </c>
      <c r="C342" t="s">
        <v>127</v>
      </c>
      <c r="D342" t="s">
        <v>81</v>
      </c>
      <c r="E342" t="s">
        <v>49</v>
      </c>
      <c r="F342" t="s">
        <v>50</v>
      </c>
      <c r="G342">
        <v>32</v>
      </c>
      <c r="H342" s="4">
        <v>68.89</v>
      </c>
      <c r="I342" s="8">
        <v>2204.48</v>
      </c>
      <c r="J342">
        <v>152.05000000000001</v>
      </c>
      <c r="K342">
        <v>772.43</v>
      </c>
      <c r="L342" t="s">
        <v>22</v>
      </c>
      <c r="M342" t="s">
        <v>31</v>
      </c>
      <c r="N342" t="s">
        <v>66</v>
      </c>
      <c r="O342" s="23">
        <f>DATE(YEAR(Table1[[#This Row],[Order_Date]]), MONTH(Table1[[#This Row],[Order_Date]]), 1)</f>
        <v>45689</v>
      </c>
      <c r="Q342" s="5"/>
    </row>
    <row r="343" spans="1:17" x14ac:dyDescent="0.3">
      <c r="A343" t="s">
        <v>514</v>
      </c>
      <c r="B343" s="23" t="s">
        <v>107</v>
      </c>
      <c r="C343" t="s">
        <v>484</v>
      </c>
      <c r="D343" t="s">
        <v>196</v>
      </c>
      <c r="E343" t="s">
        <v>20</v>
      </c>
      <c r="F343" t="s">
        <v>21</v>
      </c>
      <c r="G343">
        <v>44</v>
      </c>
      <c r="H343" s="4">
        <v>43.35</v>
      </c>
      <c r="I343" s="8">
        <v>1907.4</v>
      </c>
      <c r="J343">
        <v>99.05</v>
      </c>
      <c r="K343">
        <v>268.35000000000002</v>
      </c>
      <c r="L343" t="s">
        <v>44</v>
      </c>
      <c r="M343" t="s">
        <v>31</v>
      </c>
      <c r="N343" t="s">
        <v>66</v>
      </c>
      <c r="O343" s="23">
        <f>DATE(YEAR(Table1[[#This Row],[Order_Date]]), MONTH(Table1[[#This Row],[Order_Date]]), 1)</f>
        <v>45413</v>
      </c>
      <c r="Q343" s="5"/>
    </row>
    <row r="344" spans="1:17" x14ac:dyDescent="0.3">
      <c r="A344" t="s">
        <v>515</v>
      </c>
      <c r="B344" s="23" t="s">
        <v>95</v>
      </c>
      <c r="C344" t="s">
        <v>27</v>
      </c>
      <c r="D344" t="s">
        <v>53</v>
      </c>
      <c r="E344" t="s">
        <v>98</v>
      </c>
      <c r="F344" t="s">
        <v>59</v>
      </c>
      <c r="G344">
        <v>24</v>
      </c>
      <c r="H344" s="4">
        <v>34</v>
      </c>
      <c r="I344" s="8">
        <v>816</v>
      </c>
      <c r="J344">
        <v>42.15</v>
      </c>
      <c r="K344">
        <v>101.85</v>
      </c>
      <c r="L344" t="s">
        <v>44</v>
      </c>
      <c r="M344" t="s">
        <v>23</v>
      </c>
      <c r="N344" t="s">
        <v>24</v>
      </c>
      <c r="O344" s="23">
        <f>DATE(YEAR(Table1[[#This Row],[Order_Date]]), MONTH(Table1[[#This Row],[Order_Date]]), 1)</f>
        <v>45474</v>
      </c>
      <c r="Q344" s="5"/>
    </row>
    <row r="345" spans="1:17" x14ac:dyDescent="0.3">
      <c r="A345" t="s">
        <v>516</v>
      </c>
      <c r="B345" s="23" t="s">
        <v>83</v>
      </c>
      <c r="C345" t="s">
        <v>168</v>
      </c>
      <c r="D345" t="s">
        <v>63</v>
      </c>
      <c r="E345" t="s">
        <v>29</v>
      </c>
      <c r="F345" t="s">
        <v>21</v>
      </c>
      <c r="G345">
        <v>41</v>
      </c>
      <c r="H345" s="4">
        <v>30.25</v>
      </c>
      <c r="I345" s="8">
        <v>1240.25</v>
      </c>
      <c r="J345">
        <v>92.86</v>
      </c>
      <c r="K345">
        <v>409.39</v>
      </c>
      <c r="L345" t="s">
        <v>22</v>
      </c>
      <c r="M345" t="s">
        <v>23</v>
      </c>
      <c r="N345" t="s">
        <v>66</v>
      </c>
      <c r="O345" s="23">
        <f>DATE(YEAR(Table1[[#This Row],[Order_Date]]), MONTH(Table1[[#This Row],[Order_Date]]), 1)</f>
        <v>45323</v>
      </c>
      <c r="Q345" s="5"/>
    </row>
    <row r="346" spans="1:17" x14ac:dyDescent="0.3">
      <c r="A346" t="s">
        <v>517</v>
      </c>
      <c r="B346" s="23" t="s">
        <v>104</v>
      </c>
      <c r="C346" t="s">
        <v>18</v>
      </c>
      <c r="D346" t="s">
        <v>101</v>
      </c>
      <c r="E346" t="s">
        <v>69</v>
      </c>
      <c r="F346" t="s">
        <v>59</v>
      </c>
      <c r="G346">
        <v>15</v>
      </c>
      <c r="H346" s="4">
        <v>23.71</v>
      </c>
      <c r="I346" s="8">
        <v>355.65</v>
      </c>
      <c r="J346">
        <v>7.22</v>
      </c>
      <c r="K346">
        <v>115.93</v>
      </c>
      <c r="L346" t="s">
        <v>30</v>
      </c>
      <c r="M346" t="s">
        <v>31</v>
      </c>
      <c r="N346" t="s">
        <v>102</v>
      </c>
      <c r="O346" s="23">
        <f>DATE(YEAR(Table1[[#This Row],[Order_Date]]), MONTH(Table1[[#This Row],[Order_Date]]), 1)</f>
        <v>45717</v>
      </c>
      <c r="Q346" s="5"/>
    </row>
    <row r="347" spans="1:17" x14ac:dyDescent="0.3">
      <c r="A347" t="s">
        <v>518</v>
      </c>
      <c r="B347" s="23" t="s">
        <v>71</v>
      </c>
      <c r="C347" t="s">
        <v>141</v>
      </c>
      <c r="D347" t="s">
        <v>81</v>
      </c>
      <c r="E347" t="s">
        <v>42</v>
      </c>
      <c r="F347" t="s">
        <v>43</v>
      </c>
      <c r="G347">
        <v>33</v>
      </c>
      <c r="H347" s="4">
        <v>48.64</v>
      </c>
      <c r="I347" s="8">
        <v>1605.12</v>
      </c>
      <c r="J347">
        <v>98.71</v>
      </c>
      <c r="K347">
        <v>450.41</v>
      </c>
      <c r="L347" t="s">
        <v>22</v>
      </c>
      <c r="M347" t="s">
        <v>31</v>
      </c>
      <c r="N347" t="s">
        <v>66</v>
      </c>
      <c r="O347" s="23">
        <f>DATE(YEAR(Table1[[#This Row],[Order_Date]]), MONTH(Table1[[#This Row],[Order_Date]]), 1)</f>
        <v>45505</v>
      </c>
      <c r="Q347" s="5"/>
    </row>
    <row r="348" spans="1:17" x14ac:dyDescent="0.3">
      <c r="A348" t="s">
        <v>519</v>
      </c>
      <c r="B348" s="23" t="s">
        <v>34</v>
      </c>
      <c r="C348" t="s">
        <v>40</v>
      </c>
      <c r="D348" t="s">
        <v>170</v>
      </c>
      <c r="E348" t="s">
        <v>20</v>
      </c>
      <c r="F348" t="s">
        <v>21</v>
      </c>
      <c r="G348">
        <v>7</v>
      </c>
      <c r="H348" s="4">
        <v>50.94</v>
      </c>
      <c r="I348" s="8">
        <v>356.58</v>
      </c>
      <c r="J348">
        <v>11.19</v>
      </c>
      <c r="K348">
        <v>100.39</v>
      </c>
      <c r="L348" t="s">
        <v>30</v>
      </c>
      <c r="M348" t="s">
        <v>23</v>
      </c>
      <c r="N348" t="s">
        <v>32</v>
      </c>
      <c r="O348" s="23">
        <f>DATE(YEAR(Table1[[#This Row],[Order_Date]]), MONTH(Table1[[#This Row],[Order_Date]]), 1)</f>
        <v>45383</v>
      </c>
      <c r="Q348" s="5"/>
    </row>
    <row r="349" spans="1:17" x14ac:dyDescent="0.3">
      <c r="A349" t="s">
        <v>520</v>
      </c>
      <c r="B349" s="23" t="s">
        <v>17</v>
      </c>
      <c r="C349" t="s">
        <v>223</v>
      </c>
      <c r="D349" t="s">
        <v>147</v>
      </c>
      <c r="E349" t="s">
        <v>54</v>
      </c>
      <c r="F349" t="s">
        <v>43</v>
      </c>
      <c r="G349">
        <v>1</v>
      </c>
      <c r="H349" s="4">
        <v>31.4</v>
      </c>
      <c r="I349" s="8">
        <v>31.4</v>
      </c>
      <c r="J349">
        <v>1.1399999999999999</v>
      </c>
      <c r="K349">
        <v>10.26</v>
      </c>
      <c r="L349" t="s">
        <v>44</v>
      </c>
      <c r="M349" t="s">
        <v>31</v>
      </c>
      <c r="N349" t="s">
        <v>148</v>
      </c>
      <c r="O349" s="23">
        <f>DATE(YEAR(Table1[[#This Row],[Order_Date]]), MONTH(Table1[[#This Row],[Order_Date]]), 1)</f>
        <v>45658</v>
      </c>
      <c r="Q349" s="5"/>
    </row>
    <row r="350" spans="1:17" x14ac:dyDescent="0.3">
      <c r="A350" t="s">
        <v>521</v>
      </c>
      <c r="B350" s="23" t="s">
        <v>95</v>
      </c>
      <c r="C350" t="s">
        <v>218</v>
      </c>
      <c r="D350" t="s">
        <v>36</v>
      </c>
      <c r="E350" t="s">
        <v>73</v>
      </c>
      <c r="F350" t="s">
        <v>43</v>
      </c>
      <c r="G350">
        <v>28</v>
      </c>
      <c r="H350" s="4">
        <v>18.59</v>
      </c>
      <c r="I350" s="8">
        <v>520.52</v>
      </c>
      <c r="J350">
        <v>14.08</v>
      </c>
      <c r="K350">
        <v>149.44</v>
      </c>
      <c r="L350" t="s">
        <v>22</v>
      </c>
      <c r="M350" t="s">
        <v>23</v>
      </c>
      <c r="N350" t="s">
        <v>32</v>
      </c>
      <c r="O350" s="23">
        <f>DATE(YEAR(Table1[[#This Row],[Order_Date]]), MONTH(Table1[[#This Row],[Order_Date]]), 1)</f>
        <v>45474</v>
      </c>
      <c r="Q350" s="5"/>
    </row>
    <row r="351" spans="1:17" x14ac:dyDescent="0.3">
      <c r="A351" t="s">
        <v>522</v>
      </c>
      <c r="B351" s="23" t="s">
        <v>104</v>
      </c>
      <c r="C351" t="s">
        <v>523</v>
      </c>
      <c r="D351" t="s">
        <v>123</v>
      </c>
      <c r="E351" t="s">
        <v>69</v>
      </c>
      <c r="F351" t="s">
        <v>59</v>
      </c>
      <c r="G351">
        <v>50</v>
      </c>
      <c r="H351" s="4">
        <v>20.66</v>
      </c>
      <c r="I351" s="8">
        <v>1033</v>
      </c>
      <c r="J351">
        <v>34.130000000000003</v>
      </c>
      <c r="K351">
        <v>223.87</v>
      </c>
      <c r="L351" t="s">
        <v>44</v>
      </c>
      <c r="M351" t="s">
        <v>31</v>
      </c>
      <c r="N351" t="s">
        <v>32</v>
      </c>
      <c r="O351" s="23">
        <f>DATE(YEAR(Table1[[#This Row],[Order_Date]]), MONTH(Table1[[#This Row],[Order_Date]]), 1)</f>
        <v>45717</v>
      </c>
      <c r="Q351" s="5"/>
    </row>
    <row r="352" spans="1:17" x14ac:dyDescent="0.3">
      <c r="A352" t="s">
        <v>524</v>
      </c>
      <c r="B352" s="23" t="s">
        <v>17</v>
      </c>
      <c r="C352" t="s">
        <v>175</v>
      </c>
      <c r="D352" t="s">
        <v>63</v>
      </c>
      <c r="E352" t="s">
        <v>20</v>
      </c>
      <c r="F352" t="s">
        <v>21</v>
      </c>
      <c r="G352">
        <v>4</v>
      </c>
      <c r="H352" s="4">
        <v>46.62</v>
      </c>
      <c r="I352" s="8">
        <v>186.48</v>
      </c>
      <c r="J352">
        <v>13.29</v>
      </c>
      <c r="K352">
        <v>33.19</v>
      </c>
      <c r="L352" t="s">
        <v>30</v>
      </c>
      <c r="M352" t="s">
        <v>23</v>
      </c>
      <c r="N352" t="s">
        <v>66</v>
      </c>
      <c r="O352" s="23">
        <f>DATE(YEAR(Table1[[#This Row],[Order_Date]]), MONTH(Table1[[#This Row],[Order_Date]]), 1)</f>
        <v>45658</v>
      </c>
      <c r="Q352" s="5"/>
    </row>
    <row r="353" spans="1:17" x14ac:dyDescent="0.3">
      <c r="A353" t="s">
        <v>525</v>
      </c>
      <c r="B353" s="23" t="s">
        <v>17</v>
      </c>
      <c r="C353" t="s">
        <v>484</v>
      </c>
      <c r="D353" t="s">
        <v>101</v>
      </c>
      <c r="E353" t="s">
        <v>69</v>
      </c>
      <c r="F353" t="s">
        <v>59</v>
      </c>
      <c r="G353">
        <v>37</v>
      </c>
      <c r="H353" s="4">
        <v>21.81</v>
      </c>
      <c r="I353" s="8">
        <v>806.97</v>
      </c>
      <c r="J353">
        <v>19.63</v>
      </c>
      <c r="K353">
        <v>213.84</v>
      </c>
      <c r="L353" t="s">
        <v>44</v>
      </c>
      <c r="M353" t="s">
        <v>37</v>
      </c>
      <c r="N353" t="s">
        <v>102</v>
      </c>
      <c r="O353" s="23">
        <f>DATE(YEAR(Table1[[#This Row],[Order_Date]]), MONTH(Table1[[#This Row],[Order_Date]]), 1)</f>
        <v>45658</v>
      </c>
      <c r="Q353" s="5"/>
    </row>
    <row r="354" spans="1:17" x14ac:dyDescent="0.3">
      <c r="A354" t="s">
        <v>526</v>
      </c>
      <c r="B354" s="23" t="s">
        <v>34</v>
      </c>
      <c r="C354" t="s">
        <v>153</v>
      </c>
      <c r="D354" t="s">
        <v>63</v>
      </c>
      <c r="E354" t="s">
        <v>69</v>
      </c>
      <c r="F354" t="s">
        <v>59</v>
      </c>
      <c r="G354">
        <v>48</v>
      </c>
      <c r="H354" s="4">
        <v>26.68</v>
      </c>
      <c r="I354" s="8">
        <v>1280.6400000000001</v>
      </c>
      <c r="J354">
        <v>55.36</v>
      </c>
      <c r="K354">
        <v>481.28</v>
      </c>
      <c r="L354" t="s">
        <v>22</v>
      </c>
      <c r="M354" t="s">
        <v>31</v>
      </c>
      <c r="N354" t="s">
        <v>66</v>
      </c>
      <c r="O354" s="23">
        <f>DATE(YEAR(Table1[[#This Row],[Order_Date]]), MONTH(Table1[[#This Row],[Order_Date]]), 1)</f>
        <v>45383</v>
      </c>
      <c r="Q354" s="5"/>
    </row>
    <row r="355" spans="1:17" x14ac:dyDescent="0.3">
      <c r="A355" t="s">
        <v>527</v>
      </c>
      <c r="B355" s="23" t="s">
        <v>61</v>
      </c>
      <c r="C355" t="s">
        <v>137</v>
      </c>
      <c r="D355" t="s">
        <v>41</v>
      </c>
      <c r="E355" t="s">
        <v>64</v>
      </c>
      <c r="F355" t="s">
        <v>65</v>
      </c>
      <c r="G355">
        <v>24</v>
      </c>
      <c r="H355" s="4">
        <v>42.82</v>
      </c>
      <c r="I355" s="8">
        <v>1027.68</v>
      </c>
      <c r="J355">
        <v>69.95</v>
      </c>
      <c r="K355">
        <v>357.73</v>
      </c>
      <c r="L355" t="s">
        <v>22</v>
      </c>
      <c r="M355" t="s">
        <v>23</v>
      </c>
      <c r="N355" t="s">
        <v>45</v>
      </c>
      <c r="O355" s="23">
        <f>DATE(YEAR(Table1[[#This Row],[Order_Date]]), MONTH(Table1[[#This Row],[Order_Date]]), 1)</f>
        <v>45778</v>
      </c>
      <c r="Q355" s="5"/>
    </row>
    <row r="356" spans="1:17" x14ac:dyDescent="0.3">
      <c r="A356" t="s">
        <v>528</v>
      </c>
      <c r="B356" s="23" t="s">
        <v>17</v>
      </c>
      <c r="C356" t="s">
        <v>139</v>
      </c>
      <c r="D356" t="s">
        <v>147</v>
      </c>
      <c r="E356" t="s">
        <v>58</v>
      </c>
      <c r="F356" t="s">
        <v>59</v>
      </c>
      <c r="G356">
        <v>26</v>
      </c>
      <c r="H356" s="4">
        <v>34.4</v>
      </c>
      <c r="I356" s="8">
        <v>894.4</v>
      </c>
      <c r="J356">
        <v>40.42</v>
      </c>
      <c r="K356">
        <v>268.98</v>
      </c>
      <c r="L356" t="s">
        <v>22</v>
      </c>
      <c r="M356" t="s">
        <v>23</v>
      </c>
      <c r="N356" t="s">
        <v>148</v>
      </c>
      <c r="O356" s="23">
        <f>DATE(YEAR(Table1[[#This Row],[Order_Date]]), MONTH(Table1[[#This Row],[Order_Date]]), 1)</f>
        <v>45658</v>
      </c>
      <c r="Q356" s="5"/>
    </row>
    <row r="357" spans="1:17" x14ac:dyDescent="0.3">
      <c r="A357" t="s">
        <v>529</v>
      </c>
      <c r="B357" s="23" t="s">
        <v>56</v>
      </c>
      <c r="C357" t="s">
        <v>221</v>
      </c>
      <c r="D357" t="s">
        <v>36</v>
      </c>
      <c r="E357" t="s">
        <v>20</v>
      </c>
      <c r="F357" t="s">
        <v>21</v>
      </c>
      <c r="G357">
        <v>47</v>
      </c>
      <c r="H357" s="4">
        <v>44.89</v>
      </c>
      <c r="I357" s="8">
        <v>2109.83</v>
      </c>
      <c r="J357">
        <v>45.91</v>
      </c>
      <c r="K357">
        <v>418.92</v>
      </c>
      <c r="L357" t="s">
        <v>22</v>
      </c>
      <c r="M357" t="s">
        <v>31</v>
      </c>
      <c r="N357" t="s">
        <v>32</v>
      </c>
      <c r="O357" s="23">
        <f>DATE(YEAR(Table1[[#This Row],[Order_Date]]), MONTH(Table1[[#This Row],[Order_Date]]), 1)</f>
        <v>45444</v>
      </c>
      <c r="Q357" s="5"/>
    </row>
    <row r="358" spans="1:17" x14ac:dyDescent="0.3">
      <c r="A358" t="s">
        <v>530</v>
      </c>
      <c r="B358" s="23" t="s">
        <v>78</v>
      </c>
      <c r="C358" t="s">
        <v>198</v>
      </c>
      <c r="D358" t="s">
        <v>63</v>
      </c>
      <c r="E358" t="s">
        <v>69</v>
      </c>
      <c r="F358" t="s">
        <v>59</v>
      </c>
      <c r="G358">
        <v>1</v>
      </c>
      <c r="H358" s="4">
        <v>18.739999999999998</v>
      </c>
      <c r="I358" s="8">
        <v>18.739999999999998</v>
      </c>
      <c r="J358">
        <v>0.5</v>
      </c>
      <c r="K358">
        <v>2.74</v>
      </c>
      <c r="L358" t="s">
        <v>44</v>
      </c>
      <c r="M358" t="s">
        <v>31</v>
      </c>
      <c r="N358" t="s">
        <v>66</v>
      </c>
      <c r="O358" s="23">
        <f>DATE(YEAR(Table1[[#This Row],[Order_Date]]), MONTH(Table1[[#This Row],[Order_Date]]), 1)</f>
        <v>45627</v>
      </c>
      <c r="Q358" s="5"/>
    </row>
    <row r="359" spans="1:17" x14ac:dyDescent="0.3">
      <c r="A359" t="s">
        <v>531</v>
      </c>
      <c r="B359" s="23" t="s">
        <v>78</v>
      </c>
      <c r="C359" t="s">
        <v>189</v>
      </c>
      <c r="D359" t="s">
        <v>81</v>
      </c>
      <c r="E359" t="s">
        <v>58</v>
      </c>
      <c r="F359" t="s">
        <v>59</v>
      </c>
      <c r="G359">
        <v>27</v>
      </c>
      <c r="H359" s="4">
        <v>36.270000000000003</v>
      </c>
      <c r="I359" s="8">
        <v>979.29</v>
      </c>
      <c r="J359">
        <v>54.58</v>
      </c>
      <c r="K359">
        <v>317.20999999999998</v>
      </c>
      <c r="L359" t="s">
        <v>30</v>
      </c>
      <c r="M359" t="s">
        <v>31</v>
      </c>
      <c r="N359" t="s">
        <v>66</v>
      </c>
      <c r="O359" s="23">
        <f>DATE(YEAR(Table1[[#This Row],[Order_Date]]), MONTH(Table1[[#This Row],[Order_Date]]), 1)</f>
        <v>45627</v>
      </c>
      <c r="Q359" s="5"/>
    </row>
    <row r="360" spans="1:17" x14ac:dyDescent="0.3">
      <c r="A360" t="s">
        <v>532</v>
      </c>
      <c r="B360" s="23" t="s">
        <v>39</v>
      </c>
      <c r="C360" t="s">
        <v>110</v>
      </c>
      <c r="D360" t="s">
        <v>170</v>
      </c>
      <c r="E360" t="s">
        <v>73</v>
      </c>
      <c r="F360" t="s">
        <v>43</v>
      </c>
      <c r="G360">
        <v>13</v>
      </c>
      <c r="H360" s="4">
        <v>18.82</v>
      </c>
      <c r="I360" s="8">
        <v>244.66</v>
      </c>
      <c r="J360">
        <v>6.49</v>
      </c>
      <c r="K360">
        <v>72.42</v>
      </c>
      <c r="L360" t="s">
        <v>44</v>
      </c>
      <c r="M360" t="s">
        <v>31</v>
      </c>
      <c r="N360" t="s">
        <v>32</v>
      </c>
      <c r="O360" s="23">
        <f>DATE(YEAR(Table1[[#This Row],[Order_Date]]), MONTH(Table1[[#This Row],[Order_Date]]), 1)</f>
        <v>45566</v>
      </c>
      <c r="Q360" s="5"/>
    </row>
    <row r="361" spans="1:17" x14ac:dyDescent="0.3">
      <c r="A361" t="s">
        <v>533</v>
      </c>
      <c r="B361" s="23" t="s">
        <v>26</v>
      </c>
      <c r="C361" t="s">
        <v>361</v>
      </c>
      <c r="D361" t="s">
        <v>147</v>
      </c>
      <c r="E361" t="s">
        <v>98</v>
      </c>
      <c r="F361" t="s">
        <v>59</v>
      </c>
      <c r="G361">
        <v>41</v>
      </c>
      <c r="H361" s="4">
        <v>43.19</v>
      </c>
      <c r="I361" s="8">
        <v>1770.79</v>
      </c>
      <c r="J361">
        <v>83.28</v>
      </c>
      <c r="K361">
        <v>539.51</v>
      </c>
      <c r="L361" t="s">
        <v>30</v>
      </c>
      <c r="M361" t="s">
        <v>23</v>
      </c>
      <c r="N361" t="s">
        <v>148</v>
      </c>
      <c r="O361" s="23">
        <f>DATE(YEAR(Table1[[#This Row],[Order_Date]]), MONTH(Table1[[#This Row],[Order_Date]]), 1)</f>
        <v>45689</v>
      </c>
      <c r="Q361" s="5"/>
    </row>
    <row r="362" spans="1:17" x14ac:dyDescent="0.3">
      <c r="A362" t="s">
        <v>534</v>
      </c>
      <c r="B362" s="23" t="s">
        <v>86</v>
      </c>
      <c r="C362" t="s">
        <v>76</v>
      </c>
      <c r="D362" t="s">
        <v>63</v>
      </c>
      <c r="E362" t="s">
        <v>98</v>
      </c>
      <c r="F362" t="s">
        <v>59</v>
      </c>
      <c r="G362">
        <v>40</v>
      </c>
      <c r="H362" s="4">
        <v>42.31</v>
      </c>
      <c r="I362" s="8">
        <v>1692.4</v>
      </c>
      <c r="J362">
        <v>118.59</v>
      </c>
      <c r="K362">
        <v>453.81</v>
      </c>
      <c r="L362" t="s">
        <v>30</v>
      </c>
      <c r="M362" t="s">
        <v>37</v>
      </c>
      <c r="N362" t="s">
        <v>66</v>
      </c>
      <c r="O362" s="23">
        <f>DATE(YEAR(Table1[[#This Row],[Order_Date]]), MONTH(Table1[[#This Row],[Order_Date]]), 1)</f>
        <v>45352</v>
      </c>
      <c r="Q362" s="5"/>
    </row>
    <row r="363" spans="1:17" x14ac:dyDescent="0.3">
      <c r="A363" t="s">
        <v>535</v>
      </c>
      <c r="B363" s="23" t="s">
        <v>61</v>
      </c>
      <c r="C363" t="s">
        <v>295</v>
      </c>
      <c r="D363" t="s">
        <v>196</v>
      </c>
      <c r="E363" t="s">
        <v>42</v>
      </c>
      <c r="F363" t="s">
        <v>43</v>
      </c>
      <c r="G363">
        <v>1</v>
      </c>
      <c r="H363" s="4">
        <v>57.15</v>
      </c>
      <c r="I363" s="8">
        <v>57.15</v>
      </c>
      <c r="J363">
        <v>4.1100000000000003</v>
      </c>
      <c r="K363">
        <v>-21</v>
      </c>
      <c r="L363" t="s">
        <v>30</v>
      </c>
      <c r="M363" t="s">
        <v>23</v>
      </c>
      <c r="N363" t="s">
        <v>66</v>
      </c>
      <c r="O363" s="23">
        <f>DATE(YEAR(Table1[[#This Row],[Order_Date]]), MONTH(Table1[[#This Row],[Order_Date]]), 1)</f>
        <v>45778</v>
      </c>
      <c r="Q363" s="5"/>
    </row>
    <row r="364" spans="1:17" x14ac:dyDescent="0.3">
      <c r="A364" t="s">
        <v>536</v>
      </c>
      <c r="B364" s="23" t="s">
        <v>107</v>
      </c>
      <c r="C364" t="s">
        <v>187</v>
      </c>
      <c r="D364" t="s">
        <v>48</v>
      </c>
      <c r="E364" t="s">
        <v>54</v>
      </c>
      <c r="F364" t="s">
        <v>43</v>
      </c>
      <c r="G364">
        <v>15</v>
      </c>
      <c r="H364" s="4">
        <v>30.03</v>
      </c>
      <c r="I364" s="8">
        <v>450.45</v>
      </c>
      <c r="J364">
        <v>29.99</v>
      </c>
      <c r="K364">
        <v>120.46</v>
      </c>
      <c r="L364" t="s">
        <v>44</v>
      </c>
      <c r="M364" t="s">
        <v>31</v>
      </c>
      <c r="N364" t="s">
        <v>24</v>
      </c>
      <c r="O364" s="23">
        <f>DATE(YEAR(Table1[[#This Row],[Order_Date]]), MONTH(Table1[[#This Row],[Order_Date]]), 1)</f>
        <v>45413</v>
      </c>
      <c r="Q364" s="5"/>
    </row>
    <row r="365" spans="1:17" x14ac:dyDescent="0.3">
      <c r="A365" t="s">
        <v>537</v>
      </c>
      <c r="B365" s="23" t="s">
        <v>107</v>
      </c>
      <c r="C365" t="s">
        <v>180</v>
      </c>
      <c r="D365" t="s">
        <v>41</v>
      </c>
      <c r="E365" t="s">
        <v>54</v>
      </c>
      <c r="F365" t="s">
        <v>43</v>
      </c>
      <c r="G365">
        <v>48</v>
      </c>
      <c r="H365" s="4">
        <v>30.91</v>
      </c>
      <c r="I365" s="8">
        <v>1483.68</v>
      </c>
      <c r="J365">
        <v>85.5</v>
      </c>
      <c r="K365">
        <v>438.18</v>
      </c>
      <c r="L365" t="s">
        <v>22</v>
      </c>
      <c r="M365" t="s">
        <v>31</v>
      </c>
      <c r="N365" t="s">
        <v>45</v>
      </c>
      <c r="O365" s="23">
        <f>DATE(YEAR(Table1[[#This Row],[Order_Date]]), MONTH(Table1[[#This Row],[Order_Date]]), 1)</f>
        <v>45413</v>
      </c>
      <c r="Q365" s="5"/>
    </row>
    <row r="366" spans="1:17" x14ac:dyDescent="0.3">
      <c r="A366" t="s">
        <v>538</v>
      </c>
      <c r="B366" s="23" t="s">
        <v>157</v>
      </c>
      <c r="C366" t="s">
        <v>342</v>
      </c>
      <c r="D366" t="s">
        <v>53</v>
      </c>
      <c r="E366" t="s">
        <v>58</v>
      </c>
      <c r="F366" t="s">
        <v>59</v>
      </c>
      <c r="G366">
        <v>8</v>
      </c>
      <c r="H366" s="4">
        <v>32.19</v>
      </c>
      <c r="I366" s="8">
        <v>257.52</v>
      </c>
      <c r="J366">
        <v>11.85</v>
      </c>
      <c r="K366">
        <v>65.67</v>
      </c>
      <c r="L366" t="s">
        <v>22</v>
      </c>
      <c r="M366" t="s">
        <v>23</v>
      </c>
      <c r="N366" t="s">
        <v>24</v>
      </c>
      <c r="O366" s="23">
        <f>DATE(YEAR(Table1[[#This Row],[Order_Date]]), MONTH(Table1[[#This Row],[Order_Date]]), 1)</f>
        <v>45292</v>
      </c>
      <c r="Q366" s="5"/>
    </row>
    <row r="367" spans="1:17" x14ac:dyDescent="0.3">
      <c r="A367" t="s">
        <v>539</v>
      </c>
      <c r="B367" s="23" t="s">
        <v>71</v>
      </c>
      <c r="C367" t="s">
        <v>166</v>
      </c>
      <c r="D367" t="s">
        <v>88</v>
      </c>
      <c r="E367" t="s">
        <v>49</v>
      </c>
      <c r="F367" t="s">
        <v>50</v>
      </c>
      <c r="G367">
        <v>22</v>
      </c>
      <c r="H367" s="4">
        <v>60.75</v>
      </c>
      <c r="I367" s="8">
        <v>1336.5</v>
      </c>
      <c r="J367">
        <v>38.340000000000003</v>
      </c>
      <c r="K367">
        <v>418.16</v>
      </c>
      <c r="L367" t="s">
        <v>22</v>
      </c>
      <c r="M367" t="s">
        <v>31</v>
      </c>
      <c r="N367" t="s">
        <v>66</v>
      </c>
      <c r="O367" s="23">
        <f>DATE(YEAR(Table1[[#This Row],[Order_Date]]), MONTH(Table1[[#This Row],[Order_Date]]), 1)</f>
        <v>45505</v>
      </c>
      <c r="Q367" s="5"/>
    </row>
    <row r="368" spans="1:17" x14ac:dyDescent="0.3">
      <c r="A368" t="s">
        <v>540</v>
      </c>
      <c r="B368" s="23" t="s">
        <v>104</v>
      </c>
      <c r="C368" t="s">
        <v>137</v>
      </c>
      <c r="D368" t="s">
        <v>36</v>
      </c>
      <c r="E368" t="s">
        <v>49</v>
      </c>
      <c r="F368" t="s">
        <v>50</v>
      </c>
      <c r="G368">
        <v>38</v>
      </c>
      <c r="H368" s="4">
        <v>66.06</v>
      </c>
      <c r="I368" s="8">
        <v>2510.2800000000002</v>
      </c>
      <c r="J368">
        <v>50.37</v>
      </c>
      <c r="K368">
        <v>939.91</v>
      </c>
      <c r="L368" t="s">
        <v>22</v>
      </c>
      <c r="M368" t="s">
        <v>23</v>
      </c>
      <c r="N368" t="s">
        <v>32</v>
      </c>
      <c r="O368" s="23">
        <f>DATE(YEAR(Table1[[#This Row],[Order_Date]]), MONTH(Table1[[#This Row],[Order_Date]]), 1)</f>
        <v>45717</v>
      </c>
      <c r="Q368" s="5"/>
    </row>
    <row r="369" spans="1:17" x14ac:dyDescent="0.3">
      <c r="A369" t="s">
        <v>541</v>
      </c>
      <c r="B369" s="23" t="s">
        <v>68</v>
      </c>
      <c r="C369" t="s">
        <v>114</v>
      </c>
      <c r="D369" t="s">
        <v>19</v>
      </c>
      <c r="E369" t="s">
        <v>20</v>
      </c>
      <c r="F369" t="s">
        <v>21</v>
      </c>
      <c r="G369">
        <v>33</v>
      </c>
      <c r="H369">
        <v>50.88</v>
      </c>
      <c r="I369">
        <v>1679.04</v>
      </c>
      <c r="J369">
        <v>61.48</v>
      </c>
      <c r="K369">
        <v>462.56</v>
      </c>
      <c r="L369" t="s">
        <v>22</v>
      </c>
      <c r="M369" t="s">
        <v>31</v>
      </c>
      <c r="N369" t="s">
        <v>24</v>
      </c>
      <c r="O369" s="23">
        <f>DATE(YEAR(Table1[[#This Row],[Order_Date]]), MONTH(Table1[[#This Row],[Order_Date]]), 1)</f>
        <v>45536</v>
      </c>
      <c r="Q369" s="5"/>
    </row>
    <row r="370" spans="1:17" x14ac:dyDescent="0.3">
      <c r="A370" t="s">
        <v>542</v>
      </c>
      <c r="B370" s="23" t="s">
        <v>95</v>
      </c>
      <c r="C370" t="s">
        <v>280</v>
      </c>
      <c r="D370" t="s">
        <v>63</v>
      </c>
      <c r="E370" t="s">
        <v>98</v>
      </c>
      <c r="F370" t="s">
        <v>59</v>
      </c>
      <c r="G370">
        <v>49</v>
      </c>
      <c r="H370" s="4">
        <v>34.479999999999997</v>
      </c>
      <c r="I370" s="8">
        <v>1689.52</v>
      </c>
      <c r="J370">
        <v>53.06</v>
      </c>
      <c r="K370">
        <v>264.45999999999998</v>
      </c>
      <c r="L370" t="s">
        <v>44</v>
      </c>
      <c r="M370" t="s">
        <v>37</v>
      </c>
      <c r="N370" t="s">
        <v>66</v>
      </c>
      <c r="O370" s="23">
        <f>DATE(YEAR(Table1[[#This Row],[Order_Date]]), MONTH(Table1[[#This Row],[Order_Date]]), 1)</f>
        <v>45474</v>
      </c>
      <c r="Q370" s="5"/>
    </row>
    <row r="371" spans="1:17" x14ac:dyDescent="0.3">
      <c r="A371" t="s">
        <v>543</v>
      </c>
      <c r="B371" s="23" t="s">
        <v>157</v>
      </c>
      <c r="C371" t="s">
        <v>187</v>
      </c>
      <c r="D371" t="s">
        <v>91</v>
      </c>
      <c r="E371" t="s">
        <v>54</v>
      </c>
      <c r="F371" t="s">
        <v>43</v>
      </c>
      <c r="G371">
        <v>31</v>
      </c>
      <c r="H371" s="4">
        <v>25.43</v>
      </c>
      <c r="I371" s="8">
        <v>788.33</v>
      </c>
      <c r="J371">
        <v>57.81</v>
      </c>
      <c r="K371">
        <v>110.52</v>
      </c>
      <c r="L371" t="s">
        <v>22</v>
      </c>
      <c r="M371" t="s">
        <v>31</v>
      </c>
      <c r="N371" t="s">
        <v>66</v>
      </c>
      <c r="O371" s="23">
        <f>DATE(YEAR(Table1[[#This Row],[Order_Date]]), MONTH(Table1[[#This Row],[Order_Date]]), 1)</f>
        <v>45292</v>
      </c>
      <c r="Q371" s="5"/>
    </row>
    <row r="372" spans="1:17" x14ac:dyDescent="0.3">
      <c r="A372" t="s">
        <v>544</v>
      </c>
      <c r="B372" s="23" t="s">
        <v>83</v>
      </c>
      <c r="C372" t="s">
        <v>245</v>
      </c>
      <c r="D372" t="s">
        <v>170</v>
      </c>
      <c r="E372" t="s">
        <v>54</v>
      </c>
      <c r="F372" t="s">
        <v>43</v>
      </c>
      <c r="G372">
        <v>29</v>
      </c>
      <c r="H372" s="4">
        <v>31.68</v>
      </c>
      <c r="I372" s="8">
        <v>918.72</v>
      </c>
      <c r="J372">
        <v>22.22</v>
      </c>
      <c r="K372">
        <v>316.5</v>
      </c>
      <c r="L372" t="s">
        <v>44</v>
      </c>
      <c r="M372" t="s">
        <v>23</v>
      </c>
      <c r="N372" t="s">
        <v>32</v>
      </c>
      <c r="O372" s="23">
        <f>DATE(YEAR(Table1[[#This Row],[Order_Date]]), MONTH(Table1[[#This Row],[Order_Date]]), 1)</f>
        <v>45323</v>
      </c>
      <c r="Q372" s="5"/>
    </row>
    <row r="373" spans="1:17" x14ac:dyDescent="0.3">
      <c r="A373" t="s">
        <v>545</v>
      </c>
      <c r="B373" s="23" t="s">
        <v>104</v>
      </c>
      <c r="C373" t="s">
        <v>373</v>
      </c>
      <c r="D373" t="s">
        <v>81</v>
      </c>
      <c r="E373" t="s">
        <v>98</v>
      </c>
      <c r="F373" t="s">
        <v>59</v>
      </c>
      <c r="G373">
        <v>42</v>
      </c>
      <c r="H373" s="4">
        <v>33.89</v>
      </c>
      <c r="I373" s="8">
        <v>1423.38</v>
      </c>
      <c r="J373">
        <v>85.4</v>
      </c>
      <c r="K373">
        <v>161.97999999999999</v>
      </c>
      <c r="L373" t="s">
        <v>44</v>
      </c>
      <c r="M373" t="s">
        <v>23</v>
      </c>
      <c r="N373" t="s">
        <v>66</v>
      </c>
      <c r="O373" s="23">
        <f>DATE(YEAR(Table1[[#This Row],[Order_Date]]), MONTH(Table1[[#This Row],[Order_Date]]), 1)</f>
        <v>45717</v>
      </c>
      <c r="Q373" s="5"/>
    </row>
    <row r="374" spans="1:17" x14ac:dyDescent="0.3">
      <c r="A374" t="s">
        <v>546</v>
      </c>
      <c r="B374" s="23" t="s">
        <v>68</v>
      </c>
      <c r="C374" t="s">
        <v>57</v>
      </c>
      <c r="D374" t="s">
        <v>81</v>
      </c>
      <c r="E374" t="s">
        <v>29</v>
      </c>
      <c r="F374" t="s">
        <v>21</v>
      </c>
      <c r="G374">
        <v>13</v>
      </c>
      <c r="H374" s="4">
        <v>21.75</v>
      </c>
      <c r="I374" s="8">
        <v>282.75</v>
      </c>
      <c r="J374">
        <v>12.5</v>
      </c>
      <c r="K374">
        <v>36.25</v>
      </c>
      <c r="L374" t="s">
        <v>44</v>
      </c>
      <c r="M374" t="s">
        <v>31</v>
      </c>
      <c r="N374" t="s">
        <v>66</v>
      </c>
      <c r="O374" s="23">
        <f>DATE(YEAR(Table1[[#This Row],[Order_Date]]), MONTH(Table1[[#This Row],[Order_Date]]), 1)</f>
        <v>45536</v>
      </c>
      <c r="Q374" s="5"/>
    </row>
    <row r="375" spans="1:17" x14ac:dyDescent="0.3">
      <c r="A375" t="s">
        <v>547</v>
      </c>
      <c r="B375" s="23" t="s">
        <v>86</v>
      </c>
      <c r="C375" t="s">
        <v>117</v>
      </c>
      <c r="D375" t="s">
        <v>91</v>
      </c>
      <c r="E375" t="s">
        <v>58</v>
      </c>
      <c r="F375" t="s">
        <v>59</v>
      </c>
      <c r="G375">
        <v>25</v>
      </c>
      <c r="H375" s="4">
        <v>37.58</v>
      </c>
      <c r="I375" s="8">
        <v>939.5</v>
      </c>
      <c r="J375">
        <v>48.44</v>
      </c>
      <c r="K375">
        <v>328.56</v>
      </c>
      <c r="L375" t="s">
        <v>44</v>
      </c>
      <c r="M375" t="s">
        <v>37</v>
      </c>
      <c r="N375" t="s">
        <v>66</v>
      </c>
      <c r="O375" s="23">
        <f>DATE(YEAR(Table1[[#This Row],[Order_Date]]), MONTH(Table1[[#This Row],[Order_Date]]), 1)</f>
        <v>45352</v>
      </c>
      <c r="Q375" s="5"/>
    </row>
    <row r="376" spans="1:17" x14ac:dyDescent="0.3">
      <c r="A376" t="s">
        <v>548</v>
      </c>
      <c r="B376" s="23" t="s">
        <v>26</v>
      </c>
      <c r="C376" t="s">
        <v>322</v>
      </c>
      <c r="D376" t="s">
        <v>170</v>
      </c>
      <c r="E376" t="s">
        <v>54</v>
      </c>
      <c r="F376" t="s">
        <v>43</v>
      </c>
      <c r="G376">
        <v>16</v>
      </c>
      <c r="H376" s="4">
        <v>25.25</v>
      </c>
      <c r="I376" s="8">
        <v>404</v>
      </c>
      <c r="J376">
        <v>18.75</v>
      </c>
      <c r="K376">
        <v>65.25</v>
      </c>
      <c r="L376" t="s">
        <v>30</v>
      </c>
      <c r="M376" t="s">
        <v>37</v>
      </c>
      <c r="N376" t="s">
        <v>32</v>
      </c>
      <c r="O376" s="23">
        <f>DATE(YEAR(Table1[[#This Row],[Order_Date]]), MONTH(Table1[[#This Row],[Order_Date]]), 1)</f>
        <v>45689</v>
      </c>
      <c r="Q376" s="5"/>
    </row>
    <row r="377" spans="1:17" x14ac:dyDescent="0.3">
      <c r="A377" t="s">
        <v>549</v>
      </c>
      <c r="B377" s="23" t="s">
        <v>68</v>
      </c>
      <c r="C377" t="s">
        <v>259</v>
      </c>
      <c r="D377" t="s">
        <v>91</v>
      </c>
      <c r="E377" t="s">
        <v>69</v>
      </c>
      <c r="F377" t="s">
        <v>59</v>
      </c>
      <c r="G377">
        <v>37</v>
      </c>
      <c r="H377" s="4">
        <v>25.85</v>
      </c>
      <c r="I377" s="8">
        <v>956.45</v>
      </c>
      <c r="J377">
        <v>31.7</v>
      </c>
      <c r="K377">
        <v>351.25</v>
      </c>
      <c r="L377" t="s">
        <v>44</v>
      </c>
      <c r="M377" t="s">
        <v>37</v>
      </c>
      <c r="N377" t="s">
        <v>66</v>
      </c>
      <c r="O377" s="23">
        <f>DATE(YEAR(Table1[[#This Row],[Order_Date]]), MONTH(Table1[[#This Row],[Order_Date]]), 1)</f>
        <v>45536</v>
      </c>
      <c r="Q377" s="5"/>
    </row>
    <row r="378" spans="1:17" x14ac:dyDescent="0.3">
      <c r="A378" t="s">
        <v>550</v>
      </c>
      <c r="B378" s="23" t="s">
        <v>17</v>
      </c>
      <c r="C378" t="s">
        <v>62</v>
      </c>
      <c r="D378" t="s">
        <v>81</v>
      </c>
      <c r="E378" t="s">
        <v>54</v>
      </c>
      <c r="F378" t="s">
        <v>43</v>
      </c>
      <c r="G378">
        <v>1</v>
      </c>
      <c r="H378" s="4">
        <v>25.72</v>
      </c>
      <c r="I378" s="8">
        <v>25.72</v>
      </c>
      <c r="J378">
        <v>2.04</v>
      </c>
      <c r="K378">
        <v>3.68</v>
      </c>
      <c r="L378" t="s">
        <v>44</v>
      </c>
      <c r="M378" t="s">
        <v>37</v>
      </c>
      <c r="N378" t="s">
        <v>66</v>
      </c>
      <c r="O378" s="23">
        <f>DATE(YEAR(Table1[[#This Row],[Order_Date]]), MONTH(Table1[[#This Row],[Order_Date]]), 1)</f>
        <v>45658</v>
      </c>
      <c r="Q378" s="5"/>
    </row>
    <row r="379" spans="1:17" x14ac:dyDescent="0.3">
      <c r="A379" t="s">
        <v>551</v>
      </c>
      <c r="B379" s="23" t="s">
        <v>132</v>
      </c>
      <c r="C379" t="s">
        <v>361</v>
      </c>
      <c r="D379" t="s">
        <v>81</v>
      </c>
      <c r="E379" t="s">
        <v>98</v>
      </c>
      <c r="F379" t="s">
        <v>59</v>
      </c>
      <c r="G379">
        <v>48</v>
      </c>
      <c r="H379" s="4">
        <v>47.05</v>
      </c>
      <c r="I379" s="8">
        <v>2258.4</v>
      </c>
      <c r="J379">
        <v>179.44</v>
      </c>
      <c r="K379">
        <v>734.96</v>
      </c>
      <c r="L379" t="s">
        <v>30</v>
      </c>
      <c r="M379" t="s">
        <v>31</v>
      </c>
      <c r="N379" t="s">
        <v>66</v>
      </c>
      <c r="O379" s="23">
        <f>DATE(YEAR(Table1[[#This Row],[Order_Date]]), MONTH(Table1[[#This Row],[Order_Date]]), 1)</f>
        <v>45597</v>
      </c>
      <c r="Q379" s="5"/>
    </row>
    <row r="380" spans="1:17" x14ac:dyDescent="0.3">
      <c r="A380" t="s">
        <v>552</v>
      </c>
      <c r="B380" s="23" t="s">
        <v>86</v>
      </c>
      <c r="C380" t="s">
        <v>141</v>
      </c>
      <c r="D380" t="s">
        <v>41</v>
      </c>
      <c r="E380" t="s">
        <v>54</v>
      </c>
      <c r="F380" t="s">
        <v>43</v>
      </c>
      <c r="G380">
        <v>48</v>
      </c>
      <c r="H380" s="4">
        <v>29.94</v>
      </c>
      <c r="I380" s="8">
        <v>1437.12</v>
      </c>
      <c r="J380">
        <v>30.14</v>
      </c>
      <c r="K380">
        <v>446.98</v>
      </c>
      <c r="L380" t="s">
        <v>30</v>
      </c>
      <c r="M380" t="s">
        <v>31</v>
      </c>
      <c r="N380" t="s">
        <v>45</v>
      </c>
      <c r="O380" s="23">
        <f>DATE(YEAR(Table1[[#This Row],[Order_Date]]), MONTH(Table1[[#This Row],[Order_Date]]), 1)</f>
        <v>45352</v>
      </c>
      <c r="Q380" s="5"/>
    </row>
    <row r="381" spans="1:17" x14ac:dyDescent="0.3">
      <c r="A381" t="s">
        <v>553</v>
      </c>
      <c r="B381" s="23" t="s">
        <v>71</v>
      </c>
      <c r="C381" t="s">
        <v>390</v>
      </c>
      <c r="D381" t="s">
        <v>36</v>
      </c>
      <c r="E381" t="s">
        <v>58</v>
      </c>
      <c r="F381" t="s">
        <v>59</v>
      </c>
      <c r="G381">
        <v>12</v>
      </c>
      <c r="H381" s="4">
        <v>35.68</v>
      </c>
      <c r="I381" s="8">
        <v>428.16</v>
      </c>
      <c r="J381">
        <v>13.07</v>
      </c>
      <c r="K381">
        <v>145.09</v>
      </c>
      <c r="L381" t="s">
        <v>30</v>
      </c>
      <c r="M381" t="s">
        <v>37</v>
      </c>
      <c r="N381" t="s">
        <v>32</v>
      </c>
      <c r="O381" s="23">
        <f>DATE(YEAR(Table1[[#This Row],[Order_Date]]), MONTH(Table1[[#This Row],[Order_Date]]), 1)</f>
        <v>45505</v>
      </c>
      <c r="Q381" s="5"/>
    </row>
    <row r="382" spans="1:17" x14ac:dyDescent="0.3">
      <c r="A382" t="s">
        <v>554</v>
      </c>
      <c r="B382" s="23" t="s">
        <v>68</v>
      </c>
      <c r="C382" t="s">
        <v>305</v>
      </c>
      <c r="D382" t="s">
        <v>19</v>
      </c>
      <c r="E382" t="s">
        <v>42</v>
      </c>
      <c r="F382" t="s">
        <v>43</v>
      </c>
      <c r="G382">
        <v>30</v>
      </c>
      <c r="H382" s="4">
        <v>49.32</v>
      </c>
      <c r="I382" s="8">
        <v>1479.6</v>
      </c>
      <c r="J382">
        <v>105.97</v>
      </c>
      <c r="K382">
        <v>413.63</v>
      </c>
      <c r="L382" t="s">
        <v>30</v>
      </c>
      <c r="M382" t="s">
        <v>31</v>
      </c>
      <c r="N382" t="s">
        <v>24</v>
      </c>
      <c r="O382" s="23">
        <f>DATE(YEAR(Table1[[#This Row],[Order_Date]]), MONTH(Table1[[#This Row],[Order_Date]]), 1)</f>
        <v>45536</v>
      </c>
      <c r="Q382" s="5"/>
    </row>
    <row r="383" spans="1:17" x14ac:dyDescent="0.3">
      <c r="A383" t="s">
        <v>555</v>
      </c>
      <c r="B383" s="23" t="s">
        <v>157</v>
      </c>
      <c r="C383" t="s">
        <v>319</v>
      </c>
      <c r="D383" t="s">
        <v>123</v>
      </c>
      <c r="E383" t="s">
        <v>98</v>
      </c>
      <c r="F383" t="s">
        <v>59</v>
      </c>
      <c r="G383">
        <v>27</v>
      </c>
      <c r="H383" s="4">
        <v>37.68</v>
      </c>
      <c r="I383" s="8">
        <v>1017.36</v>
      </c>
      <c r="J383">
        <v>80.739999999999995</v>
      </c>
      <c r="K383">
        <v>180.62</v>
      </c>
      <c r="L383" t="s">
        <v>44</v>
      </c>
      <c r="M383" t="s">
        <v>23</v>
      </c>
      <c r="N383" t="s">
        <v>32</v>
      </c>
      <c r="O383" s="23">
        <f>DATE(YEAR(Table1[[#This Row],[Order_Date]]), MONTH(Table1[[#This Row],[Order_Date]]), 1)</f>
        <v>45292</v>
      </c>
      <c r="Q383" s="5"/>
    </row>
    <row r="384" spans="1:17" x14ac:dyDescent="0.3">
      <c r="A384" t="s">
        <v>556</v>
      </c>
      <c r="B384" s="23" t="s">
        <v>104</v>
      </c>
      <c r="C384" t="s">
        <v>192</v>
      </c>
      <c r="D384" t="s">
        <v>36</v>
      </c>
      <c r="E384" t="s">
        <v>64</v>
      </c>
      <c r="F384" t="s">
        <v>65</v>
      </c>
      <c r="G384">
        <v>39</v>
      </c>
      <c r="H384" s="4">
        <v>36.340000000000003</v>
      </c>
      <c r="I384" s="8">
        <v>1417.26</v>
      </c>
      <c r="J384">
        <v>67</v>
      </c>
      <c r="K384">
        <v>375.26</v>
      </c>
      <c r="L384" t="s">
        <v>44</v>
      </c>
      <c r="M384" t="s">
        <v>31</v>
      </c>
      <c r="N384" t="s">
        <v>32</v>
      </c>
      <c r="O384" s="23">
        <f>DATE(YEAR(Table1[[#This Row],[Order_Date]]), MONTH(Table1[[#This Row],[Order_Date]]), 1)</f>
        <v>45717</v>
      </c>
      <c r="Q384" s="5"/>
    </row>
    <row r="385" spans="1:17" x14ac:dyDescent="0.3">
      <c r="A385" t="s">
        <v>557</v>
      </c>
      <c r="B385" s="23" t="s">
        <v>107</v>
      </c>
      <c r="C385" t="s">
        <v>62</v>
      </c>
      <c r="D385" t="s">
        <v>63</v>
      </c>
      <c r="E385" t="s">
        <v>69</v>
      </c>
      <c r="F385" t="s">
        <v>59</v>
      </c>
      <c r="G385">
        <v>16</v>
      </c>
      <c r="H385" s="4">
        <v>24.33</v>
      </c>
      <c r="I385" s="8">
        <v>389.28</v>
      </c>
      <c r="J385">
        <v>22.33</v>
      </c>
      <c r="K385">
        <v>118.95</v>
      </c>
      <c r="L385" t="s">
        <v>22</v>
      </c>
      <c r="M385" t="s">
        <v>37</v>
      </c>
      <c r="N385" t="s">
        <v>66</v>
      </c>
      <c r="O385" s="23">
        <f>DATE(YEAR(Table1[[#This Row],[Order_Date]]), MONTH(Table1[[#This Row],[Order_Date]]), 1)</f>
        <v>45413</v>
      </c>
      <c r="Q385" s="5"/>
    </row>
    <row r="386" spans="1:17" x14ac:dyDescent="0.3">
      <c r="A386" t="s">
        <v>558</v>
      </c>
      <c r="B386" s="23" t="s">
        <v>17</v>
      </c>
      <c r="C386" t="s">
        <v>319</v>
      </c>
      <c r="D386" t="s">
        <v>88</v>
      </c>
      <c r="E386" t="s">
        <v>69</v>
      </c>
      <c r="F386" t="s">
        <v>59</v>
      </c>
      <c r="G386">
        <v>40</v>
      </c>
      <c r="H386" s="4">
        <v>22.28</v>
      </c>
      <c r="I386" s="8">
        <v>891.2</v>
      </c>
      <c r="J386">
        <v>32.729999999999997</v>
      </c>
      <c r="K386">
        <v>238.47</v>
      </c>
      <c r="L386" t="s">
        <v>22</v>
      </c>
      <c r="M386" t="s">
        <v>31</v>
      </c>
      <c r="N386" t="s">
        <v>66</v>
      </c>
      <c r="O386" s="23">
        <f>DATE(YEAR(Table1[[#This Row],[Order_Date]]), MONTH(Table1[[#This Row],[Order_Date]]), 1)</f>
        <v>45658</v>
      </c>
      <c r="Q386" s="5"/>
    </row>
    <row r="387" spans="1:17" x14ac:dyDescent="0.3">
      <c r="A387" t="s">
        <v>559</v>
      </c>
      <c r="B387" s="23" t="s">
        <v>71</v>
      </c>
      <c r="C387" t="s">
        <v>122</v>
      </c>
      <c r="D387" t="s">
        <v>91</v>
      </c>
      <c r="E387" t="s">
        <v>73</v>
      </c>
      <c r="F387" t="s">
        <v>43</v>
      </c>
      <c r="G387">
        <v>45</v>
      </c>
      <c r="H387" s="4">
        <v>21.71</v>
      </c>
      <c r="I387" s="8">
        <v>976.95</v>
      </c>
      <c r="J387">
        <v>51.6</v>
      </c>
      <c r="K387">
        <v>351.6</v>
      </c>
      <c r="L387" t="s">
        <v>22</v>
      </c>
      <c r="M387" t="s">
        <v>23</v>
      </c>
      <c r="N387" t="s">
        <v>66</v>
      </c>
      <c r="O387" s="23">
        <f>DATE(YEAR(Table1[[#This Row],[Order_Date]]), MONTH(Table1[[#This Row],[Order_Date]]), 1)</f>
        <v>45505</v>
      </c>
      <c r="Q387" s="5"/>
    </row>
    <row r="388" spans="1:17" x14ac:dyDescent="0.3">
      <c r="A388" t="s">
        <v>560</v>
      </c>
      <c r="B388" s="23" t="s">
        <v>71</v>
      </c>
      <c r="C388" t="s">
        <v>200</v>
      </c>
      <c r="D388" t="s">
        <v>170</v>
      </c>
      <c r="E388" t="s">
        <v>64</v>
      </c>
      <c r="F388" t="s">
        <v>65</v>
      </c>
      <c r="G388">
        <v>8</v>
      </c>
      <c r="H388" s="4">
        <v>31.07</v>
      </c>
      <c r="I388" s="8">
        <v>248.56</v>
      </c>
      <c r="J388">
        <v>10.97</v>
      </c>
      <c r="K388">
        <v>37.590000000000003</v>
      </c>
      <c r="L388" t="s">
        <v>22</v>
      </c>
      <c r="M388" t="s">
        <v>31</v>
      </c>
      <c r="N388" t="s">
        <v>32</v>
      </c>
      <c r="O388" s="23">
        <f>DATE(YEAR(Table1[[#This Row],[Order_Date]]), MONTH(Table1[[#This Row],[Order_Date]]), 1)</f>
        <v>45505</v>
      </c>
      <c r="Q388" s="5"/>
    </row>
    <row r="389" spans="1:17" x14ac:dyDescent="0.3">
      <c r="A389" t="s">
        <v>561</v>
      </c>
      <c r="B389" s="23" t="s">
        <v>83</v>
      </c>
      <c r="C389" t="s">
        <v>250</v>
      </c>
      <c r="D389" t="s">
        <v>123</v>
      </c>
      <c r="E389" t="s">
        <v>73</v>
      </c>
      <c r="F389" t="s">
        <v>43</v>
      </c>
      <c r="G389">
        <v>47</v>
      </c>
      <c r="H389" s="4">
        <v>21.93</v>
      </c>
      <c r="I389" s="8">
        <v>1030.71</v>
      </c>
      <c r="J389">
        <v>70.989999999999995</v>
      </c>
      <c r="K389">
        <v>360.47</v>
      </c>
      <c r="L389" t="s">
        <v>44</v>
      </c>
      <c r="M389" t="s">
        <v>23</v>
      </c>
      <c r="N389" t="s">
        <v>32</v>
      </c>
      <c r="O389" s="23">
        <f>DATE(YEAR(Table1[[#This Row],[Order_Date]]), MONTH(Table1[[#This Row],[Order_Date]]), 1)</f>
        <v>45323</v>
      </c>
      <c r="Q389" s="5"/>
    </row>
    <row r="390" spans="1:17" x14ac:dyDescent="0.3">
      <c r="A390" t="s">
        <v>562</v>
      </c>
      <c r="B390" s="23" t="s">
        <v>95</v>
      </c>
      <c r="C390" t="s">
        <v>119</v>
      </c>
      <c r="D390" t="s">
        <v>123</v>
      </c>
      <c r="E390" t="s">
        <v>73</v>
      </c>
      <c r="F390" t="s">
        <v>43</v>
      </c>
      <c r="G390">
        <v>46</v>
      </c>
      <c r="H390" s="4">
        <v>21.46</v>
      </c>
      <c r="I390" s="8">
        <v>987.16</v>
      </c>
      <c r="J390">
        <v>21.64</v>
      </c>
      <c r="K390">
        <v>379.02</v>
      </c>
      <c r="L390" t="s">
        <v>30</v>
      </c>
      <c r="M390" t="s">
        <v>23</v>
      </c>
      <c r="N390" t="s">
        <v>32</v>
      </c>
      <c r="O390" s="23">
        <f>DATE(YEAR(Table1[[#This Row],[Order_Date]]), MONTH(Table1[[#This Row],[Order_Date]]), 1)</f>
        <v>45474</v>
      </c>
      <c r="Q390" s="5"/>
    </row>
    <row r="391" spans="1:17" x14ac:dyDescent="0.3">
      <c r="A391" t="s">
        <v>563</v>
      </c>
      <c r="B391" s="23" t="s">
        <v>26</v>
      </c>
      <c r="C391" t="s">
        <v>90</v>
      </c>
      <c r="D391" t="s">
        <v>19</v>
      </c>
      <c r="E391" t="s">
        <v>98</v>
      </c>
      <c r="F391" t="s">
        <v>59</v>
      </c>
      <c r="G391">
        <v>45</v>
      </c>
      <c r="H391" s="4">
        <v>47.1</v>
      </c>
      <c r="I391" s="8">
        <v>2119.5</v>
      </c>
      <c r="J391">
        <v>120.16</v>
      </c>
      <c r="K391">
        <v>739.34</v>
      </c>
      <c r="L391" t="s">
        <v>30</v>
      </c>
      <c r="M391" t="s">
        <v>31</v>
      </c>
      <c r="N391" t="s">
        <v>24</v>
      </c>
      <c r="O391" s="23">
        <f>DATE(YEAR(Table1[[#This Row],[Order_Date]]), MONTH(Table1[[#This Row],[Order_Date]]), 1)</f>
        <v>45689</v>
      </c>
      <c r="Q391" s="5"/>
    </row>
    <row r="392" spans="1:17" x14ac:dyDescent="0.3">
      <c r="A392" t="s">
        <v>564</v>
      </c>
      <c r="B392" s="23" t="s">
        <v>104</v>
      </c>
      <c r="C392" t="s">
        <v>18</v>
      </c>
      <c r="D392" t="s">
        <v>196</v>
      </c>
      <c r="E392" t="s">
        <v>20</v>
      </c>
      <c r="F392" t="s">
        <v>21</v>
      </c>
      <c r="G392">
        <v>2</v>
      </c>
      <c r="H392" s="4">
        <v>58.32</v>
      </c>
      <c r="I392" s="8">
        <v>116.64</v>
      </c>
      <c r="J392">
        <v>8.99</v>
      </c>
      <c r="K392">
        <v>37.65</v>
      </c>
      <c r="L392" t="s">
        <v>22</v>
      </c>
      <c r="M392" t="s">
        <v>31</v>
      </c>
      <c r="N392" t="s">
        <v>66</v>
      </c>
      <c r="O392" s="23">
        <f>DATE(YEAR(Table1[[#This Row],[Order_Date]]), MONTH(Table1[[#This Row],[Order_Date]]), 1)</f>
        <v>45717</v>
      </c>
      <c r="Q392" s="5"/>
    </row>
    <row r="393" spans="1:17" x14ac:dyDescent="0.3">
      <c r="A393" t="s">
        <v>565</v>
      </c>
      <c r="B393" s="23" t="s">
        <v>83</v>
      </c>
      <c r="C393" t="s">
        <v>319</v>
      </c>
      <c r="D393" t="s">
        <v>123</v>
      </c>
      <c r="E393" t="s">
        <v>20</v>
      </c>
      <c r="F393" t="s">
        <v>21</v>
      </c>
      <c r="G393">
        <v>31</v>
      </c>
      <c r="H393" s="4">
        <v>61.34</v>
      </c>
      <c r="I393" s="8">
        <v>1901.54</v>
      </c>
      <c r="J393">
        <v>147.43</v>
      </c>
      <c r="K393">
        <v>669.11</v>
      </c>
      <c r="L393" t="s">
        <v>30</v>
      </c>
      <c r="M393" t="s">
        <v>23</v>
      </c>
      <c r="N393" t="s">
        <v>32</v>
      </c>
      <c r="O393" s="23">
        <f>DATE(YEAR(Table1[[#This Row],[Order_Date]]), MONTH(Table1[[#This Row],[Order_Date]]), 1)</f>
        <v>45323</v>
      </c>
      <c r="Q393" s="5"/>
    </row>
    <row r="394" spans="1:17" x14ac:dyDescent="0.3">
      <c r="A394" t="s">
        <v>566</v>
      </c>
      <c r="B394" s="23" t="s">
        <v>86</v>
      </c>
      <c r="C394" t="s">
        <v>185</v>
      </c>
      <c r="D394" t="s">
        <v>48</v>
      </c>
      <c r="E394" t="s">
        <v>64</v>
      </c>
      <c r="F394" t="s">
        <v>65</v>
      </c>
      <c r="G394">
        <v>15</v>
      </c>
      <c r="H394" s="4">
        <v>43.9</v>
      </c>
      <c r="I394" s="8">
        <v>658.5</v>
      </c>
      <c r="J394">
        <v>36.479999999999997</v>
      </c>
      <c r="K394">
        <v>247.02</v>
      </c>
      <c r="L394" t="s">
        <v>44</v>
      </c>
      <c r="M394" t="s">
        <v>31</v>
      </c>
      <c r="N394" t="s">
        <v>24</v>
      </c>
      <c r="O394" s="23">
        <f>DATE(YEAR(Table1[[#This Row],[Order_Date]]), MONTH(Table1[[#This Row],[Order_Date]]), 1)</f>
        <v>45352</v>
      </c>
      <c r="Q394" s="5"/>
    </row>
    <row r="395" spans="1:17" x14ac:dyDescent="0.3">
      <c r="A395" t="s">
        <v>567</v>
      </c>
      <c r="B395" s="23" t="s">
        <v>132</v>
      </c>
      <c r="C395" t="s">
        <v>185</v>
      </c>
      <c r="D395" t="s">
        <v>36</v>
      </c>
      <c r="E395" t="s">
        <v>73</v>
      </c>
      <c r="F395" t="s">
        <v>43</v>
      </c>
      <c r="G395">
        <v>4</v>
      </c>
      <c r="H395" s="4">
        <v>20.53</v>
      </c>
      <c r="I395" s="8">
        <v>82.12</v>
      </c>
      <c r="J395">
        <v>4.05</v>
      </c>
      <c r="K395">
        <v>27.07</v>
      </c>
      <c r="L395" t="s">
        <v>22</v>
      </c>
      <c r="M395" t="s">
        <v>37</v>
      </c>
      <c r="N395" t="s">
        <v>32</v>
      </c>
      <c r="O395" s="23">
        <f>DATE(YEAR(Table1[[#This Row],[Order_Date]]), MONTH(Table1[[#This Row],[Order_Date]]), 1)</f>
        <v>45597</v>
      </c>
      <c r="Q395" s="5"/>
    </row>
    <row r="396" spans="1:17" x14ac:dyDescent="0.3">
      <c r="A396" t="s">
        <v>568</v>
      </c>
      <c r="B396" s="23" t="s">
        <v>95</v>
      </c>
      <c r="C396" t="s">
        <v>168</v>
      </c>
      <c r="D396" t="s">
        <v>147</v>
      </c>
      <c r="E396" t="s">
        <v>54</v>
      </c>
      <c r="F396" t="s">
        <v>43</v>
      </c>
      <c r="G396">
        <v>6</v>
      </c>
      <c r="H396" s="4">
        <v>24.7</v>
      </c>
      <c r="I396" s="8">
        <v>148.19999999999999</v>
      </c>
      <c r="J396">
        <v>3.76</v>
      </c>
      <c r="K396">
        <v>24.44</v>
      </c>
      <c r="L396" t="s">
        <v>44</v>
      </c>
      <c r="M396" t="s">
        <v>23</v>
      </c>
      <c r="N396" t="s">
        <v>148</v>
      </c>
      <c r="O396" s="23">
        <f>DATE(YEAR(Table1[[#This Row],[Order_Date]]), MONTH(Table1[[#This Row],[Order_Date]]), 1)</f>
        <v>45474</v>
      </c>
      <c r="Q396" s="5"/>
    </row>
    <row r="397" spans="1:17" x14ac:dyDescent="0.3">
      <c r="A397" t="s">
        <v>569</v>
      </c>
      <c r="B397" s="23" t="s">
        <v>78</v>
      </c>
      <c r="C397" t="s">
        <v>349</v>
      </c>
      <c r="D397" t="s">
        <v>41</v>
      </c>
      <c r="E397" t="s">
        <v>73</v>
      </c>
      <c r="F397" t="s">
        <v>43</v>
      </c>
      <c r="G397">
        <v>19</v>
      </c>
      <c r="H397" s="4">
        <v>19.170000000000002</v>
      </c>
      <c r="I397" s="8">
        <v>364.23</v>
      </c>
      <c r="J397">
        <v>15.16</v>
      </c>
      <c r="K397">
        <v>106.82</v>
      </c>
      <c r="L397" t="s">
        <v>30</v>
      </c>
      <c r="M397" t="s">
        <v>31</v>
      </c>
      <c r="N397" t="s">
        <v>45</v>
      </c>
      <c r="O397" s="23">
        <f>DATE(YEAR(Table1[[#This Row],[Order_Date]]), MONTH(Table1[[#This Row],[Order_Date]]), 1)</f>
        <v>45627</v>
      </c>
      <c r="Q397" s="5"/>
    </row>
    <row r="398" spans="1:17" x14ac:dyDescent="0.3">
      <c r="A398" t="s">
        <v>570</v>
      </c>
      <c r="B398" s="23" t="s">
        <v>107</v>
      </c>
      <c r="C398" t="s">
        <v>418</v>
      </c>
      <c r="D398" t="s">
        <v>63</v>
      </c>
      <c r="E398" t="s">
        <v>49</v>
      </c>
      <c r="F398" t="s">
        <v>50</v>
      </c>
      <c r="G398">
        <v>2</v>
      </c>
      <c r="H398" s="4">
        <v>55.28</v>
      </c>
      <c r="I398" s="8">
        <v>110.56</v>
      </c>
      <c r="J398">
        <v>5.37</v>
      </c>
      <c r="K398">
        <v>25.19</v>
      </c>
      <c r="L398" t="s">
        <v>44</v>
      </c>
      <c r="M398" t="s">
        <v>31</v>
      </c>
      <c r="N398" t="s">
        <v>66</v>
      </c>
      <c r="O398" s="23">
        <f>DATE(YEAR(Table1[[#This Row],[Order_Date]]), MONTH(Table1[[#This Row],[Order_Date]]), 1)</f>
        <v>45413</v>
      </c>
      <c r="Q398" s="5"/>
    </row>
    <row r="399" spans="1:17" x14ac:dyDescent="0.3">
      <c r="A399" t="s">
        <v>571</v>
      </c>
      <c r="B399" s="23" t="s">
        <v>56</v>
      </c>
      <c r="C399" t="s">
        <v>230</v>
      </c>
      <c r="D399" t="s">
        <v>41</v>
      </c>
      <c r="E399" t="s">
        <v>64</v>
      </c>
      <c r="F399" t="s">
        <v>65</v>
      </c>
      <c r="G399">
        <v>49</v>
      </c>
      <c r="H399" s="4">
        <v>43.91</v>
      </c>
      <c r="I399" s="8">
        <v>2151.59</v>
      </c>
      <c r="J399">
        <v>63.55</v>
      </c>
      <c r="K399">
        <v>863.04</v>
      </c>
      <c r="L399" t="s">
        <v>22</v>
      </c>
      <c r="M399" t="s">
        <v>31</v>
      </c>
      <c r="N399" t="s">
        <v>45</v>
      </c>
      <c r="O399" s="23">
        <f>DATE(YEAR(Table1[[#This Row],[Order_Date]]), MONTH(Table1[[#This Row],[Order_Date]]), 1)</f>
        <v>45444</v>
      </c>
      <c r="Q399" s="5"/>
    </row>
    <row r="400" spans="1:17" x14ac:dyDescent="0.3">
      <c r="A400" t="s">
        <v>572</v>
      </c>
      <c r="B400" s="23" t="s">
        <v>34</v>
      </c>
      <c r="C400" t="s">
        <v>212</v>
      </c>
      <c r="D400" t="s">
        <v>41</v>
      </c>
      <c r="E400" t="s">
        <v>64</v>
      </c>
      <c r="F400" t="s">
        <v>65</v>
      </c>
      <c r="G400">
        <v>29</v>
      </c>
      <c r="H400" s="4">
        <v>41.84</v>
      </c>
      <c r="I400" s="8">
        <v>1213.3599999999999</v>
      </c>
      <c r="J400">
        <v>56.83</v>
      </c>
      <c r="K400">
        <v>431.53</v>
      </c>
      <c r="L400" t="s">
        <v>44</v>
      </c>
      <c r="M400" t="s">
        <v>37</v>
      </c>
      <c r="N400" t="s">
        <v>45</v>
      </c>
      <c r="O400" s="23">
        <f>DATE(YEAR(Table1[[#This Row],[Order_Date]]), MONTH(Table1[[#This Row],[Order_Date]]), 1)</f>
        <v>45383</v>
      </c>
      <c r="Q400" s="5"/>
    </row>
    <row r="401" spans="1:17" x14ac:dyDescent="0.3">
      <c r="A401" t="s">
        <v>573</v>
      </c>
      <c r="B401" s="23" t="s">
        <v>56</v>
      </c>
      <c r="C401" t="s">
        <v>195</v>
      </c>
      <c r="D401" t="s">
        <v>101</v>
      </c>
      <c r="E401" t="s">
        <v>69</v>
      </c>
      <c r="F401" t="s">
        <v>59</v>
      </c>
      <c r="G401">
        <v>43</v>
      </c>
      <c r="H401" s="4">
        <v>27.41</v>
      </c>
      <c r="I401" s="8">
        <v>1178.6300000000001</v>
      </c>
      <c r="J401">
        <v>55.82</v>
      </c>
      <c r="K401">
        <v>456.31</v>
      </c>
      <c r="L401" t="s">
        <v>44</v>
      </c>
      <c r="M401" t="s">
        <v>31</v>
      </c>
      <c r="N401" t="s">
        <v>102</v>
      </c>
      <c r="O401" s="23">
        <f>DATE(YEAR(Table1[[#This Row],[Order_Date]]), MONTH(Table1[[#This Row],[Order_Date]]), 1)</f>
        <v>45444</v>
      </c>
      <c r="Q401" s="5"/>
    </row>
    <row r="402" spans="1:17" x14ac:dyDescent="0.3">
      <c r="A402" t="s">
        <v>574</v>
      </c>
      <c r="B402" s="23" t="s">
        <v>71</v>
      </c>
      <c r="C402" t="s">
        <v>492</v>
      </c>
      <c r="D402" t="s">
        <v>53</v>
      </c>
      <c r="E402" t="s">
        <v>54</v>
      </c>
      <c r="F402" t="s">
        <v>43</v>
      </c>
      <c r="G402">
        <v>28</v>
      </c>
      <c r="H402" s="4">
        <v>31.84</v>
      </c>
      <c r="I402" s="8">
        <v>891.52</v>
      </c>
      <c r="J402">
        <v>54.24</v>
      </c>
      <c r="K402">
        <v>277.27999999999997</v>
      </c>
      <c r="L402" t="s">
        <v>22</v>
      </c>
      <c r="M402" t="s">
        <v>31</v>
      </c>
      <c r="N402" t="s">
        <v>24</v>
      </c>
      <c r="O402" s="23">
        <f>DATE(YEAR(Table1[[#This Row],[Order_Date]]), MONTH(Table1[[#This Row],[Order_Date]]), 1)</f>
        <v>45505</v>
      </c>
      <c r="Q402" s="5"/>
    </row>
    <row r="403" spans="1:17" x14ac:dyDescent="0.3">
      <c r="A403" t="s">
        <v>575</v>
      </c>
      <c r="B403" s="23" t="s">
        <v>78</v>
      </c>
      <c r="C403" t="s">
        <v>310</v>
      </c>
      <c r="D403" t="s">
        <v>63</v>
      </c>
      <c r="E403" t="s">
        <v>64</v>
      </c>
      <c r="F403" t="s">
        <v>65</v>
      </c>
      <c r="G403">
        <v>42</v>
      </c>
      <c r="H403" s="4">
        <v>35.840000000000003</v>
      </c>
      <c r="I403" s="8">
        <v>1505.28</v>
      </c>
      <c r="J403">
        <v>60.65</v>
      </c>
      <c r="K403">
        <v>394.63</v>
      </c>
      <c r="L403" t="s">
        <v>44</v>
      </c>
      <c r="M403" t="s">
        <v>31</v>
      </c>
      <c r="N403" t="s">
        <v>66</v>
      </c>
      <c r="O403" s="23">
        <f>DATE(YEAR(Table1[[#This Row],[Order_Date]]), MONTH(Table1[[#This Row],[Order_Date]]), 1)</f>
        <v>45627</v>
      </c>
      <c r="Q403" s="5"/>
    </row>
    <row r="404" spans="1:17" x14ac:dyDescent="0.3">
      <c r="A404" t="s">
        <v>576</v>
      </c>
      <c r="B404" s="23" t="s">
        <v>68</v>
      </c>
      <c r="C404" t="s">
        <v>72</v>
      </c>
      <c r="D404" t="s">
        <v>81</v>
      </c>
      <c r="E404" t="s">
        <v>58</v>
      </c>
      <c r="F404" t="s">
        <v>59</v>
      </c>
      <c r="G404">
        <v>22</v>
      </c>
      <c r="H404" s="4">
        <v>30.55</v>
      </c>
      <c r="I404" s="8">
        <v>672.1</v>
      </c>
      <c r="J404">
        <v>46.8</v>
      </c>
      <c r="K404">
        <v>130.30000000000001</v>
      </c>
      <c r="L404" t="s">
        <v>30</v>
      </c>
      <c r="M404" t="s">
        <v>37</v>
      </c>
      <c r="N404" t="s">
        <v>66</v>
      </c>
      <c r="O404" s="23">
        <f>DATE(YEAR(Table1[[#This Row],[Order_Date]]), MONTH(Table1[[#This Row],[Order_Date]]), 1)</f>
        <v>45536</v>
      </c>
      <c r="Q404" s="5"/>
    </row>
    <row r="405" spans="1:17" x14ac:dyDescent="0.3">
      <c r="A405" t="s">
        <v>577</v>
      </c>
      <c r="B405" s="23" t="s">
        <v>75</v>
      </c>
      <c r="C405" t="s">
        <v>240</v>
      </c>
      <c r="D405" t="s">
        <v>91</v>
      </c>
      <c r="E405" t="s">
        <v>98</v>
      </c>
      <c r="F405" t="s">
        <v>59</v>
      </c>
      <c r="G405">
        <v>13</v>
      </c>
      <c r="H405" s="4">
        <v>45.16</v>
      </c>
      <c r="I405" s="8">
        <v>587.08000000000004</v>
      </c>
      <c r="J405">
        <v>29.68</v>
      </c>
      <c r="K405">
        <v>193.4</v>
      </c>
      <c r="L405" t="s">
        <v>30</v>
      </c>
      <c r="M405" t="s">
        <v>31</v>
      </c>
      <c r="N405" t="s">
        <v>66</v>
      </c>
      <c r="O405" s="23">
        <f>DATE(YEAR(Table1[[#This Row],[Order_Date]]), MONTH(Table1[[#This Row],[Order_Date]]), 1)</f>
        <v>45748</v>
      </c>
      <c r="Q405" s="5"/>
    </row>
    <row r="406" spans="1:17" x14ac:dyDescent="0.3">
      <c r="A406" t="s">
        <v>578</v>
      </c>
      <c r="B406" s="23" t="s">
        <v>56</v>
      </c>
      <c r="C406" t="s">
        <v>161</v>
      </c>
      <c r="D406" t="s">
        <v>147</v>
      </c>
      <c r="E406" t="s">
        <v>20</v>
      </c>
      <c r="F406" t="s">
        <v>21</v>
      </c>
      <c r="G406">
        <v>40</v>
      </c>
      <c r="H406" s="4">
        <v>45.23</v>
      </c>
      <c r="I406" s="8">
        <v>1809.2</v>
      </c>
      <c r="J406">
        <v>136.25</v>
      </c>
      <c r="K406">
        <v>272.95</v>
      </c>
      <c r="L406" t="s">
        <v>44</v>
      </c>
      <c r="M406" t="s">
        <v>37</v>
      </c>
      <c r="N406" t="s">
        <v>148</v>
      </c>
      <c r="O406" s="23">
        <f>DATE(YEAR(Table1[[#This Row],[Order_Date]]), MONTH(Table1[[#This Row],[Order_Date]]), 1)</f>
        <v>45444</v>
      </c>
      <c r="Q406" s="5"/>
    </row>
    <row r="407" spans="1:17" x14ac:dyDescent="0.3">
      <c r="A407" t="s">
        <v>579</v>
      </c>
      <c r="B407" s="23" t="s">
        <v>157</v>
      </c>
      <c r="C407" t="s">
        <v>276</v>
      </c>
      <c r="D407" t="s">
        <v>91</v>
      </c>
      <c r="E407" t="s">
        <v>29</v>
      </c>
      <c r="F407" t="s">
        <v>21</v>
      </c>
      <c r="G407">
        <v>41</v>
      </c>
      <c r="H407" s="4">
        <v>22.78</v>
      </c>
      <c r="I407" s="8">
        <v>933.98</v>
      </c>
      <c r="J407">
        <v>38.369999999999997</v>
      </c>
      <c r="K407">
        <v>157.61000000000001</v>
      </c>
      <c r="L407" t="s">
        <v>30</v>
      </c>
      <c r="M407" t="s">
        <v>23</v>
      </c>
      <c r="N407" t="s">
        <v>66</v>
      </c>
      <c r="O407" s="23">
        <f>DATE(YEAR(Table1[[#This Row],[Order_Date]]), MONTH(Table1[[#This Row],[Order_Date]]), 1)</f>
        <v>45292</v>
      </c>
      <c r="Q407" s="5"/>
    </row>
    <row r="408" spans="1:17" x14ac:dyDescent="0.3">
      <c r="A408" t="s">
        <v>580</v>
      </c>
      <c r="B408" s="23" t="s">
        <v>95</v>
      </c>
      <c r="C408" t="s">
        <v>119</v>
      </c>
      <c r="D408" t="s">
        <v>123</v>
      </c>
      <c r="E408" t="s">
        <v>69</v>
      </c>
      <c r="F408" t="s">
        <v>59</v>
      </c>
      <c r="G408">
        <v>34</v>
      </c>
      <c r="H408" s="4">
        <v>24.21</v>
      </c>
      <c r="I408" s="8">
        <v>823.14</v>
      </c>
      <c r="J408">
        <v>58.25</v>
      </c>
      <c r="K408">
        <v>237.89</v>
      </c>
      <c r="L408" t="s">
        <v>22</v>
      </c>
      <c r="M408" t="s">
        <v>23</v>
      </c>
      <c r="N408" t="s">
        <v>32</v>
      </c>
      <c r="O408" s="23">
        <f>DATE(YEAR(Table1[[#This Row],[Order_Date]]), MONTH(Table1[[#This Row],[Order_Date]]), 1)</f>
        <v>45474</v>
      </c>
      <c r="Q408" s="5"/>
    </row>
    <row r="409" spans="1:17" x14ac:dyDescent="0.3">
      <c r="A409" t="s">
        <v>581</v>
      </c>
      <c r="B409" s="23" t="s">
        <v>75</v>
      </c>
      <c r="C409" t="s">
        <v>133</v>
      </c>
      <c r="D409" t="s">
        <v>28</v>
      </c>
      <c r="E409" t="s">
        <v>54</v>
      </c>
      <c r="F409" t="s">
        <v>43</v>
      </c>
      <c r="G409">
        <v>46</v>
      </c>
      <c r="H409" s="4">
        <v>34.64</v>
      </c>
      <c r="I409" s="8">
        <v>1593.44</v>
      </c>
      <c r="J409">
        <v>45.93</v>
      </c>
      <c r="K409">
        <v>627.51</v>
      </c>
      <c r="L409" t="s">
        <v>44</v>
      </c>
      <c r="M409" t="s">
        <v>23</v>
      </c>
      <c r="N409" t="s">
        <v>32</v>
      </c>
      <c r="O409" s="23">
        <f>DATE(YEAR(Table1[[#This Row],[Order_Date]]), MONTH(Table1[[#This Row],[Order_Date]]), 1)</f>
        <v>45748</v>
      </c>
      <c r="Q409" s="5"/>
    </row>
    <row r="410" spans="1:17" x14ac:dyDescent="0.3">
      <c r="A410" t="s">
        <v>582</v>
      </c>
      <c r="B410" s="23" t="s">
        <v>157</v>
      </c>
      <c r="C410" t="s">
        <v>161</v>
      </c>
      <c r="D410" t="s">
        <v>48</v>
      </c>
      <c r="E410" t="s">
        <v>54</v>
      </c>
      <c r="F410" t="s">
        <v>43</v>
      </c>
      <c r="G410">
        <v>10</v>
      </c>
      <c r="H410" s="4">
        <v>27.06</v>
      </c>
      <c r="I410" s="8">
        <v>270.60000000000002</v>
      </c>
      <c r="J410">
        <v>15.35</v>
      </c>
      <c r="K410">
        <v>55.25</v>
      </c>
      <c r="L410" t="s">
        <v>22</v>
      </c>
      <c r="M410" t="s">
        <v>37</v>
      </c>
      <c r="N410" t="s">
        <v>24</v>
      </c>
      <c r="O410" s="23">
        <f>DATE(YEAR(Table1[[#This Row],[Order_Date]]), MONTH(Table1[[#This Row],[Order_Date]]), 1)</f>
        <v>45292</v>
      </c>
      <c r="Q410" s="5"/>
    </row>
    <row r="411" spans="1:17" x14ac:dyDescent="0.3">
      <c r="A411" t="s">
        <v>583</v>
      </c>
      <c r="B411" s="23" t="s">
        <v>39</v>
      </c>
      <c r="C411" t="s">
        <v>158</v>
      </c>
      <c r="D411" t="s">
        <v>28</v>
      </c>
      <c r="E411" t="s">
        <v>29</v>
      </c>
      <c r="F411" t="s">
        <v>21</v>
      </c>
      <c r="G411">
        <v>11</v>
      </c>
      <c r="H411" s="4">
        <v>27.74</v>
      </c>
      <c r="I411" s="8">
        <v>305.14</v>
      </c>
      <c r="J411">
        <v>10.81</v>
      </c>
      <c r="K411">
        <v>96.33</v>
      </c>
      <c r="L411" t="s">
        <v>30</v>
      </c>
      <c r="M411" t="s">
        <v>37</v>
      </c>
      <c r="N411" t="s">
        <v>32</v>
      </c>
      <c r="O411" s="23">
        <f>DATE(YEAR(Table1[[#This Row],[Order_Date]]), MONTH(Table1[[#This Row],[Order_Date]]), 1)</f>
        <v>45566</v>
      </c>
      <c r="Q411" s="5"/>
    </row>
    <row r="412" spans="1:17" x14ac:dyDescent="0.3">
      <c r="A412" t="s">
        <v>584</v>
      </c>
      <c r="B412" s="23" t="s">
        <v>157</v>
      </c>
      <c r="C412" t="s">
        <v>114</v>
      </c>
      <c r="D412" t="s">
        <v>48</v>
      </c>
      <c r="E412" t="s">
        <v>98</v>
      </c>
      <c r="F412" t="s">
        <v>59</v>
      </c>
      <c r="G412">
        <v>29</v>
      </c>
      <c r="H412" s="4">
        <v>38.08</v>
      </c>
      <c r="I412" s="8">
        <v>1104.32</v>
      </c>
      <c r="J412">
        <v>25.63</v>
      </c>
      <c r="K412">
        <v>266.69</v>
      </c>
      <c r="L412" t="s">
        <v>30</v>
      </c>
      <c r="M412" t="s">
        <v>37</v>
      </c>
      <c r="N412" t="s">
        <v>24</v>
      </c>
      <c r="O412" s="23">
        <f>DATE(YEAR(Table1[[#This Row],[Order_Date]]), MONTH(Table1[[#This Row],[Order_Date]]), 1)</f>
        <v>45292</v>
      </c>
      <c r="Q412" s="5"/>
    </row>
    <row r="413" spans="1:17" x14ac:dyDescent="0.3">
      <c r="A413" t="s">
        <v>585</v>
      </c>
      <c r="B413" s="23" t="s">
        <v>75</v>
      </c>
      <c r="C413" t="s">
        <v>137</v>
      </c>
      <c r="D413" t="s">
        <v>48</v>
      </c>
      <c r="E413" t="s">
        <v>98</v>
      </c>
      <c r="F413" t="s">
        <v>59</v>
      </c>
      <c r="G413">
        <v>18</v>
      </c>
      <c r="H413" s="4">
        <v>43.65</v>
      </c>
      <c r="I413" s="8">
        <v>785.7</v>
      </c>
      <c r="J413">
        <v>54.52</v>
      </c>
      <c r="K413">
        <v>227.18</v>
      </c>
      <c r="L413" t="s">
        <v>30</v>
      </c>
      <c r="M413" t="s">
        <v>23</v>
      </c>
      <c r="N413" t="s">
        <v>24</v>
      </c>
      <c r="O413" s="23">
        <f>DATE(YEAR(Table1[[#This Row],[Order_Date]]), MONTH(Table1[[#This Row],[Order_Date]]), 1)</f>
        <v>45748</v>
      </c>
      <c r="Q413" s="5"/>
    </row>
    <row r="414" spans="1:17" x14ac:dyDescent="0.3">
      <c r="A414" t="s">
        <v>586</v>
      </c>
      <c r="B414" s="23" t="s">
        <v>83</v>
      </c>
      <c r="C414" t="s">
        <v>373</v>
      </c>
      <c r="D414" t="s">
        <v>123</v>
      </c>
      <c r="E414" t="s">
        <v>20</v>
      </c>
      <c r="F414" t="s">
        <v>21</v>
      </c>
      <c r="G414">
        <v>49</v>
      </c>
      <c r="H414" s="4">
        <v>51.97</v>
      </c>
      <c r="I414" s="8">
        <v>2546.5300000000002</v>
      </c>
      <c r="J414">
        <v>112.26</v>
      </c>
      <c r="K414">
        <v>719.27</v>
      </c>
      <c r="L414" t="s">
        <v>30</v>
      </c>
      <c r="M414" t="s">
        <v>31</v>
      </c>
      <c r="N414" t="s">
        <v>32</v>
      </c>
      <c r="O414" s="23">
        <f>DATE(YEAR(Table1[[#This Row],[Order_Date]]), MONTH(Table1[[#This Row],[Order_Date]]), 1)</f>
        <v>45323</v>
      </c>
      <c r="Q414" s="5"/>
    </row>
    <row r="415" spans="1:17" x14ac:dyDescent="0.3">
      <c r="A415" t="s">
        <v>587</v>
      </c>
      <c r="B415" s="23" t="s">
        <v>17</v>
      </c>
      <c r="C415" t="s">
        <v>141</v>
      </c>
      <c r="D415" t="s">
        <v>81</v>
      </c>
      <c r="E415" t="s">
        <v>64</v>
      </c>
      <c r="F415" t="s">
        <v>65</v>
      </c>
      <c r="G415">
        <v>13</v>
      </c>
      <c r="H415" s="4">
        <v>36.85</v>
      </c>
      <c r="I415" s="8">
        <v>479.05</v>
      </c>
      <c r="J415">
        <v>10.15</v>
      </c>
      <c r="K415">
        <v>143.9</v>
      </c>
      <c r="L415" t="s">
        <v>22</v>
      </c>
      <c r="M415" t="s">
        <v>37</v>
      </c>
      <c r="N415" t="s">
        <v>66</v>
      </c>
      <c r="O415" s="23">
        <f>DATE(YEAR(Table1[[#This Row],[Order_Date]]), MONTH(Table1[[#This Row],[Order_Date]]), 1)</f>
        <v>45658</v>
      </c>
      <c r="Q415" s="5"/>
    </row>
    <row r="416" spans="1:17" x14ac:dyDescent="0.3">
      <c r="A416" t="s">
        <v>588</v>
      </c>
      <c r="B416" s="23" t="s">
        <v>107</v>
      </c>
      <c r="C416" t="s">
        <v>87</v>
      </c>
      <c r="D416" t="s">
        <v>48</v>
      </c>
      <c r="E416" t="s">
        <v>42</v>
      </c>
      <c r="F416" t="s">
        <v>43</v>
      </c>
      <c r="G416">
        <v>33</v>
      </c>
      <c r="H416" s="4">
        <v>38.520000000000003</v>
      </c>
      <c r="I416" s="8">
        <v>1271.1600000000001</v>
      </c>
      <c r="J416">
        <v>81.459999999999994</v>
      </c>
      <c r="K416">
        <v>133.69999999999999</v>
      </c>
      <c r="L416" t="s">
        <v>22</v>
      </c>
      <c r="M416" t="s">
        <v>23</v>
      </c>
      <c r="N416" t="s">
        <v>24</v>
      </c>
      <c r="O416" s="23">
        <f>DATE(YEAR(Table1[[#This Row],[Order_Date]]), MONTH(Table1[[#This Row],[Order_Date]]), 1)</f>
        <v>45413</v>
      </c>
      <c r="Q416" s="5"/>
    </row>
    <row r="417" spans="1:17" x14ac:dyDescent="0.3">
      <c r="A417" t="s">
        <v>589</v>
      </c>
      <c r="B417" s="23" t="s">
        <v>75</v>
      </c>
      <c r="C417" t="s">
        <v>259</v>
      </c>
      <c r="D417" t="s">
        <v>63</v>
      </c>
      <c r="E417" t="s">
        <v>69</v>
      </c>
      <c r="F417" t="s">
        <v>59</v>
      </c>
      <c r="G417">
        <v>41</v>
      </c>
      <c r="H417" s="4">
        <v>26.98</v>
      </c>
      <c r="I417" s="8">
        <v>1106.18</v>
      </c>
      <c r="J417">
        <v>51.77</v>
      </c>
      <c r="K417">
        <v>418.91</v>
      </c>
      <c r="L417" t="s">
        <v>44</v>
      </c>
      <c r="M417" t="s">
        <v>31</v>
      </c>
      <c r="N417" t="s">
        <v>66</v>
      </c>
      <c r="O417" s="23">
        <f>DATE(YEAR(Table1[[#This Row],[Order_Date]]), MONTH(Table1[[#This Row],[Order_Date]]), 1)</f>
        <v>45748</v>
      </c>
      <c r="Q417" s="5"/>
    </row>
    <row r="418" spans="1:17" x14ac:dyDescent="0.3">
      <c r="A418" t="s">
        <v>590</v>
      </c>
      <c r="B418" s="23" t="s">
        <v>83</v>
      </c>
      <c r="C418" t="s">
        <v>114</v>
      </c>
      <c r="D418" t="s">
        <v>123</v>
      </c>
      <c r="E418" t="s">
        <v>69</v>
      </c>
      <c r="F418" t="s">
        <v>59</v>
      </c>
      <c r="G418">
        <v>4</v>
      </c>
      <c r="H418" s="4">
        <v>23.56</v>
      </c>
      <c r="I418" s="8">
        <v>94.24</v>
      </c>
      <c r="J418">
        <v>7.03</v>
      </c>
      <c r="K418">
        <v>25.21</v>
      </c>
      <c r="L418" t="s">
        <v>44</v>
      </c>
      <c r="M418" t="s">
        <v>37</v>
      </c>
      <c r="N418" t="s">
        <v>32</v>
      </c>
      <c r="O418" s="23">
        <f>DATE(YEAR(Table1[[#This Row],[Order_Date]]), MONTH(Table1[[#This Row],[Order_Date]]), 1)</f>
        <v>45323</v>
      </c>
      <c r="Q418" s="5"/>
    </row>
    <row r="419" spans="1:17" x14ac:dyDescent="0.3">
      <c r="A419" t="s">
        <v>591</v>
      </c>
      <c r="B419" s="23" t="s">
        <v>95</v>
      </c>
      <c r="C419" t="s">
        <v>316</v>
      </c>
      <c r="D419" t="s">
        <v>196</v>
      </c>
      <c r="E419" t="s">
        <v>42</v>
      </c>
      <c r="F419" t="s">
        <v>43</v>
      </c>
      <c r="G419">
        <v>17</v>
      </c>
      <c r="H419" s="4">
        <v>57.14</v>
      </c>
      <c r="I419" s="8">
        <v>971.38</v>
      </c>
      <c r="J419">
        <v>70.010000000000005</v>
      </c>
      <c r="K419">
        <v>357.37</v>
      </c>
      <c r="L419" t="s">
        <v>44</v>
      </c>
      <c r="M419" t="s">
        <v>31</v>
      </c>
      <c r="N419" t="s">
        <v>66</v>
      </c>
      <c r="O419" s="23">
        <f>DATE(YEAR(Table1[[#This Row],[Order_Date]]), MONTH(Table1[[#This Row],[Order_Date]]), 1)</f>
        <v>45474</v>
      </c>
      <c r="Q419" s="5"/>
    </row>
    <row r="420" spans="1:17" x14ac:dyDescent="0.3">
      <c r="A420" t="s">
        <v>592</v>
      </c>
      <c r="B420" s="23" t="s">
        <v>26</v>
      </c>
      <c r="C420" t="s">
        <v>130</v>
      </c>
      <c r="D420" t="s">
        <v>147</v>
      </c>
      <c r="E420" t="s">
        <v>64</v>
      </c>
      <c r="F420" t="s">
        <v>65</v>
      </c>
      <c r="G420">
        <v>44</v>
      </c>
      <c r="H420" s="4">
        <v>38.14</v>
      </c>
      <c r="I420" s="8">
        <v>1678.16</v>
      </c>
      <c r="J420">
        <v>124.49</v>
      </c>
      <c r="K420">
        <v>453.67</v>
      </c>
      <c r="L420" t="s">
        <v>44</v>
      </c>
      <c r="M420" t="s">
        <v>23</v>
      </c>
      <c r="N420" t="s">
        <v>148</v>
      </c>
      <c r="O420" s="23">
        <f>DATE(YEAR(Table1[[#This Row],[Order_Date]]), MONTH(Table1[[#This Row],[Order_Date]]), 1)</f>
        <v>45689</v>
      </c>
      <c r="Q420" s="5"/>
    </row>
    <row r="421" spans="1:17" x14ac:dyDescent="0.3">
      <c r="A421" t="s">
        <v>593</v>
      </c>
      <c r="B421" s="23" t="s">
        <v>95</v>
      </c>
      <c r="C421" t="s">
        <v>119</v>
      </c>
      <c r="D421" t="s">
        <v>101</v>
      </c>
      <c r="E421" t="s">
        <v>29</v>
      </c>
      <c r="F421" t="s">
        <v>21</v>
      </c>
      <c r="G421">
        <v>14</v>
      </c>
      <c r="H421" s="4">
        <v>24</v>
      </c>
      <c r="I421" s="8">
        <v>336</v>
      </c>
      <c r="J421">
        <v>22.88</v>
      </c>
      <c r="K421">
        <v>61.12</v>
      </c>
      <c r="L421" t="s">
        <v>30</v>
      </c>
      <c r="M421" t="s">
        <v>31</v>
      </c>
      <c r="N421" t="s">
        <v>102</v>
      </c>
      <c r="O421" s="23">
        <f>DATE(YEAR(Table1[[#This Row],[Order_Date]]), MONTH(Table1[[#This Row],[Order_Date]]), 1)</f>
        <v>45474</v>
      </c>
      <c r="Q421" s="5"/>
    </row>
    <row r="422" spans="1:17" x14ac:dyDescent="0.3">
      <c r="A422" t="s">
        <v>594</v>
      </c>
      <c r="B422" s="23" t="s">
        <v>83</v>
      </c>
      <c r="C422" t="s">
        <v>90</v>
      </c>
      <c r="D422" t="s">
        <v>63</v>
      </c>
      <c r="E422" t="s">
        <v>69</v>
      </c>
      <c r="F422" t="s">
        <v>59</v>
      </c>
      <c r="G422">
        <v>50</v>
      </c>
      <c r="H422" s="4">
        <v>26.91</v>
      </c>
      <c r="I422" s="8">
        <v>1345.5</v>
      </c>
      <c r="J422">
        <v>91.7</v>
      </c>
      <c r="K422">
        <v>478.8</v>
      </c>
      <c r="L422" t="s">
        <v>44</v>
      </c>
      <c r="M422" t="s">
        <v>23</v>
      </c>
      <c r="N422" t="s">
        <v>66</v>
      </c>
      <c r="O422" s="23">
        <f>DATE(YEAR(Table1[[#This Row],[Order_Date]]), MONTH(Table1[[#This Row],[Order_Date]]), 1)</f>
        <v>45323</v>
      </c>
      <c r="Q422" s="5"/>
    </row>
    <row r="423" spans="1:17" x14ac:dyDescent="0.3">
      <c r="A423" t="s">
        <v>595</v>
      </c>
      <c r="B423" s="23" t="s">
        <v>61</v>
      </c>
      <c r="C423" t="s">
        <v>305</v>
      </c>
      <c r="D423" t="s">
        <v>36</v>
      </c>
      <c r="E423" t="s">
        <v>49</v>
      </c>
      <c r="F423" t="s">
        <v>50</v>
      </c>
      <c r="G423">
        <v>7</v>
      </c>
      <c r="H423" s="4">
        <v>59.41</v>
      </c>
      <c r="I423" s="8">
        <v>415.87</v>
      </c>
      <c r="J423">
        <v>25.51</v>
      </c>
      <c r="K423">
        <v>110.36</v>
      </c>
      <c r="L423" t="s">
        <v>22</v>
      </c>
      <c r="M423" t="s">
        <v>37</v>
      </c>
      <c r="N423" t="s">
        <v>32</v>
      </c>
      <c r="O423" s="23">
        <f>DATE(YEAR(Table1[[#This Row],[Order_Date]]), MONTH(Table1[[#This Row],[Order_Date]]), 1)</f>
        <v>45778</v>
      </c>
      <c r="Q423" s="5"/>
    </row>
    <row r="424" spans="1:17" x14ac:dyDescent="0.3">
      <c r="A424" t="s">
        <v>596</v>
      </c>
      <c r="B424" s="23" t="s">
        <v>157</v>
      </c>
      <c r="C424" t="s">
        <v>268</v>
      </c>
      <c r="D424" t="s">
        <v>91</v>
      </c>
      <c r="E424" t="s">
        <v>64</v>
      </c>
      <c r="F424" t="s">
        <v>65</v>
      </c>
      <c r="G424">
        <v>48</v>
      </c>
      <c r="H424" s="4">
        <v>37.31</v>
      </c>
      <c r="I424" s="8">
        <v>1790.88</v>
      </c>
      <c r="J424">
        <v>67.45</v>
      </c>
      <c r="K424">
        <v>523.42999999999995</v>
      </c>
      <c r="L424" t="s">
        <v>22</v>
      </c>
      <c r="M424" t="s">
        <v>31</v>
      </c>
      <c r="N424" t="s">
        <v>66</v>
      </c>
      <c r="O424" s="23">
        <f>DATE(YEAR(Table1[[#This Row],[Order_Date]]), MONTH(Table1[[#This Row],[Order_Date]]), 1)</f>
        <v>45292</v>
      </c>
      <c r="Q424" s="5"/>
    </row>
    <row r="425" spans="1:17" x14ac:dyDescent="0.3">
      <c r="A425" t="s">
        <v>597</v>
      </c>
      <c r="B425" s="23" t="s">
        <v>95</v>
      </c>
      <c r="C425" t="s">
        <v>198</v>
      </c>
      <c r="D425" t="s">
        <v>88</v>
      </c>
      <c r="E425" t="s">
        <v>49</v>
      </c>
      <c r="F425" t="s">
        <v>50</v>
      </c>
      <c r="G425">
        <v>38</v>
      </c>
      <c r="H425" s="4">
        <v>52.91</v>
      </c>
      <c r="I425" s="8">
        <v>2010.58</v>
      </c>
      <c r="J425">
        <v>94.22</v>
      </c>
      <c r="K425">
        <v>396.36</v>
      </c>
      <c r="L425" t="s">
        <v>22</v>
      </c>
      <c r="M425" t="s">
        <v>23</v>
      </c>
      <c r="N425" t="s">
        <v>66</v>
      </c>
      <c r="O425" s="23">
        <f>DATE(YEAR(Table1[[#This Row],[Order_Date]]), MONTH(Table1[[#This Row],[Order_Date]]), 1)</f>
        <v>45474</v>
      </c>
      <c r="Q425" s="5"/>
    </row>
    <row r="426" spans="1:17" x14ac:dyDescent="0.3">
      <c r="A426" t="s">
        <v>598</v>
      </c>
      <c r="B426" s="23" t="s">
        <v>61</v>
      </c>
      <c r="C426" t="s">
        <v>79</v>
      </c>
      <c r="D426" t="s">
        <v>28</v>
      </c>
      <c r="E426" t="s">
        <v>29</v>
      </c>
      <c r="F426" t="s">
        <v>21</v>
      </c>
      <c r="G426">
        <v>14</v>
      </c>
      <c r="H426" s="4">
        <v>27.09</v>
      </c>
      <c r="I426" s="8">
        <v>379.26</v>
      </c>
      <c r="J426">
        <v>14.42</v>
      </c>
      <c r="K426">
        <v>112.84</v>
      </c>
      <c r="L426" t="s">
        <v>44</v>
      </c>
      <c r="M426" t="s">
        <v>37</v>
      </c>
      <c r="N426" t="s">
        <v>32</v>
      </c>
      <c r="O426" s="23">
        <f>DATE(YEAR(Table1[[#This Row],[Order_Date]]), MONTH(Table1[[#This Row],[Order_Date]]), 1)</f>
        <v>45778</v>
      </c>
      <c r="Q426" s="5"/>
    </row>
    <row r="427" spans="1:17" x14ac:dyDescent="0.3">
      <c r="A427" t="s">
        <v>599</v>
      </c>
      <c r="B427" s="23" t="s">
        <v>83</v>
      </c>
      <c r="C427" t="s">
        <v>130</v>
      </c>
      <c r="D427" t="s">
        <v>91</v>
      </c>
      <c r="E427" t="s">
        <v>58</v>
      </c>
      <c r="F427" t="s">
        <v>59</v>
      </c>
      <c r="G427">
        <v>41</v>
      </c>
      <c r="H427" s="4">
        <v>30.52</v>
      </c>
      <c r="I427" s="8">
        <v>1251.32</v>
      </c>
      <c r="J427">
        <v>56.88</v>
      </c>
      <c r="K427">
        <v>271.94</v>
      </c>
      <c r="L427" t="s">
        <v>22</v>
      </c>
      <c r="M427" t="s">
        <v>37</v>
      </c>
      <c r="N427" t="s">
        <v>66</v>
      </c>
      <c r="O427" s="23">
        <f>DATE(YEAR(Table1[[#This Row],[Order_Date]]), MONTH(Table1[[#This Row],[Order_Date]]), 1)</f>
        <v>45323</v>
      </c>
      <c r="Q427" s="5"/>
    </row>
    <row r="428" spans="1:17" x14ac:dyDescent="0.3">
      <c r="A428" t="s">
        <v>600</v>
      </c>
      <c r="B428" s="23" t="s">
        <v>107</v>
      </c>
      <c r="C428" t="s">
        <v>250</v>
      </c>
      <c r="D428" t="s">
        <v>48</v>
      </c>
      <c r="E428" t="s">
        <v>98</v>
      </c>
      <c r="F428" t="s">
        <v>59</v>
      </c>
      <c r="G428">
        <v>23</v>
      </c>
      <c r="H428" s="4">
        <v>40.94</v>
      </c>
      <c r="I428" s="8">
        <v>941.62</v>
      </c>
      <c r="J428">
        <v>71.66</v>
      </c>
      <c r="K428">
        <v>225.96</v>
      </c>
      <c r="L428" t="s">
        <v>30</v>
      </c>
      <c r="M428" t="s">
        <v>37</v>
      </c>
      <c r="N428" t="s">
        <v>24</v>
      </c>
      <c r="O428" s="23">
        <f>DATE(YEAR(Table1[[#This Row],[Order_Date]]), MONTH(Table1[[#This Row],[Order_Date]]), 1)</f>
        <v>45413</v>
      </c>
      <c r="Q428" s="5"/>
    </row>
    <row r="429" spans="1:17" x14ac:dyDescent="0.3">
      <c r="A429" t="s">
        <v>601</v>
      </c>
      <c r="B429" s="23" t="s">
        <v>56</v>
      </c>
      <c r="C429" t="s">
        <v>316</v>
      </c>
      <c r="D429" t="s">
        <v>170</v>
      </c>
      <c r="E429" t="s">
        <v>98</v>
      </c>
      <c r="F429" t="s">
        <v>59</v>
      </c>
      <c r="G429">
        <v>34</v>
      </c>
      <c r="H429" s="4">
        <v>41.77</v>
      </c>
      <c r="I429" s="8">
        <v>1420.18</v>
      </c>
      <c r="J429">
        <v>112.45</v>
      </c>
      <c r="K429">
        <v>355.73</v>
      </c>
      <c r="L429" t="s">
        <v>30</v>
      </c>
      <c r="M429" t="s">
        <v>37</v>
      </c>
      <c r="N429" t="s">
        <v>32</v>
      </c>
      <c r="O429" s="23">
        <f>DATE(YEAR(Table1[[#This Row],[Order_Date]]), MONTH(Table1[[#This Row],[Order_Date]]), 1)</f>
        <v>45444</v>
      </c>
      <c r="Q429" s="5"/>
    </row>
    <row r="430" spans="1:17" x14ac:dyDescent="0.3">
      <c r="A430" t="s">
        <v>602</v>
      </c>
      <c r="B430" s="23" t="s">
        <v>71</v>
      </c>
      <c r="C430" t="s">
        <v>119</v>
      </c>
      <c r="D430" t="s">
        <v>196</v>
      </c>
      <c r="E430" t="s">
        <v>49</v>
      </c>
      <c r="F430" t="s">
        <v>50</v>
      </c>
      <c r="G430">
        <v>32</v>
      </c>
      <c r="H430" s="4">
        <v>69.98</v>
      </c>
      <c r="I430" s="8">
        <v>2239.36</v>
      </c>
      <c r="J430">
        <v>133.51</v>
      </c>
      <c r="K430">
        <v>825.85</v>
      </c>
      <c r="L430" t="s">
        <v>44</v>
      </c>
      <c r="M430" t="s">
        <v>23</v>
      </c>
      <c r="N430" t="s">
        <v>66</v>
      </c>
      <c r="O430" s="23">
        <f>DATE(YEAR(Table1[[#This Row],[Order_Date]]), MONTH(Table1[[#This Row],[Order_Date]]), 1)</f>
        <v>45505</v>
      </c>
      <c r="Q430" s="5"/>
    </row>
    <row r="431" spans="1:17" x14ac:dyDescent="0.3">
      <c r="A431" t="s">
        <v>603</v>
      </c>
      <c r="B431" s="23" t="s">
        <v>157</v>
      </c>
      <c r="C431" t="s">
        <v>185</v>
      </c>
      <c r="D431" t="s">
        <v>28</v>
      </c>
      <c r="E431" t="s">
        <v>20</v>
      </c>
      <c r="F431" t="s">
        <v>21</v>
      </c>
      <c r="G431">
        <v>25</v>
      </c>
      <c r="H431" s="4">
        <v>42.91</v>
      </c>
      <c r="I431" s="8">
        <v>1072.75</v>
      </c>
      <c r="J431">
        <v>80.02</v>
      </c>
      <c r="K431">
        <v>117.73</v>
      </c>
      <c r="L431" t="s">
        <v>30</v>
      </c>
      <c r="M431" t="s">
        <v>31</v>
      </c>
      <c r="N431" t="s">
        <v>32</v>
      </c>
      <c r="O431" s="23">
        <f>DATE(YEAR(Table1[[#This Row],[Order_Date]]), MONTH(Table1[[#This Row],[Order_Date]]), 1)</f>
        <v>45292</v>
      </c>
      <c r="Q431" s="5"/>
    </row>
    <row r="432" spans="1:17" x14ac:dyDescent="0.3">
      <c r="A432" t="s">
        <v>604</v>
      </c>
      <c r="B432" s="23" t="s">
        <v>78</v>
      </c>
      <c r="C432" t="s">
        <v>427</v>
      </c>
      <c r="D432" t="s">
        <v>48</v>
      </c>
      <c r="E432" t="s">
        <v>73</v>
      </c>
      <c r="F432" t="s">
        <v>43</v>
      </c>
      <c r="G432">
        <v>7</v>
      </c>
      <c r="H432" s="4">
        <v>22.6</v>
      </c>
      <c r="I432" s="8">
        <v>158.19999999999999</v>
      </c>
      <c r="J432">
        <v>7.04</v>
      </c>
      <c r="K432">
        <v>61.91</v>
      </c>
      <c r="L432" t="s">
        <v>44</v>
      </c>
      <c r="M432" t="s">
        <v>23</v>
      </c>
      <c r="N432" t="s">
        <v>24</v>
      </c>
      <c r="O432" s="23">
        <f>DATE(YEAR(Table1[[#This Row],[Order_Date]]), MONTH(Table1[[#This Row],[Order_Date]]), 1)</f>
        <v>45627</v>
      </c>
      <c r="Q432" s="5"/>
    </row>
    <row r="433" spans="1:17" x14ac:dyDescent="0.3">
      <c r="A433" t="s">
        <v>605</v>
      </c>
      <c r="B433" s="23" t="s">
        <v>56</v>
      </c>
      <c r="C433" t="s">
        <v>105</v>
      </c>
      <c r="D433" t="s">
        <v>19</v>
      </c>
      <c r="E433" t="s">
        <v>73</v>
      </c>
      <c r="F433" t="s">
        <v>43</v>
      </c>
      <c r="G433">
        <v>48</v>
      </c>
      <c r="H433" s="4">
        <v>19.5</v>
      </c>
      <c r="I433" s="8">
        <v>936</v>
      </c>
      <c r="J433">
        <v>70.069999999999993</v>
      </c>
      <c r="K433">
        <v>253.93</v>
      </c>
      <c r="L433" t="s">
        <v>22</v>
      </c>
      <c r="M433" t="s">
        <v>31</v>
      </c>
      <c r="N433" t="s">
        <v>24</v>
      </c>
      <c r="O433" s="23">
        <f>DATE(YEAR(Table1[[#This Row],[Order_Date]]), MONTH(Table1[[#This Row],[Order_Date]]), 1)</f>
        <v>45444</v>
      </c>
      <c r="Q433" s="5"/>
    </row>
    <row r="434" spans="1:17" x14ac:dyDescent="0.3">
      <c r="A434" t="s">
        <v>606</v>
      </c>
      <c r="B434" s="23" t="s">
        <v>68</v>
      </c>
      <c r="C434" t="s">
        <v>35</v>
      </c>
      <c r="D434" t="s">
        <v>147</v>
      </c>
      <c r="E434" t="s">
        <v>49</v>
      </c>
      <c r="F434" t="s">
        <v>50</v>
      </c>
      <c r="G434">
        <v>32</v>
      </c>
      <c r="H434" s="4">
        <v>49.97</v>
      </c>
      <c r="I434" s="8">
        <v>1599.04</v>
      </c>
      <c r="J434">
        <v>43.1</v>
      </c>
      <c r="K434">
        <v>275.94</v>
      </c>
      <c r="L434" t="s">
        <v>30</v>
      </c>
      <c r="M434" t="s">
        <v>37</v>
      </c>
      <c r="N434" t="s">
        <v>148</v>
      </c>
      <c r="O434" s="23">
        <f>DATE(YEAR(Table1[[#This Row],[Order_Date]]), MONTH(Table1[[#This Row],[Order_Date]]), 1)</f>
        <v>45536</v>
      </c>
      <c r="Q434" s="5"/>
    </row>
    <row r="435" spans="1:17" x14ac:dyDescent="0.3">
      <c r="A435" t="s">
        <v>607</v>
      </c>
      <c r="B435" s="23" t="s">
        <v>17</v>
      </c>
      <c r="C435" t="s">
        <v>18</v>
      </c>
      <c r="D435" t="s">
        <v>123</v>
      </c>
      <c r="E435" t="s">
        <v>69</v>
      </c>
      <c r="F435" t="s">
        <v>59</v>
      </c>
      <c r="G435">
        <v>41</v>
      </c>
      <c r="H435" s="4">
        <v>25.62</v>
      </c>
      <c r="I435" s="8">
        <v>1050.42</v>
      </c>
      <c r="J435">
        <v>79.2</v>
      </c>
      <c r="K435">
        <v>335.72</v>
      </c>
      <c r="L435" t="s">
        <v>22</v>
      </c>
      <c r="M435" t="s">
        <v>31</v>
      </c>
      <c r="N435" t="s">
        <v>32</v>
      </c>
      <c r="O435" s="23">
        <f>DATE(YEAR(Table1[[#This Row],[Order_Date]]), MONTH(Table1[[#This Row],[Order_Date]]), 1)</f>
        <v>45658</v>
      </c>
      <c r="Q435" s="5"/>
    </row>
    <row r="436" spans="1:17" x14ac:dyDescent="0.3">
      <c r="A436" t="s">
        <v>608</v>
      </c>
      <c r="B436" s="23" t="s">
        <v>83</v>
      </c>
      <c r="C436" t="s">
        <v>312</v>
      </c>
      <c r="D436" t="s">
        <v>19</v>
      </c>
      <c r="E436" t="s">
        <v>73</v>
      </c>
      <c r="F436" t="s">
        <v>43</v>
      </c>
      <c r="G436">
        <v>46</v>
      </c>
      <c r="H436" s="4">
        <v>16.78</v>
      </c>
      <c r="I436" s="8">
        <v>771.88</v>
      </c>
      <c r="J436">
        <v>18.04</v>
      </c>
      <c r="K436">
        <v>167.34</v>
      </c>
      <c r="L436" t="s">
        <v>44</v>
      </c>
      <c r="M436" t="s">
        <v>37</v>
      </c>
      <c r="N436" t="s">
        <v>24</v>
      </c>
      <c r="O436" s="23">
        <f>DATE(YEAR(Table1[[#This Row],[Order_Date]]), MONTH(Table1[[#This Row],[Order_Date]]), 1)</f>
        <v>45323</v>
      </c>
      <c r="Q436" s="5"/>
    </row>
    <row r="437" spans="1:17" x14ac:dyDescent="0.3">
      <c r="A437" t="s">
        <v>609</v>
      </c>
      <c r="B437" s="23" t="s">
        <v>83</v>
      </c>
      <c r="C437" t="s">
        <v>338</v>
      </c>
      <c r="D437" t="s">
        <v>36</v>
      </c>
      <c r="E437" t="s">
        <v>42</v>
      </c>
      <c r="F437" t="s">
        <v>43</v>
      </c>
      <c r="G437">
        <v>16</v>
      </c>
      <c r="H437" s="4">
        <v>42.18</v>
      </c>
      <c r="I437" s="8">
        <v>674.88</v>
      </c>
      <c r="J437">
        <v>19.100000000000001</v>
      </c>
      <c r="K437">
        <v>143.78</v>
      </c>
      <c r="L437" t="s">
        <v>22</v>
      </c>
      <c r="M437" t="s">
        <v>37</v>
      </c>
      <c r="N437" t="s">
        <v>32</v>
      </c>
      <c r="O437" s="23">
        <f>DATE(YEAR(Table1[[#This Row],[Order_Date]]), MONTH(Table1[[#This Row],[Order_Date]]), 1)</f>
        <v>45323</v>
      </c>
      <c r="Q437" s="5"/>
    </row>
    <row r="438" spans="1:17" x14ac:dyDescent="0.3">
      <c r="A438" t="s">
        <v>610</v>
      </c>
      <c r="B438" s="23" t="s">
        <v>71</v>
      </c>
      <c r="C438" t="s">
        <v>79</v>
      </c>
      <c r="D438" t="s">
        <v>123</v>
      </c>
      <c r="E438" t="s">
        <v>64</v>
      </c>
      <c r="F438" t="s">
        <v>65</v>
      </c>
      <c r="G438">
        <v>12</v>
      </c>
      <c r="H438" s="4">
        <v>34.97</v>
      </c>
      <c r="I438" s="8">
        <v>419.64</v>
      </c>
      <c r="J438">
        <v>28.48</v>
      </c>
      <c r="K438">
        <v>91.16</v>
      </c>
      <c r="L438" t="s">
        <v>22</v>
      </c>
      <c r="M438" t="s">
        <v>23</v>
      </c>
      <c r="N438" t="s">
        <v>32</v>
      </c>
      <c r="O438" s="23">
        <f>DATE(YEAR(Table1[[#This Row],[Order_Date]]), MONTH(Table1[[#This Row],[Order_Date]]), 1)</f>
        <v>45505</v>
      </c>
      <c r="Q438" s="5"/>
    </row>
    <row r="439" spans="1:17" x14ac:dyDescent="0.3">
      <c r="A439" t="s">
        <v>611</v>
      </c>
      <c r="B439" s="23" t="s">
        <v>78</v>
      </c>
      <c r="C439" t="s">
        <v>155</v>
      </c>
      <c r="D439" t="s">
        <v>41</v>
      </c>
      <c r="E439" t="s">
        <v>54</v>
      </c>
      <c r="F439" t="s">
        <v>43</v>
      </c>
      <c r="G439">
        <v>31</v>
      </c>
      <c r="H439" s="4">
        <v>33.619999999999997</v>
      </c>
      <c r="I439" s="8">
        <v>1042.22</v>
      </c>
      <c r="J439">
        <v>26.33</v>
      </c>
      <c r="K439">
        <v>395.89</v>
      </c>
      <c r="L439" t="s">
        <v>44</v>
      </c>
      <c r="M439" t="s">
        <v>37</v>
      </c>
      <c r="N439" t="s">
        <v>45</v>
      </c>
      <c r="O439" s="23">
        <f>DATE(YEAR(Table1[[#This Row],[Order_Date]]), MONTH(Table1[[#This Row],[Order_Date]]), 1)</f>
        <v>45627</v>
      </c>
      <c r="Q439" s="5"/>
    </row>
    <row r="440" spans="1:17" x14ac:dyDescent="0.3">
      <c r="A440" t="s">
        <v>612</v>
      </c>
      <c r="B440" s="23" t="s">
        <v>132</v>
      </c>
      <c r="C440" t="s">
        <v>440</v>
      </c>
      <c r="D440" t="s">
        <v>88</v>
      </c>
      <c r="E440" t="s">
        <v>58</v>
      </c>
      <c r="F440" t="s">
        <v>59</v>
      </c>
      <c r="G440">
        <v>40</v>
      </c>
      <c r="H440" s="4">
        <v>30.56</v>
      </c>
      <c r="I440" s="8">
        <v>1222.4000000000001</v>
      </c>
      <c r="J440">
        <v>26.42</v>
      </c>
      <c r="K440">
        <v>295.98</v>
      </c>
      <c r="L440" t="s">
        <v>22</v>
      </c>
      <c r="M440" t="s">
        <v>23</v>
      </c>
      <c r="N440" t="s">
        <v>66</v>
      </c>
      <c r="O440" s="23">
        <f>DATE(YEAR(Table1[[#This Row],[Order_Date]]), MONTH(Table1[[#This Row],[Order_Date]]), 1)</f>
        <v>45597</v>
      </c>
      <c r="Q440" s="5"/>
    </row>
    <row r="441" spans="1:17" x14ac:dyDescent="0.3">
      <c r="A441" t="s">
        <v>613</v>
      </c>
      <c r="B441" s="23" t="s">
        <v>17</v>
      </c>
      <c r="C441" t="s">
        <v>161</v>
      </c>
      <c r="D441" t="s">
        <v>170</v>
      </c>
      <c r="E441" t="s">
        <v>20</v>
      </c>
      <c r="F441" t="s">
        <v>21</v>
      </c>
      <c r="G441">
        <v>15</v>
      </c>
      <c r="H441" s="4">
        <v>61.93</v>
      </c>
      <c r="I441" s="8">
        <v>928.95</v>
      </c>
      <c r="J441">
        <v>25.68</v>
      </c>
      <c r="K441">
        <v>378.27</v>
      </c>
      <c r="L441" t="s">
        <v>30</v>
      </c>
      <c r="M441" t="s">
        <v>37</v>
      </c>
      <c r="N441" t="s">
        <v>32</v>
      </c>
      <c r="O441" s="23">
        <f>DATE(YEAR(Table1[[#This Row],[Order_Date]]), MONTH(Table1[[#This Row],[Order_Date]]), 1)</f>
        <v>45658</v>
      </c>
      <c r="Q441" s="5"/>
    </row>
    <row r="442" spans="1:17" x14ac:dyDescent="0.3">
      <c r="A442" t="s">
        <v>614</v>
      </c>
      <c r="B442" s="23" t="s">
        <v>157</v>
      </c>
      <c r="C442" t="s">
        <v>139</v>
      </c>
      <c r="D442" t="s">
        <v>63</v>
      </c>
      <c r="E442" t="s">
        <v>54</v>
      </c>
      <c r="F442" t="s">
        <v>43</v>
      </c>
      <c r="G442">
        <v>20</v>
      </c>
      <c r="H442" s="4">
        <v>35.770000000000003</v>
      </c>
      <c r="I442" s="8">
        <v>715.4</v>
      </c>
      <c r="J442">
        <v>39.229999999999997</v>
      </c>
      <c r="K442">
        <v>276.17</v>
      </c>
      <c r="L442" t="s">
        <v>22</v>
      </c>
      <c r="M442" t="s">
        <v>23</v>
      </c>
      <c r="N442" t="s">
        <v>66</v>
      </c>
      <c r="O442" s="23">
        <f>DATE(YEAR(Table1[[#This Row],[Order_Date]]), MONTH(Table1[[#This Row],[Order_Date]]), 1)</f>
        <v>45292</v>
      </c>
      <c r="Q442" s="5"/>
    </row>
    <row r="443" spans="1:17" x14ac:dyDescent="0.3">
      <c r="A443" t="s">
        <v>615</v>
      </c>
      <c r="B443" s="23" t="s">
        <v>56</v>
      </c>
      <c r="C443" t="s">
        <v>265</v>
      </c>
      <c r="D443" t="s">
        <v>28</v>
      </c>
      <c r="E443" t="s">
        <v>73</v>
      </c>
      <c r="F443" t="s">
        <v>43</v>
      </c>
      <c r="G443">
        <v>21</v>
      </c>
      <c r="H443" s="4">
        <v>22.48</v>
      </c>
      <c r="I443" s="8">
        <v>472.08</v>
      </c>
      <c r="J443">
        <v>12.96</v>
      </c>
      <c r="K443">
        <v>191.37</v>
      </c>
      <c r="L443" t="s">
        <v>30</v>
      </c>
      <c r="M443" t="s">
        <v>23</v>
      </c>
      <c r="N443" t="s">
        <v>32</v>
      </c>
      <c r="O443" s="23">
        <f>DATE(YEAR(Table1[[#This Row],[Order_Date]]), MONTH(Table1[[#This Row],[Order_Date]]), 1)</f>
        <v>45444</v>
      </c>
      <c r="Q443" s="5"/>
    </row>
    <row r="444" spans="1:17" x14ac:dyDescent="0.3">
      <c r="A444" t="s">
        <v>616</v>
      </c>
      <c r="B444" s="23" t="s">
        <v>17</v>
      </c>
      <c r="C444" t="s">
        <v>293</v>
      </c>
      <c r="D444" t="s">
        <v>63</v>
      </c>
      <c r="E444" t="s">
        <v>29</v>
      </c>
      <c r="F444" t="s">
        <v>21</v>
      </c>
      <c r="G444">
        <v>8</v>
      </c>
      <c r="H444" s="4">
        <v>27.53</v>
      </c>
      <c r="I444" s="8">
        <v>220.24</v>
      </c>
      <c r="J444">
        <v>12.66</v>
      </c>
      <c r="K444">
        <v>63.58</v>
      </c>
      <c r="L444" t="s">
        <v>30</v>
      </c>
      <c r="M444" t="s">
        <v>31</v>
      </c>
      <c r="N444" t="s">
        <v>66</v>
      </c>
      <c r="O444" s="23">
        <f>DATE(YEAR(Table1[[#This Row],[Order_Date]]), MONTH(Table1[[#This Row],[Order_Date]]), 1)</f>
        <v>45658</v>
      </c>
      <c r="Q444" s="5"/>
    </row>
    <row r="445" spans="1:17" x14ac:dyDescent="0.3">
      <c r="A445" t="s">
        <v>617</v>
      </c>
      <c r="B445" s="23" t="s">
        <v>68</v>
      </c>
      <c r="C445" t="s">
        <v>245</v>
      </c>
      <c r="D445" t="s">
        <v>196</v>
      </c>
      <c r="E445" t="s">
        <v>58</v>
      </c>
      <c r="F445" t="s">
        <v>59</v>
      </c>
      <c r="G445">
        <v>35</v>
      </c>
      <c r="H445" s="4">
        <v>39.65</v>
      </c>
      <c r="I445" s="8">
        <v>1387.75</v>
      </c>
      <c r="J445">
        <v>60.95</v>
      </c>
      <c r="K445">
        <v>539.29999999999995</v>
      </c>
      <c r="L445" t="s">
        <v>44</v>
      </c>
      <c r="M445" t="s">
        <v>31</v>
      </c>
      <c r="N445" t="s">
        <v>66</v>
      </c>
      <c r="O445" s="23">
        <f>DATE(YEAR(Table1[[#This Row],[Order_Date]]), MONTH(Table1[[#This Row],[Order_Date]]), 1)</f>
        <v>45536</v>
      </c>
      <c r="Q445" s="5"/>
    </row>
    <row r="446" spans="1:17" x14ac:dyDescent="0.3">
      <c r="A446" t="s">
        <v>618</v>
      </c>
      <c r="B446" s="23" t="s">
        <v>83</v>
      </c>
      <c r="C446" t="s">
        <v>200</v>
      </c>
      <c r="D446" t="s">
        <v>101</v>
      </c>
      <c r="E446" t="s">
        <v>69</v>
      </c>
      <c r="F446" t="s">
        <v>59</v>
      </c>
      <c r="G446">
        <v>50</v>
      </c>
      <c r="H446" s="4">
        <v>23.68</v>
      </c>
      <c r="I446" s="8">
        <v>1184</v>
      </c>
      <c r="J446">
        <v>46.62</v>
      </c>
      <c r="K446">
        <v>362.38</v>
      </c>
      <c r="L446" t="s">
        <v>30</v>
      </c>
      <c r="M446" t="s">
        <v>31</v>
      </c>
      <c r="N446" t="s">
        <v>102</v>
      </c>
      <c r="O446" s="23">
        <f>DATE(YEAR(Table1[[#This Row],[Order_Date]]), MONTH(Table1[[#This Row],[Order_Date]]), 1)</f>
        <v>45323</v>
      </c>
      <c r="Q446" s="5"/>
    </row>
    <row r="447" spans="1:17" x14ac:dyDescent="0.3">
      <c r="A447" t="s">
        <v>619</v>
      </c>
      <c r="B447" s="23" t="s">
        <v>26</v>
      </c>
      <c r="C447" t="s">
        <v>202</v>
      </c>
      <c r="D447" t="s">
        <v>88</v>
      </c>
      <c r="E447" t="s">
        <v>73</v>
      </c>
      <c r="F447" t="s">
        <v>43</v>
      </c>
      <c r="G447">
        <v>5</v>
      </c>
      <c r="H447" s="4">
        <v>19.809999999999999</v>
      </c>
      <c r="I447" s="8">
        <v>99.05</v>
      </c>
      <c r="J447">
        <v>5.91</v>
      </c>
      <c r="K447">
        <v>29.39</v>
      </c>
      <c r="L447" t="s">
        <v>30</v>
      </c>
      <c r="M447" t="s">
        <v>37</v>
      </c>
      <c r="N447" t="s">
        <v>66</v>
      </c>
      <c r="O447" s="23">
        <f>DATE(YEAR(Table1[[#This Row],[Order_Date]]), MONTH(Table1[[#This Row],[Order_Date]]), 1)</f>
        <v>45689</v>
      </c>
      <c r="Q447" s="5"/>
    </row>
    <row r="448" spans="1:17" x14ac:dyDescent="0.3">
      <c r="A448" t="s">
        <v>620</v>
      </c>
      <c r="B448" s="23" t="s">
        <v>107</v>
      </c>
      <c r="C448" t="s">
        <v>90</v>
      </c>
      <c r="D448" t="s">
        <v>41</v>
      </c>
      <c r="E448" t="s">
        <v>73</v>
      </c>
      <c r="F448" t="s">
        <v>43</v>
      </c>
      <c r="G448">
        <v>27</v>
      </c>
      <c r="H448" s="4">
        <v>18.03</v>
      </c>
      <c r="I448" s="8">
        <v>486.81</v>
      </c>
      <c r="J448">
        <v>36.630000000000003</v>
      </c>
      <c r="K448">
        <v>105.93</v>
      </c>
      <c r="L448" t="s">
        <v>22</v>
      </c>
      <c r="M448" t="s">
        <v>37</v>
      </c>
      <c r="N448" t="s">
        <v>45</v>
      </c>
      <c r="O448" s="23">
        <f>DATE(YEAR(Table1[[#This Row],[Order_Date]]), MONTH(Table1[[#This Row],[Order_Date]]), 1)</f>
        <v>45413</v>
      </c>
      <c r="Q448" s="5"/>
    </row>
    <row r="449" spans="1:17" x14ac:dyDescent="0.3">
      <c r="A449" t="s">
        <v>621</v>
      </c>
      <c r="B449" s="23" t="s">
        <v>34</v>
      </c>
      <c r="C449" t="s">
        <v>280</v>
      </c>
      <c r="D449" t="s">
        <v>101</v>
      </c>
      <c r="E449" t="s">
        <v>29</v>
      </c>
      <c r="F449" t="s">
        <v>21</v>
      </c>
      <c r="G449">
        <v>45</v>
      </c>
      <c r="H449" s="4">
        <v>26.93</v>
      </c>
      <c r="I449" s="8">
        <v>1211.8499999999999</v>
      </c>
      <c r="J449">
        <v>62.85</v>
      </c>
      <c r="K449">
        <v>339</v>
      </c>
      <c r="L449" t="s">
        <v>30</v>
      </c>
      <c r="M449" t="s">
        <v>31</v>
      </c>
      <c r="N449" t="s">
        <v>102</v>
      </c>
      <c r="O449" s="23">
        <f>DATE(YEAR(Table1[[#This Row],[Order_Date]]), MONTH(Table1[[#This Row],[Order_Date]]), 1)</f>
        <v>45383</v>
      </c>
      <c r="Q449" s="5"/>
    </row>
    <row r="450" spans="1:17" x14ac:dyDescent="0.3">
      <c r="A450" t="s">
        <v>622</v>
      </c>
      <c r="B450" s="23" t="s">
        <v>56</v>
      </c>
      <c r="C450" t="s">
        <v>338</v>
      </c>
      <c r="D450" t="s">
        <v>36</v>
      </c>
      <c r="E450" t="s">
        <v>54</v>
      </c>
      <c r="F450" t="s">
        <v>43</v>
      </c>
      <c r="G450">
        <v>40</v>
      </c>
      <c r="H450" s="4">
        <v>32.54</v>
      </c>
      <c r="I450" s="8">
        <v>1301.5999999999999</v>
      </c>
      <c r="J450">
        <v>47.06</v>
      </c>
      <c r="K450">
        <v>454.54</v>
      </c>
      <c r="L450" t="s">
        <v>22</v>
      </c>
      <c r="M450" t="s">
        <v>31</v>
      </c>
      <c r="N450" t="s">
        <v>32</v>
      </c>
      <c r="O450" s="23">
        <f>DATE(YEAR(Table1[[#This Row],[Order_Date]]), MONTH(Table1[[#This Row],[Order_Date]]), 1)</f>
        <v>45444</v>
      </c>
      <c r="Q450" s="5"/>
    </row>
    <row r="451" spans="1:17" x14ac:dyDescent="0.3">
      <c r="A451" t="s">
        <v>623</v>
      </c>
      <c r="B451" s="23" t="s">
        <v>61</v>
      </c>
      <c r="C451" t="s">
        <v>100</v>
      </c>
      <c r="D451" t="s">
        <v>196</v>
      </c>
      <c r="E451" t="s">
        <v>58</v>
      </c>
      <c r="F451" t="s">
        <v>59</v>
      </c>
      <c r="G451">
        <v>26</v>
      </c>
      <c r="H451" s="4">
        <v>35.32</v>
      </c>
      <c r="I451" s="8">
        <v>918.32</v>
      </c>
      <c r="J451">
        <v>60.02</v>
      </c>
      <c r="K451">
        <v>273.3</v>
      </c>
      <c r="L451" t="s">
        <v>44</v>
      </c>
      <c r="M451" t="s">
        <v>23</v>
      </c>
      <c r="N451" t="s">
        <v>66</v>
      </c>
      <c r="O451" s="23">
        <f>DATE(YEAR(Table1[[#This Row],[Order_Date]]), MONTH(Table1[[#This Row],[Order_Date]]), 1)</f>
        <v>45778</v>
      </c>
      <c r="Q451" s="5"/>
    </row>
    <row r="452" spans="1:17" x14ac:dyDescent="0.3">
      <c r="A452" t="s">
        <v>624</v>
      </c>
      <c r="B452" s="23" t="s">
        <v>17</v>
      </c>
      <c r="C452" t="s">
        <v>110</v>
      </c>
      <c r="D452" t="s">
        <v>41</v>
      </c>
      <c r="E452" t="s">
        <v>73</v>
      </c>
      <c r="F452" t="s">
        <v>43</v>
      </c>
      <c r="G452">
        <v>16</v>
      </c>
      <c r="H452" s="4">
        <v>16.440000000000001</v>
      </c>
      <c r="I452" s="8">
        <v>263.04000000000002</v>
      </c>
      <c r="J452">
        <v>17.64</v>
      </c>
      <c r="K452">
        <v>41.4</v>
      </c>
      <c r="L452" t="s">
        <v>22</v>
      </c>
      <c r="M452" t="s">
        <v>23</v>
      </c>
      <c r="N452" t="s">
        <v>45</v>
      </c>
      <c r="O452" s="23">
        <f>DATE(YEAR(Table1[[#This Row],[Order_Date]]), MONTH(Table1[[#This Row],[Order_Date]]), 1)</f>
        <v>45658</v>
      </c>
      <c r="Q452" s="5"/>
    </row>
    <row r="453" spans="1:17" x14ac:dyDescent="0.3">
      <c r="A453" t="s">
        <v>625</v>
      </c>
      <c r="B453" s="23" t="s">
        <v>104</v>
      </c>
      <c r="C453" t="s">
        <v>245</v>
      </c>
      <c r="D453" t="s">
        <v>123</v>
      </c>
      <c r="E453" t="s">
        <v>98</v>
      </c>
      <c r="F453" t="s">
        <v>59</v>
      </c>
      <c r="G453">
        <v>39</v>
      </c>
      <c r="H453" s="4">
        <v>46.27</v>
      </c>
      <c r="I453" s="8">
        <v>1804.53</v>
      </c>
      <c r="J453">
        <v>38.57</v>
      </c>
      <c r="K453">
        <v>673.96</v>
      </c>
      <c r="L453" t="s">
        <v>44</v>
      </c>
      <c r="M453" t="s">
        <v>37</v>
      </c>
      <c r="N453" t="s">
        <v>32</v>
      </c>
      <c r="O453" s="23">
        <f>DATE(YEAR(Table1[[#This Row],[Order_Date]]), MONTH(Table1[[#This Row],[Order_Date]]), 1)</f>
        <v>45717</v>
      </c>
      <c r="Q453" s="5"/>
    </row>
    <row r="454" spans="1:17" x14ac:dyDescent="0.3">
      <c r="A454" t="s">
        <v>626</v>
      </c>
      <c r="B454" s="23" t="s">
        <v>39</v>
      </c>
      <c r="C454" t="s">
        <v>173</v>
      </c>
      <c r="D454" t="s">
        <v>28</v>
      </c>
      <c r="E454" t="s">
        <v>64</v>
      </c>
      <c r="F454" t="s">
        <v>65</v>
      </c>
      <c r="G454">
        <v>15</v>
      </c>
      <c r="H454" s="4">
        <v>33.22</v>
      </c>
      <c r="I454" s="8">
        <v>498.3</v>
      </c>
      <c r="J454">
        <v>36.85</v>
      </c>
      <c r="K454">
        <v>86.45</v>
      </c>
      <c r="L454" t="s">
        <v>44</v>
      </c>
      <c r="M454" t="s">
        <v>37</v>
      </c>
      <c r="N454" t="s">
        <v>32</v>
      </c>
      <c r="O454" s="23">
        <f>DATE(YEAR(Table1[[#This Row],[Order_Date]]), MONTH(Table1[[#This Row],[Order_Date]]), 1)</f>
        <v>45566</v>
      </c>
      <c r="Q454" s="5"/>
    </row>
    <row r="455" spans="1:17" x14ac:dyDescent="0.3">
      <c r="A455" t="s">
        <v>627</v>
      </c>
      <c r="B455" s="23" t="s">
        <v>56</v>
      </c>
      <c r="C455" t="s">
        <v>226</v>
      </c>
      <c r="D455" t="s">
        <v>101</v>
      </c>
      <c r="E455" t="s">
        <v>49</v>
      </c>
      <c r="F455" t="s">
        <v>50</v>
      </c>
      <c r="G455">
        <v>35</v>
      </c>
      <c r="H455" s="4">
        <v>71.02</v>
      </c>
      <c r="I455" s="8">
        <v>2485.6999999999998</v>
      </c>
      <c r="J455">
        <v>137.22</v>
      </c>
      <c r="K455">
        <v>948.48</v>
      </c>
      <c r="L455" t="s">
        <v>30</v>
      </c>
      <c r="M455" t="s">
        <v>31</v>
      </c>
      <c r="N455" t="s">
        <v>102</v>
      </c>
      <c r="O455" s="23">
        <f>DATE(YEAR(Table1[[#This Row],[Order_Date]]), MONTH(Table1[[#This Row],[Order_Date]]), 1)</f>
        <v>45444</v>
      </c>
      <c r="Q455" s="5"/>
    </row>
    <row r="456" spans="1:17" x14ac:dyDescent="0.3">
      <c r="A456" t="s">
        <v>628</v>
      </c>
      <c r="B456" s="23" t="s">
        <v>68</v>
      </c>
      <c r="C456" t="s">
        <v>119</v>
      </c>
      <c r="D456" t="s">
        <v>88</v>
      </c>
      <c r="E456" t="s">
        <v>98</v>
      </c>
      <c r="F456" t="s">
        <v>59</v>
      </c>
      <c r="G456">
        <v>2</v>
      </c>
      <c r="H456" s="4">
        <v>42.31</v>
      </c>
      <c r="I456" s="8">
        <v>84.62</v>
      </c>
      <c r="J456">
        <v>4.28</v>
      </c>
      <c r="K456">
        <v>24.34</v>
      </c>
      <c r="L456" t="s">
        <v>30</v>
      </c>
      <c r="M456" t="s">
        <v>31</v>
      </c>
      <c r="N456" t="s">
        <v>66</v>
      </c>
      <c r="O456" s="23">
        <f>DATE(YEAR(Table1[[#This Row],[Order_Date]]), MONTH(Table1[[#This Row],[Order_Date]]), 1)</f>
        <v>45536</v>
      </c>
      <c r="Q456" s="5"/>
    </row>
    <row r="457" spans="1:17" x14ac:dyDescent="0.3">
      <c r="A457" t="s">
        <v>629</v>
      </c>
      <c r="B457" s="23" t="s">
        <v>75</v>
      </c>
      <c r="C457" t="s">
        <v>108</v>
      </c>
      <c r="D457" t="s">
        <v>81</v>
      </c>
      <c r="E457" t="s">
        <v>64</v>
      </c>
      <c r="F457" t="s">
        <v>65</v>
      </c>
      <c r="G457">
        <v>8</v>
      </c>
      <c r="H457" s="4">
        <v>41.36</v>
      </c>
      <c r="I457" s="8">
        <v>330.88</v>
      </c>
      <c r="J457">
        <v>11.78</v>
      </c>
      <c r="K457">
        <v>119.1</v>
      </c>
      <c r="L457" t="s">
        <v>22</v>
      </c>
      <c r="M457" t="s">
        <v>23</v>
      </c>
      <c r="N457" t="s">
        <v>66</v>
      </c>
      <c r="O457" s="23">
        <f>DATE(YEAR(Table1[[#This Row],[Order_Date]]), MONTH(Table1[[#This Row],[Order_Date]]), 1)</f>
        <v>45748</v>
      </c>
      <c r="Q457" s="5"/>
    </row>
    <row r="458" spans="1:17" x14ac:dyDescent="0.3">
      <c r="A458" t="s">
        <v>630</v>
      </c>
      <c r="B458" s="23" t="s">
        <v>68</v>
      </c>
      <c r="C458" t="s">
        <v>139</v>
      </c>
      <c r="D458" t="s">
        <v>48</v>
      </c>
      <c r="E458" t="s">
        <v>29</v>
      </c>
      <c r="F458" t="s">
        <v>21</v>
      </c>
      <c r="G458">
        <v>3</v>
      </c>
      <c r="H458">
        <v>31.39</v>
      </c>
      <c r="I458">
        <v>94.17</v>
      </c>
      <c r="J458">
        <v>2.52</v>
      </c>
      <c r="K458">
        <v>37.65</v>
      </c>
      <c r="L458" t="s">
        <v>44</v>
      </c>
      <c r="M458" t="s">
        <v>37</v>
      </c>
      <c r="N458" t="s">
        <v>24</v>
      </c>
      <c r="O458" s="23">
        <f>DATE(YEAR(Table1[[#This Row],[Order_Date]]), MONTH(Table1[[#This Row],[Order_Date]]), 1)</f>
        <v>45536</v>
      </c>
      <c r="Q458" s="5"/>
    </row>
    <row r="459" spans="1:17" x14ac:dyDescent="0.3">
      <c r="A459" t="s">
        <v>631</v>
      </c>
      <c r="B459" s="23" t="s">
        <v>17</v>
      </c>
      <c r="C459" t="s">
        <v>164</v>
      </c>
      <c r="D459" t="s">
        <v>123</v>
      </c>
      <c r="E459" t="s">
        <v>58</v>
      </c>
      <c r="F459" t="s">
        <v>59</v>
      </c>
      <c r="G459">
        <v>48</v>
      </c>
      <c r="H459" s="4">
        <v>33.61</v>
      </c>
      <c r="I459" s="8">
        <v>1613.28</v>
      </c>
      <c r="J459">
        <v>109.92</v>
      </c>
      <c r="K459">
        <v>423.36</v>
      </c>
      <c r="L459" t="s">
        <v>22</v>
      </c>
      <c r="M459" t="s">
        <v>37</v>
      </c>
      <c r="N459" t="s">
        <v>32</v>
      </c>
      <c r="O459" s="23">
        <f>DATE(YEAR(Table1[[#This Row],[Order_Date]]), MONTH(Table1[[#This Row],[Order_Date]]), 1)</f>
        <v>45658</v>
      </c>
      <c r="Q459" s="5"/>
    </row>
    <row r="460" spans="1:17" x14ac:dyDescent="0.3">
      <c r="A460" t="s">
        <v>632</v>
      </c>
      <c r="B460" s="23" t="s">
        <v>83</v>
      </c>
      <c r="C460" t="s">
        <v>192</v>
      </c>
      <c r="D460" t="s">
        <v>170</v>
      </c>
      <c r="E460" t="s">
        <v>42</v>
      </c>
      <c r="F460" t="s">
        <v>43</v>
      </c>
      <c r="G460">
        <v>9</v>
      </c>
      <c r="H460" s="4">
        <v>50.29</v>
      </c>
      <c r="I460" s="8">
        <v>452.61</v>
      </c>
      <c r="J460">
        <v>32.93</v>
      </c>
      <c r="K460">
        <v>131.68</v>
      </c>
      <c r="L460" t="s">
        <v>30</v>
      </c>
      <c r="M460" t="s">
        <v>37</v>
      </c>
      <c r="N460" t="s">
        <v>32</v>
      </c>
      <c r="O460" s="23">
        <f>DATE(YEAR(Table1[[#This Row],[Order_Date]]), MONTH(Table1[[#This Row],[Order_Date]]), 1)</f>
        <v>45323</v>
      </c>
      <c r="Q460" s="5"/>
    </row>
    <row r="461" spans="1:17" x14ac:dyDescent="0.3">
      <c r="A461" t="s">
        <v>633</v>
      </c>
      <c r="B461" s="23" t="s">
        <v>39</v>
      </c>
      <c r="C461" t="s">
        <v>164</v>
      </c>
      <c r="D461" t="s">
        <v>19</v>
      </c>
      <c r="E461" t="s">
        <v>58</v>
      </c>
      <c r="F461" t="s">
        <v>59</v>
      </c>
      <c r="G461">
        <v>12</v>
      </c>
      <c r="H461" s="4">
        <v>34.96</v>
      </c>
      <c r="I461" s="8">
        <v>419.52</v>
      </c>
      <c r="J461">
        <v>15.43</v>
      </c>
      <c r="K461">
        <v>134.09</v>
      </c>
      <c r="L461" t="s">
        <v>30</v>
      </c>
      <c r="M461" t="s">
        <v>37</v>
      </c>
      <c r="N461" t="s">
        <v>24</v>
      </c>
      <c r="O461" s="23">
        <f>DATE(YEAR(Table1[[#This Row],[Order_Date]]), MONTH(Table1[[#This Row],[Order_Date]]), 1)</f>
        <v>45566</v>
      </c>
      <c r="Q461" s="5"/>
    </row>
    <row r="462" spans="1:17" x14ac:dyDescent="0.3">
      <c r="A462" t="s">
        <v>634</v>
      </c>
      <c r="B462" s="23" t="s">
        <v>26</v>
      </c>
      <c r="C462" t="s">
        <v>390</v>
      </c>
      <c r="D462" t="s">
        <v>147</v>
      </c>
      <c r="E462" t="s">
        <v>20</v>
      </c>
      <c r="F462" t="s">
        <v>21</v>
      </c>
      <c r="G462">
        <v>29</v>
      </c>
      <c r="H462" s="4">
        <v>52.72</v>
      </c>
      <c r="I462" s="8">
        <v>1528.88</v>
      </c>
      <c r="J462">
        <v>96.91</v>
      </c>
      <c r="K462">
        <v>416.97</v>
      </c>
      <c r="L462" t="s">
        <v>30</v>
      </c>
      <c r="M462" t="s">
        <v>37</v>
      </c>
      <c r="N462" t="s">
        <v>148</v>
      </c>
      <c r="O462" s="23">
        <f>DATE(YEAR(Table1[[#This Row],[Order_Date]]), MONTH(Table1[[#This Row],[Order_Date]]), 1)</f>
        <v>45689</v>
      </c>
      <c r="Q462" s="5"/>
    </row>
    <row r="463" spans="1:17" x14ac:dyDescent="0.3">
      <c r="A463" t="s">
        <v>635</v>
      </c>
      <c r="B463" s="23" t="s">
        <v>26</v>
      </c>
      <c r="C463" t="s">
        <v>349</v>
      </c>
      <c r="D463" t="s">
        <v>48</v>
      </c>
      <c r="E463" t="s">
        <v>69</v>
      </c>
      <c r="F463" t="s">
        <v>59</v>
      </c>
      <c r="G463">
        <v>39</v>
      </c>
      <c r="H463" s="4">
        <v>22.18</v>
      </c>
      <c r="I463" s="8">
        <v>865.02</v>
      </c>
      <c r="J463">
        <v>26.23</v>
      </c>
      <c r="K463">
        <v>234.29</v>
      </c>
      <c r="L463" t="s">
        <v>22</v>
      </c>
      <c r="M463" t="s">
        <v>37</v>
      </c>
      <c r="N463" t="s">
        <v>24</v>
      </c>
      <c r="O463" s="23">
        <f>DATE(YEAR(Table1[[#This Row],[Order_Date]]), MONTH(Table1[[#This Row],[Order_Date]]), 1)</f>
        <v>45689</v>
      </c>
      <c r="Q463" s="5"/>
    </row>
    <row r="464" spans="1:17" x14ac:dyDescent="0.3">
      <c r="A464" t="s">
        <v>636</v>
      </c>
      <c r="B464" s="23" t="s">
        <v>26</v>
      </c>
      <c r="C464" t="s">
        <v>342</v>
      </c>
      <c r="D464" t="s">
        <v>81</v>
      </c>
      <c r="E464" t="s">
        <v>69</v>
      </c>
      <c r="F464" t="s">
        <v>59</v>
      </c>
      <c r="G464">
        <v>11</v>
      </c>
      <c r="H464" s="4">
        <v>21.4</v>
      </c>
      <c r="I464" s="8">
        <v>235.4</v>
      </c>
      <c r="J464">
        <v>11.64</v>
      </c>
      <c r="K464">
        <v>53.26</v>
      </c>
      <c r="L464" t="s">
        <v>22</v>
      </c>
      <c r="M464" t="s">
        <v>37</v>
      </c>
      <c r="N464" t="s">
        <v>66</v>
      </c>
      <c r="O464" s="23">
        <f>DATE(YEAR(Table1[[#This Row],[Order_Date]]), MONTH(Table1[[#This Row],[Order_Date]]), 1)</f>
        <v>45689</v>
      </c>
      <c r="Q464" s="5"/>
    </row>
    <row r="465" spans="1:17" x14ac:dyDescent="0.3">
      <c r="A465" t="s">
        <v>637</v>
      </c>
      <c r="B465" s="23" t="s">
        <v>34</v>
      </c>
      <c r="C465" t="s">
        <v>310</v>
      </c>
      <c r="D465" t="s">
        <v>81</v>
      </c>
      <c r="E465" t="s">
        <v>64</v>
      </c>
      <c r="F465" t="s">
        <v>65</v>
      </c>
      <c r="G465">
        <v>21</v>
      </c>
      <c r="H465" s="4">
        <v>36.26</v>
      </c>
      <c r="I465" s="8">
        <v>761.46</v>
      </c>
      <c r="J465">
        <v>56.99</v>
      </c>
      <c r="K465">
        <v>179.47</v>
      </c>
      <c r="L465" t="s">
        <v>30</v>
      </c>
      <c r="M465" t="s">
        <v>23</v>
      </c>
      <c r="N465" t="s">
        <v>66</v>
      </c>
      <c r="O465" s="23">
        <f>DATE(YEAR(Table1[[#This Row],[Order_Date]]), MONTH(Table1[[#This Row],[Order_Date]]), 1)</f>
        <v>45383</v>
      </c>
      <c r="Q465" s="5"/>
    </row>
    <row r="466" spans="1:17" x14ac:dyDescent="0.3">
      <c r="A466" t="s">
        <v>638</v>
      </c>
      <c r="B466" s="23" t="s">
        <v>39</v>
      </c>
      <c r="C466" t="s">
        <v>226</v>
      </c>
      <c r="D466" t="s">
        <v>63</v>
      </c>
      <c r="E466" t="s">
        <v>58</v>
      </c>
      <c r="F466" t="s">
        <v>59</v>
      </c>
      <c r="G466">
        <v>39</v>
      </c>
      <c r="H466" s="4">
        <v>35.409999999999997</v>
      </c>
      <c r="I466" s="8">
        <v>1380.99</v>
      </c>
      <c r="J466">
        <v>84.56</v>
      </c>
      <c r="K466">
        <v>418.93</v>
      </c>
      <c r="L466" t="s">
        <v>30</v>
      </c>
      <c r="M466" t="s">
        <v>23</v>
      </c>
      <c r="N466" t="s">
        <v>66</v>
      </c>
      <c r="O466" s="23">
        <f>DATE(YEAR(Table1[[#This Row],[Order_Date]]), MONTH(Table1[[#This Row],[Order_Date]]), 1)</f>
        <v>45566</v>
      </c>
      <c r="Q466" s="5"/>
    </row>
    <row r="467" spans="1:17" x14ac:dyDescent="0.3">
      <c r="A467" t="s">
        <v>639</v>
      </c>
      <c r="B467" s="23" t="s">
        <v>34</v>
      </c>
      <c r="C467" t="s">
        <v>127</v>
      </c>
      <c r="D467" t="s">
        <v>63</v>
      </c>
      <c r="E467" t="s">
        <v>29</v>
      </c>
      <c r="F467" t="s">
        <v>21</v>
      </c>
      <c r="G467">
        <v>13</v>
      </c>
      <c r="H467" s="4">
        <v>27.35</v>
      </c>
      <c r="I467" s="8">
        <v>355.55</v>
      </c>
      <c r="J467">
        <v>26.23</v>
      </c>
      <c r="K467">
        <v>95.32</v>
      </c>
      <c r="L467" t="s">
        <v>30</v>
      </c>
      <c r="M467" t="s">
        <v>37</v>
      </c>
      <c r="N467" t="s">
        <v>66</v>
      </c>
      <c r="O467" s="23">
        <f>DATE(YEAR(Table1[[#This Row],[Order_Date]]), MONTH(Table1[[#This Row],[Order_Date]]), 1)</f>
        <v>45383</v>
      </c>
      <c r="Q467" s="5"/>
    </row>
    <row r="468" spans="1:17" x14ac:dyDescent="0.3">
      <c r="A468" t="s">
        <v>640</v>
      </c>
      <c r="B468" s="23" t="s">
        <v>157</v>
      </c>
      <c r="C468" t="s">
        <v>108</v>
      </c>
      <c r="D468" t="s">
        <v>41</v>
      </c>
      <c r="E468" t="s">
        <v>73</v>
      </c>
      <c r="F468" t="s">
        <v>43</v>
      </c>
      <c r="G468">
        <v>40</v>
      </c>
      <c r="H468" s="4">
        <v>21.08</v>
      </c>
      <c r="I468" s="8">
        <v>843.2</v>
      </c>
      <c r="J468">
        <v>66.81</v>
      </c>
      <c r="K468">
        <v>266.39</v>
      </c>
      <c r="L468" t="s">
        <v>44</v>
      </c>
      <c r="M468" t="s">
        <v>31</v>
      </c>
      <c r="N468" t="s">
        <v>45</v>
      </c>
      <c r="O468" s="23">
        <f>DATE(YEAR(Table1[[#This Row],[Order_Date]]), MONTH(Table1[[#This Row],[Order_Date]]), 1)</f>
        <v>45292</v>
      </c>
      <c r="Q468" s="5"/>
    </row>
    <row r="469" spans="1:17" x14ac:dyDescent="0.3">
      <c r="A469" t="s">
        <v>641</v>
      </c>
      <c r="B469" s="23" t="s">
        <v>39</v>
      </c>
      <c r="C469" t="s">
        <v>390</v>
      </c>
      <c r="D469" t="s">
        <v>53</v>
      </c>
      <c r="E469" t="s">
        <v>69</v>
      </c>
      <c r="F469" t="s">
        <v>59</v>
      </c>
      <c r="G469">
        <v>47</v>
      </c>
      <c r="H469" s="4">
        <v>27.54</v>
      </c>
      <c r="I469" s="8">
        <v>1294.3800000000001</v>
      </c>
      <c r="J469">
        <v>62.78</v>
      </c>
      <c r="K469">
        <v>503.1</v>
      </c>
      <c r="L469" t="s">
        <v>22</v>
      </c>
      <c r="M469" t="s">
        <v>23</v>
      </c>
      <c r="N469" t="s">
        <v>24</v>
      </c>
      <c r="O469" s="23">
        <f>DATE(YEAR(Table1[[#This Row],[Order_Date]]), MONTH(Table1[[#This Row],[Order_Date]]), 1)</f>
        <v>45566</v>
      </c>
      <c r="Q469" s="5"/>
    </row>
    <row r="470" spans="1:17" x14ac:dyDescent="0.3">
      <c r="A470" t="s">
        <v>642</v>
      </c>
      <c r="B470" s="23" t="s">
        <v>86</v>
      </c>
      <c r="C470" t="s">
        <v>40</v>
      </c>
      <c r="D470" t="s">
        <v>196</v>
      </c>
      <c r="E470" t="s">
        <v>42</v>
      </c>
      <c r="F470" t="s">
        <v>43</v>
      </c>
      <c r="G470">
        <v>16</v>
      </c>
      <c r="H470" s="4">
        <v>45.08</v>
      </c>
      <c r="I470" s="8">
        <v>721.28</v>
      </c>
      <c r="J470">
        <v>21.61</v>
      </c>
      <c r="K470">
        <v>187.67</v>
      </c>
      <c r="L470" t="s">
        <v>30</v>
      </c>
      <c r="M470" t="s">
        <v>37</v>
      </c>
      <c r="N470" t="s">
        <v>66</v>
      </c>
      <c r="O470" s="23">
        <f>DATE(YEAR(Table1[[#This Row],[Order_Date]]), MONTH(Table1[[#This Row],[Order_Date]]), 1)</f>
        <v>45352</v>
      </c>
      <c r="Q470" s="5"/>
    </row>
    <row r="471" spans="1:17" x14ac:dyDescent="0.3">
      <c r="A471" t="s">
        <v>643</v>
      </c>
      <c r="B471" s="23" t="s">
        <v>75</v>
      </c>
      <c r="C471" t="s">
        <v>141</v>
      </c>
      <c r="D471" t="s">
        <v>88</v>
      </c>
      <c r="E471" t="s">
        <v>58</v>
      </c>
      <c r="F471" t="s">
        <v>59</v>
      </c>
      <c r="G471">
        <v>37</v>
      </c>
      <c r="H471" s="4">
        <v>33.200000000000003</v>
      </c>
      <c r="I471" s="8">
        <v>1228.4000000000001</v>
      </c>
      <c r="J471">
        <v>41.34</v>
      </c>
      <c r="K471">
        <v>354.56</v>
      </c>
      <c r="L471" t="s">
        <v>44</v>
      </c>
      <c r="M471" t="s">
        <v>31</v>
      </c>
      <c r="N471" t="s">
        <v>66</v>
      </c>
      <c r="O471" s="23">
        <f>DATE(YEAR(Table1[[#This Row],[Order_Date]]), MONTH(Table1[[#This Row],[Order_Date]]), 1)</f>
        <v>45748</v>
      </c>
      <c r="Q471" s="5"/>
    </row>
    <row r="472" spans="1:17" x14ac:dyDescent="0.3">
      <c r="A472" t="s">
        <v>644</v>
      </c>
      <c r="B472" s="23" t="s">
        <v>78</v>
      </c>
      <c r="C472" t="s">
        <v>18</v>
      </c>
      <c r="D472" t="s">
        <v>88</v>
      </c>
      <c r="E472" t="s">
        <v>29</v>
      </c>
      <c r="F472" t="s">
        <v>21</v>
      </c>
      <c r="G472">
        <v>8</v>
      </c>
      <c r="H472" s="4">
        <v>27.31</v>
      </c>
      <c r="I472" s="8">
        <v>218.48</v>
      </c>
      <c r="J472">
        <v>9.51</v>
      </c>
      <c r="K472">
        <v>64.97</v>
      </c>
      <c r="L472" t="s">
        <v>44</v>
      </c>
      <c r="M472" t="s">
        <v>23</v>
      </c>
      <c r="N472" t="s">
        <v>66</v>
      </c>
      <c r="O472" s="23">
        <f>DATE(YEAR(Table1[[#This Row],[Order_Date]]), MONTH(Table1[[#This Row],[Order_Date]]), 1)</f>
        <v>45627</v>
      </c>
      <c r="Q472" s="5"/>
    </row>
    <row r="473" spans="1:17" x14ac:dyDescent="0.3">
      <c r="A473" t="s">
        <v>645</v>
      </c>
      <c r="B473" s="23" t="s">
        <v>34</v>
      </c>
      <c r="C473" t="s">
        <v>114</v>
      </c>
      <c r="D473" t="s">
        <v>101</v>
      </c>
      <c r="E473" t="s">
        <v>29</v>
      </c>
      <c r="F473" t="s">
        <v>21</v>
      </c>
      <c r="G473">
        <v>19</v>
      </c>
      <c r="H473" s="4">
        <v>29.14</v>
      </c>
      <c r="I473" s="8">
        <v>553.66</v>
      </c>
      <c r="J473">
        <v>19.7</v>
      </c>
      <c r="K473">
        <v>191.96</v>
      </c>
      <c r="L473" t="s">
        <v>22</v>
      </c>
      <c r="M473" t="s">
        <v>31</v>
      </c>
      <c r="N473" t="s">
        <v>102</v>
      </c>
      <c r="O473" s="23">
        <f>DATE(YEAR(Table1[[#This Row],[Order_Date]]), MONTH(Table1[[#This Row],[Order_Date]]), 1)</f>
        <v>45383</v>
      </c>
      <c r="Q473" s="5"/>
    </row>
    <row r="474" spans="1:17" x14ac:dyDescent="0.3">
      <c r="A474" t="s">
        <v>646</v>
      </c>
      <c r="B474" s="23" t="s">
        <v>68</v>
      </c>
      <c r="C474" t="s">
        <v>228</v>
      </c>
      <c r="D474" t="s">
        <v>81</v>
      </c>
      <c r="E474" t="s">
        <v>20</v>
      </c>
      <c r="F474" t="s">
        <v>21</v>
      </c>
      <c r="G474">
        <v>6</v>
      </c>
      <c r="H474" s="4">
        <v>55.41</v>
      </c>
      <c r="I474" s="8">
        <v>332.46</v>
      </c>
      <c r="J474">
        <v>15.57</v>
      </c>
      <c r="K474">
        <v>106.89</v>
      </c>
      <c r="L474" t="s">
        <v>22</v>
      </c>
      <c r="M474" t="s">
        <v>23</v>
      </c>
      <c r="N474" t="s">
        <v>66</v>
      </c>
      <c r="O474" s="23">
        <f>DATE(YEAR(Table1[[#This Row],[Order_Date]]), MONTH(Table1[[#This Row],[Order_Date]]), 1)</f>
        <v>45536</v>
      </c>
      <c r="Q474" s="5"/>
    </row>
    <row r="475" spans="1:17" x14ac:dyDescent="0.3">
      <c r="A475" t="s">
        <v>647</v>
      </c>
      <c r="B475" s="23" t="s">
        <v>75</v>
      </c>
      <c r="C475" t="s">
        <v>212</v>
      </c>
      <c r="D475" t="s">
        <v>88</v>
      </c>
      <c r="E475" t="s">
        <v>29</v>
      </c>
      <c r="F475" t="s">
        <v>21</v>
      </c>
      <c r="G475">
        <v>48</v>
      </c>
      <c r="H475" s="4">
        <v>29.07</v>
      </c>
      <c r="I475" s="8">
        <v>1395.36</v>
      </c>
      <c r="J475">
        <v>70.38</v>
      </c>
      <c r="K475">
        <v>460.98</v>
      </c>
      <c r="L475" t="s">
        <v>30</v>
      </c>
      <c r="M475" t="s">
        <v>37</v>
      </c>
      <c r="N475" t="s">
        <v>66</v>
      </c>
      <c r="O475" s="23">
        <f>DATE(YEAR(Table1[[#This Row],[Order_Date]]), MONTH(Table1[[#This Row],[Order_Date]]), 1)</f>
        <v>45748</v>
      </c>
      <c r="Q475" s="5"/>
    </row>
    <row r="476" spans="1:17" x14ac:dyDescent="0.3">
      <c r="A476" t="s">
        <v>648</v>
      </c>
      <c r="B476" s="23" t="s">
        <v>107</v>
      </c>
      <c r="C476" t="s">
        <v>305</v>
      </c>
      <c r="D476" t="s">
        <v>41</v>
      </c>
      <c r="E476" t="s">
        <v>58</v>
      </c>
      <c r="F476" t="s">
        <v>59</v>
      </c>
      <c r="G476">
        <v>26</v>
      </c>
      <c r="H476" s="4">
        <v>27.17</v>
      </c>
      <c r="I476" s="8">
        <v>706.42</v>
      </c>
      <c r="J476">
        <v>33.94</v>
      </c>
      <c r="K476">
        <v>87.48</v>
      </c>
      <c r="L476" t="s">
        <v>44</v>
      </c>
      <c r="M476" t="s">
        <v>31</v>
      </c>
      <c r="N476" t="s">
        <v>45</v>
      </c>
      <c r="O476" s="23">
        <f>DATE(YEAR(Table1[[#This Row],[Order_Date]]), MONTH(Table1[[#This Row],[Order_Date]]), 1)</f>
        <v>45413</v>
      </c>
      <c r="Q476" s="5"/>
    </row>
    <row r="477" spans="1:17" x14ac:dyDescent="0.3">
      <c r="A477" t="s">
        <v>649</v>
      </c>
      <c r="B477" s="23" t="s">
        <v>107</v>
      </c>
      <c r="C477" t="s">
        <v>122</v>
      </c>
      <c r="D477" t="s">
        <v>91</v>
      </c>
      <c r="E477" t="s">
        <v>20</v>
      </c>
      <c r="F477" t="s">
        <v>21</v>
      </c>
      <c r="G477">
        <v>9</v>
      </c>
      <c r="H477" s="4">
        <v>48.76</v>
      </c>
      <c r="I477" s="8">
        <v>438.84</v>
      </c>
      <c r="J477">
        <v>16.91</v>
      </c>
      <c r="K477">
        <v>106.93</v>
      </c>
      <c r="L477" t="s">
        <v>44</v>
      </c>
      <c r="M477" t="s">
        <v>23</v>
      </c>
      <c r="N477" t="s">
        <v>66</v>
      </c>
      <c r="O477" s="23">
        <f>DATE(YEAR(Table1[[#This Row],[Order_Date]]), MONTH(Table1[[#This Row],[Order_Date]]), 1)</f>
        <v>45413</v>
      </c>
      <c r="Q477" s="5"/>
    </row>
    <row r="478" spans="1:17" x14ac:dyDescent="0.3">
      <c r="A478" t="s">
        <v>651</v>
      </c>
      <c r="B478" s="23" t="s">
        <v>157</v>
      </c>
      <c r="C478" t="s">
        <v>245</v>
      </c>
      <c r="D478" t="s">
        <v>28</v>
      </c>
      <c r="E478" t="s">
        <v>58</v>
      </c>
      <c r="F478" t="s">
        <v>59</v>
      </c>
      <c r="G478">
        <v>37</v>
      </c>
      <c r="H478" s="4">
        <v>33.21</v>
      </c>
      <c r="I478" s="8">
        <v>1228.77</v>
      </c>
      <c r="J478">
        <v>96.12</v>
      </c>
      <c r="K478">
        <v>300.14999999999998</v>
      </c>
      <c r="L478" t="s">
        <v>44</v>
      </c>
      <c r="M478" t="s">
        <v>31</v>
      </c>
      <c r="N478" t="s">
        <v>32</v>
      </c>
      <c r="O478" s="23">
        <f>DATE(YEAR(Table1[[#This Row],[Order_Date]]), MONTH(Table1[[#This Row],[Order_Date]]), 1)</f>
        <v>45292</v>
      </c>
      <c r="Q478" s="5"/>
    </row>
    <row r="479" spans="1:17" x14ac:dyDescent="0.3">
      <c r="A479" t="s">
        <v>653</v>
      </c>
      <c r="B479" s="23" t="s">
        <v>56</v>
      </c>
      <c r="C479" t="s">
        <v>122</v>
      </c>
      <c r="D479" t="s">
        <v>41</v>
      </c>
      <c r="E479" t="s">
        <v>73</v>
      </c>
      <c r="F479" t="s">
        <v>43</v>
      </c>
      <c r="G479">
        <v>29</v>
      </c>
      <c r="H479" s="4">
        <v>16.54</v>
      </c>
      <c r="I479" s="8">
        <v>479.66</v>
      </c>
      <c r="J479">
        <v>30.23</v>
      </c>
      <c r="K479">
        <v>79.680000000000007</v>
      </c>
      <c r="L479" t="s">
        <v>30</v>
      </c>
      <c r="M479" t="s">
        <v>37</v>
      </c>
      <c r="N479" t="s">
        <v>45</v>
      </c>
      <c r="O479" s="23">
        <f>DATE(YEAR(Table1[[#This Row],[Order_Date]]), MONTH(Table1[[#This Row],[Order_Date]]), 1)</f>
        <v>45444</v>
      </c>
      <c r="Q479" s="5"/>
    </row>
    <row r="480" spans="1:17" x14ac:dyDescent="0.3">
      <c r="A480" t="s">
        <v>655</v>
      </c>
      <c r="B480" s="23" t="s">
        <v>75</v>
      </c>
      <c r="C480" t="s">
        <v>90</v>
      </c>
      <c r="D480" t="s">
        <v>147</v>
      </c>
      <c r="E480" t="s">
        <v>64</v>
      </c>
      <c r="F480" t="s">
        <v>65</v>
      </c>
      <c r="G480">
        <v>11</v>
      </c>
      <c r="H480" s="4">
        <v>44.56</v>
      </c>
      <c r="I480" s="8">
        <v>490.16</v>
      </c>
      <c r="J480">
        <v>23.97</v>
      </c>
      <c r="K480">
        <v>191.19</v>
      </c>
      <c r="L480" t="s">
        <v>30</v>
      </c>
      <c r="M480" t="s">
        <v>37</v>
      </c>
      <c r="N480" t="s">
        <v>148</v>
      </c>
      <c r="O480" s="23">
        <f>DATE(YEAR(Table1[[#This Row],[Order_Date]]), MONTH(Table1[[#This Row],[Order_Date]]), 1)</f>
        <v>45748</v>
      </c>
      <c r="Q480" s="5"/>
    </row>
    <row r="481" spans="1:17" x14ac:dyDescent="0.3">
      <c r="A481" t="s">
        <v>657</v>
      </c>
      <c r="B481" s="23" t="s">
        <v>132</v>
      </c>
      <c r="C481" t="s">
        <v>57</v>
      </c>
      <c r="D481" t="s">
        <v>53</v>
      </c>
      <c r="E481" t="s">
        <v>42</v>
      </c>
      <c r="F481" t="s">
        <v>43</v>
      </c>
      <c r="G481">
        <v>50</v>
      </c>
      <c r="H481" s="4">
        <v>44.78</v>
      </c>
      <c r="I481" s="8">
        <v>2239</v>
      </c>
      <c r="J481">
        <v>169.97</v>
      </c>
      <c r="K481">
        <v>469.03</v>
      </c>
      <c r="L481" t="s">
        <v>22</v>
      </c>
      <c r="M481" t="s">
        <v>37</v>
      </c>
      <c r="N481" t="s">
        <v>24</v>
      </c>
      <c r="O481" s="23">
        <f>DATE(YEAR(Table1[[#This Row],[Order_Date]]), MONTH(Table1[[#This Row],[Order_Date]]), 1)</f>
        <v>45597</v>
      </c>
      <c r="Q481" s="5"/>
    </row>
    <row r="482" spans="1:17" x14ac:dyDescent="0.3">
      <c r="A482" t="s">
        <v>659</v>
      </c>
      <c r="B482" s="23" t="s">
        <v>78</v>
      </c>
      <c r="C482" t="s">
        <v>87</v>
      </c>
      <c r="D482" t="s">
        <v>19</v>
      </c>
      <c r="E482" t="s">
        <v>29</v>
      </c>
      <c r="F482" t="s">
        <v>21</v>
      </c>
      <c r="G482">
        <v>30</v>
      </c>
      <c r="H482">
        <v>22.51</v>
      </c>
      <c r="I482">
        <v>675.3</v>
      </c>
      <c r="J482">
        <v>26.26</v>
      </c>
      <c r="K482">
        <v>109.04</v>
      </c>
      <c r="L482" t="s">
        <v>22</v>
      </c>
      <c r="M482" t="s">
        <v>23</v>
      </c>
      <c r="N482" t="s">
        <v>24</v>
      </c>
      <c r="O482" s="23">
        <f>DATE(YEAR(Table1[[#This Row],[Order_Date]]), MONTH(Table1[[#This Row],[Order_Date]]), 1)</f>
        <v>45627</v>
      </c>
      <c r="Q482" s="5"/>
    </row>
    <row r="483" spans="1:17" x14ac:dyDescent="0.3">
      <c r="A483" t="s">
        <v>661</v>
      </c>
      <c r="B483" s="23" t="s">
        <v>86</v>
      </c>
      <c r="C483" t="s">
        <v>265</v>
      </c>
      <c r="D483" t="s">
        <v>147</v>
      </c>
      <c r="E483" t="s">
        <v>69</v>
      </c>
      <c r="F483" t="s">
        <v>59</v>
      </c>
      <c r="G483">
        <v>50</v>
      </c>
      <c r="H483" s="4">
        <v>27.18</v>
      </c>
      <c r="I483" s="8">
        <v>1359</v>
      </c>
      <c r="J483">
        <v>45.67</v>
      </c>
      <c r="K483">
        <v>538.33000000000004</v>
      </c>
      <c r="L483" t="s">
        <v>22</v>
      </c>
      <c r="M483" t="s">
        <v>37</v>
      </c>
      <c r="N483" t="s">
        <v>148</v>
      </c>
      <c r="O483" s="23">
        <f>DATE(YEAR(Table1[[#This Row],[Order_Date]]), MONTH(Table1[[#This Row],[Order_Date]]), 1)</f>
        <v>45352</v>
      </c>
      <c r="Q483" s="5"/>
    </row>
    <row r="484" spans="1:17" x14ac:dyDescent="0.3">
      <c r="A484" t="s">
        <v>663</v>
      </c>
      <c r="B484" s="23" t="s">
        <v>68</v>
      </c>
      <c r="C484" t="s">
        <v>153</v>
      </c>
      <c r="D484" t="s">
        <v>36</v>
      </c>
      <c r="E484" t="s">
        <v>98</v>
      </c>
      <c r="F484" t="s">
        <v>59</v>
      </c>
      <c r="G484">
        <v>28</v>
      </c>
      <c r="H484" s="4">
        <v>37.51</v>
      </c>
      <c r="I484" s="8">
        <v>1050.28</v>
      </c>
      <c r="J484">
        <v>45.83</v>
      </c>
      <c r="K484">
        <v>220.45</v>
      </c>
      <c r="L484" t="s">
        <v>44</v>
      </c>
      <c r="M484" t="s">
        <v>31</v>
      </c>
      <c r="N484" t="s">
        <v>32</v>
      </c>
      <c r="O484" s="23">
        <f>DATE(YEAR(Table1[[#This Row],[Order_Date]]), MONTH(Table1[[#This Row],[Order_Date]]), 1)</f>
        <v>45536</v>
      </c>
      <c r="Q484" s="5"/>
    </row>
    <row r="485" spans="1:17" x14ac:dyDescent="0.3">
      <c r="A485" t="s">
        <v>665</v>
      </c>
      <c r="B485" s="23" t="s">
        <v>86</v>
      </c>
      <c r="C485" t="s">
        <v>79</v>
      </c>
      <c r="D485" t="s">
        <v>147</v>
      </c>
      <c r="E485" t="s">
        <v>49</v>
      </c>
      <c r="F485" t="s">
        <v>50</v>
      </c>
      <c r="G485">
        <v>50</v>
      </c>
      <c r="H485" s="4">
        <v>53.71</v>
      </c>
      <c r="I485" s="8">
        <v>2685.5</v>
      </c>
      <c r="J485">
        <v>197.89</v>
      </c>
      <c r="K485">
        <v>487.61</v>
      </c>
      <c r="L485" t="s">
        <v>30</v>
      </c>
      <c r="M485" t="s">
        <v>37</v>
      </c>
      <c r="N485" t="s">
        <v>148</v>
      </c>
      <c r="O485" s="23">
        <f>DATE(YEAR(Table1[[#This Row],[Order_Date]]), MONTH(Table1[[#This Row],[Order_Date]]), 1)</f>
        <v>45352</v>
      </c>
      <c r="Q485" s="5"/>
    </row>
    <row r="486" spans="1:17" x14ac:dyDescent="0.3">
      <c r="A486" t="s">
        <v>667</v>
      </c>
      <c r="B486" s="23" t="s">
        <v>78</v>
      </c>
      <c r="C486" t="s">
        <v>418</v>
      </c>
      <c r="D486" t="s">
        <v>101</v>
      </c>
      <c r="E486" t="s">
        <v>69</v>
      </c>
      <c r="F486" t="s">
        <v>59</v>
      </c>
      <c r="G486">
        <v>24</v>
      </c>
      <c r="H486" s="4">
        <v>18.62</v>
      </c>
      <c r="I486" s="8">
        <v>446.88</v>
      </c>
      <c r="J486">
        <v>26.91</v>
      </c>
      <c r="K486">
        <v>47.97</v>
      </c>
      <c r="L486" t="s">
        <v>30</v>
      </c>
      <c r="M486" t="s">
        <v>31</v>
      </c>
      <c r="N486" t="s">
        <v>102</v>
      </c>
      <c r="O486" s="23">
        <f>DATE(YEAR(Table1[[#This Row],[Order_Date]]), MONTH(Table1[[#This Row],[Order_Date]]), 1)</f>
        <v>45627</v>
      </c>
      <c r="Q486" s="5"/>
    </row>
    <row r="487" spans="1:17" x14ac:dyDescent="0.3">
      <c r="A487" t="s">
        <v>669</v>
      </c>
      <c r="B487" s="23" t="s">
        <v>17</v>
      </c>
      <c r="C487" t="s">
        <v>202</v>
      </c>
      <c r="D487" t="s">
        <v>81</v>
      </c>
      <c r="E487" t="s">
        <v>49</v>
      </c>
      <c r="F487" t="s">
        <v>50</v>
      </c>
      <c r="G487">
        <v>10</v>
      </c>
      <c r="H487" s="4">
        <v>49.15</v>
      </c>
      <c r="I487" s="8">
        <v>491.5</v>
      </c>
      <c r="J487">
        <v>13.3</v>
      </c>
      <c r="K487">
        <v>78.2</v>
      </c>
      <c r="L487" t="s">
        <v>44</v>
      </c>
      <c r="M487" t="s">
        <v>37</v>
      </c>
      <c r="N487" t="s">
        <v>66</v>
      </c>
      <c r="O487" s="23">
        <f>DATE(YEAR(Table1[[#This Row],[Order_Date]]), MONTH(Table1[[#This Row],[Order_Date]]), 1)</f>
        <v>45658</v>
      </c>
      <c r="Q487" s="5"/>
    </row>
    <row r="488" spans="1:17" x14ac:dyDescent="0.3">
      <c r="A488" t="s">
        <v>671</v>
      </c>
      <c r="B488" s="23" t="s">
        <v>78</v>
      </c>
      <c r="C488" t="s">
        <v>226</v>
      </c>
      <c r="D488" t="s">
        <v>63</v>
      </c>
      <c r="E488" t="s">
        <v>49</v>
      </c>
      <c r="F488" t="s">
        <v>50</v>
      </c>
      <c r="G488">
        <v>42</v>
      </c>
      <c r="H488" s="4">
        <v>50.96</v>
      </c>
      <c r="I488" s="8">
        <v>2140.3200000000002</v>
      </c>
      <c r="J488">
        <v>127.85</v>
      </c>
      <c r="K488">
        <v>332.47</v>
      </c>
      <c r="L488" t="s">
        <v>22</v>
      </c>
      <c r="M488" t="s">
        <v>31</v>
      </c>
      <c r="N488" t="s">
        <v>66</v>
      </c>
      <c r="O488" s="23">
        <f>DATE(YEAR(Table1[[#This Row],[Order_Date]]), MONTH(Table1[[#This Row],[Order_Date]]), 1)</f>
        <v>45627</v>
      </c>
      <c r="Q488" s="5"/>
    </row>
    <row r="489" spans="1:17" x14ac:dyDescent="0.3">
      <c r="A489" t="s">
        <v>673</v>
      </c>
      <c r="B489" s="23" t="s">
        <v>157</v>
      </c>
      <c r="C489" t="s">
        <v>223</v>
      </c>
      <c r="D489" t="s">
        <v>63</v>
      </c>
      <c r="E489" t="s">
        <v>64</v>
      </c>
      <c r="F489" t="s">
        <v>65</v>
      </c>
      <c r="G489">
        <v>39</v>
      </c>
      <c r="H489" s="4">
        <v>37.46</v>
      </c>
      <c r="I489" s="8">
        <v>1460.94</v>
      </c>
      <c r="J489">
        <v>82.25</v>
      </c>
      <c r="K489">
        <v>403.69</v>
      </c>
      <c r="L489" t="s">
        <v>44</v>
      </c>
      <c r="M489" t="s">
        <v>23</v>
      </c>
      <c r="N489" t="s">
        <v>66</v>
      </c>
      <c r="O489" s="23">
        <f>DATE(YEAR(Table1[[#This Row],[Order_Date]]), MONTH(Table1[[#This Row],[Order_Date]]), 1)</f>
        <v>45292</v>
      </c>
      <c r="Q489" s="5"/>
    </row>
    <row r="490" spans="1:17" x14ac:dyDescent="0.3">
      <c r="A490" t="s">
        <v>675</v>
      </c>
      <c r="B490" s="23" t="s">
        <v>61</v>
      </c>
      <c r="C490" t="s">
        <v>125</v>
      </c>
      <c r="D490" t="s">
        <v>123</v>
      </c>
      <c r="E490" t="s">
        <v>73</v>
      </c>
      <c r="F490" t="s">
        <v>43</v>
      </c>
      <c r="G490">
        <v>7</v>
      </c>
      <c r="H490" s="4">
        <v>20.2</v>
      </c>
      <c r="I490" s="8">
        <v>141.4</v>
      </c>
      <c r="J490">
        <v>4.3499999999999996</v>
      </c>
      <c r="K490">
        <v>47.8</v>
      </c>
      <c r="L490" t="s">
        <v>30</v>
      </c>
      <c r="M490" t="s">
        <v>37</v>
      </c>
      <c r="N490" t="s">
        <v>32</v>
      </c>
      <c r="O490" s="23">
        <f>DATE(YEAR(Table1[[#This Row],[Order_Date]]), MONTH(Table1[[#This Row],[Order_Date]]), 1)</f>
        <v>45778</v>
      </c>
      <c r="Q490" s="5"/>
    </row>
    <row r="491" spans="1:17" x14ac:dyDescent="0.3">
      <c r="A491" t="s">
        <v>677</v>
      </c>
      <c r="B491" s="23" t="s">
        <v>68</v>
      </c>
      <c r="C491" t="s">
        <v>141</v>
      </c>
      <c r="D491" t="s">
        <v>48</v>
      </c>
      <c r="E491" t="s">
        <v>73</v>
      </c>
      <c r="F491" t="s">
        <v>43</v>
      </c>
      <c r="G491">
        <v>18</v>
      </c>
      <c r="H491" s="4">
        <v>18.63</v>
      </c>
      <c r="I491" s="8">
        <v>335.34</v>
      </c>
      <c r="J491">
        <v>26.18</v>
      </c>
      <c r="K491">
        <v>79.66</v>
      </c>
      <c r="L491" t="s">
        <v>30</v>
      </c>
      <c r="M491" t="s">
        <v>23</v>
      </c>
      <c r="N491" t="s">
        <v>24</v>
      </c>
      <c r="O491" s="23">
        <f>DATE(YEAR(Table1[[#This Row],[Order_Date]]), MONTH(Table1[[#This Row],[Order_Date]]), 1)</f>
        <v>45536</v>
      </c>
      <c r="Q491" s="5"/>
    </row>
    <row r="492" spans="1:17" x14ac:dyDescent="0.3">
      <c r="A492" t="s">
        <v>679</v>
      </c>
      <c r="B492" s="23" t="s">
        <v>107</v>
      </c>
      <c r="C492" t="s">
        <v>310</v>
      </c>
      <c r="D492" t="s">
        <v>147</v>
      </c>
      <c r="E492" t="s">
        <v>58</v>
      </c>
      <c r="F492" t="s">
        <v>59</v>
      </c>
      <c r="G492">
        <v>12</v>
      </c>
      <c r="H492" s="4">
        <v>27.08</v>
      </c>
      <c r="I492" s="8">
        <v>324.95999999999998</v>
      </c>
      <c r="J492">
        <v>15.59</v>
      </c>
      <c r="K492">
        <v>39.369999999999997</v>
      </c>
      <c r="L492" t="s">
        <v>30</v>
      </c>
      <c r="M492" t="s">
        <v>37</v>
      </c>
      <c r="N492" t="s">
        <v>148</v>
      </c>
      <c r="O492" s="23">
        <f>DATE(YEAR(Table1[[#This Row],[Order_Date]]), MONTH(Table1[[#This Row],[Order_Date]]), 1)</f>
        <v>45413</v>
      </c>
      <c r="Q492" s="5"/>
    </row>
    <row r="493" spans="1:17" x14ac:dyDescent="0.3">
      <c r="A493" t="s">
        <v>681</v>
      </c>
      <c r="B493" s="23" t="s">
        <v>75</v>
      </c>
      <c r="C493" t="s">
        <v>334</v>
      </c>
      <c r="D493" t="s">
        <v>123</v>
      </c>
      <c r="E493" t="s">
        <v>64</v>
      </c>
      <c r="F493" t="s">
        <v>65</v>
      </c>
      <c r="G493">
        <v>50</v>
      </c>
      <c r="H493" s="4">
        <v>32.21</v>
      </c>
      <c r="I493" s="8">
        <v>1610.5</v>
      </c>
      <c r="J493">
        <v>32.68</v>
      </c>
      <c r="K493">
        <v>327.82</v>
      </c>
      <c r="L493" t="s">
        <v>30</v>
      </c>
      <c r="M493" t="s">
        <v>37</v>
      </c>
      <c r="N493" t="s">
        <v>32</v>
      </c>
      <c r="O493" s="23">
        <f>DATE(YEAR(Table1[[#This Row],[Order_Date]]), MONTH(Table1[[#This Row],[Order_Date]]), 1)</f>
        <v>45748</v>
      </c>
      <c r="Q493" s="5"/>
    </row>
    <row r="494" spans="1:17" x14ac:dyDescent="0.3">
      <c r="A494" t="s">
        <v>683</v>
      </c>
      <c r="B494" s="23" t="s">
        <v>104</v>
      </c>
      <c r="C494" t="s">
        <v>429</v>
      </c>
      <c r="D494" t="s">
        <v>101</v>
      </c>
      <c r="E494" t="s">
        <v>73</v>
      </c>
      <c r="F494" t="s">
        <v>43</v>
      </c>
      <c r="G494">
        <v>49</v>
      </c>
      <c r="H494" s="4">
        <v>20.59</v>
      </c>
      <c r="I494" s="8">
        <v>1008.91</v>
      </c>
      <c r="J494">
        <v>78.03</v>
      </c>
      <c r="K494">
        <v>306.13</v>
      </c>
      <c r="L494" t="s">
        <v>30</v>
      </c>
      <c r="M494" t="s">
        <v>37</v>
      </c>
      <c r="N494" t="s">
        <v>102</v>
      </c>
      <c r="O494" s="23">
        <f>DATE(YEAR(Table1[[#This Row],[Order_Date]]), MONTH(Table1[[#This Row],[Order_Date]]), 1)</f>
        <v>45717</v>
      </c>
      <c r="Q494" s="5"/>
    </row>
    <row r="495" spans="1:17" x14ac:dyDescent="0.3">
      <c r="A495" t="s">
        <v>685</v>
      </c>
      <c r="B495" s="23" t="s">
        <v>34</v>
      </c>
      <c r="C495" t="s">
        <v>100</v>
      </c>
      <c r="D495" t="s">
        <v>36</v>
      </c>
      <c r="E495" t="s">
        <v>54</v>
      </c>
      <c r="F495" t="s">
        <v>43</v>
      </c>
      <c r="G495">
        <v>22</v>
      </c>
      <c r="H495" s="4">
        <v>28.63</v>
      </c>
      <c r="I495" s="8">
        <v>629.86</v>
      </c>
      <c r="J495">
        <v>29.08</v>
      </c>
      <c r="K495">
        <v>160.78</v>
      </c>
      <c r="L495" t="s">
        <v>30</v>
      </c>
      <c r="M495" t="s">
        <v>31</v>
      </c>
      <c r="N495" t="s">
        <v>32</v>
      </c>
      <c r="O495" s="23">
        <f>DATE(YEAR(Table1[[#This Row],[Order_Date]]), MONTH(Table1[[#This Row],[Order_Date]]), 1)</f>
        <v>45383</v>
      </c>
      <c r="Q495" s="5"/>
    </row>
    <row r="496" spans="1:17" x14ac:dyDescent="0.3">
      <c r="A496" t="s">
        <v>687</v>
      </c>
      <c r="B496" s="23" t="s">
        <v>26</v>
      </c>
      <c r="C496" t="s">
        <v>202</v>
      </c>
      <c r="D496" t="s">
        <v>63</v>
      </c>
      <c r="E496" t="s">
        <v>49</v>
      </c>
      <c r="F496" t="s">
        <v>50</v>
      </c>
      <c r="G496">
        <v>11</v>
      </c>
      <c r="H496" s="4">
        <v>56.12</v>
      </c>
      <c r="I496" s="8">
        <v>617.32000000000005</v>
      </c>
      <c r="J496">
        <v>38.26</v>
      </c>
      <c r="K496">
        <v>139.06</v>
      </c>
      <c r="L496" t="s">
        <v>30</v>
      </c>
      <c r="M496" t="s">
        <v>31</v>
      </c>
      <c r="N496" t="s">
        <v>66</v>
      </c>
      <c r="O496" s="23">
        <f>DATE(YEAR(Table1[[#This Row],[Order_Date]]), MONTH(Table1[[#This Row],[Order_Date]]), 1)</f>
        <v>45689</v>
      </c>
      <c r="Q496" s="5"/>
    </row>
    <row r="497" spans="1:17" x14ac:dyDescent="0.3">
      <c r="A497" t="s">
        <v>689</v>
      </c>
      <c r="B497" s="23" t="s">
        <v>34</v>
      </c>
      <c r="C497" t="s">
        <v>47</v>
      </c>
      <c r="D497" t="s">
        <v>19</v>
      </c>
      <c r="E497" t="s">
        <v>64</v>
      </c>
      <c r="F497" t="s">
        <v>65</v>
      </c>
      <c r="G497">
        <v>2</v>
      </c>
      <c r="H497" s="4">
        <v>30.88</v>
      </c>
      <c r="I497" s="8">
        <v>61.76</v>
      </c>
      <c r="J497">
        <v>4.42</v>
      </c>
      <c r="K497">
        <v>7.34</v>
      </c>
      <c r="L497" t="s">
        <v>44</v>
      </c>
      <c r="M497" t="s">
        <v>31</v>
      </c>
      <c r="N497" t="s">
        <v>24</v>
      </c>
      <c r="O497" s="23">
        <f>DATE(YEAR(Table1[[#This Row],[Order_Date]]), MONTH(Table1[[#This Row],[Order_Date]]), 1)</f>
        <v>45383</v>
      </c>
      <c r="Q497" s="5"/>
    </row>
    <row r="498" spans="1:17" x14ac:dyDescent="0.3">
      <c r="A498" t="s">
        <v>691</v>
      </c>
      <c r="B498" s="23" t="s">
        <v>95</v>
      </c>
      <c r="C498" t="s">
        <v>316</v>
      </c>
      <c r="D498" t="s">
        <v>147</v>
      </c>
      <c r="E498" t="s">
        <v>49</v>
      </c>
      <c r="F498" t="s">
        <v>50</v>
      </c>
      <c r="G498">
        <v>34</v>
      </c>
      <c r="H498" s="4">
        <v>63.8</v>
      </c>
      <c r="I498" s="8">
        <v>2169.1999999999998</v>
      </c>
      <c r="J498">
        <v>69.650000000000006</v>
      </c>
      <c r="K498">
        <v>739.55</v>
      </c>
      <c r="L498" t="s">
        <v>30</v>
      </c>
      <c r="M498" t="s">
        <v>37</v>
      </c>
      <c r="N498" t="s">
        <v>148</v>
      </c>
      <c r="O498" s="23">
        <f>DATE(YEAR(Table1[[#This Row],[Order_Date]]), MONTH(Table1[[#This Row],[Order_Date]]), 1)</f>
        <v>45474</v>
      </c>
      <c r="Q498" s="5"/>
    </row>
    <row r="499" spans="1:17" x14ac:dyDescent="0.3">
      <c r="A499" t="s">
        <v>693</v>
      </c>
      <c r="B499" s="23" t="s">
        <v>78</v>
      </c>
      <c r="C499" t="s">
        <v>195</v>
      </c>
      <c r="D499" t="s">
        <v>53</v>
      </c>
      <c r="E499" t="s">
        <v>98</v>
      </c>
      <c r="F499" t="s">
        <v>59</v>
      </c>
      <c r="G499">
        <v>50</v>
      </c>
      <c r="H499" s="4">
        <v>44.61</v>
      </c>
      <c r="I499" s="8">
        <v>2230.5</v>
      </c>
      <c r="J499">
        <v>91.32</v>
      </c>
      <c r="K499">
        <v>739.18</v>
      </c>
      <c r="L499" t="s">
        <v>44</v>
      </c>
      <c r="M499" t="s">
        <v>23</v>
      </c>
      <c r="N499" t="s">
        <v>24</v>
      </c>
      <c r="O499" s="23">
        <f>DATE(YEAR(Table1[[#This Row],[Order_Date]]), MONTH(Table1[[#This Row],[Order_Date]]), 1)</f>
        <v>45627</v>
      </c>
      <c r="Q499" s="5"/>
    </row>
    <row r="500" spans="1:17" x14ac:dyDescent="0.3">
      <c r="A500" t="s">
        <v>695</v>
      </c>
      <c r="B500" s="23" t="s">
        <v>68</v>
      </c>
      <c r="C500" t="s">
        <v>84</v>
      </c>
      <c r="D500" t="s">
        <v>88</v>
      </c>
      <c r="E500" t="s">
        <v>73</v>
      </c>
      <c r="F500" t="s">
        <v>43</v>
      </c>
      <c r="G500">
        <v>14</v>
      </c>
      <c r="H500" s="4">
        <v>18.61</v>
      </c>
      <c r="I500" s="8">
        <v>260.54000000000002</v>
      </c>
      <c r="J500">
        <v>5.39</v>
      </c>
      <c r="K500">
        <v>76.650000000000006</v>
      </c>
      <c r="L500" t="s">
        <v>30</v>
      </c>
      <c r="M500" t="s">
        <v>37</v>
      </c>
      <c r="N500" t="s">
        <v>66</v>
      </c>
      <c r="O500" s="23">
        <f>DATE(YEAR(Table1[[#This Row],[Order_Date]]), MONTH(Table1[[#This Row],[Order_Date]]), 1)</f>
        <v>45536</v>
      </c>
      <c r="Q500" s="5"/>
    </row>
    <row r="501" spans="1:17" x14ac:dyDescent="0.3">
      <c r="A501" t="s">
        <v>697</v>
      </c>
      <c r="B501" s="23" t="s">
        <v>95</v>
      </c>
      <c r="C501" t="s">
        <v>305</v>
      </c>
      <c r="D501" t="s">
        <v>28</v>
      </c>
      <c r="E501" t="s">
        <v>69</v>
      </c>
      <c r="F501" t="s">
        <v>59</v>
      </c>
      <c r="G501">
        <v>7</v>
      </c>
      <c r="H501" s="4">
        <v>24.61</v>
      </c>
      <c r="I501" s="8">
        <v>172.27</v>
      </c>
      <c r="J501">
        <v>9.64</v>
      </c>
      <c r="K501">
        <v>54.13</v>
      </c>
      <c r="L501" t="s">
        <v>44</v>
      </c>
      <c r="M501" t="s">
        <v>37</v>
      </c>
      <c r="N501" t="s">
        <v>32</v>
      </c>
      <c r="O501" s="23">
        <f>DATE(YEAR(Table1[[#This Row],[Order_Date]]), MONTH(Table1[[#This Row],[Order_Date]]), 1)</f>
        <v>45474</v>
      </c>
      <c r="Q501" s="5"/>
    </row>
  </sheetData>
  <conditionalFormatting sqref="K3:K40 K42:K45 K47:K49 K51:K56 K58:K76 K78:K169 K171:K174 K176:K177 K179:K185 K187 K189:K193 K195:K232 K234:K248 K250:K275 K277:K281 K283:K285 K287:K368 K370:K457 K459:K481 K483:K1048576">
    <cfRule type="cellIs" dxfId="8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5D1E8-5860-4BA2-ACD6-0E6E4FA23BC0}">
  <dimension ref="A1:J11"/>
  <sheetViews>
    <sheetView workbookViewId="0">
      <selection activeCell="K4" sqref="K4"/>
    </sheetView>
  </sheetViews>
  <sheetFormatPr defaultRowHeight="14.4" x14ac:dyDescent="0.3"/>
  <cols>
    <col min="1" max="1" width="10.44140625" bestFit="1" customWidth="1"/>
    <col min="2" max="2" width="16.109375" bestFit="1" customWidth="1"/>
    <col min="3" max="3" width="11.21875" bestFit="1" customWidth="1"/>
    <col min="4" max="4" width="13.21875" bestFit="1" customWidth="1"/>
    <col min="5" max="5" width="13.88671875" bestFit="1" customWidth="1"/>
    <col min="6" max="6" width="9.21875" bestFit="1" customWidth="1"/>
    <col min="9" max="9" width="13.33203125" bestFit="1" customWidth="1"/>
    <col min="10" max="10" width="12.44140625" customWidth="1"/>
  </cols>
  <sheetData>
    <row r="1" spans="1:10" x14ac:dyDescent="0.3">
      <c r="A1" s="6" t="s">
        <v>720</v>
      </c>
      <c r="B1" s="6" t="s">
        <v>4</v>
      </c>
      <c r="C1" s="6" t="s">
        <v>5</v>
      </c>
      <c r="D1" s="6" t="s">
        <v>721</v>
      </c>
      <c r="E1" s="6" t="s">
        <v>722</v>
      </c>
      <c r="F1" s="6" t="s">
        <v>723</v>
      </c>
    </row>
    <row r="2" spans="1:10" x14ac:dyDescent="0.3">
      <c r="A2" t="s">
        <v>724</v>
      </c>
      <c r="B2" t="s">
        <v>42</v>
      </c>
      <c r="C2" t="s">
        <v>43</v>
      </c>
      <c r="D2" t="s">
        <v>725</v>
      </c>
      <c r="E2" t="s">
        <v>63</v>
      </c>
      <c r="F2">
        <v>32</v>
      </c>
    </row>
    <row r="3" spans="1:10" x14ac:dyDescent="0.3">
      <c r="A3" t="s">
        <v>726</v>
      </c>
      <c r="B3" t="s">
        <v>69</v>
      </c>
      <c r="C3" t="s">
        <v>59</v>
      </c>
      <c r="D3" t="s">
        <v>727</v>
      </c>
      <c r="E3" t="s">
        <v>196</v>
      </c>
      <c r="F3">
        <v>15.5</v>
      </c>
      <c r="I3" s="16" t="s">
        <v>722</v>
      </c>
      <c r="J3" s="16" t="s">
        <v>721</v>
      </c>
    </row>
    <row r="4" spans="1:10" x14ac:dyDescent="0.3">
      <c r="A4" t="s">
        <v>728</v>
      </c>
      <c r="B4" t="s">
        <v>29</v>
      </c>
      <c r="C4" t="s">
        <v>21</v>
      </c>
      <c r="D4" t="s">
        <v>729</v>
      </c>
      <c r="E4" t="s">
        <v>36</v>
      </c>
      <c r="F4">
        <v>18</v>
      </c>
      <c r="I4" t="s">
        <v>63</v>
      </c>
      <c r="J4" t="str">
        <f>INDEX(A2:F11,MATCH(I4,E2:E11,0),4)</f>
        <v>AudioTech Ltd.</v>
      </c>
    </row>
    <row r="5" spans="1:10" x14ac:dyDescent="0.3">
      <c r="A5" t="s">
        <v>730</v>
      </c>
      <c r="B5" t="s">
        <v>73</v>
      </c>
      <c r="C5" t="s">
        <v>43</v>
      </c>
      <c r="D5" t="s">
        <v>731</v>
      </c>
      <c r="E5" t="s">
        <v>732</v>
      </c>
      <c r="F5">
        <v>12.75</v>
      </c>
    </row>
    <row r="6" spans="1:10" x14ac:dyDescent="0.3">
      <c r="A6" t="s">
        <v>733</v>
      </c>
      <c r="B6" t="s">
        <v>64</v>
      </c>
      <c r="C6" t="s">
        <v>65</v>
      </c>
      <c r="D6" t="s">
        <v>734</v>
      </c>
      <c r="E6" t="s">
        <v>735</v>
      </c>
      <c r="F6">
        <v>25</v>
      </c>
    </row>
    <row r="7" spans="1:10" x14ac:dyDescent="0.3">
      <c r="A7" t="s">
        <v>736</v>
      </c>
      <c r="B7" t="s">
        <v>54</v>
      </c>
      <c r="C7" t="s">
        <v>43</v>
      </c>
      <c r="D7" t="s">
        <v>737</v>
      </c>
      <c r="E7" t="s">
        <v>63</v>
      </c>
      <c r="F7">
        <v>20</v>
      </c>
    </row>
    <row r="8" spans="1:10" x14ac:dyDescent="0.3">
      <c r="A8" t="s">
        <v>738</v>
      </c>
      <c r="B8" t="s">
        <v>58</v>
      </c>
      <c r="C8" t="s">
        <v>59</v>
      </c>
      <c r="D8" t="s">
        <v>739</v>
      </c>
      <c r="E8" t="s">
        <v>196</v>
      </c>
      <c r="F8">
        <v>22.5</v>
      </c>
    </row>
    <row r="9" spans="1:10" x14ac:dyDescent="0.3">
      <c r="A9" t="s">
        <v>740</v>
      </c>
      <c r="B9" t="s">
        <v>20</v>
      </c>
      <c r="C9" t="s">
        <v>21</v>
      </c>
      <c r="D9" t="s">
        <v>741</v>
      </c>
      <c r="E9" t="s">
        <v>732</v>
      </c>
      <c r="F9">
        <v>35</v>
      </c>
    </row>
    <row r="10" spans="1:10" x14ac:dyDescent="0.3">
      <c r="A10" t="s">
        <v>742</v>
      </c>
      <c r="B10" t="s">
        <v>98</v>
      </c>
      <c r="C10" t="s">
        <v>59</v>
      </c>
      <c r="D10" t="s">
        <v>731</v>
      </c>
      <c r="E10" t="s">
        <v>196</v>
      </c>
      <c r="F10">
        <v>28</v>
      </c>
    </row>
    <row r="11" spans="1:10" x14ac:dyDescent="0.3">
      <c r="A11" t="s">
        <v>743</v>
      </c>
      <c r="B11" t="s">
        <v>49</v>
      </c>
      <c r="C11" t="s">
        <v>50</v>
      </c>
      <c r="D11" t="s">
        <v>744</v>
      </c>
      <c r="E11" t="s">
        <v>745</v>
      </c>
      <c r="F11">
        <v>40</v>
      </c>
    </row>
  </sheetData>
  <dataValidations count="1">
    <dataValidation type="list" allowBlank="1" showInputMessage="1" showErrorMessage="1" sqref="I4" xr:uid="{EE16706C-BF02-4119-9993-C08B1517C8A1}">
      <formula1>$E$2:$E$11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0836A-A22C-4179-9061-C25C25B582DF}">
  <dimension ref="A1:F94"/>
  <sheetViews>
    <sheetView workbookViewId="0">
      <selection activeCell="I25" sqref="I25"/>
    </sheetView>
  </sheetViews>
  <sheetFormatPr defaultRowHeight="14.4" x14ac:dyDescent="0.3"/>
  <cols>
    <col min="1" max="1" width="12.109375" bestFit="1" customWidth="1"/>
    <col min="2" max="2" width="7.6640625" bestFit="1" customWidth="1"/>
    <col min="3" max="3" width="10.44140625" bestFit="1" customWidth="1"/>
    <col min="4" max="4" width="10.88671875" bestFit="1" customWidth="1"/>
    <col min="5" max="5" width="9.88671875" bestFit="1" customWidth="1"/>
    <col min="6" max="6" width="7.44140625" bestFit="1" customWidth="1"/>
  </cols>
  <sheetData>
    <row r="1" spans="1:6" x14ac:dyDescent="0.3">
      <c r="A1" s="6" t="s">
        <v>13</v>
      </c>
      <c r="B1" s="6" t="s">
        <v>699</v>
      </c>
      <c r="C1" s="6" t="s">
        <v>8</v>
      </c>
      <c r="D1" s="6" t="s">
        <v>700</v>
      </c>
      <c r="E1" s="6" t="s">
        <v>701</v>
      </c>
      <c r="F1" s="6" t="s">
        <v>702</v>
      </c>
    </row>
    <row r="2" spans="1:6" x14ac:dyDescent="0.3">
      <c r="A2" t="s">
        <v>102</v>
      </c>
      <c r="B2" t="s">
        <v>703</v>
      </c>
      <c r="C2">
        <v>3778.57</v>
      </c>
      <c r="D2">
        <v>1212.1199999999999</v>
      </c>
      <c r="E2">
        <v>3</v>
      </c>
      <c r="F2">
        <v>5</v>
      </c>
    </row>
    <row r="3" spans="1:6" x14ac:dyDescent="0.3">
      <c r="A3" t="s">
        <v>102</v>
      </c>
      <c r="B3" t="s">
        <v>704</v>
      </c>
      <c r="C3">
        <v>3519.18</v>
      </c>
      <c r="D3">
        <v>910.68</v>
      </c>
      <c r="E3">
        <v>2</v>
      </c>
      <c r="F3">
        <v>3</v>
      </c>
    </row>
    <row r="4" spans="1:6" x14ac:dyDescent="0.3">
      <c r="A4" t="s">
        <v>102</v>
      </c>
      <c r="B4" t="s">
        <v>705</v>
      </c>
      <c r="C4">
        <v>1765.51</v>
      </c>
      <c r="D4">
        <v>530.96</v>
      </c>
      <c r="E4">
        <v>2</v>
      </c>
      <c r="F4">
        <v>4</v>
      </c>
    </row>
    <row r="5" spans="1:6" x14ac:dyDescent="0.3">
      <c r="A5" t="s">
        <v>102</v>
      </c>
      <c r="B5" t="s">
        <v>706</v>
      </c>
      <c r="C5">
        <v>4768.72</v>
      </c>
      <c r="D5">
        <v>1717.12</v>
      </c>
      <c r="E5">
        <v>3</v>
      </c>
      <c r="F5">
        <v>7</v>
      </c>
    </row>
    <row r="6" spans="1:6" x14ac:dyDescent="0.3">
      <c r="A6" t="s">
        <v>102</v>
      </c>
      <c r="B6" t="s">
        <v>707</v>
      </c>
      <c r="C6">
        <v>751.14</v>
      </c>
      <c r="D6">
        <v>168.93</v>
      </c>
      <c r="E6">
        <v>4</v>
      </c>
      <c r="F6">
        <v>8</v>
      </c>
    </row>
    <row r="7" spans="1:6" x14ac:dyDescent="0.3">
      <c r="A7" t="s">
        <v>102</v>
      </c>
      <c r="B7" t="s">
        <v>708</v>
      </c>
      <c r="C7">
        <v>2704.41</v>
      </c>
      <c r="D7">
        <v>772.61</v>
      </c>
      <c r="E7">
        <v>3</v>
      </c>
      <c r="F7">
        <v>5</v>
      </c>
    </row>
    <row r="8" spans="1:6" x14ac:dyDescent="0.3">
      <c r="A8" t="s">
        <v>102</v>
      </c>
      <c r="B8" t="s">
        <v>709</v>
      </c>
      <c r="C8">
        <v>908.84</v>
      </c>
      <c r="D8">
        <v>264.43</v>
      </c>
      <c r="E8">
        <v>2</v>
      </c>
      <c r="F8">
        <v>6</v>
      </c>
    </row>
    <row r="9" spans="1:6" x14ac:dyDescent="0.3">
      <c r="A9" t="s">
        <v>102</v>
      </c>
      <c r="B9" t="s">
        <v>710</v>
      </c>
      <c r="C9">
        <v>794.82</v>
      </c>
      <c r="D9">
        <v>255.37</v>
      </c>
      <c r="E9">
        <v>1</v>
      </c>
      <c r="F9">
        <v>7</v>
      </c>
    </row>
    <row r="10" spans="1:6" x14ac:dyDescent="0.3">
      <c r="A10" t="s">
        <v>102</v>
      </c>
      <c r="B10" t="s">
        <v>711</v>
      </c>
      <c r="C10">
        <v>1882.75</v>
      </c>
      <c r="D10">
        <v>346.8</v>
      </c>
      <c r="E10">
        <v>4</v>
      </c>
      <c r="F10">
        <v>3</v>
      </c>
    </row>
    <row r="11" spans="1:6" x14ac:dyDescent="0.3">
      <c r="A11" t="s">
        <v>102</v>
      </c>
      <c r="B11" t="s">
        <v>712</v>
      </c>
      <c r="C11">
        <v>3269.37</v>
      </c>
      <c r="D11">
        <v>1085.4100000000001</v>
      </c>
      <c r="E11">
        <v>2</v>
      </c>
      <c r="F11">
        <v>2</v>
      </c>
    </row>
    <row r="12" spans="1:6" x14ac:dyDescent="0.3">
      <c r="A12" t="s">
        <v>102</v>
      </c>
      <c r="B12" t="s">
        <v>713</v>
      </c>
      <c r="C12">
        <v>412.62</v>
      </c>
      <c r="D12">
        <v>155.44</v>
      </c>
      <c r="E12">
        <v>1</v>
      </c>
      <c r="F12">
        <v>8</v>
      </c>
    </row>
    <row r="13" spans="1:6" x14ac:dyDescent="0.3">
      <c r="A13" t="s">
        <v>102</v>
      </c>
      <c r="B13" t="s">
        <v>714</v>
      </c>
      <c r="C13">
        <v>2964.8</v>
      </c>
      <c r="D13">
        <v>920.04</v>
      </c>
      <c r="E13">
        <v>4</v>
      </c>
      <c r="F13">
        <v>4</v>
      </c>
    </row>
    <row r="14" spans="1:6" x14ac:dyDescent="0.3">
      <c r="A14" t="s">
        <v>102</v>
      </c>
      <c r="B14" t="s">
        <v>715</v>
      </c>
      <c r="C14">
        <v>1974.31</v>
      </c>
      <c r="D14">
        <v>627.41</v>
      </c>
      <c r="E14">
        <v>2</v>
      </c>
      <c r="F14">
        <v>9</v>
      </c>
    </row>
    <row r="15" spans="1:6" x14ac:dyDescent="0.3">
      <c r="A15" t="s">
        <v>66</v>
      </c>
      <c r="B15" t="s">
        <v>716</v>
      </c>
      <c r="C15">
        <v>12118.86</v>
      </c>
      <c r="D15">
        <v>2799.31</v>
      </c>
      <c r="E15">
        <v>11</v>
      </c>
      <c r="F15">
        <v>5</v>
      </c>
    </row>
    <row r="16" spans="1:6" x14ac:dyDescent="0.3">
      <c r="A16" t="s">
        <v>66</v>
      </c>
      <c r="B16" t="s">
        <v>703</v>
      </c>
      <c r="C16">
        <v>8766.07</v>
      </c>
      <c r="D16">
        <v>2416.6</v>
      </c>
      <c r="E16">
        <v>9</v>
      </c>
      <c r="F16">
        <v>6</v>
      </c>
    </row>
    <row r="17" spans="1:6" x14ac:dyDescent="0.3">
      <c r="A17" t="s">
        <v>66</v>
      </c>
      <c r="B17" t="s">
        <v>704</v>
      </c>
      <c r="C17">
        <v>7955.66</v>
      </c>
      <c r="D17">
        <v>2329.09</v>
      </c>
      <c r="E17">
        <v>9</v>
      </c>
      <c r="F17">
        <v>1</v>
      </c>
    </row>
    <row r="18" spans="1:6" x14ac:dyDescent="0.3">
      <c r="A18" t="s">
        <v>66</v>
      </c>
      <c r="B18" t="s">
        <v>705</v>
      </c>
      <c r="C18">
        <v>5871.72</v>
      </c>
      <c r="D18">
        <v>1889.51</v>
      </c>
      <c r="E18">
        <v>6</v>
      </c>
      <c r="F18">
        <v>1</v>
      </c>
    </row>
    <row r="19" spans="1:6" x14ac:dyDescent="0.3">
      <c r="A19" t="s">
        <v>66</v>
      </c>
      <c r="B19" t="s">
        <v>717</v>
      </c>
      <c r="C19">
        <v>5008.9399999999996</v>
      </c>
      <c r="D19">
        <v>1129.83</v>
      </c>
      <c r="E19">
        <v>7</v>
      </c>
      <c r="F19">
        <v>8</v>
      </c>
    </row>
    <row r="20" spans="1:6" x14ac:dyDescent="0.3">
      <c r="A20" t="s">
        <v>66</v>
      </c>
      <c r="B20" t="s">
        <v>706</v>
      </c>
      <c r="C20">
        <v>8767.11</v>
      </c>
      <c r="D20">
        <v>2622.31</v>
      </c>
      <c r="E20">
        <v>7</v>
      </c>
      <c r="F20">
        <v>3</v>
      </c>
    </row>
    <row r="21" spans="1:6" x14ac:dyDescent="0.3">
      <c r="A21" t="s">
        <v>66</v>
      </c>
      <c r="B21" t="s">
        <v>707</v>
      </c>
      <c r="C21">
        <v>13074.39</v>
      </c>
      <c r="D21">
        <v>3550.23</v>
      </c>
      <c r="E21">
        <v>11</v>
      </c>
      <c r="F21">
        <v>2</v>
      </c>
    </row>
    <row r="22" spans="1:6" x14ac:dyDescent="0.3">
      <c r="A22" t="s">
        <v>66</v>
      </c>
      <c r="B22" t="s">
        <v>718</v>
      </c>
      <c r="C22">
        <v>12111.05</v>
      </c>
      <c r="D22">
        <v>3346.91</v>
      </c>
      <c r="E22">
        <v>11</v>
      </c>
      <c r="F22">
        <v>1</v>
      </c>
    </row>
    <row r="23" spans="1:6" x14ac:dyDescent="0.3">
      <c r="A23" t="s">
        <v>66</v>
      </c>
      <c r="B23" t="s">
        <v>708</v>
      </c>
      <c r="C23">
        <v>14892.08</v>
      </c>
      <c r="D23">
        <v>4197.32</v>
      </c>
      <c r="E23">
        <v>19</v>
      </c>
      <c r="F23">
        <v>1</v>
      </c>
    </row>
    <row r="24" spans="1:6" x14ac:dyDescent="0.3">
      <c r="A24" t="s">
        <v>66</v>
      </c>
      <c r="B24" t="s">
        <v>709</v>
      </c>
      <c r="C24">
        <v>8946.65</v>
      </c>
      <c r="D24">
        <v>3064.47</v>
      </c>
      <c r="E24">
        <v>9</v>
      </c>
      <c r="F24">
        <v>9</v>
      </c>
    </row>
    <row r="25" spans="1:6" x14ac:dyDescent="0.3">
      <c r="A25" t="s">
        <v>66</v>
      </c>
      <c r="B25" t="s">
        <v>710</v>
      </c>
      <c r="C25">
        <v>13730.81</v>
      </c>
      <c r="D25">
        <v>3430.89</v>
      </c>
      <c r="E25">
        <v>13</v>
      </c>
      <c r="F25">
        <v>8</v>
      </c>
    </row>
    <row r="26" spans="1:6" x14ac:dyDescent="0.3">
      <c r="A26" t="s">
        <v>66</v>
      </c>
      <c r="B26" t="s">
        <v>711</v>
      </c>
      <c r="C26">
        <v>11679.03</v>
      </c>
      <c r="D26">
        <v>3081.7</v>
      </c>
      <c r="E26">
        <v>11</v>
      </c>
      <c r="F26">
        <v>3</v>
      </c>
    </row>
    <row r="27" spans="1:6" x14ac:dyDescent="0.3">
      <c r="A27" t="s">
        <v>66</v>
      </c>
      <c r="B27" t="s">
        <v>712</v>
      </c>
      <c r="C27">
        <v>9897.75</v>
      </c>
      <c r="D27">
        <v>2652.22</v>
      </c>
      <c r="E27">
        <v>14</v>
      </c>
      <c r="F27">
        <v>5</v>
      </c>
    </row>
    <row r="28" spans="1:6" x14ac:dyDescent="0.3">
      <c r="A28" t="s">
        <v>66</v>
      </c>
      <c r="B28" t="s">
        <v>713</v>
      </c>
      <c r="C28">
        <v>5404.6900000000014</v>
      </c>
      <c r="D28">
        <v>1469.09</v>
      </c>
      <c r="E28">
        <v>8</v>
      </c>
      <c r="F28">
        <v>3</v>
      </c>
    </row>
    <row r="29" spans="1:6" x14ac:dyDescent="0.3">
      <c r="A29" t="s">
        <v>66</v>
      </c>
      <c r="B29" t="s">
        <v>714</v>
      </c>
      <c r="C29">
        <v>11784.96</v>
      </c>
      <c r="D29">
        <v>3759.57</v>
      </c>
      <c r="E29">
        <v>9</v>
      </c>
      <c r="F29">
        <v>5</v>
      </c>
    </row>
    <row r="30" spans="1:6" x14ac:dyDescent="0.3">
      <c r="A30" t="s">
        <v>66</v>
      </c>
      <c r="B30" t="s">
        <v>715</v>
      </c>
      <c r="C30">
        <v>16779.43</v>
      </c>
      <c r="D30">
        <v>5047.63</v>
      </c>
      <c r="E30">
        <v>17</v>
      </c>
      <c r="F30">
        <v>8</v>
      </c>
    </row>
    <row r="31" spans="1:6" x14ac:dyDescent="0.3">
      <c r="A31" t="s">
        <v>66</v>
      </c>
      <c r="B31" t="s">
        <v>719</v>
      </c>
      <c r="C31">
        <v>4379.2</v>
      </c>
      <c r="D31">
        <v>1129.18</v>
      </c>
      <c r="E31">
        <v>8</v>
      </c>
      <c r="F31">
        <v>1</v>
      </c>
    </row>
    <row r="32" spans="1:6" x14ac:dyDescent="0.3">
      <c r="A32" t="s">
        <v>32</v>
      </c>
      <c r="B32" t="s">
        <v>716</v>
      </c>
      <c r="C32">
        <v>5963.8</v>
      </c>
      <c r="D32">
        <v>1573.73</v>
      </c>
      <c r="E32">
        <v>5</v>
      </c>
      <c r="F32">
        <v>5</v>
      </c>
    </row>
    <row r="33" spans="1:6" x14ac:dyDescent="0.3">
      <c r="A33" t="s">
        <v>32</v>
      </c>
      <c r="B33" t="s">
        <v>703</v>
      </c>
      <c r="C33">
        <v>10805.59</v>
      </c>
      <c r="D33">
        <v>3570.55</v>
      </c>
      <c r="E33">
        <v>11</v>
      </c>
      <c r="F33">
        <v>1</v>
      </c>
    </row>
    <row r="34" spans="1:6" x14ac:dyDescent="0.3">
      <c r="A34" t="s">
        <v>32</v>
      </c>
      <c r="B34" t="s">
        <v>704</v>
      </c>
      <c r="C34">
        <v>5417.25</v>
      </c>
      <c r="D34">
        <v>1555.47</v>
      </c>
      <c r="E34">
        <v>5</v>
      </c>
      <c r="F34">
        <v>7</v>
      </c>
    </row>
    <row r="35" spans="1:6" x14ac:dyDescent="0.3">
      <c r="A35" t="s">
        <v>32</v>
      </c>
      <c r="B35" t="s">
        <v>705</v>
      </c>
      <c r="C35">
        <v>3447.44</v>
      </c>
      <c r="D35">
        <v>997.16000000000008</v>
      </c>
      <c r="E35">
        <v>5</v>
      </c>
      <c r="F35">
        <v>8</v>
      </c>
    </row>
    <row r="36" spans="1:6" x14ac:dyDescent="0.3">
      <c r="A36" t="s">
        <v>32</v>
      </c>
      <c r="B36" t="s">
        <v>717</v>
      </c>
      <c r="C36">
        <v>2680.99</v>
      </c>
      <c r="D36">
        <v>567.59</v>
      </c>
      <c r="E36">
        <v>4</v>
      </c>
      <c r="F36">
        <v>1</v>
      </c>
    </row>
    <row r="37" spans="1:6" x14ac:dyDescent="0.3">
      <c r="A37" t="s">
        <v>32</v>
      </c>
      <c r="B37" t="s">
        <v>706</v>
      </c>
      <c r="C37">
        <v>15432.12</v>
      </c>
      <c r="D37">
        <v>4593.17</v>
      </c>
      <c r="E37">
        <v>16</v>
      </c>
      <c r="F37">
        <v>1</v>
      </c>
    </row>
    <row r="38" spans="1:6" x14ac:dyDescent="0.3">
      <c r="A38" t="s">
        <v>32</v>
      </c>
      <c r="B38" t="s">
        <v>707</v>
      </c>
      <c r="C38">
        <v>10623.02</v>
      </c>
      <c r="D38">
        <v>3155.49</v>
      </c>
      <c r="E38">
        <v>15</v>
      </c>
      <c r="F38">
        <v>8</v>
      </c>
    </row>
    <row r="39" spans="1:6" x14ac:dyDescent="0.3">
      <c r="A39" t="s">
        <v>32</v>
      </c>
      <c r="B39" t="s">
        <v>718</v>
      </c>
      <c r="C39">
        <v>6538.51</v>
      </c>
      <c r="D39">
        <v>1686.63</v>
      </c>
      <c r="E39">
        <v>10</v>
      </c>
      <c r="F39">
        <v>1</v>
      </c>
    </row>
    <row r="40" spans="1:6" x14ac:dyDescent="0.3">
      <c r="A40" t="s">
        <v>32</v>
      </c>
      <c r="B40" t="s">
        <v>708</v>
      </c>
      <c r="C40">
        <v>4338.0200000000004</v>
      </c>
      <c r="D40">
        <v>941.58999999999992</v>
      </c>
      <c r="E40">
        <v>5</v>
      </c>
      <c r="F40">
        <v>6</v>
      </c>
    </row>
    <row r="41" spans="1:6" x14ac:dyDescent="0.3">
      <c r="A41" t="s">
        <v>32</v>
      </c>
      <c r="B41" t="s">
        <v>709</v>
      </c>
      <c r="C41">
        <v>6894.59</v>
      </c>
      <c r="D41">
        <v>2046.19</v>
      </c>
      <c r="E41">
        <v>11</v>
      </c>
      <c r="F41">
        <v>2</v>
      </c>
    </row>
    <row r="42" spans="1:6" x14ac:dyDescent="0.3">
      <c r="A42" t="s">
        <v>32</v>
      </c>
      <c r="B42" t="s">
        <v>710</v>
      </c>
      <c r="C42">
        <v>6006.6500000000005</v>
      </c>
      <c r="D42">
        <v>1368.08</v>
      </c>
      <c r="E42">
        <v>7</v>
      </c>
      <c r="F42">
        <v>6</v>
      </c>
    </row>
    <row r="43" spans="1:6" x14ac:dyDescent="0.3">
      <c r="A43" t="s">
        <v>32</v>
      </c>
      <c r="B43" t="s">
        <v>711</v>
      </c>
      <c r="C43">
        <v>5718.61</v>
      </c>
      <c r="D43">
        <v>1342.18</v>
      </c>
      <c r="E43">
        <v>7</v>
      </c>
      <c r="F43">
        <v>6</v>
      </c>
    </row>
    <row r="44" spans="1:6" x14ac:dyDescent="0.3">
      <c r="A44" t="s">
        <v>32</v>
      </c>
      <c r="B44" t="s">
        <v>712</v>
      </c>
      <c r="C44">
        <v>8016.39</v>
      </c>
      <c r="D44">
        <v>2485.71</v>
      </c>
      <c r="E44">
        <v>8</v>
      </c>
      <c r="F44">
        <v>9</v>
      </c>
    </row>
    <row r="45" spans="1:6" x14ac:dyDescent="0.3">
      <c r="A45" t="s">
        <v>32</v>
      </c>
      <c r="B45" t="s">
        <v>713</v>
      </c>
      <c r="C45">
        <v>5431.37</v>
      </c>
      <c r="D45">
        <v>1032.25</v>
      </c>
      <c r="E45">
        <v>5</v>
      </c>
      <c r="F45">
        <v>3</v>
      </c>
    </row>
    <row r="46" spans="1:6" x14ac:dyDescent="0.3">
      <c r="A46" t="s">
        <v>32</v>
      </c>
      <c r="B46" t="s">
        <v>714</v>
      </c>
      <c r="C46">
        <v>9021.380000000001</v>
      </c>
      <c r="D46">
        <v>3026.61</v>
      </c>
      <c r="E46">
        <v>7</v>
      </c>
      <c r="F46">
        <v>5</v>
      </c>
    </row>
    <row r="47" spans="1:6" x14ac:dyDescent="0.3">
      <c r="A47" t="s">
        <v>32</v>
      </c>
      <c r="B47" t="s">
        <v>715</v>
      </c>
      <c r="C47">
        <v>7453.18</v>
      </c>
      <c r="D47">
        <v>1835.78</v>
      </c>
      <c r="E47">
        <v>8</v>
      </c>
      <c r="F47">
        <v>6</v>
      </c>
    </row>
    <row r="48" spans="1:6" x14ac:dyDescent="0.3">
      <c r="A48" t="s">
        <v>32</v>
      </c>
      <c r="B48" t="s">
        <v>719</v>
      </c>
      <c r="C48">
        <v>1425.71</v>
      </c>
      <c r="D48">
        <v>356.57</v>
      </c>
      <c r="E48">
        <v>5</v>
      </c>
      <c r="F48">
        <v>5</v>
      </c>
    </row>
    <row r="49" spans="1:6" x14ac:dyDescent="0.3">
      <c r="A49" t="s">
        <v>24</v>
      </c>
      <c r="B49" t="s">
        <v>716</v>
      </c>
      <c r="C49">
        <v>4059.57</v>
      </c>
      <c r="D49">
        <v>1247.83</v>
      </c>
      <c r="E49">
        <v>5</v>
      </c>
      <c r="F49">
        <v>1</v>
      </c>
    </row>
    <row r="50" spans="1:6" x14ac:dyDescent="0.3">
      <c r="A50" t="s">
        <v>24</v>
      </c>
      <c r="B50" t="s">
        <v>703</v>
      </c>
      <c r="C50">
        <v>5390.3499999999995</v>
      </c>
      <c r="D50">
        <v>1662.29</v>
      </c>
      <c r="E50">
        <v>5</v>
      </c>
      <c r="F50">
        <v>5</v>
      </c>
    </row>
    <row r="51" spans="1:6" x14ac:dyDescent="0.3">
      <c r="A51" t="s">
        <v>24</v>
      </c>
      <c r="B51" t="s">
        <v>704</v>
      </c>
      <c r="C51">
        <v>1064.19</v>
      </c>
      <c r="D51">
        <v>388.91</v>
      </c>
      <c r="E51">
        <v>3</v>
      </c>
      <c r="F51">
        <v>1</v>
      </c>
    </row>
    <row r="52" spans="1:6" x14ac:dyDescent="0.3">
      <c r="A52" t="s">
        <v>24</v>
      </c>
      <c r="B52" t="s">
        <v>705</v>
      </c>
      <c r="C52">
        <v>1721.74</v>
      </c>
      <c r="D52">
        <v>465.98</v>
      </c>
      <c r="E52">
        <v>3</v>
      </c>
      <c r="F52">
        <v>5</v>
      </c>
    </row>
    <row r="53" spans="1:6" x14ac:dyDescent="0.3">
      <c r="A53" t="s">
        <v>24</v>
      </c>
      <c r="B53" t="s">
        <v>717</v>
      </c>
      <c r="C53">
        <v>8874.1</v>
      </c>
      <c r="D53">
        <v>2315.96</v>
      </c>
      <c r="E53">
        <v>8</v>
      </c>
      <c r="F53">
        <v>3</v>
      </c>
    </row>
    <row r="54" spans="1:6" x14ac:dyDescent="0.3">
      <c r="A54" t="s">
        <v>24</v>
      </c>
      <c r="B54" t="s">
        <v>706</v>
      </c>
      <c r="C54">
        <v>4737.55</v>
      </c>
      <c r="D54">
        <v>1543.71</v>
      </c>
      <c r="E54">
        <v>4</v>
      </c>
      <c r="F54">
        <v>1</v>
      </c>
    </row>
    <row r="55" spans="1:6" x14ac:dyDescent="0.3">
      <c r="A55" t="s">
        <v>24</v>
      </c>
      <c r="B55" t="s">
        <v>707</v>
      </c>
      <c r="C55">
        <v>2262.48</v>
      </c>
      <c r="D55">
        <v>463.63</v>
      </c>
      <c r="E55">
        <v>2</v>
      </c>
      <c r="F55">
        <v>1</v>
      </c>
    </row>
    <row r="56" spans="1:6" x14ac:dyDescent="0.3">
      <c r="A56" t="s">
        <v>24</v>
      </c>
      <c r="B56" t="s">
        <v>718</v>
      </c>
      <c r="C56">
        <v>2443.42</v>
      </c>
      <c r="D56">
        <v>578.91999999999996</v>
      </c>
      <c r="E56">
        <v>2</v>
      </c>
      <c r="F56">
        <v>7</v>
      </c>
    </row>
    <row r="57" spans="1:6" x14ac:dyDescent="0.3">
      <c r="A57" t="s">
        <v>24</v>
      </c>
      <c r="B57" t="s">
        <v>708</v>
      </c>
      <c r="C57">
        <v>5589.5999999999995</v>
      </c>
      <c r="D57">
        <v>1545.11</v>
      </c>
      <c r="E57">
        <v>7</v>
      </c>
      <c r="F57">
        <v>1</v>
      </c>
    </row>
    <row r="58" spans="1:6" x14ac:dyDescent="0.3">
      <c r="A58" t="s">
        <v>24</v>
      </c>
      <c r="B58" t="s">
        <v>709</v>
      </c>
      <c r="C58">
        <v>7347.76</v>
      </c>
      <c r="D58">
        <v>1856.14</v>
      </c>
      <c r="E58">
        <v>7</v>
      </c>
      <c r="F58">
        <v>2</v>
      </c>
    </row>
    <row r="59" spans="1:6" x14ac:dyDescent="0.3">
      <c r="A59" t="s">
        <v>24</v>
      </c>
      <c r="B59" t="s">
        <v>710</v>
      </c>
      <c r="C59">
        <v>6488.83</v>
      </c>
      <c r="D59">
        <v>1394.89</v>
      </c>
      <c r="E59">
        <v>5</v>
      </c>
      <c r="F59">
        <v>5</v>
      </c>
    </row>
    <row r="60" spans="1:6" x14ac:dyDescent="0.3">
      <c r="A60" t="s">
        <v>24</v>
      </c>
      <c r="B60" t="s">
        <v>711</v>
      </c>
      <c r="C60">
        <v>13213.87</v>
      </c>
      <c r="D60">
        <v>3606.27</v>
      </c>
      <c r="E60">
        <v>12</v>
      </c>
      <c r="F60">
        <v>7</v>
      </c>
    </row>
    <row r="61" spans="1:6" x14ac:dyDescent="0.3">
      <c r="A61" t="s">
        <v>24</v>
      </c>
      <c r="B61" t="s">
        <v>712</v>
      </c>
      <c r="C61">
        <v>2048.6</v>
      </c>
      <c r="D61">
        <v>626.04999999999995</v>
      </c>
      <c r="E61">
        <v>3</v>
      </c>
      <c r="F61">
        <v>1</v>
      </c>
    </row>
    <row r="62" spans="1:6" x14ac:dyDescent="0.3">
      <c r="A62" t="s">
        <v>24</v>
      </c>
      <c r="B62" t="s">
        <v>713</v>
      </c>
      <c r="C62">
        <v>9137.09</v>
      </c>
      <c r="D62">
        <v>3200.92</v>
      </c>
      <c r="E62">
        <v>8</v>
      </c>
      <c r="F62">
        <v>7</v>
      </c>
    </row>
    <row r="63" spans="1:6" x14ac:dyDescent="0.3">
      <c r="A63" t="s">
        <v>24</v>
      </c>
      <c r="B63" t="s">
        <v>714</v>
      </c>
      <c r="C63">
        <v>3271.86</v>
      </c>
      <c r="D63">
        <v>762.28</v>
      </c>
      <c r="E63">
        <v>4</v>
      </c>
      <c r="F63">
        <v>7</v>
      </c>
    </row>
    <row r="64" spans="1:6" x14ac:dyDescent="0.3">
      <c r="A64" t="s">
        <v>24</v>
      </c>
      <c r="B64" t="s">
        <v>715</v>
      </c>
      <c r="C64">
        <v>6394.1900000000014</v>
      </c>
      <c r="D64">
        <v>1658.61</v>
      </c>
      <c r="E64">
        <v>7</v>
      </c>
      <c r="F64">
        <v>4</v>
      </c>
    </row>
    <row r="65" spans="1:6" x14ac:dyDescent="0.3">
      <c r="A65" t="s">
        <v>24</v>
      </c>
      <c r="B65" t="s">
        <v>719</v>
      </c>
      <c r="C65">
        <v>2899.87</v>
      </c>
      <c r="D65">
        <v>735.74</v>
      </c>
      <c r="E65">
        <v>2</v>
      </c>
      <c r="F65">
        <v>9</v>
      </c>
    </row>
    <row r="66" spans="1:6" x14ac:dyDescent="0.3">
      <c r="A66" t="s">
        <v>148</v>
      </c>
      <c r="B66" t="s">
        <v>716</v>
      </c>
      <c r="C66">
        <v>656.88</v>
      </c>
      <c r="D66">
        <v>167.02</v>
      </c>
      <c r="E66">
        <v>1</v>
      </c>
      <c r="F66">
        <v>9</v>
      </c>
    </row>
    <row r="67" spans="1:6" x14ac:dyDescent="0.3">
      <c r="A67" t="s">
        <v>148</v>
      </c>
      <c r="B67" t="s">
        <v>704</v>
      </c>
      <c r="C67">
        <v>6450.38</v>
      </c>
      <c r="D67">
        <v>1428.65</v>
      </c>
      <c r="E67">
        <v>4</v>
      </c>
      <c r="F67">
        <v>3</v>
      </c>
    </row>
    <row r="68" spans="1:6" x14ac:dyDescent="0.3">
      <c r="A68" t="s">
        <v>148</v>
      </c>
      <c r="B68" t="s">
        <v>717</v>
      </c>
      <c r="C68">
        <v>2045.91</v>
      </c>
      <c r="D68">
        <v>418.73</v>
      </c>
      <c r="E68">
        <v>3</v>
      </c>
      <c r="F68">
        <v>3</v>
      </c>
    </row>
    <row r="69" spans="1:6" x14ac:dyDescent="0.3">
      <c r="A69" t="s">
        <v>148</v>
      </c>
      <c r="B69" t="s">
        <v>706</v>
      </c>
      <c r="C69">
        <v>2355.85</v>
      </c>
      <c r="D69">
        <v>356.88</v>
      </c>
      <c r="E69">
        <v>2</v>
      </c>
      <c r="F69">
        <v>1</v>
      </c>
    </row>
    <row r="70" spans="1:6" x14ac:dyDescent="0.3">
      <c r="A70" t="s">
        <v>148</v>
      </c>
      <c r="B70" t="s">
        <v>707</v>
      </c>
      <c r="C70">
        <v>2376.6799999999998</v>
      </c>
      <c r="D70">
        <v>773.68</v>
      </c>
      <c r="E70">
        <v>3</v>
      </c>
      <c r="F70">
        <v>6</v>
      </c>
    </row>
    <row r="71" spans="1:6" x14ac:dyDescent="0.3">
      <c r="A71" t="s">
        <v>148</v>
      </c>
      <c r="B71" t="s">
        <v>708</v>
      </c>
      <c r="C71">
        <v>2832.86</v>
      </c>
      <c r="D71">
        <v>661.32999999999993</v>
      </c>
      <c r="E71">
        <v>3</v>
      </c>
      <c r="F71">
        <v>9</v>
      </c>
    </row>
    <row r="72" spans="1:6" x14ac:dyDescent="0.3">
      <c r="A72" t="s">
        <v>148</v>
      </c>
      <c r="B72" t="s">
        <v>709</v>
      </c>
      <c r="C72">
        <v>935.88</v>
      </c>
      <c r="D72">
        <v>186.51</v>
      </c>
      <c r="E72">
        <v>1</v>
      </c>
      <c r="F72">
        <v>4</v>
      </c>
    </row>
    <row r="73" spans="1:6" x14ac:dyDescent="0.3">
      <c r="A73" t="s">
        <v>148</v>
      </c>
      <c r="B73" t="s">
        <v>710</v>
      </c>
      <c r="C73">
        <v>1719.38</v>
      </c>
      <c r="D73">
        <v>447.82000000000011</v>
      </c>
      <c r="E73">
        <v>2</v>
      </c>
      <c r="F73">
        <v>1</v>
      </c>
    </row>
    <row r="74" spans="1:6" x14ac:dyDescent="0.3">
      <c r="A74" t="s">
        <v>148</v>
      </c>
      <c r="B74" t="s">
        <v>711</v>
      </c>
      <c r="C74">
        <v>3220</v>
      </c>
      <c r="D74">
        <v>1219.8900000000001</v>
      </c>
      <c r="E74">
        <v>1</v>
      </c>
      <c r="F74">
        <v>7</v>
      </c>
    </row>
    <row r="75" spans="1:6" x14ac:dyDescent="0.3">
      <c r="A75" t="s">
        <v>148</v>
      </c>
      <c r="B75" t="s">
        <v>712</v>
      </c>
      <c r="C75">
        <v>1567.87</v>
      </c>
      <c r="D75">
        <v>518.99</v>
      </c>
      <c r="E75">
        <v>3</v>
      </c>
      <c r="F75">
        <v>9</v>
      </c>
    </row>
    <row r="76" spans="1:6" x14ac:dyDescent="0.3">
      <c r="A76" t="s">
        <v>148</v>
      </c>
      <c r="B76" t="s">
        <v>713</v>
      </c>
      <c r="C76">
        <v>4977.83</v>
      </c>
      <c r="D76">
        <v>1410.15</v>
      </c>
      <c r="E76">
        <v>3</v>
      </c>
      <c r="F76">
        <v>3</v>
      </c>
    </row>
    <row r="77" spans="1:6" x14ac:dyDescent="0.3">
      <c r="A77" t="s">
        <v>148</v>
      </c>
      <c r="B77" t="s">
        <v>714</v>
      </c>
      <c r="C77">
        <v>5111.88</v>
      </c>
      <c r="D77">
        <v>1879.68</v>
      </c>
      <c r="E77">
        <v>3</v>
      </c>
      <c r="F77">
        <v>6</v>
      </c>
    </row>
    <row r="78" spans="1:6" x14ac:dyDescent="0.3">
      <c r="A78" t="s">
        <v>148</v>
      </c>
      <c r="B78" t="s">
        <v>715</v>
      </c>
      <c r="C78">
        <v>2766.06</v>
      </c>
      <c r="D78">
        <v>693.37</v>
      </c>
      <c r="E78">
        <v>3</v>
      </c>
      <c r="F78">
        <v>5</v>
      </c>
    </row>
    <row r="79" spans="1:6" x14ac:dyDescent="0.3">
      <c r="A79" t="s">
        <v>45</v>
      </c>
      <c r="B79" t="s">
        <v>716</v>
      </c>
      <c r="C79">
        <v>843.2</v>
      </c>
      <c r="D79">
        <v>266.39</v>
      </c>
      <c r="E79">
        <v>1</v>
      </c>
      <c r="F79">
        <v>3</v>
      </c>
    </row>
    <row r="80" spans="1:6" x14ac:dyDescent="0.3">
      <c r="A80" t="s">
        <v>45</v>
      </c>
      <c r="B80" t="s">
        <v>703</v>
      </c>
      <c r="C80">
        <v>1171.42</v>
      </c>
      <c r="D80">
        <v>372.47</v>
      </c>
      <c r="E80">
        <v>1</v>
      </c>
      <c r="F80">
        <v>7</v>
      </c>
    </row>
    <row r="81" spans="1:6" x14ac:dyDescent="0.3">
      <c r="A81" t="s">
        <v>45</v>
      </c>
      <c r="B81" t="s">
        <v>704</v>
      </c>
      <c r="C81">
        <v>3043.92</v>
      </c>
      <c r="D81">
        <v>836.17000000000007</v>
      </c>
      <c r="E81">
        <v>3</v>
      </c>
      <c r="F81">
        <v>5</v>
      </c>
    </row>
    <row r="82" spans="1:6" x14ac:dyDescent="0.3">
      <c r="A82" t="s">
        <v>45</v>
      </c>
      <c r="B82" t="s">
        <v>705</v>
      </c>
      <c r="C82">
        <v>1269.94</v>
      </c>
      <c r="D82">
        <v>439</v>
      </c>
      <c r="E82">
        <v>2</v>
      </c>
      <c r="F82">
        <v>5</v>
      </c>
    </row>
    <row r="83" spans="1:6" x14ac:dyDescent="0.3">
      <c r="A83" t="s">
        <v>45</v>
      </c>
      <c r="B83" t="s">
        <v>717</v>
      </c>
      <c r="C83">
        <v>6434.71</v>
      </c>
      <c r="D83">
        <v>1817.21</v>
      </c>
      <c r="E83">
        <v>7</v>
      </c>
      <c r="F83">
        <v>7</v>
      </c>
    </row>
    <row r="84" spans="1:6" x14ac:dyDescent="0.3">
      <c r="A84" t="s">
        <v>45</v>
      </c>
      <c r="B84" t="s">
        <v>706</v>
      </c>
      <c r="C84">
        <v>2631.25</v>
      </c>
      <c r="D84">
        <v>942.72</v>
      </c>
      <c r="E84">
        <v>2</v>
      </c>
      <c r="F84">
        <v>4</v>
      </c>
    </row>
    <row r="85" spans="1:6" x14ac:dyDescent="0.3">
      <c r="A85" t="s">
        <v>45</v>
      </c>
      <c r="B85" t="s">
        <v>707</v>
      </c>
      <c r="C85">
        <v>1201.2</v>
      </c>
      <c r="D85">
        <v>329.23</v>
      </c>
      <c r="E85">
        <v>1</v>
      </c>
      <c r="F85">
        <v>8</v>
      </c>
    </row>
    <row r="86" spans="1:6" x14ac:dyDescent="0.3">
      <c r="A86" t="s">
        <v>45</v>
      </c>
      <c r="B86" t="s">
        <v>718</v>
      </c>
      <c r="C86">
        <v>7486.09</v>
      </c>
      <c r="D86">
        <v>2363.9299999999998</v>
      </c>
      <c r="E86">
        <v>5</v>
      </c>
      <c r="F86">
        <v>3</v>
      </c>
    </row>
    <row r="87" spans="1:6" x14ac:dyDescent="0.3">
      <c r="A87" t="s">
        <v>45</v>
      </c>
      <c r="B87" t="s">
        <v>708</v>
      </c>
      <c r="C87">
        <v>1381.76</v>
      </c>
      <c r="D87">
        <v>269.22000000000003</v>
      </c>
      <c r="E87">
        <v>1</v>
      </c>
      <c r="F87">
        <v>6</v>
      </c>
    </row>
    <row r="88" spans="1:6" x14ac:dyDescent="0.3">
      <c r="A88" t="s">
        <v>45</v>
      </c>
      <c r="B88" t="s">
        <v>709</v>
      </c>
      <c r="C88">
        <v>338.16</v>
      </c>
      <c r="D88">
        <v>134.77000000000001</v>
      </c>
      <c r="E88">
        <v>1</v>
      </c>
      <c r="F88">
        <v>4</v>
      </c>
    </row>
    <row r="89" spans="1:6" x14ac:dyDescent="0.3">
      <c r="A89" t="s">
        <v>45</v>
      </c>
      <c r="B89" t="s">
        <v>710</v>
      </c>
      <c r="C89">
        <v>3025.92</v>
      </c>
      <c r="D89">
        <v>866.08</v>
      </c>
      <c r="E89">
        <v>3</v>
      </c>
      <c r="F89">
        <v>7</v>
      </c>
    </row>
    <row r="90" spans="1:6" x14ac:dyDescent="0.3">
      <c r="A90" t="s">
        <v>45</v>
      </c>
      <c r="B90" t="s">
        <v>711</v>
      </c>
      <c r="C90">
        <v>3405.03</v>
      </c>
      <c r="D90">
        <v>884.06</v>
      </c>
      <c r="E90">
        <v>4</v>
      </c>
      <c r="F90">
        <v>7</v>
      </c>
    </row>
    <row r="91" spans="1:6" x14ac:dyDescent="0.3">
      <c r="A91" t="s">
        <v>45</v>
      </c>
      <c r="B91" t="s">
        <v>712</v>
      </c>
      <c r="C91">
        <v>263.04000000000002</v>
      </c>
      <c r="D91">
        <v>41.4</v>
      </c>
      <c r="E91">
        <v>1</v>
      </c>
      <c r="F91">
        <v>8</v>
      </c>
    </row>
    <row r="92" spans="1:6" x14ac:dyDescent="0.3">
      <c r="A92" t="s">
        <v>45</v>
      </c>
      <c r="B92" t="s">
        <v>713</v>
      </c>
      <c r="C92">
        <v>168.63</v>
      </c>
      <c r="D92">
        <v>41.07</v>
      </c>
      <c r="E92">
        <v>1</v>
      </c>
      <c r="F92">
        <v>9</v>
      </c>
    </row>
    <row r="93" spans="1:6" x14ac:dyDescent="0.3">
      <c r="A93" t="s">
        <v>45</v>
      </c>
      <c r="B93" t="s">
        <v>715</v>
      </c>
      <c r="C93">
        <v>1172.08</v>
      </c>
      <c r="D93">
        <v>375.08</v>
      </c>
      <c r="E93">
        <v>1</v>
      </c>
      <c r="F93">
        <v>7</v>
      </c>
    </row>
    <row r="94" spans="1:6" x14ac:dyDescent="0.3">
      <c r="A94" t="s">
        <v>45</v>
      </c>
      <c r="B94" t="s">
        <v>719</v>
      </c>
      <c r="C94">
        <v>1027.68</v>
      </c>
      <c r="D94">
        <v>357.73</v>
      </c>
      <c r="E94">
        <v>1</v>
      </c>
      <c r="F9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83AF7-C90E-4D9D-A366-1175C69EED2D}">
  <dimension ref="A1:D7"/>
  <sheetViews>
    <sheetView workbookViewId="0">
      <selection activeCell="A2" sqref="A2:A7"/>
    </sheetView>
  </sheetViews>
  <sheetFormatPr defaultRowHeight="14.4" x14ac:dyDescent="0.3"/>
  <cols>
    <col min="1" max="1" width="12.109375" bestFit="1" customWidth="1"/>
    <col min="2" max="2" width="12.88671875" bestFit="1" customWidth="1"/>
    <col min="3" max="3" width="9.33203125" bestFit="1" customWidth="1"/>
    <col min="4" max="4" width="12.44140625" bestFit="1" customWidth="1"/>
  </cols>
  <sheetData>
    <row r="1" spans="1:4" x14ac:dyDescent="0.3">
      <c r="A1" s="6" t="s">
        <v>13</v>
      </c>
      <c r="B1" s="6" t="s">
        <v>746</v>
      </c>
      <c r="C1" s="6" t="s">
        <v>747</v>
      </c>
      <c r="D1" s="6" t="s">
        <v>748</v>
      </c>
    </row>
    <row r="2" spans="1:4" x14ac:dyDescent="0.3">
      <c r="A2" t="s">
        <v>24</v>
      </c>
      <c r="B2" t="s">
        <v>749</v>
      </c>
      <c r="C2" t="s">
        <v>750</v>
      </c>
      <c r="D2" t="s">
        <v>751</v>
      </c>
    </row>
    <row r="3" spans="1:4" x14ac:dyDescent="0.3">
      <c r="A3" t="s">
        <v>32</v>
      </c>
      <c r="B3" t="s">
        <v>752</v>
      </c>
      <c r="C3" t="s">
        <v>752</v>
      </c>
      <c r="D3" t="s">
        <v>753</v>
      </c>
    </row>
    <row r="4" spans="1:4" x14ac:dyDescent="0.3">
      <c r="A4" t="s">
        <v>66</v>
      </c>
      <c r="B4" t="s">
        <v>754</v>
      </c>
      <c r="C4" t="s">
        <v>754</v>
      </c>
      <c r="D4" t="s">
        <v>755</v>
      </c>
    </row>
    <row r="5" spans="1:4" x14ac:dyDescent="0.3">
      <c r="A5" t="s">
        <v>102</v>
      </c>
      <c r="B5" t="s">
        <v>756</v>
      </c>
      <c r="C5" t="s">
        <v>756</v>
      </c>
      <c r="D5" t="s">
        <v>757</v>
      </c>
    </row>
    <row r="6" spans="1:4" x14ac:dyDescent="0.3">
      <c r="A6" t="s">
        <v>45</v>
      </c>
      <c r="B6" t="s">
        <v>758</v>
      </c>
      <c r="C6" t="s">
        <v>750</v>
      </c>
      <c r="D6" t="s">
        <v>759</v>
      </c>
    </row>
    <row r="7" spans="1:4" x14ac:dyDescent="0.3">
      <c r="A7" t="s">
        <v>148</v>
      </c>
      <c r="B7" t="s">
        <v>760</v>
      </c>
      <c r="C7" t="s">
        <v>147</v>
      </c>
      <c r="D7" t="s">
        <v>761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27B78-DAA1-4990-B4B5-E3AB5110396E}">
  <dimension ref="A1:T501"/>
  <sheetViews>
    <sheetView zoomScale="75" workbookViewId="0">
      <selection activeCell="S5" sqref="S5:S7"/>
    </sheetView>
  </sheetViews>
  <sheetFormatPr defaultRowHeight="14.4" x14ac:dyDescent="0.3"/>
  <cols>
    <col min="1" max="1" width="14.77734375" bestFit="1" customWidth="1"/>
    <col min="2" max="2" width="10.6640625" bestFit="1" customWidth="1"/>
    <col min="3" max="3" width="17.21875" bestFit="1" customWidth="1"/>
    <col min="4" max="4" width="10.88671875" bestFit="1" customWidth="1"/>
    <col min="5" max="5" width="16.109375" bestFit="1" customWidth="1"/>
    <col min="6" max="6" width="11.21875" bestFit="1" customWidth="1"/>
    <col min="7" max="7" width="8.33203125" bestFit="1" customWidth="1"/>
    <col min="8" max="8" width="9.6640625" bestFit="1" customWidth="1"/>
    <col min="9" max="9" width="10.44140625" bestFit="1" customWidth="1"/>
    <col min="10" max="10" width="13.109375" bestFit="1" customWidth="1"/>
    <col min="11" max="11" width="8" bestFit="1" customWidth="1"/>
    <col min="12" max="12" width="10.6640625" bestFit="1" customWidth="1"/>
    <col min="13" max="13" width="12.88671875" bestFit="1" customWidth="1"/>
    <col min="14" max="14" width="12.109375" bestFit="1" customWidth="1"/>
    <col min="15" max="15" width="9.5546875" bestFit="1" customWidth="1"/>
    <col min="16" max="16" width="8" bestFit="1" customWidth="1"/>
    <col min="17" max="17" width="12.109375" bestFit="1" customWidth="1"/>
    <col min="19" max="19" width="20.21875" bestFit="1" customWidth="1"/>
    <col min="20" max="20" width="10.664062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762</v>
      </c>
      <c r="P1" s="2" t="s">
        <v>14</v>
      </c>
      <c r="Q1" s="2" t="s">
        <v>15</v>
      </c>
    </row>
    <row r="2" spans="1:20" x14ac:dyDescent="0.3">
      <c r="A2" t="s">
        <v>16</v>
      </c>
      <c r="B2" s="3" t="s">
        <v>17</v>
      </c>
      <c r="C2" t="s">
        <v>18</v>
      </c>
      <c r="D2" t="s">
        <v>19</v>
      </c>
      <c r="E2" t="s">
        <v>20</v>
      </c>
      <c r="F2" t="s">
        <v>21</v>
      </c>
      <c r="G2">
        <v>20</v>
      </c>
      <c r="H2" s="4">
        <v>55.22</v>
      </c>
      <c r="I2">
        <v>1104.4000000000001</v>
      </c>
      <c r="J2">
        <v>49.36</v>
      </c>
      <c r="K2">
        <v>355.04</v>
      </c>
      <c r="L2" t="s">
        <v>22</v>
      </c>
      <c r="M2" t="s">
        <v>23</v>
      </c>
      <c r="N2" t="s">
        <v>24</v>
      </c>
      <c r="O2">
        <f>_xlfn.XLOOKUP(E2,Product_Master!$B$2:$B$11,Product_Master!$F$2:$F$11)</f>
        <v>35</v>
      </c>
      <c r="P2">
        <f>G2*O2</f>
        <v>700</v>
      </c>
      <c r="Q2" s="5">
        <f>K2/I2</f>
        <v>0.32147772546178921</v>
      </c>
    </row>
    <row r="3" spans="1:20" x14ac:dyDescent="0.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21</v>
      </c>
      <c r="G3">
        <v>33</v>
      </c>
      <c r="H3" s="4">
        <v>32.03</v>
      </c>
      <c r="I3">
        <v>1056.99</v>
      </c>
      <c r="J3">
        <v>59.59</v>
      </c>
      <c r="K3">
        <v>403.4</v>
      </c>
      <c r="L3" t="s">
        <v>30</v>
      </c>
      <c r="M3" t="s">
        <v>31</v>
      </c>
      <c r="N3" t="s">
        <v>32</v>
      </c>
      <c r="O3">
        <f>_xlfn.XLOOKUP(E3,Product_Master!$B$2:$B$11,Product_Master!$F$2:$F$11)</f>
        <v>18</v>
      </c>
      <c r="P3">
        <f t="shared" ref="P3:P66" si="0">G3*O3</f>
        <v>594</v>
      </c>
      <c r="Q3" s="5">
        <f t="shared" ref="Q3:Q66" si="1">K3/I3</f>
        <v>0.38164977908967918</v>
      </c>
    </row>
    <row r="4" spans="1:20" x14ac:dyDescent="0.3">
      <c r="A4" t="s">
        <v>33</v>
      </c>
      <c r="B4" t="s">
        <v>34</v>
      </c>
      <c r="C4" t="s">
        <v>35</v>
      </c>
      <c r="D4" t="s">
        <v>36</v>
      </c>
      <c r="E4" t="s">
        <v>29</v>
      </c>
      <c r="F4" t="s">
        <v>21</v>
      </c>
      <c r="G4">
        <v>34</v>
      </c>
      <c r="H4" s="4">
        <v>28.48</v>
      </c>
      <c r="I4">
        <v>968.32</v>
      </c>
      <c r="J4">
        <v>73.95</v>
      </c>
      <c r="K4">
        <v>282.37</v>
      </c>
      <c r="L4" t="s">
        <v>22</v>
      </c>
      <c r="M4" t="s">
        <v>37</v>
      </c>
      <c r="N4" t="s">
        <v>32</v>
      </c>
      <c r="O4">
        <f>_xlfn.XLOOKUP(E4,Product_Master!$B$2:$B$11,Product_Master!$F$2:$F$11)</f>
        <v>18</v>
      </c>
      <c r="P4">
        <f t="shared" si="0"/>
        <v>612</v>
      </c>
      <c r="Q4" s="5">
        <f t="shared" si="1"/>
        <v>0.2916081460674157</v>
      </c>
      <c r="S4" s="15" t="s">
        <v>766</v>
      </c>
      <c r="T4" s="15" t="s">
        <v>767</v>
      </c>
    </row>
    <row r="5" spans="1:20" x14ac:dyDescent="0.3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>
        <v>6</v>
      </c>
      <c r="H5" s="4">
        <v>56.36</v>
      </c>
      <c r="I5">
        <v>338.16</v>
      </c>
      <c r="J5">
        <v>11.39</v>
      </c>
      <c r="K5">
        <v>134.77000000000001</v>
      </c>
      <c r="L5" t="s">
        <v>44</v>
      </c>
      <c r="M5" t="s">
        <v>31</v>
      </c>
      <c r="N5" t="s">
        <v>45</v>
      </c>
      <c r="O5">
        <f>_xlfn.XLOOKUP(E5,Product_Master!$B$2:$B$11,Product_Master!$F$2:$F$11)</f>
        <v>32</v>
      </c>
      <c r="P5">
        <f t="shared" si="0"/>
        <v>192</v>
      </c>
      <c r="Q5" s="5">
        <f t="shared" si="1"/>
        <v>0.39853915306363852</v>
      </c>
      <c r="S5" s="10" t="s">
        <v>763</v>
      </c>
      <c r="T5" s="14">
        <f>AVERAGE(Q2:Q501)</f>
        <v>0.27267437490594432</v>
      </c>
    </row>
    <row r="6" spans="1:20" x14ac:dyDescent="0.3">
      <c r="A6" t="s">
        <v>46</v>
      </c>
      <c r="B6" t="s">
        <v>26</v>
      </c>
      <c r="C6" t="s">
        <v>47</v>
      </c>
      <c r="D6" t="s">
        <v>48</v>
      </c>
      <c r="E6" t="s">
        <v>49</v>
      </c>
      <c r="F6" t="s">
        <v>50</v>
      </c>
      <c r="G6">
        <v>17</v>
      </c>
      <c r="H6" s="4">
        <v>69.22</v>
      </c>
      <c r="I6">
        <v>1176.74</v>
      </c>
      <c r="J6">
        <v>65.94</v>
      </c>
      <c r="K6">
        <v>430.8</v>
      </c>
      <c r="L6" t="s">
        <v>30</v>
      </c>
      <c r="M6" t="s">
        <v>23</v>
      </c>
      <c r="N6" t="s">
        <v>24</v>
      </c>
      <c r="O6">
        <f>_xlfn.XLOOKUP(E6,Product_Master!$B$2:$B$11,Product_Master!$F$2:$F$11)</f>
        <v>40</v>
      </c>
      <c r="P6">
        <f t="shared" si="0"/>
        <v>680</v>
      </c>
      <c r="Q6" s="5">
        <f t="shared" si="1"/>
        <v>0.36609616397844896</v>
      </c>
      <c r="S6" s="9" t="s">
        <v>764</v>
      </c>
      <c r="T6" s="13">
        <f>MAX(Q2:Q501)</f>
        <v>0.42019875028231574</v>
      </c>
    </row>
    <row r="7" spans="1:20" x14ac:dyDescent="0.3">
      <c r="A7" t="s">
        <v>51</v>
      </c>
      <c r="B7" t="s">
        <v>26</v>
      </c>
      <c r="C7" t="s">
        <v>52</v>
      </c>
      <c r="D7" t="s">
        <v>53</v>
      </c>
      <c r="E7" t="s">
        <v>54</v>
      </c>
      <c r="F7" t="s">
        <v>43</v>
      </c>
      <c r="G7">
        <v>13</v>
      </c>
      <c r="H7" s="4">
        <v>27.94</v>
      </c>
      <c r="I7">
        <v>363.22</v>
      </c>
      <c r="J7">
        <v>15.36</v>
      </c>
      <c r="K7">
        <v>87.86</v>
      </c>
      <c r="L7" t="s">
        <v>30</v>
      </c>
      <c r="M7" t="s">
        <v>23</v>
      </c>
      <c r="N7" t="s">
        <v>24</v>
      </c>
      <c r="O7">
        <f>_xlfn.XLOOKUP(E7,Product_Master!$B$2:$B$11,Product_Master!$F$2:$F$11)</f>
        <v>20</v>
      </c>
      <c r="P7">
        <f t="shared" si="0"/>
        <v>260</v>
      </c>
      <c r="Q7" s="5">
        <f t="shared" si="1"/>
        <v>0.2418919663014151</v>
      </c>
      <c r="S7" s="11" t="s">
        <v>765</v>
      </c>
      <c r="T7" s="12">
        <f>MIN(Q2:Q501)</f>
        <v>9.3578691423519017E-2</v>
      </c>
    </row>
    <row r="8" spans="1:20" x14ac:dyDescent="0.3">
      <c r="A8" t="s">
        <v>55</v>
      </c>
      <c r="B8" t="s">
        <v>56</v>
      </c>
      <c r="C8" t="s">
        <v>57</v>
      </c>
      <c r="D8" t="s">
        <v>28</v>
      </c>
      <c r="E8" t="s">
        <v>58</v>
      </c>
      <c r="F8" t="s">
        <v>59</v>
      </c>
      <c r="G8">
        <v>3</v>
      </c>
      <c r="H8" s="4">
        <v>31.52</v>
      </c>
      <c r="I8">
        <v>94.56</v>
      </c>
      <c r="J8">
        <v>6.98</v>
      </c>
      <c r="K8">
        <v>20.079999999999998</v>
      </c>
      <c r="L8" t="s">
        <v>22</v>
      </c>
      <c r="M8" t="s">
        <v>37</v>
      </c>
      <c r="N8" t="s">
        <v>32</v>
      </c>
      <c r="O8">
        <f>_xlfn.XLOOKUP(E8,Product_Master!$B$2:$B$11,Product_Master!$F$2:$F$11)</f>
        <v>22.5</v>
      </c>
      <c r="P8">
        <f t="shared" si="0"/>
        <v>67.5</v>
      </c>
      <c r="Q8" s="5">
        <f t="shared" si="1"/>
        <v>0.21235194585448391</v>
      </c>
    </row>
    <row r="9" spans="1:20" x14ac:dyDescent="0.3">
      <c r="A9" t="s">
        <v>60</v>
      </c>
      <c r="B9" t="s">
        <v>61</v>
      </c>
      <c r="C9" t="s">
        <v>62</v>
      </c>
      <c r="D9" t="s">
        <v>63</v>
      </c>
      <c r="E9" t="s">
        <v>64</v>
      </c>
      <c r="F9" t="s">
        <v>65</v>
      </c>
      <c r="G9">
        <v>14</v>
      </c>
      <c r="H9" s="4">
        <v>30.71</v>
      </c>
      <c r="I9">
        <v>429.94</v>
      </c>
      <c r="J9">
        <v>13.03</v>
      </c>
      <c r="K9">
        <v>66.91</v>
      </c>
      <c r="L9" t="s">
        <v>30</v>
      </c>
      <c r="M9" t="s">
        <v>23</v>
      </c>
      <c r="N9" t="s">
        <v>66</v>
      </c>
      <c r="O9">
        <f>_xlfn.XLOOKUP(E9,Product_Master!$B$2:$B$11,Product_Master!$F$2:$F$11)</f>
        <v>25</v>
      </c>
      <c r="P9">
        <f t="shared" si="0"/>
        <v>350</v>
      </c>
      <c r="Q9" s="5">
        <f t="shared" si="1"/>
        <v>0.15562636646973996</v>
      </c>
    </row>
    <row r="10" spans="1:20" x14ac:dyDescent="0.3">
      <c r="A10" t="s">
        <v>67</v>
      </c>
      <c r="B10" t="s">
        <v>68</v>
      </c>
      <c r="C10" t="s">
        <v>35</v>
      </c>
      <c r="D10" t="s">
        <v>19</v>
      </c>
      <c r="E10" t="s">
        <v>69</v>
      </c>
      <c r="F10" t="s">
        <v>59</v>
      </c>
      <c r="G10">
        <v>47</v>
      </c>
      <c r="H10" s="4">
        <v>24.47</v>
      </c>
      <c r="I10">
        <v>1150.0899999999999</v>
      </c>
      <c r="J10">
        <v>61.3</v>
      </c>
      <c r="K10">
        <v>360.29</v>
      </c>
      <c r="L10" t="s">
        <v>30</v>
      </c>
      <c r="M10" t="s">
        <v>23</v>
      </c>
      <c r="N10" t="s">
        <v>24</v>
      </c>
      <c r="O10">
        <f>_xlfn.XLOOKUP(E10,Product_Master!$B$2:$B$11,Product_Master!$F$2:$F$11)</f>
        <v>15.5</v>
      </c>
      <c r="P10">
        <f t="shared" si="0"/>
        <v>728.5</v>
      </c>
      <c r="Q10" s="5">
        <f t="shared" si="1"/>
        <v>0.31327113530245465</v>
      </c>
    </row>
    <row r="11" spans="1:20" x14ac:dyDescent="0.3">
      <c r="A11" t="s">
        <v>70</v>
      </c>
      <c r="B11" t="s">
        <v>71</v>
      </c>
      <c r="C11" t="s">
        <v>72</v>
      </c>
      <c r="D11" t="s">
        <v>36</v>
      </c>
      <c r="E11" t="s">
        <v>73</v>
      </c>
      <c r="F11" t="s">
        <v>43</v>
      </c>
      <c r="G11">
        <v>27</v>
      </c>
      <c r="H11" s="4">
        <v>18.98</v>
      </c>
      <c r="I11">
        <v>512.46</v>
      </c>
      <c r="J11">
        <v>28.89</v>
      </c>
      <c r="K11">
        <v>139.32</v>
      </c>
      <c r="L11" t="s">
        <v>30</v>
      </c>
      <c r="M11" t="s">
        <v>37</v>
      </c>
      <c r="N11" t="s">
        <v>32</v>
      </c>
      <c r="O11">
        <f>_xlfn.XLOOKUP(E11,Product_Master!$B$2:$B$11,Product_Master!$F$2:$F$11)</f>
        <v>12.75</v>
      </c>
      <c r="P11">
        <f t="shared" si="0"/>
        <v>344.25</v>
      </c>
      <c r="Q11" s="5">
        <f t="shared" si="1"/>
        <v>0.27186512118018963</v>
      </c>
    </row>
    <row r="12" spans="1:20" x14ac:dyDescent="0.3">
      <c r="A12" t="s">
        <v>74</v>
      </c>
      <c r="B12" t="s">
        <v>75</v>
      </c>
      <c r="C12" t="s">
        <v>76</v>
      </c>
      <c r="D12" t="s">
        <v>63</v>
      </c>
      <c r="E12" t="s">
        <v>20</v>
      </c>
      <c r="F12" t="s">
        <v>21</v>
      </c>
      <c r="G12">
        <v>32</v>
      </c>
      <c r="H12" s="4">
        <v>57.84</v>
      </c>
      <c r="I12">
        <v>1850.88</v>
      </c>
      <c r="J12">
        <v>55.15</v>
      </c>
      <c r="K12">
        <v>675.73</v>
      </c>
      <c r="L12" t="s">
        <v>22</v>
      </c>
      <c r="M12" t="s">
        <v>23</v>
      </c>
      <c r="N12" t="s">
        <v>66</v>
      </c>
      <c r="O12">
        <f>_xlfn.XLOOKUP(E12,Product_Master!$B$2:$B$11,Product_Master!$F$2:$F$11)</f>
        <v>35</v>
      </c>
      <c r="P12">
        <f t="shared" si="0"/>
        <v>1120</v>
      </c>
      <c r="Q12" s="5">
        <f t="shared" si="1"/>
        <v>0.36508579702627936</v>
      </c>
    </row>
    <row r="13" spans="1:20" x14ac:dyDescent="0.3">
      <c r="A13" t="s">
        <v>77</v>
      </c>
      <c r="B13" t="s">
        <v>78</v>
      </c>
      <c r="C13" t="s">
        <v>79</v>
      </c>
      <c r="D13" t="s">
        <v>48</v>
      </c>
      <c r="E13" t="s">
        <v>49</v>
      </c>
      <c r="F13" t="s">
        <v>50</v>
      </c>
      <c r="G13">
        <v>49</v>
      </c>
      <c r="H13" s="4">
        <v>58.77</v>
      </c>
      <c r="I13">
        <v>2879.73</v>
      </c>
      <c r="J13">
        <v>140.29</v>
      </c>
      <c r="K13">
        <v>779.44</v>
      </c>
      <c r="L13" t="s">
        <v>44</v>
      </c>
      <c r="M13" t="s">
        <v>37</v>
      </c>
      <c r="N13" t="s">
        <v>24</v>
      </c>
      <c r="O13">
        <f>_xlfn.XLOOKUP(E13,Product_Master!$B$2:$B$11,Product_Master!$F$2:$F$11)</f>
        <v>40</v>
      </c>
      <c r="P13">
        <f t="shared" si="0"/>
        <v>1960</v>
      </c>
      <c r="Q13" s="5">
        <f t="shared" si="1"/>
        <v>0.27066426366360735</v>
      </c>
    </row>
    <row r="14" spans="1:20" x14ac:dyDescent="0.3">
      <c r="A14" t="s">
        <v>80</v>
      </c>
      <c r="B14" t="s">
        <v>68</v>
      </c>
      <c r="C14" t="s">
        <v>76</v>
      </c>
      <c r="D14" t="s">
        <v>81</v>
      </c>
      <c r="E14" t="s">
        <v>20</v>
      </c>
      <c r="F14" t="s">
        <v>21</v>
      </c>
      <c r="G14">
        <v>43</v>
      </c>
      <c r="H14" s="4">
        <v>56.92</v>
      </c>
      <c r="I14">
        <v>2447.56</v>
      </c>
      <c r="J14">
        <v>140.4</v>
      </c>
      <c r="K14">
        <v>802.16</v>
      </c>
      <c r="L14" t="s">
        <v>22</v>
      </c>
      <c r="M14" t="s">
        <v>31</v>
      </c>
      <c r="N14" t="s">
        <v>66</v>
      </c>
      <c r="O14">
        <f>_xlfn.XLOOKUP(E14,Product_Master!$B$2:$B$11,Product_Master!$F$2:$F$11)</f>
        <v>35</v>
      </c>
      <c r="P14">
        <f t="shared" si="0"/>
        <v>1505</v>
      </c>
      <c r="Q14" s="5">
        <f t="shared" si="1"/>
        <v>0.3277386458350357</v>
      </c>
    </row>
    <row r="15" spans="1:20" x14ac:dyDescent="0.3">
      <c r="A15" t="s">
        <v>82</v>
      </c>
      <c r="B15" t="s">
        <v>83</v>
      </c>
      <c r="C15" t="s">
        <v>84</v>
      </c>
      <c r="D15" t="s">
        <v>36</v>
      </c>
      <c r="E15" t="s">
        <v>64</v>
      </c>
      <c r="F15" t="s">
        <v>65</v>
      </c>
      <c r="G15">
        <v>32</v>
      </c>
      <c r="H15" s="4">
        <v>43.45</v>
      </c>
      <c r="I15">
        <v>1390.4</v>
      </c>
      <c r="J15">
        <v>30.04</v>
      </c>
      <c r="K15">
        <v>560.36</v>
      </c>
      <c r="L15" t="s">
        <v>22</v>
      </c>
      <c r="M15" t="s">
        <v>37</v>
      </c>
      <c r="N15" t="s">
        <v>32</v>
      </c>
      <c r="O15">
        <f>_xlfn.XLOOKUP(E15,Product_Master!$B$2:$B$11,Product_Master!$F$2:$F$11)</f>
        <v>25</v>
      </c>
      <c r="P15">
        <f t="shared" si="0"/>
        <v>800</v>
      </c>
      <c r="Q15" s="5">
        <f t="shared" si="1"/>
        <v>0.4030207134637514</v>
      </c>
    </row>
    <row r="16" spans="1:20" x14ac:dyDescent="0.3">
      <c r="A16" t="s">
        <v>85</v>
      </c>
      <c r="B16" t="s">
        <v>86</v>
      </c>
      <c r="C16" t="s">
        <v>87</v>
      </c>
      <c r="D16" t="s">
        <v>88</v>
      </c>
      <c r="E16" t="s">
        <v>64</v>
      </c>
      <c r="F16" t="s">
        <v>65</v>
      </c>
      <c r="G16">
        <v>22</v>
      </c>
      <c r="H16" s="4">
        <v>42.59</v>
      </c>
      <c r="I16">
        <v>936.98</v>
      </c>
      <c r="J16">
        <v>29.87</v>
      </c>
      <c r="K16">
        <v>357.11</v>
      </c>
      <c r="L16" t="s">
        <v>30</v>
      </c>
      <c r="M16" t="s">
        <v>37</v>
      </c>
      <c r="N16" t="s">
        <v>66</v>
      </c>
      <c r="O16">
        <f>_xlfn.XLOOKUP(E16,Product_Master!$B$2:$B$11,Product_Master!$F$2:$F$11)</f>
        <v>25</v>
      </c>
      <c r="P16">
        <f t="shared" si="0"/>
        <v>550</v>
      </c>
      <c r="Q16" s="5">
        <f t="shared" si="1"/>
        <v>0.38112873273709152</v>
      </c>
    </row>
    <row r="17" spans="1:17" x14ac:dyDescent="0.3">
      <c r="A17" t="s">
        <v>89</v>
      </c>
      <c r="B17" t="s">
        <v>68</v>
      </c>
      <c r="C17" t="s">
        <v>90</v>
      </c>
      <c r="D17" t="s">
        <v>91</v>
      </c>
      <c r="E17" t="s">
        <v>54</v>
      </c>
      <c r="F17" t="s">
        <v>43</v>
      </c>
      <c r="G17">
        <v>48</v>
      </c>
      <c r="H17" s="4">
        <v>25.36</v>
      </c>
      <c r="I17">
        <v>1217.28</v>
      </c>
      <c r="J17">
        <v>49.68</v>
      </c>
      <c r="K17">
        <v>207.6</v>
      </c>
      <c r="L17" t="s">
        <v>30</v>
      </c>
      <c r="M17" t="s">
        <v>23</v>
      </c>
      <c r="N17" t="s">
        <v>66</v>
      </c>
      <c r="O17">
        <f>_xlfn.XLOOKUP(E17,Product_Master!$B$2:$B$11,Product_Master!$F$2:$F$11)</f>
        <v>20</v>
      </c>
      <c r="P17">
        <f t="shared" si="0"/>
        <v>960</v>
      </c>
      <c r="Q17" s="5">
        <f t="shared" si="1"/>
        <v>0.17054416403785488</v>
      </c>
    </row>
    <row r="18" spans="1:17" x14ac:dyDescent="0.3">
      <c r="A18" t="s">
        <v>92</v>
      </c>
      <c r="B18" t="s">
        <v>71</v>
      </c>
      <c r="C18" t="s">
        <v>76</v>
      </c>
      <c r="D18" t="s">
        <v>88</v>
      </c>
      <c r="E18" t="s">
        <v>29</v>
      </c>
      <c r="F18" t="s">
        <v>21</v>
      </c>
      <c r="G18">
        <v>48</v>
      </c>
      <c r="H18" s="4">
        <v>30.07</v>
      </c>
      <c r="I18">
        <v>1443.36</v>
      </c>
      <c r="J18">
        <v>102.31</v>
      </c>
      <c r="K18">
        <v>477.05</v>
      </c>
      <c r="L18" t="s">
        <v>44</v>
      </c>
      <c r="M18" t="s">
        <v>23</v>
      </c>
      <c r="N18" t="s">
        <v>66</v>
      </c>
      <c r="O18">
        <f>_xlfn.XLOOKUP(E18,Product_Master!$B$2:$B$11,Product_Master!$F$2:$F$11)</f>
        <v>18</v>
      </c>
      <c r="P18">
        <f t="shared" si="0"/>
        <v>864</v>
      </c>
      <c r="Q18" s="5">
        <f t="shared" si="1"/>
        <v>0.33051352399955664</v>
      </c>
    </row>
    <row r="19" spans="1:17" x14ac:dyDescent="0.3">
      <c r="A19" t="s">
        <v>93</v>
      </c>
      <c r="B19" t="s">
        <v>68</v>
      </c>
      <c r="C19" t="s">
        <v>52</v>
      </c>
      <c r="D19" t="s">
        <v>88</v>
      </c>
      <c r="E19" t="s">
        <v>54</v>
      </c>
      <c r="F19" t="s">
        <v>43</v>
      </c>
      <c r="G19">
        <v>6</v>
      </c>
      <c r="H19" s="4">
        <v>32.17</v>
      </c>
      <c r="I19">
        <v>193.02</v>
      </c>
      <c r="J19">
        <v>14.45</v>
      </c>
      <c r="K19">
        <v>58.57</v>
      </c>
      <c r="L19" t="s">
        <v>44</v>
      </c>
      <c r="M19" t="s">
        <v>23</v>
      </c>
      <c r="N19" t="s">
        <v>66</v>
      </c>
      <c r="O19">
        <f>_xlfn.XLOOKUP(E19,Product_Master!$B$2:$B$11,Product_Master!$F$2:$F$11)</f>
        <v>20</v>
      </c>
      <c r="P19">
        <f t="shared" si="0"/>
        <v>120</v>
      </c>
      <c r="Q19" s="5">
        <f t="shared" si="1"/>
        <v>0.30344005802507512</v>
      </c>
    </row>
    <row r="20" spans="1:17" x14ac:dyDescent="0.3">
      <c r="A20" t="s">
        <v>94</v>
      </c>
      <c r="B20" t="s">
        <v>95</v>
      </c>
      <c r="C20" t="s">
        <v>96</v>
      </c>
      <c r="D20" t="s">
        <v>81</v>
      </c>
      <c r="E20" t="s">
        <v>29</v>
      </c>
      <c r="F20" t="s">
        <v>21</v>
      </c>
      <c r="G20">
        <v>37</v>
      </c>
      <c r="H20" s="4">
        <v>24.14</v>
      </c>
      <c r="I20">
        <v>893.18</v>
      </c>
      <c r="J20">
        <v>31.39</v>
      </c>
      <c r="K20">
        <v>195.79</v>
      </c>
      <c r="L20" t="s">
        <v>30</v>
      </c>
      <c r="M20" t="s">
        <v>31</v>
      </c>
      <c r="N20" t="s">
        <v>66</v>
      </c>
      <c r="O20">
        <f>_xlfn.XLOOKUP(E20,Product_Master!$B$2:$B$11,Product_Master!$F$2:$F$11)</f>
        <v>18</v>
      </c>
      <c r="P20">
        <f t="shared" si="0"/>
        <v>666</v>
      </c>
      <c r="Q20" s="5">
        <f t="shared" si="1"/>
        <v>0.21920553527844333</v>
      </c>
    </row>
    <row r="21" spans="1:17" x14ac:dyDescent="0.3">
      <c r="A21" t="s">
        <v>97</v>
      </c>
      <c r="B21" t="s">
        <v>75</v>
      </c>
      <c r="C21" t="s">
        <v>47</v>
      </c>
      <c r="D21" t="s">
        <v>28</v>
      </c>
      <c r="E21" t="s">
        <v>98</v>
      </c>
      <c r="F21" t="s">
        <v>59</v>
      </c>
      <c r="G21">
        <v>39</v>
      </c>
      <c r="H21" s="4">
        <v>37.840000000000003</v>
      </c>
      <c r="I21">
        <v>1475.76</v>
      </c>
      <c r="J21">
        <v>73.400000000000006</v>
      </c>
      <c r="K21">
        <v>310.36</v>
      </c>
      <c r="L21" t="s">
        <v>30</v>
      </c>
      <c r="M21" t="s">
        <v>37</v>
      </c>
      <c r="N21" t="s">
        <v>32</v>
      </c>
      <c r="O21">
        <f>_xlfn.XLOOKUP(E21,Product_Master!$B$2:$B$11,Product_Master!$F$2:$F$11)</f>
        <v>28</v>
      </c>
      <c r="P21">
        <f t="shared" si="0"/>
        <v>1092</v>
      </c>
      <c r="Q21" s="5">
        <f t="shared" si="1"/>
        <v>0.21030519867729172</v>
      </c>
    </row>
    <row r="22" spans="1:17" x14ac:dyDescent="0.3">
      <c r="A22" t="s">
        <v>99</v>
      </c>
      <c r="B22" t="s">
        <v>26</v>
      </c>
      <c r="C22" t="s">
        <v>100</v>
      </c>
      <c r="D22" t="s">
        <v>101</v>
      </c>
      <c r="E22" t="s">
        <v>49</v>
      </c>
      <c r="F22" t="s">
        <v>50</v>
      </c>
      <c r="G22">
        <v>6</v>
      </c>
      <c r="H22" s="4">
        <v>68.77</v>
      </c>
      <c r="I22">
        <v>412.62</v>
      </c>
      <c r="J22">
        <v>17.18</v>
      </c>
      <c r="K22">
        <v>155.44</v>
      </c>
      <c r="L22" t="s">
        <v>30</v>
      </c>
      <c r="M22" t="s">
        <v>23</v>
      </c>
      <c r="N22" t="s">
        <v>102</v>
      </c>
      <c r="O22">
        <f>_xlfn.XLOOKUP(E22,Product_Master!$B$2:$B$11,Product_Master!$F$2:$F$11)</f>
        <v>40</v>
      </c>
      <c r="P22">
        <f t="shared" si="0"/>
        <v>240</v>
      </c>
      <c r="Q22" s="5">
        <f t="shared" si="1"/>
        <v>0.37671465270709126</v>
      </c>
    </row>
    <row r="23" spans="1:17" x14ac:dyDescent="0.3">
      <c r="A23" t="s">
        <v>103</v>
      </c>
      <c r="B23" t="s">
        <v>104</v>
      </c>
      <c r="C23" t="s">
        <v>105</v>
      </c>
      <c r="D23" t="s">
        <v>48</v>
      </c>
      <c r="E23" t="s">
        <v>73</v>
      </c>
      <c r="F23" t="s">
        <v>43</v>
      </c>
      <c r="G23">
        <v>6</v>
      </c>
      <c r="H23" s="4">
        <v>18.5</v>
      </c>
      <c r="I23">
        <v>111</v>
      </c>
      <c r="J23">
        <v>5.26</v>
      </c>
      <c r="K23">
        <v>29.24</v>
      </c>
      <c r="L23" t="s">
        <v>44</v>
      </c>
      <c r="M23" t="s">
        <v>31</v>
      </c>
      <c r="N23" t="s">
        <v>24</v>
      </c>
      <c r="O23">
        <f>_xlfn.XLOOKUP(E23,Product_Master!$B$2:$B$11,Product_Master!$F$2:$F$11)</f>
        <v>12.75</v>
      </c>
      <c r="P23">
        <f t="shared" si="0"/>
        <v>76.5</v>
      </c>
      <c r="Q23" s="5">
        <f t="shared" si="1"/>
        <v>0.2634234234234234</v>
      </c>
    </row>
    <row r="24" spans="1:17" x14ac:dyDescent="0.3">
      <c r="A24" t="s">
        <v>106</v>
      </c>
      <c r="B24" t="s">
        <v>107</v>
      </c>
      <c r="C24" t="s">
        <v>108</v>
      </c>
      <c r="D24" t="s">
        <v>36</v>
      </c>
      <c r="E24" t="s">
        <v>58</v>
      </c>
      <c r="F24" t="s">
        <v>59</v>
      </c>
      <c r="G24">
        <v>33</v>
      </c>
      <c r="H24" s="4">
        <v>28.96</v>
      </c>
      <c r="I24">
        <v>955.68</v>
      </c>
      <c r="J24">
        <v>49.07</v>
      </c>
      <c r="K24">
        <v>164.11</v>
      </c>
      <c r="L24" t="s">
        <v>30</v>
      </c>
      <c r="M24" t="s">
        <v>23</v>
      </c>
      <c r="N24" t="s">
        <v>32</v>
      </c>
      <c r="O24">
        <f>_xlfn.XLOOKUP(E24,Product_Master!$B$2:$B$11,Product_Master!$F$2:$F$11)</f>
        <v>22.5</v>
      </c>
      <c r="P24">
        <f t="shared" si="0"/>
        <v>742.5</v>
      </c>
      <c r="Q24" s="5">
        <f t="shared" si="1"/>
        <v>0.17172065963502431</v>
      </c>
    </row>
    <row r="25" spans="1:17" x14ac:dyDescent="0.3">
      <c r="A25" t="s">
        <v>109</v>
      </c>
      <c r="B25" t="s">
        <v>83</v>
      </c>
      <c r="C25" t="s">
        <v>110</v>
      </c>
      <c r="D25" t="s">
        <v>48</v>
      </c>
      <c r="E25" t="s">
        <v>58</v>
      </c>
      <c r="F25" t="s">
        <v>59</v>
      </c>
      <c r="G25">
        <v>31</v>
      </c>
      <c r="H25" s="4">
        <v>35.020000000000003</v>
      </c>
      <c r="I25">
        <v>1085.6199999999999</v>
      </c>
      <c r="J25">
        <v>74.650000000000006</v>
      </c>
      <c r="K25">
        <v>313.47000000000003</v>
      </c>
      <c r="L25" t="s">
        <v>44</v>
      </c>
      <c r="M25" t="s">
        <v>23</v>
      </c>
      <c r="N25" t="s">
        <v>24</v>
      </c>
      <c r="O25">
        <f>_xlfn.XLOOKUP(E25,Product_Master!$B$2:$B$11,Product_Master!$F$2:$F$11)</f>
        <v>22.5</v>
      </c>
      <c r="P25">
        <f t="shared" si="0"/>
        <v>697.5</v>
      </c>
      <c r="Q25" s="5">
        <f t="shared" si="1"/>
        <v>0.2887474438569666</v>
      </c>
    </row>
    <row r="26" spans="1:17" x14ac:dyDescent="0.3">
      <c r="A26" t="s">
        <v>111</v>
      </c>
      <c r="B26" t="s">
        <v>75</v>
      </c>
      <c r="C26" t="s">
        <v>112</v>
      </c>
      <c r="D26" t="s">
        <v>48</v>
      </c>
      <c r="E26" t="s">
        <v>54</v>
      </c>
      <c r="F26" t="s">
        <v>43</v>
      </c>
      <c r="G26">
        <v>25</v>
      </c>
      <c r="H26" s="4">
        <v>31.57</v>
      </c>
      <c r="I26">
        <v>789.25</v>
      </c>
      <c r="J26">
        <v>56.47</v>
      </c>
      <c r="K26">
        <v>232.78</v>
      </c>
      <c r="L26" t="s">
        <v>30</v>
      </c>
      <c r="M26" t="s">
        <v>31</v>
      </c>
      <c r="N26" t="s">
        <v>24</v>
      </c>
      <c r="O26">
        <f>_xlfn.XLOOKUP(E26,Product_Master!$B$2:$B$11,Product_Master!$F$2:$F$11)</f>
        <v>20</v>
      </c>
      <c r="P26">
        <f t="shared" si="0"/>
        <v>500</v>
      </c>
      <c r="Q26" s="5">
        <f t="shared" si="1"/>
        <v>0.29493823249920809</v>
      </c>
    </row>
    <row r="27" spans="1:17" x14ac:dyDescent="0.3">
      <c r="A27" t="s">
        <v>113</v>
      </c>
      <c r="B27" t="s">
        <v>78</v>
      </c>
      <c r="C27" t="s">
        <v>114</v>
      </c>
      <c r="D27" t="s">
        <v>36</v>
      </c>
      <c r="E27" t="s">
        <v>69</v>
      </c>
      <c r="F27" t="s">
        <v>59</v>
      </c>
      <c r="G27">
        <v>14</v>
      </c>
      <c r="H27" s="4">
        <v>27.08</v>
      </c>
      <c r="I27">
        <v>379.12</v>
      </c>
      <c r="J27">
        <v>11.12</v>
      </c>
      <c r="K27">
        <v>151</v>
      </c>
      <c r="L27" t="s">
        <v>30</v>
      </c>
      <c r="M27" t="s">
        <v>37</v>
      </c>
      <c r="N27" t="s">
        <v>32</v>
      </c>
      <c r="O27">
        <f>_xlfn.XLOOKUP(E27,Product_Master!$B$2:$B$11,Product_Master!$F$2:$F$11)</f>
        <v>15.5</v>
      </c>
      <c r="P27">
        <f t="shared" si="0"/>
        <v>217</v>
      </c>
      <c r="Q27" s="5">
        <f t="shared" si="1"/>
        <v>0.39829077864528378</v>
      </c>
    </row>
    <row r="28" spans="1:17" x14ac:dyDescent="0.3">
      <c r="A28" t="s">
        <v>115</v>
      </c>
      <c r="B28" t="s">
        <v>56</v>
      </c>
      <c r="C28" t="s">
        <v>40</v>
      </c>
      <c r="D28" t="s">
        <v>36</v>
      </c>
      <c r="E28" t="s">
        <v>98</v>
      </c>
      <c r="F28" t="s">
        <v>59</v>
      </c>
      <c r="G28">
        <v>39</v>
      </c>
      <c r="H28" s="4">
        <v>35.32</v>
      </c>
      <c r="I28">
        <v>1377.48</v>
      </c>
      <c r="J28">
        <v>63.72</v>
      </c>
      <c r="K28">
        <v>221.76</v>
      </c>
      <c r="L28" t="s">
        <v>30</v>
      </c>
      <c r="M28" t="s">
        <v>31</v>
      </c>
      <c r="N28" t="s">
        <v>32</v>
      </c>
      <c r="O28">
        <f>_xlfn.XLOOKUP(E28,Product_Master!$B$2:$B$11,Product_Master!$F$2:$F$11)</f>
        <v>28</v>
      </c>
      <c r="P28">
        <f t="shared" si="0"/>
        <v>1092</v>
      </c>
      <c r="Q28" s="5">
        <f t="shared" si="1"/>
        <v>0.16098963324331386</v>
      </c>
    </row>
    <row r="29" spans="1:17" x14ac:dyDescent="0.3">
      <c r="A29" t="s">
        <v>116</v>
      </c>
      <c r="B29" t="s">
        <v>71</v>
      </c>
      <c r="C29" t="s">
        <v>117</v>
      </c>
      <c r="D29" t="s">
        <v>63</v>
      </c>
      <c r="E29" t="s">
        <v>58</v>
      </c>
      <c r="F29" t="s">
        <v>59</v>
      </c>
      <c r="G29">
        <v>6</v>
      </c>
      <c r="H29" s="4">
        <v>39.630000000000003</v>
      </c>
      <c r="I29">
        <v>237.78</v>
      </c>
      <c r="J29">
        <v>8.08</v>
      </c>
      <c r="K29">
        <v>94.7</v>
      </c>
      <c r="L29" t="s">
        <v>22</v>
      </c>
      <c r="M29" t="s">
        <v>37</v>
      </c>
      <c r="N29" t="s">
        <v>66</v>
      </c>
      <c r="O29">
        <f>_xlfn.XLOOKUP(E29,Product_Master!$B$2:$B$11,Product_Master!$F$2:$F$11)</f>
        <v>22.5</v>
      </c>
      <c r="P29">
        <f t="shared" si="0"/>
        <v>135</v>
      </c>
      <c r="Q29" s="5">
        <f t="shared" si="1"/>
        <v>0.39826730591302884</v>
      </c>
    </row>
    <row r="30" spans="1:17" x14ac:dyDescent="0.3">
      <c r="A30" t="s">
        <v>118</v>
      </c>
      <c r="B30" t="s">
        <v>17</v>
      </c>
      <c r="C30" t="s">
        <v>119</v>
      </c>
      <c r="D30" t="s">
        <v>101</v>
      </c>
      <c r="E30" t="s">
        <v>49</v>
      </c>
      <c r="F30" t="s">
        <v>50</v>
      </c>
      <c r="G30">
        <v>36</v>
      </c>
      <c r="H30" s="4">
        <v>68.400000000000006</v>
      </c>
      <c r="I30">
        <v>2462.4</v>
      </c>
      <c r="J30">
        <v>150.83000000000001</v>
      </c>
      <c r="K30">
        <v>871.57</v>
      </c>
      <c r="L30" t="s">
        <v>30</v>
      </c>
      <c r="M30" t="s">
        <v>23</v>
      </c>
      <c r="N30" t="s">
        <v>102</v>
      </c>
      <c r="O30">
        <f>_xlfn.XLOOKUP(E30,Product_Master!$B$2:$B$11,Product_Master!$F$2:$F$11)</f>
        <v>40</v>
      </c>
      <c r="P30">
        <f t="shared" si="0"/>
        <v>1440</v>
      </c>
      <c r="Q30" s="5">
        <f t="shared" si="1"/>
        <v>0.35395142949967512</v>
      </c>
    </row>
    <row r="31" spans="1:17" x14ac:dyDescent="0.3">
      <c r="A31" t="s">
        <v>120</v>
      </c>
      <c r="B31" t="s">
        <v>95</v>
      </c>
      <c r="C31" t="s">
        <v>90</v>
      </c>
      <c r="D31" t="s">
        <v>36</v>
      </c>
      <c r="E31" t="s">
        <v>64</v>
      </c>
      <c r="F31" t="s">
        <v>65</v>
      </c>
      <c r="G31">
        <v>1</v>
      </c>
      <c r="H31" s="4">
        <v>44.98</v>
      </c>
      <c r="I31">
        <v>44.98</v>
      </c>
      <c r="J31">
        <v>2.81</v>
      </c>
      <c r="K31">
        <v>17.170000000000002</v>
      </c>
      <c r="L31" t="s">
        <v>30</v>
      </c>
      <c r="M31" t="s">
        <v>31</v>
      </c>
      <c r="N31" t="s">
        <v>32</v>
      </c>
      <c r="O31">
        <f>_xlfn.XLOOKUP(E31,Product_Master!$B$2:$B$11,Product_Master!$F$2:$F$11)</f>
        <v>25</v>
      </c>
      <c r="P31">
        <f t="shared" si="0"/>
        <v>25</v>
      </c>
      <c r="Q31" s="5">
        <f t="shared" si="1"/>
        <v>0.38172521120498004</v>
      </c>
    </row>
    <row r="32" spans="1:17" x14ac:dyDescent="0.3">
      <c r="A32" t="s">
        <v>121</v>
      </c>
      <c r="B32" t="s">
        <v>75</v>
      </c>
      <c r="C32" t="s">
        <v>122</v>
      </c>
      <c r="D32" t="s">
        <v>123</v>
      </c>
      <c r="E32" t="s">
        <v>98</v>
      </c>
      <c r="F32" t="s">
        <v>59</v>
      </c>
      <c r="G32">
        <v>3</v>
      </c>
      <c r="H32" s="4">
        <v>37.74</v>
      </c>
      <c r="I32">
        <v>113.22</v>
      </c>
      <c r="J32">
        <v>4.04</v>
      </c>
      <c r="K32">
        <v>25.18</v>
      </c>
      <c r="L32" t="s">
        <v>30</v>
      </c>
      <c r="M32" t="s">
        <v>31</v>
      </c>
      <c r="N32" t="s">
        <v>32</v>
      </c>
      <c r="O32">
        <f>_xlfn.XLOOKUP(E32,Product_Master!$B$2:$B$11,Product_Master!$F$2:$F$11)</f>
        <v>28</v>
      </c>
      <c r="P32">
        <f t="shared" si="0"/>
        <v>84</v>
      </c>
      <c r="Q32" s="5">
        <f t="shared" si="1"/>
        <v>0.22239886945769299</v>
      </c>
    </row>
    <row r="33" spans="1:17" x14ac:dyDescent="0.3">
      <c r="A33" t="s">
        <v>124</v>
      </c>
      <c r="B33" t="s">
        <v>107</v>
      </c>
      <c r="C33" t="s">
        <v>125</v>
      </c>
      <c r="D33" t="s">
        <v>123</v>
      </c>
      <c r="E33" t="s">
        <v>64</v>
      </c>
      <c r="F33" t="s">
        <v>65</v>
      </c>
      <c r="G33">
        <v>12</v>
      </c>
      <c r="H33" s="4">
        <v>39.799999999999997</v>
      </c>
      <c r="I33">
        <v>477.6</v>
      </c>
      <c r="J33">
        <v>20.54</v>
      </c>
      <c r="K33">
        <v>157.06</v>
      </c>
      <c r="L33" t="s">
        <v>44</v>
      </c>
      <c r="M33" t="s">
        <v>31</v>
      </c>
      <c r="N33" t="s">
        <v>32</v>
      </c>
      <c r="O33">
        <f>_xlfn.XLOOKUP(E33,Product_Master!$B$2:$B$11,Product_Master!$F$2:$F$11)</f>
        <v>25</v>
      </c>
      <c r="P33">
        <f t="shared" si="0"/>
        <v>300</v>
      </c>
      <c r="Q33" s="5">
        <f t="shared" si="1"/>
        <v>0.32885259631490787</v>
      </c>
    </row>
    <row r="34" spans="1:17" x14ac:dyDescent="0.3">
      <c r="A34" t="s">
        <v>126</v>
      </c>
      <c r="B34" t="s">
        <v>34</v>
      </c>
      <c r="C34" t="s">
        <v>127</v>
      </c>
      <c r="D34" t="s">
        <v>63</v>
      </c>
      <c r="E34" t="s">
        <v>42</v>
      </c>
      <c r="F34" t="s">
        <v>43</v>
      </c>
      <c r="G34">
        <v>26</v>
      </c>
      <c r="H34" s="4">
        <v>43.23</v>
      </c>
      <c r="I34">
        <v>1123.98</v>
      </c>
      <c r="J34">
        <v>57.2</v>
      </c>
      <c r="K34">
        <v>234.78</v>
      </c>
      <c r="L34" t="s">
        <v>30</v>
      </c>
      <c r="M34" t="s">
        <v>37</v>
      </c>
      <c r="N34" t="s">
        <v>66</v>
      </c>
      <c r="O34">
        <f>_xlfn.XLOOKUP(E34,Product_Master!$B$2:$B$11,Product_Master!$F$2:$F$11)</f>
        <v>32</v>
      </c>
      <c r="P34">
        <f t="shared" si="0"/>
        <v>832</v>
      </c>
      <c r="Q34" s="5">
        <f t="shared" si="1"/>
        <v>0.20888272033310201</v>
      </c>
    </row>
    <row r="35" spans="1:17" x14ac:dyDescent="0.3">
      <c r="A35" t="s">
        <v>128</v>
      </c>
      <c r="B35" t="s">
        <v>17</v>
      </c>
      <c r="C35" t="s">
        <v>40</v>
      </c>
      <c r="D35" t="s">
        <v>36</v>
      </c>
      <c r="E35" t="s">
        <v>49</v>
      </c>
      <c r="F35" t="s">
        <v>50</v>
      </c>
      <c r="G35">
        <v>17</v>
      </c>
      <c r="H35" s="4">
        <v>66.34</v>
      </c>
      <c r="I35">
        <v>1127.78</v>
      </c>
      <c r="J35">
        <v>81.150000000000006</v>
      </c>
      <c r="K35">
        <v>366.63</v>
      </c>
      <c r="L35" t="s">
        <v>30</v>
      </c>
      <c r="M35" t="s">
        <v>37</v>
      </c>
      <c r="N35" t="s">
        <v>32</v>
      </c>
      <c r="O35">
        <f>_xlfn.XLOOKUP(E35,Product_Master!$B$2:$B$11,Product_Master!$F$2:$F$11)</f>
        <v>40</v>
      </c>
      <c r="P35">
        <f t="shared" si="0"/>
        <v>680</v>
      </c>
      <c r="Q35" s="5">
        <f t="shared" si="1"/>
        <v>0.32508999982266046</v>
      </c>
    </row>
    <row r="36" spans="1:17" x14ac:dyDescent="0.3">
      <c r="A36" t="s">
        <v>129</v>
      </c>
      <c r="B36" t="s">
        <v>39</v>
      </c>
      <c r="C36" t="s">
        <v>130</v>
      </c>
      <c r="D36" t="s">
        <v>81</v>
      </c>
      <c r="E36" t="s">
        <v>64</v>
      </c>
      <c r="F36" t="s">
        <v>65</v>
      </c>
      <c r="G36">
        <v>4</v>
      </c>
      <c r="H36" s="4">
        <v>33.869999999999997</v>
      </c>
      <c r="I36">
        <v>135.47999999999999</v>
      </c>
      <c r="J36">
        <v>6.59</v>
      </c>
      <c r="K36">
        <v>28.89</v>
      </c>
      <c r="L36" t="s">
        <v>22</v>
      </c>
      <c r="M36" t="s">
        <v>37</v>
      </c>
      <c r="N36" t="s">
        <v>66</v>
      </c>
      <c r="O36">
        <f>_xlfn.XLOOKUP(E36,Product_Master!$B$2:$B$11,Product_Master!$F$2:$F$11)</f>
        <v>25</v>
      </c>
      <c r="P36">
        <f t="shared" si="0"/>
        <v>100</v>
      </c>
      <c r="Q36" s="5">
        <f t="shared" si="1"/>
        <v>0.21324180690876884</v>
      </c>
    </row>
    <row r="37" spans="1:17" x14ac:dyDescent="0.3">
      <c r="A37" t="s">
        <v>131</v>
      </c>
      <c r="B37" t="s">
        <v>132</v>
      </c>
      <c r="C37" t="s">
        <v>133</v>
      </c>
      <c r="D37" t="s">
        <v>36</v>
      </c>
      <c r="E37" t="s">
        <v>49</v>
      </c>
      <c r="F37" t="s">
        <v>50</v>
      </c>
      <c r="G37">
        <v>10</v>
      </c>
      <c r="H37" s="4">
        <v>64.650000000000006</v>
      </c>
      <c r="I37">
        <v>646.5</v>
      </c>
      <c r="J37">
        <v>17.89</v>
      </c>
      <c r="K37">
        <v>228.61</v>
      </c>
      <c r="L37" t="s">
        <v>44</v>
      </c>
      <c r="M37" t="s">
        <v>23</v>
      </c>
      <c r="N37" t="s">
        <v>32</v>
      </c>
      <c r="O37">
        <f>_xlfn.XLOOKUP(E37,Product_Master!$B$2:$B$11,Product_Master!$F$2:$F$11)</f>
        <v>40</v>
      </c>
      <c r="P37">
        <f t="shared" si="0"/>
        <v>400</v>
      </c>
      <c r="Q37" s="5">
        <f t="shared" si="1"/>
        <v>0.35361175560711527</v>
      </c>
    </row>
    <row r="38" spans="1:17" x14ac:dyDescent="0.3">
      <c r="A38" t="s">
        <v>134</v>
      </c>
      <c r="B38" t="s">
        <v>78</v>
      </c>
      <c r="C38" t="s">
        <v>135</v>
      </c>
      <c r="D38" t="s">
        <v>101</v>
      </c>
      <c r="E38" t="s">
        <v>58</v>
      </c>
      <c r="F38" t="s">
        <v>59</v>
      </c>
      <c r="G38">
        <v>12</v>
      </c>
      <c r="H38" s="4">
        <v>29.56</v>
      </c>
      <c r="I38">
        <v>354.72</v>
      </c>
      <c r="J38">
        <v>21.4</v>
      </c>
      <c r="K38">
        <v>63.32</v>
      </c>
      <c r="L38" t="s">
        <v>30</v>
      </c>
      <c r="M38" t="s">
        <v>23</v>
      </c>
      <c r="N38" t="s">
        <v>102</v>
      </c>
      <c r="O38">
        <f>_xlfn.XLOOKUP(E38,Product_Master!$B$2:$B$11,Product_Master!$F$2:$F$11)</f>
        <v>22.5</v>
      </c>
      <c r="P38">
        <f t="shared" si="0"/>
        <v>270</v>
      </c>
      <c r="Q38" s="5">
        <f t="shared" si="1"/>
        <v>0.17850699142986015</v>
      </c>
    </row>
    <row r="39" spans="1:17" x14ac:dyDescent="0.3">
      <c r="A39" t="s">
        <v>136</v>
      </c>
      <c r="B39" t="s">
        <v>107</v>
      </c>
      <c r="C39" t="s">
        <v>137</v>
      </c>
      <c r="D39" t="s">
        <v>19</v>
      </c>
      <c r="E39" t="s">
        <v>64</v>
      </c>
      <c r="F39" t="s">
        <v>65</v>
      </c>
      <c r="G39">
        <v>4</v>
      </c>
      <c r="H39" s="4">
        <v>35.36</v>
      </c>
      <c r="I39">
        <v>141.44</v>
      </c>
      <c r="J39">
        <v>8.66</v>
      </c>
      <c r="K39">
        <v>32.78</v>
      </c>
      <c r="L39" t="s">
        <v>44</v>
      </c>
      <c r="M39" t="s">
        <v>31</v>
      </c>
      <c r="N39" t="s">
        <v>24</v>
      </c>
      <c r="O39">
        <f>_xlfn.XLOOKUP(E39,Product_Master!$B$2:$B$11,Product_Master!$F$2:$F$11)</f>
        <v>25</v>
      </c>
      <c r="P39">
        <f t="shared" si="0"/>
        <v>100</v>
      </c>
      <c r="Q39" s="5">
        <f t="shared" si="1"/>
        <v>0.23175904977375567</v>
      </c>
    </row>
    <row r="40" spans="1:17" x14ac:dyDescent="0.3">
      <c r="A40" t="s">
        <v>138</v>
      </c>
      <c r="B40" t="s">
        <v>17</v>
      </c>
      <c r="C40" t="s">
        <v>139</v>
      </c>
      <c r="D40" t="s">
        <v>36</v>
      </c>
      <c r="E40" t="s">
        <v>54</v>
      </c>
      <c r="F40" t="s">
        <v>43</v>
      </c>
      <c r="G40">
        <v>28</v>
      </c>
      <c r="H40" s="4">
        <v>31.42</v>
      </c>
      <c r="I40">
        <v>879.76</v>
      </c>
      <c r="J40">
        <v>69.319999999999993</v>
      </c>
      <c r="K40">
        <v>250.44</v>
      </c>
      <c r="L40" t="s">
        <v>22</v>
      </c>
      <c r="M40" t="s">
        <v>37</v>
      </c>
      <c r="N40" t="s">
        <v>32</v>
      </c>
      <c r="O40">
        <f>_xlfn.XLOOKUP(E40,Product_Master!$B$2:$B$11,Product_Master!$F$2:$F$11)</f>
        <v>20</v>
      </c>
      <c r="P40">
        <f t="shared" si="0"/>
        <v>560</v>
      </c>
      <c r="Q40" s="5">
        <f t="shared" si="1"/>
        <v>0.28466854596708191</v>
      </c>
    </row>
    <row r="41" spans="1:17" x14ac:dyDescent="0.3">
      <c r="A41" t="s">
        <v>140</v>
      </c>
      <c r="B41" t="s">
        <v>107</v>
      </c>
      <c r="C41" t="s">
        <v>141</v>
      </c>
      <c r="D41" t="s">
        <v>19</v>
      </c>
      <c r="E41" t="s">
        <v>20</v>
      </c>
      <c r="F41" t="s">
        <v>21</v>
      </c>
      <c r="G41">
        <v>35</v>
      </c>
      <c r="H41" s="4">
        <v>55.12</v>
      </c>
      <c r="I41">
        <v>1929.2</v>
      </c>
      <c r="J41">
        <v>58.22</v>
      </c>
      <c r="K41">
        <v>645.98</v>
      </c>
      <c r="L41" t="s">
        <v>22</v>
      </c>
      <c r="M41" t="s">
        <v>23</v>
      </c>
      <c r="N41" t="s">
        <v>24</v>
      </c>
      <c r="O41">
        <f>_xlfn.XLOOKUP(E41,Product_Master!$B$2:$B$11,Product_Master!$F$2:$F$11)</f>
        <v>35</v>
      </c>
      <c r="P41">
        <f t="shared" si="0"/>
        <v>1225</v>
      </c>
      <c r="Q41" s="5">
        <f t="shared" si="1"/>
        <v>0.3348434584283641</v>
      </c>
    </row>
    <row r="42" spans="1:17" x14ac:dyDescent="0.3">
      <c r="A42" t="s">
        <v>142</v>
      </c>
      <c r="B42" t="s">
        <v>75</v>
      </c>
      <c r="C42" t="s">
        <v>143</v>
      </c>
      <c r="D42" t="s">
        <v>88</v>
      </c>
      <c r="E42" t="s">
        <v>58</v>
      </c>
      <c r="F42" t="s">
        <v>59</v>
      </c>
      <c r="G42">
        <v>41</v>
      </c>
      <c r="H42" s="4">
        <v>33.94</v>
      </c>
      <c r="I42">
        <v>1391.54</v>
      </c>
      <c r="J42">
        <v>33.26</v>
      </c>
      <c r="K42">
        <v>435.78</v>
      </c>
      <c r="L42" t="s">
        <v>22</v>
      </c>
      <c r="M42" t="s">
        <v>37</v>
      </c>
      <c r="N42" t="s">
        <v>66</v>
      </c>
      <c r="O42">
        <f>_xlfn.XLOOKUP(E42,Product_Master!$B$2:$B$11,Product_Master!$F$2:$F$11)</f>
        <v>22.5</v>
      </c>
      <c r="P42">
        <f t="shared" si="0"/>
        <v>922.5</v>
      </c>
      <c r="Q42" s="5">
        <f t="shared" si="1"/>
        <v>0.31316383287580662</v>
      </c>
    </row>
    <row r="43" spans="1:17" x14ac:dyDescent="0.3">
      <c r="A43" t="s">
        <v>144</v>
      </c>
      <c r="B43" t="s">
        <v>71</v>
      </c>
      <c r="C43" t="s">
        <v>84</v>
      </c>
      <c r="D43" t="s">
        <v>81</v>
      </c>
      <c r="E43" t="s">
        <v>58</v>
      </c>
      <c r="F43" t="s">
        <v>59</v>
      </c>
      <c r="G43">
        <v>20</v>
      </c>
      <c r="H43" s="4">
        <v>38.43</v>
      </c>
      <c r="I43">
        <v>768.6</v>
      </c>
      <c r="J43">
        <v>60.07</v>
      </c>
      <c r="K43">
        <v>258.52999999999997</v>
      </c>
      <c r="L43" t="s">
        <v>44</v>
      </c>
      <c r="M43" t="s">
        <v>37</v>
      </c>
      <c r="N43" t="s">
        <v>66</v>
      </c>
      <c r="O43">
        <f>_xlfn.XLOOKUP(E43,Product_Master!$B$2:$B$11,Product_Master!$F$2:$F$11)</f>
        <v>22.5</v>
      </c>
      <c r="P43">
        <f t="shared" si="0"/>
        <v>450</v>
      </c>
      <c r="Q43" s="5">
        <f t="shared" si="1"/>
        <v>0.33636481915170435</v>
      </c>
    </row>
    <row r="44" spans="1:17" x14ac:dyDescent="0.3">
      <c r="A44" t="s">
        <v>145</v>
      </c>
      <c r="B44" t="s">
        <v>107</v>
      </c>
      <c r="C44" t="s">
        <v>87</v>
      </c>
      <c r="D44" t="s">
        <v>41</v>
      </c>
      <c r="E44" t="s">
        <v>64</v>
      </c>
      <c r="F44" t="s">
        <v>65</v>
      </c>
      <c r="G44">
        <v>23</v>
      </c>
      <c r="H44" s="4">
        <v>35.07</v>
      </c>
      <c r="I44">
        <v>806.61</v>
      </c>
      <c r="J44">
        <v>21.23</v>
      </c>
      <c r="K44">
        <v>210.38</v>
      </c>
      <c r="L44" t="s">
        <v>22</v>
      </c>
      <c r="M44" t="s">
        <v>37</v>
      </c>
      <c r="N44" t="s">
        <v>45</v>
      </c>
      <c r="O44">
        <f>_xlfn.XLOOKUP(E44,Product_Master!$B$2:$B$11,Product_Master!$F$2:$F$11)</f>
        <v>25</v>
      </c>
      <c r="P44">
        <f t="shared" si="0"/>
        <v>575</v>
      </c>
      <c r="Q44" s="5">
        <f t="shared" si="1"/>
        <v>0.26081997495691844</v>
      </c>
    </row>
    <row r="45" spans="1:17" x14ac:dyDescent="0.3">
      <c r="A45" t="s">
        <v>146</v>
      </c>
      <c r="B45" t="s">
        <v>104</v>
      </c>
      <c r="C45" t="s">
        <v>79</v>
      </c>
      <c r="D45" t="s">
        <v>147</v>
      </c>
      <c r="E45" t="s">
        <v>49</v>
      </c>
      <c r="F45" t="s">
        <v>50</v>
      </c>
      <c r="G45">
        <v>35</v>
      </c>
      <c r="H45" s="4">
        <v>71.44</v>
      </c>
      <c r="I45">
        <v>2500.4</v>
      </c>
      <c r="J45">
        <v>166.81</v>
      </c>
      <c r="K45">
        <v>933.59</v>
      </c>
      <c r="L45" t="s">
        <v>30</v>
      </c>
      <c r="M45" t="s">
        <v>31</v>
      </c>
      <c r="N45" t="s">
        <v>148</v>
      </c>
      <c r="O45">
        <f>_xlfn.XLOOKUP(E45,Product_Master!$B$2:$B$11,Product_Master!$F$2:$F$11)</f>
        <v>40</v>
      </c>
      <c r="P45">
        <f t="shared" si="0"/>
        <v>1400</v>
      </c>
      <c r="Q45" s="5">
        <f t="shared" si="1"/>
        <v>0.37337625979843225</v>
      </c>
    </row>
    <row r="46" spans="1:17" x14ac:dyDescent="0.3">
      <c r="A46" t="s">
        <v>149</v>
      </c>
      <c r="B46" t="s">
        <v>78</v>
      </c>
      <c r="C46" t="s">
        <v>133</v>
      </c>
      <c r="D46" t="s">
        <v>48</v>
      </c>
      <c r="E46" t="s">
        <v>29</v>
      </c>
      <c r="F46" t="s">
        <v>21</v>
      </c>
      <c r="G46">
        <v>11</v>
      </c>
      <c r="H46" s="4">
        <v>26.05</v>
      </c>
      <c r="I46">
        <v>286.55</v>
      </c>
      <c r="J46">
        <v>13.39</v>
      </c>
      <c r="K46">
        <v>75.16</v>
      </c>
      <c r="L46" t="s">
        <v>30</v>
      </c>
      <c r="M46" t="s">
        <v>23</v>
      </c>
      <c r="N46" t="s">
        <v>24</v>
      </c>
      <c r="O46">
        <f>_xlfn.XLOOKUP(E46,Product_Master!$B$2:$B$11,Product_Master!$F$2:$F$11)</f>
        <v>18</v>
      </c>
      <c r="P46">
        <f t="shared" si="0"/>
        <v>198</v>
      </c>
      <c r="Q46" s="5">
        <f t="shared" si="1"/>
        <v>0.26229279357878205</v>
      </c>
    </row>
    <row r="47" spans="1:17" x14ac:dyDescent="0.3">
      <c r="A47" t="s">
        <v>150</v>
      </c>
      <c r="B47" t="s">
        <v>83</v>
      </c>
      <c r="C47" t="s">
        <v>47</v>
      </c>
      <c r="D47" t="s">
        <v>28</v>
      </c>
      <c r="E47" t="s">
        <v>69</v>
      </c>
      <c r="F47" t="s">
        <v>59</v>
      </c>
      <c r="G47">
        <v>46</v>
      </c>
      <c r="H47" s="4">
        <v>26.67</v>
      </c>
      <c r="I47">
        <v>1226.82</v>
      </c>
      <c r="J47">
        <v>83.55</v>
      </c>
      <c r="K47">
        <v>430.27</v>
      </c>
      <c r="L47" t="s">
        <v>22</v>
      </c>
      <c r="M47" t="s">
        <v>37</v>
      </c>
      <c r="N47" t="s">
        <v>32</v>
      </c>
      <c r="O47">
        <f>_xlfn.XLOOKUP(E47,Product_Master!$B$2:$B$11,Product_Master!$F$2:$F$11)</f>
        <v>15.5</v>
      </c>
      <c r="P47">
        <f t="shared" si="0"/>
        <v>713</v>
      </c>
      <c r="Q47" s="5">
        <f t="shared" si="1"/>
        <v>0.35071974698814823</v>
      </c>
    </row>
    <row r="48" spans="1:17" x14ac:dyDescent="0.3">
      <c r="A48" t="s">
        <v>151</v>
      </c>
      <c r="B48" t="s">
        <v>132</v>
      </c>
      <c r="C48" t="s">
        <v>108</v>
      </c>
      <c r="D48" t="s">
        <v>28</v>
      </c>
      <c r="E48" t="s">
        <v>98</v>
      </c>
      <c r="F48" t="s">
        <v>59</v>
      </c>
      <c r="G48">
        <v>12</v>
      </c>
      <c r="H48" s="4">
        <v>42.84</v>
      </c>
      <c r="I48">
        <v>514.08000000000004</v>
      </c>
      <c r="J48">
        <v>22.74</v>
      </c>
      <c r="K48">
        <v>155.34</v>
      </c>
      <c r="L48" t="s">
        <v>44</v>
      </c>
      <c r="M48" t="s">
        <v>23</v>
      </c>
      <c r="N48" t="s">
        <v>32</v>
      </c>
      <c r="O48">
        <f>_xlfn.XLOOKUP(E48,Product_Master!$B$2:$B$11,Product_Master!$F$2:$F$11)</f>
        <v>28</v>
      </c>
      <c r="P48">
        <f t="shared" si="0"/>
        <v>336</v>
      </c>
      <c r="Q48" s="5">
        <f t="shared" si="1"/>
        <v>0.30217086834733892</v>
      </c>
    </row>
    <row r="49" spans="1:17" x14ac:dyDescent="0.3">
      <c r="A49" t="s">
        <v>152</v>
      </c>
      <c r="B49" t="s">
        <v>95</v>
      </c>
      <c r="C49" t="s">
        <v>153</v>
      </c>
      <c r="D49" t="s">
        <v>81</v>
      </c>
      <c r="E49" t="s">
        <v>29</v>
      </c>
      <c r="F49" t="s">
        <v>21</v>
      </c>
      <c r="G49">
        <v>18</v>
      </c>
      <c r="H49" s="4">
        <v>30.89</v>
      </c>
      <c r="I49">
        <v>556.02</v>
      </c>
      <c r="J49">
        <v>12</v>
      </c>
      <c r="K49">
        <v>220.02</v>
      </c>
      <c r="L49" t="s">
        <v>30</v>
      </c>
      <c r="M49" t="s">
        <v>23</v>
      </c>
      <c r="N49" t="s">
        <v>66</v>
      </c>
      <c r="O49">
        <f>_xlfn.XLOOKUP(E49,Product_Master!$B$2:$B$11,Product_Master!$F$2:$F$11)</f>
        <v>18</v>
      </c>
      <c r="P49">
        <f t="shared" si="0"/>
        <v>324</v>
      </c>
      <c r="Q49" s="5">
        <f t="shared" si="1"/>
        <v>0.39570519046077485</v>
      </c>
    </row>
    <row r="50" spans="1:17" x14ac:dyDescent="0.3">
      <c r="A50" t="s">
        <v>154</v>
      </c>
      <c r="B50" t="s">
        <v>78</v>
      </c>
      <c r="C50" t="s">
        <v>155</v>
      </c>
      <c r="D50" t="s">
        <v>48</v>
      </c>
      <c r="E50" t="s">
        <v>20</v>
      </c>
      <c r="F50" t="s">
        <v>21</v>
      </c>
      <c r="G50">
        <v>21</v>
      </c>
      <c r="H50" s="4">
        <v>52.41</v>
      </c>
      <c r="I50">
        <v>1100.6099999999999</v>
      </c>
      <c r="J50">
        <v>81.099999999999994</v>
      </c>
      <c r="K50">
        <v>284.51</v>
      </c>
      <c r="L50" t="s">
        <v>44</v>
      </c>
      <c r="M50" t="s">
        <v>31</v>
      </c>
      <c r="N50" t="s">
        <v>24</v>
      </c>
      <c r="O50">
        <f>_xlfn.XLOOKUP(E50,Product_Master!$B$2:$B$11,Product_Master!$F$2:$F$11)</f>
        <v>35</v>
      </c>
      <c r="P50">
        <f t="shared" si="0"/>
        <v>735</v>
      </c>
      <c r="Q50" s="5">
        <f t="shared" si="1"/>
        <v>0.25850210337903529</v>
      </c>
    </row>
    <row r="51" spans="1:17" x14ac:dyDescent="0.3">
      <c r="A51" t="s">
        <v>156</v>
      </c>
      <c r="B51" t="s">
        <v>157</v>
      </c>
      <c r="C51" t="s">
        <v>158</v>
      </c>
      <c r="D51" t="s">
        <v>147</v>
      </c>
      <c r="E51" t="s">
        <v>98</v>
      </c>
      <c r="F51" t="s">
        <v>59</v>
      </c>
      <c r="G51">
        <v>17</v>
      </c>
      <c r="H51" s="4">
        <v>38.64</v>
      </c>
      <c r="I51">
        <v>656.88</v>
      </c>
      <c r="J51">
        <v>13.86</v>
      </c>
      <c r="K51">
        <v>167.02</v>
      </c>
      <c r="L51" t="s">
        <v>30</v>
      </c>
      <c r="M51" t="s">
        <v>23</v>
      </c>
      <c r="N51" t="s">
        <v>148</v>
      </c>
      <c r="O51">
        <f>_xlfn.XLOOKUP(E51,Product_Master!$B$2:$B$11,Product_Master!$F$2:$F$11)</f>
        <v>28</v>
      </c>
      <c r="P51">
        <f t="shared" si="0"/>
        <v>476</v>
      </c>
      <c r="Q51" s="5">
        <f t="shared" si="1"/>
        <v>0.25426257459505541</v>
      </c>
    </row>
    <row r="52" spans="1:17" x14ac:dyDescent="0.3">
      <c r="A52" t="s">
        <v>159</v>
      </c>
      <c r="B52" t="s">
        <v>75</v>
      </c>
      <c r="C52" t="s">
        <v>137</v>
      </c>
      <c r="D52" t="s">
        <v>91</v>
      </c>
      <c r="E52" t="s">
        <v>29</v>
      </c>
      <c r="F52" t="s">
        <v>21</v>
      </c>
      <c r="G52">
        <v>41</v>
      </c>
      <c r="H52" s="4">
        <v>25.79</v>
      </c>
      <c r="I52">
        <v>1057.3900000000001</v>
      </c>
      <c r="J52">
        <v>71.22</v>
      </c>
      <c r="K52">
        <v>248.17</v>
      </c>
      <c r="L52" t="s">
        <v>30</v>
      </c>
      <c r="M52" t="s">
        <v>31</v>
      </c>
      <c r="N52" t="s">
        <v>66</v>
      </c>
      <c r="O52">
        <f>_xlfn.XLOOKUP(E52,Product_Master!$B$2:$B$11,Product_Master!$F$2:$F$11)</f>
        <v>18</v>
      </c>
      <c r="P52">
        <f t="shared" si="0"/>
        <v>738</v>
      </c>
      <c r="Q52" s="5">
        <f t="shared" si="1"/>
        <v>0.23470053622599038</v>
      </c>
    </row>
    <row r="53" spans="1:17" x14ac:dyDescent="0.3">
      <c r="A53" t="s">
        <v>160</v>
      </c>
      <c r="B53" t="s">
        <v>95</v>
      </c>
      <c r="C53" t="s">
        <v>161</v>
      </c>
      <c r="D53" t="s">
        <v>91</v>
      </c>
      <c r="E53" t="s">
        <v>98</v>
      </c>
      <c r="F53" t="s">
        <v>59</v>
      </c>
      <c r="G53">
        <v>41</v>
      </c>
      <c r="H53" s="4">
        <v>41.13</v>
      </c>
      <c r="I53">
        <v>1686.33</v>
      </c>
      <c r="J53">
        <v>80.12</v>
      </c>
      <c r="K53">
        <v>458.21</v>
      </c>
      <c r="L53" t="s">
        <v>30</v>
      </c>
      <c r="M53" t="s">
        <v>37</v>
      </c>
      <c r="N53" t="s">
        <v>66</v>
      </c>
      <c r="O53">
        <f>_xlfn.XLOOKUP(E53,Product_Master!$B$2:$B$11,Product_Master!$F$2:$F$11)</f>
        <v>28</v>
      </c>
      <c r="P53">
        <f t="shared" si="0"/>
        <v>1148</v>
      </c>
      <c r="Q53" s="5">
        <f t="shared" si="1"/>
        <v>0.27172024455474314</v>
      </c>
    </row>
    <row r="54" spans="1:17" x14ac:dyDescent="0.3">
      <c r="A54" t="s">
        <v>162</v>
      </c>
      <c r="B54" t="s">
        <v>132</v>
      </c>
      <c r="C54" t="s">
        <v>79</v>
      </c>
      <c r="D54" t="s">
        <v>63</v>
      </c>
      <c r="E54" t="s">
        <v>49</v>
      </c>
      <c r="F54" t="s">
        <v>50</v>
      </c>
      <c r="G54">
        <v>33</v>
      </c>
      <c r="H54" s="4">
        <v>55.67</v>
      </c>
      <c r="I54">
        <v>1837.11</v>
      </c>
      <c r="J54">
        <v>144.32</v>
      </c>
      <c r="K54">
        <v>372.79</v>
      </c>
      <c r="L54" t="s">
        <v>22</v>
      </c>
      <c r="M54" t="s">
        <v>23</v>
      </c>
      <c r="N54" t="s">
        <v>66</v>
      </c>
      <c r="O54">
        <f>_xlfn.XLOOKUP(E54,Product_Master!$B$2:$B$11,Product_Master!$F$2:$F$11)</f>
        <v>40</v>
      </c>
      <c r="P54">
        <f t="shared" si="0"/>
        <v>1320</v>
      </c>
      <c r="Q54" s="5">
        <f t="shared" si="1"/>
        <v>0.2029219807197174</v>
      </c>
    </row>
    <row r="55" spans="1:17" x14ac:dyDescent="0.3">
      <c r="A55" t="s">
        <v>163</v>
      </c>
      <c r="B55" t="s">
        <v>132</v>
      </c>
      <c r="C55" t="s">
        <v>164</v>
      </c>
      <c r="D55" t="s">
        <v>91</v>
      </c>
      <c r="E55" t="s">
        <v>49</v>
      </c>
      <c r="F55" t="s">
        <v>50</v>
      </c>
      <c r="G55">
        <v>18</v>
      </c>
      <c r="H55" s="4">
        <v>50.87</v>
      </c>
      <c r="I55">
        <v>915.66</v>
      </c>
      <c r="J55">
        <v>49.93</v>
      </c>
      <c r="K55">
        <v>145.72999999999999</v>
      </c>
      <c r="L55" t="s">
        <v>22</v>
      </c>
      <c r="M55" t="s">
        <v>31</v>
      </c>
      <c r="N55" t="s">
        <v>66</v>
      </c>
      <c r="O55">
        <f>_xlfn.XLOOKUP(E55,Product_Master!$B$2:$B$11,Product_Master!$F$2:$F$11)</f>
        <v>40</v>
      </c>
      <c r="P55">
        <f t="shared" si="0"/>
        <v>720</v>
      </c>
      <c r="Q55" s="5">
        <f t="shared" si="1"/>
        <v>0.15915296070593887</v>
      </c>
    </row>
    <row r="56" spans="1:17" x14ac:dyDescent="0.3">
      <c r="A56" t="s">
        <v>165</v>
      </c>
      <c r="B56" t="s">
        <v>75</v>
      </c>
      <c r="C56" t="s">
        <v>166</v>
      </c>
      <c r="D56" t="s">
        <v>101</v>
      </c>
      <c r="E56" t="s">
        <v>69</v>
      </c>
      <c r="F56" t="s">
        <v>59</v>
      </c>
      <c r="G56">
        <v>14</v>
      </c>
      <c r="H56" s="4">
        <v>26.7</v>
      </c>
      <c r="I56">
        <v>373.8</v>
      </c>
      <c r="J56">
        <v>11.84</v>
      </c>
      <c r="K56">
        <v>144.96</v>
      </c>
      <c r="L56" t="s">
        <v>44</v>
      </c>
      <c r="M56" t="s">
        <v>23</v>
      </c>
      <c r="N56" t="s">
        <v>102</v>
      </c>
      <c r="O56">
        <f>_xlfn.XLOOKUP(E56,Product_Master!$B$2:$B$11,Product_Master!$F$2:$F$11)</f>
        <v>15.5</v>
      </c>
      <c r="P56">
        <f t="shared" si="0"/>
        <v>217</v>
      </c>
      <c r="Q56" s="5">
        <f t="shared" si="1"/>
        <v>0.38780096308186196</v>
      </c>
    </row>
    <row r="57" spans="1:17" x14ac:dyDescent="0.3">
      <c r="A57" t="s">
        <v>167</v>
      </c>
      <c r="B57" t="s">
        <v>68</v>
      </c>
      <c r="C57" t="s">
        <v>168</v>
      </c>
      <c r="D57" t="s">
        <v>19</v>
      </c>
      <c r="E57" t="s">
        <v>29</v>
      </c>
      <c r="F57" t="s">
        <v>21</v>
      </c>
      <c r="G57">
        <v>16</v>
      </c>
      <c r="H57" s="4">
        <v>28.96</v>
      </c>
      <c r="I57">
        <v>463.36</v>
      </c>
      <c r="J57">
        <v>35.65</v>
      </c>
      <c r="K57">
        <v>139.71</v>
      </c>
      <c r="L57" t="s">
        <v>22</v>
      </c>
      <c r="M57" t="s">
        <v>37</v>
      </c>
      <c r="N57" t="s">
        <v>24</v>
      </c>
      <c r="O57">
        <f>_xlfn.XLOOKUP(E57,Product_Master!$B$2:$B$11,Product_Master!$F$2:$F$11)</f>
        <v>18</v>
      </c>
      <c r="P57">
        <f t="shared" si="0"/>
        <v>288</v>
      </c>
      <c r="Q57" s="5">
        <f t="shared" si="1"/>
        <v>0.30151502071823205</v>
      </c>
    </row>
    <row r="58" spans="1:17" x14ac:dyDescent="0.3">
      <c r="A58" t="s">
        <v>169</v>
      </c>
      <c r="B58" t="s">
        <v>107</v>
      </c>
      <c r="C58" t="s">
        <v>79</v>
      </c>
      <c r="D58" t="s">
        <v>170</v>
      </c>
      <c r="E58" t="s">
        <v>29</v>
      </c>
      <c r="F58" t="s">
        <v>21</v>
      </c>
      <c r="G58">
        <v>47</v>
      </c>
      <c r="H58" s="4">
        <v>23.03</v>
      </c>
      <c r="I58">
        <v>1082.4100000000001</v>
      </c>
      <c r="J58">
        <v>50.12</v>
      </c>
      <c r="K58">
        <v>186.29</v>
      </c>
      <c r="L58" t="s">
        <v>44</v>
      </c>
      <c r="M58" t="s">
        <v>23</v>
      </c>
      <c r="N58" t="s">
        <v>32</v>
      </c>
      <c r="O58">
        <f>_xlfn.XLOOKUP(E58,Product_Master!$B$2:$B$11,Product_Master!$F$2:$F$11)</f>
        <v>18</v>
      </c>
      <c r="P58">
        <f t="shared" si="0"/>
        <v>846</v>
      </c>
      <c r="Q58" s="5">
        <f t="shared" si="1"/>
        <v>0.1721066878539555</v>
      </c>
    </row>
    <row r="59" spans="1:17" x14ac:dyDescent="0.3">
      <c r="A59" t="s">
        <v>171</v>
      </c>
      <c r="B59" t="s">
        <v>107</v>
      </c>
      <c r="C59" t="s">
        <v>168</v>
      </c>
      <c r="D59" t="s">
        <v>147</v>
      </c>
      <c r="E59" t="s">
        <v>20</v>
      </c>
      <c r="F59" t="s">
        <v>21</v>
      </c>
      <c r="G59">
        <v>18</v>
      </c>
      <c r="H59" s="4">
        <v>50.03</v>
      </c>
      <c r="I59">
        <v>900.54</v>
      </c>
      <c r="J59">
        <v>68.44</v>
      </c>
      <c r="K59">
        <v>202.1</v>
      </c>
      <c r="L59" t="s">
        <v>44</v>
      </c>
      <c r="M59" t="s">
        <v>23</v>
      </c>
      <c r="N59" t="s">
        <v>148</v>
      </c>
      <c r="O59">
        <f>_xlfn.XLOOKUP(E59,Product_Master!$B$2:$B$11,Product_Master!$F$2:$F$11)</f>
        <v>35</v>
      </c>
      <c r="P59">
        <f t="shared" si="0"/>
        <v>630</v>
      </c>
      <c r="Q59" s="5">
        <f t="shared" si="1"/>
        <v>0.22442090301374731</v>
      </c>
    </row>
    <row r="60" spans="1:17" x14ac:dyDescent="0.3">
      <c r="A60" t="s">
        <v>172</v>
      </c>
      <c r="B60" t="s">
        <v>95</v>
      </c>
      <c r="C60" t="s">
        <v>173</v>
      </c>
      <c r="D60" t="s">
        <v>28</v>
      </c>
      <c r="E60" t="s">
        <v>64</v>
      </c>
      <c r="F60" t="s">
        <v>65</v>
      </c>
      <c r="G60">
        <v>38</v>
      </c>
      <c r="H60" s="4">
        <v>32.07</v>
      </c>
      <c r="I60">
        <v>1218.6600000000001</v>
      </c>
      <c r="J60">
        <v>54.49</v>
      </c>
      <c r="K60">
        <v>214.17</v>
      </c>
      <c r="L60" t="s">
        <v>44</v>
      </c>
      <c r="M60" t="s">
        <v>37</v>
      </c>
      <c r="N60" t="s">
        <v>32</v>
      </c>
      <c r="O60">
        <f>_xlfn.XLOOKUP(E60,Product_Master!$B$2:$B$11,Product_Master!$F$2:$F$11)</f>
        <v>25</v>
      </c>
      <c r="P60">
        <f t="shared" si="0"/>
        <v>950</v>
      </c>
      <c r="Q60" s="5">
        <f t="shared" si="1"/>
        <v>0.17574220865540838</v>
      </c>
    </row>
    <row r="61" spans="1:17" x14ac:dyDescent="0.3">
      <c r="A61" t="s">
        <v>174</v>
      </c>
      <c r="B61" t="s">
        <v>75</v>
      </c>
      <c r="C61" t="s">
        <v>175</v>
      </c>
      <c r="D61" t="s">
        <v>41</v>
      </c>
      <c r="E61" t="s">
        <v>42</v>
      </c>
      <c r="F61" t="s">
        <v>43</v>
      </c>
      <c r="G61">
        <v>23</v>
      </c>
      <c r="H61" s="4">
        <v>50.96</v>
      </c>
      <c r="I61">
        <v>1172.08</v>
      </c>
      <c r="J61">
        <v>61</v>
      </c>
      <c r="K61">
        <v>375.08</v>
      </c>
      <c r="L61" t="s">
        <v>44</v>
      </c>
      <c r="M61" t="s">
        <v>31</v>
      </c>
      <c r="N61" t="s">
        <v>45</v>
      </c>
      <c r="O61">
        <f>_xlfn.XLOOKUP(E61,Product_Master!$B$2:$B$11,Product_Master!$F$2:$F$11)</f>
        <v>32</v>
      </c>
      <c r="P61">
        <f t="shared" si="0"/>
        <v>736</v>
      </c>
      <c r="Q61" s="5">
        <f t="shared" si="1"/>
        <v>0.32001228585079516</v>
      </c>
    </row>
    <row r="62" spans="1:17" x14ac:dyDescent="0.3">
      <c r="A62" t="s">
        <v>176</v>
      </c>
      <c r="B62" t="s">
        <v>104</v>
      </c>
      <c r="C62" t="s">
        <v>177</v>
      </c>
      <c r="D62" t="s">
        <v>91</v>
      </c>
      <c r="E62" t="s">
        <v>49</v>
      </c>
      <c r="F62" t="s">
        <v>50</v>
      </c>
      <c r="G62">
        <v>46</v>
      </c>
      <c r="H62" s="4">
        <v>70.599999999999994</v>
      </c>
      <c r="I62">
        <v>3247.6</v>
      </c>
      <c r="J62">
        <v>166.91</v>
      </c>
      <c r="K62">
        <v>1240.69</v>
      </c>
      <c r="L62" t="s">
        <v>44</v>
      </c>
      <c r="M62" t="s">
        <v>31</v>
      </c>
      <c r="N62" t="s">
        <v>66</v>
      </c>
      <c r="O62">
        <f>_xlfn.XLOOKUP(E62,Product_Master!$B$2:$B$11,Product_Master!$F$2:$F$11)</f>
        <v>40</v>
      </c>
      <c r="P62">
        <f t="shared" si="0"/>
        <v>1840</v>
      </c>
      <c r="Q62" s="5">
        <f t="shared" si="1"/>
        <v>0.3820328858233773</v>
      </c>
    </row>
    <row r="63" spans="1:17" x14ac:dyDescent="0.3">
      <c r="A63" t="s">
        <v>178</v>
      </c>
      <c r="B63" t="s">
        <v>71</v>
      </c>
      <c r="C63" t="s">
        <v>108</v>
      </c>
      <c r="D63" t="s">
        <v>91</v>
      </c>
      <c r="E63" t="s">
        <v>49</v>
      </c>
      <c r="F63" t="s">
        <v>50</v>
      </c>
      <c r="G63">
        <v>15</v>
      </c>
      <c r="H63" s="4">
        <v>53.36</v>
      </c>
      <c r="I63">
        <v>800.4</v>
      </c>
      <c r="J63">
        <v>56.29</v>
      </c>
      <c r="K63">
        <v>144.11000000000001</v>
      </c>
      <c r="L63" t="s">
        <v>22</v>
      </c>
      <c r="M63" t="s">
        <v>23</v>
      </c>
      <c r="N63" t="s">
        <v>66</v>
      </c>
      <c r="O63">
        <f>_xlfn.XLOOKUP(E63,Product_Master!$B$2:$B$11,Product_Master!$F$2:$F$11)</f>
        <v>40</v>
      </c>
      <c r="P63">
        <f t="shared" si="0"/>
        <v>600</v>
      </c>
      <c r="Q63" s="5">
        <f t="shared" si="1"/>
        <v>0.18004747626186909</v>
      </c>
    </row>
    <row r="64" spans="1:17" x14ac:dyDescent="0.3">
      <c r="A64" t="s">
        <v>179</v>
      </c>
      <c r="B64" t="s">
        <v>86</v>
      </c>
      <c r="C64" t="s">
        <v>180</v>
      </c>
      <c r="D64" t="s">
        <v>147</v>
      </c>
      <c r="E64" t="s">
        <v>42</v>
      </c>
      <c r="F64" t="s">
        <v>43</v>
      </c>
      <c r="G64">
        <v>42</v>
      </c>
      <c r="H64" s="4">
        <v>39.840000000000003</v>
      </c>
      <c r="I64">
        <v>1673.28</v>
      </c>
      <c r="J64">
        <v>132.74</v>
      </c>
      <c r="K64">
        <v>196.54</v>
      </c>
      <c r="L64" t="s">
        <v>22</v>
      </c>
      <c r="M64" t="s">
        <v>37</v>
      </c>
      <c r="N64" t="s">
        <v>148</v>
      </c>
      <c r="O64">
        <f>_xlfn.XLOOKUP(E64,Product_Master!$B$2:$B$11,Product_Master!$F$2:$F$11)</f>
        <v>32</v>
      </c>
      <c r="P64">
        <f t="shared" si="0"/>
        <v>1344</v>
      </c>
      <c r="Q64" s="5">
        <f t="shared" si="1"/>
        <v>0.11745792694587875</v>
      </c>
    </row>
    <row r="65" spans="1:17" x14ac:dyDescent="0.3">
      <c r="A65" t="s">
        <v>181</v>
      </c>
      <c r="B65" t="s">
        <v>75</v>
      </c>
      <c r="C65" t="s">
        <v>164</v>
      </c>
      <c r="D65" t="s">
        <v>91</v>
      </c>
      <c r="E65" t="s">
        <v>64</v>
      </c>
      <c r="F65" t="s">
        <v>65</v>
      </c>
      <c r="G65">
        <v>31</v>
      </c>
      <c r="H65" s="4">
        <v>38.26</v>
      </c>
      <c r="I65">
        <v>1186.06</v>
      </c>
      <c r="J65">
        <v>69.33</v>
      </c>
      <c r="K65">
        <v>341.73</v>
      </c>
      <c r="L65" t="s">
        <v>30</v>
      </c>
      <c r="M65" t="s">
        <v>23</v>
      </c>
      <c r="N65" t="s">
        <v>66</v>
      </c>
      <c r="O65">
        <f>_xlfn.XLOOKUP(E65,Product_Master!$B$2:$B$11,Product_Master!$F$2:$F$11)</f>
        <v>25</v>
      </c>
      <c r="P65">
        <f t="shared" si="0"/>
        <v>775</v>
      </c>
      <c r="Q65" s="5">
        <f t="shared" si="1"/>
        <v>0.28812201743588017</v>
      </c>
    </row>
    <row r="66" spans="1:17" x14ac:dyDescent="0.3">
      <c r="A66" t="s">
        <v>182</v>
      </c>
      <c r="B66" t="s">
        <v>39</v>
      </c>
      <c r="C66" t="s">
        <v>166</v>
      </c>
      <c r="D66" t="s">
        <v>123</v>
      </c>
      <c r="E66" t="s">
        <v>69</v>
      </c>
      <c r="F66" t="s">
        <v>59</v>
      </c>
      <c r="G66">
        <v>2</v>
      </c>
      <c r="H66" s="4">
        <v>23.09</v>
      </c>
      <c r="I66">
        <v>46.18</v>
      </c>
      <c r="J66">
        <v>2.52</v>
      </c>
      <c r="K66">
        <v>12.66</v>
      </c>
      <c r="L66" t="s">
        <v>30</v>
      </c>
      <c r="M66" t="s">
        <v>31</v>
      </c>
      <c r="N66" t="s">
        <v>32</v>
      </c>
      <c r="O66">
        <f>_xlfn.XLOOKUP(E66,Product_Master!$B$2:$B$11,Product_Master!$F$2:$F$11)</f>
        <v>15.5</v>
      </c>
      <c r="P66">
        <f t="shared" si="0"/>
        <v>31</v>
      </c>
      <c r="Q66" s="5">
        <f t="shared" si="1"/>
        <v>0.27414465136422694</v>
      </c>
    </row>
    <row r="67" spans="1:17" x14ac:dyDescent="0.3">
      <c r="A67" t="s">
        <v>183</v>
      </c>
      <c r="B67" t="s">
        <v>78</v>
      </c>
      <c r="C67" t="s">
        <v>57</v>
      </c>
      <c r="D67" t="s">
        <v>88</v>
      </c>
      <c r="E67" t="s">
        <v>42</v>
      </c>
      <c r="F67" t="s">
        <v>43</v>
      </c>
      <c r="G67">
        <v>40</v>
      </c>
      <c r="H67" s="4">
        <v>46.81</v>
      </c>
      <c r="I67">
        <v>1872.4</v>
      </c>
      <c r="J67">
        <v>43.01</v>
      </c>
      <c r="K67">
        <v>549.39</v>
      </c>
      <c r="L67" t="s">
        <v>22</v>
      </c>
      <c r="M67" t="s">
        <v>37</v>
      </c>
      <c r="N67" t="s">
        <v>66</v>
      </c>
      <c r="O67">
        <f>_xlfn.XLOOKUP(E67,Product_Master!$B$2:$B$11,Product_Master!$F$2:$F$11)</f>
        <v>32</v>
      </c>
      <c r="P67">
        <f t="shared" ref="P67:P130" si="2">G67*O67</f>
        <v>1280</v>
      </c>
      <c r="Q67" s="5">
        <f t="shared" ref="Q67:Q130" si="3">K67/I67</f>
        <v>0.29341486861781668</v>
      </c>
    </row>
    <row r="68" spans="1:17" x14ac:dyDescent="0.3">
      <c r="A68" t="s">
        <v>184</v>
      </c>
      <c r="B68" t="s">
        <v>104</v>
      </c>
      <c r="C68" t="s">
        <v>185</v>
      </c>
      <c r="D68" t="s">
        <v>63</v>
      </c>
      <c r="E68" t="s">
        <v>42</v>
      </c>
      <c r="F68" t="s">
        <v>43</v>
      </c>
      <c r="G68">
        <v>43</v>
      </c>
      <c r="H68" s="4">
        <v>57.01</v>
      </c>
      <c r="I68">
        <v>2451.4299999999998</v>
      </c>
      <c r="J68">
        <v>115.04</v>
      </c>
      <c r="K68">
        <v>960.39</v>
      </c>
      <c r="L68" t="s">
        <v>30</v>
      </c>
      <c r="M68" t="s">
        <v>23</v>
      </c>
      <c r="N68" t="s">
        <v>66</v>
      </c>
      <c r="O68">
        <f>_xlfn.XLOOKUP(E68,Product_Master!$B$2:$B$11,Product_Master!$F$2:$F$11)</f>
        <v>32</v>
      </c>
      <c r="P68">
        <f t="shared" si="2"/>
        <v>1376</v>
      </c>
      <c r="Q68" s="5">
        <f t="shared" si="3"/>
        <v>0.39176725421488684</v>
      </c>
    </row>
    <row r="69" spans="1:17" x14ac:dyDescent="0.3">
      <c r="A69" t="s">
        <v>186</v>
      </c>
      <c r="B69" t="s">
        <v>86</v>
      </c>
      <c r="C69" t="s">
        <v>187</v>
      </c>
      <c r="D69" t="s">
        <v>53</v>
      </c>
      <c r="E69" t="s">
        <v>73</v>
      </c>
      <c r="F69" t="s">
        <v>43</v>
      </c>
      <c r="G69">
        <v>15</v>
      </c>
      <c r="H69" s="4">
        <v>22.23</v>
      </c>
      <c r="I69">
        <v>333.45</v>
      </c>
      <c r="J69">
        <v>16.89</v>
      </c>
      <c r="K69">
        <v>125.31</v>
      </c>
      <c r="L69" t="s">
        <v>44</v>
      </c>
      <c r="M69" t="s">
        <v>31</v>
      </c>
      <c r="N69" t="s">
        <v>24</v>
      </c>
      <c r="O69">
        <f>_xlfn.XLOOKUP(E69,Product_Master!$B$2:$B$11,Product_Master!$F$2:$F$11)</f>
        <v>12.75</v>
      </c>
      <c r="P69">
        <f t="shared" si="2"/>
        <v>191.25</v>
      </c>
      <c r="Q69" s="5">
        <f t="shared" si="3"/>
        <v>0.37579847053531268</v>
      </c>
    </row>
    <row r="70" spans="1:17" x14ac:dyDescent="0.3">
      <c r="A70" t="s">
        <v>188</v>
      </c>
      <c r="B70" t="s">
        <v>71</v>
      </c>
      <c r="C70" t="s">
        <v>189</v>
      </c>
      <c r="D70" t="s">
        <v>123</v>
      </c>
      <c r="E70" t="s">
        <v>69</v>
      </c>
      <c r="F70" t="s">
        <v>59</v>
      </c>
      <c r="G70">
        <v>15</v>
      </c>
      <c r="H70" s="4">
        <v>19.23</v>
      </c>
      <c r="I70">
        <v>288.45</v>
      </c>
      <c r="J70">
        <v>20.22</v>
      </c>
      <c r="K70">
        <v>35.729999999999997</v>
      </c>
      <c r="L70" t="s">
        <v>22</v>
      </c>
      <c r="M70" t="s">
        <v>23</v>
      </c>
      <c r="N70" t="s">
        <v>32</v>
      </c>
      <c r="O70">
        <f>_xlfn.XLOOKUP(E70,Product_Master!$B$2:$B$11,Product_Master!$F$2:$F$11)</f>
        <v>15.5</v>
      </c>
      <c r="P70">
        <f t="shared" si="2"/>
        <v>232.5</v>
      </c>
      <c r="Q70" s="5">
        <f t="shared" si="3"/>
        <v>0.12386895475819032</v>
      </c>
    </row>
    <row r="71" spans="1:17" x14ac:dyDescent="0.3">
      <c r="A71" t="s">
        <v>190</v>
      </c>
      <c r="B71" t="s">
        <v>56</v>
      </c>
      <c r="C71" t="s">
        <v>110</v>
      </c>
      <c r="D71" t="s">
        <v>36</v>
      </c>
      <c r="E71" t="s">
        <v>98</v>
      </c>
      <c r="F71" t="s">
        <v>59</v>
      </c>
      <c r="G71">
        <v>34</v>
      </c>
      <c r="H71" s="4">
        <v>45.54</v>
      </c>
      <c r="I71">
        <v>1548.36</v>
      </c>
      <c r="J71">
        <v>36.76</v>
      </c>
      <c r="K71">
        <v>559.6</v>
      </c>
      <c r="L71" t="s">
        <v>22</v>
      </c>
      <c r="M71" t="s">
        <v>23</v>
      </c>
      <c r="N71" t="s">
        <v>32</v>
      </c>
      <c r="O71">
        <f>_xlfn.XLOOKUP(E71,Product_Master!$B$2:$B$11,Product_Master!$F$2:$F$11)</f>
        <v>28</v>
      </c>
      <c r="P71">
        <f t="shared" si="2"/>
        <v>952</v>
      </c>
      <c r="Q71" s="5">
        <f t="shared" si="3"/>
        <v>0.36141465808984996</v>
      </c>
    </row>
    <row r="72" spans="1:17" x14ac:dyDescent="0.3">
      <c r="A72" t="s">
        <v>191</v>
      </c>
      <c r="B72" t="s">
        <v>71</v>
      </c>
      <c r="C72" t="s">
        <v>192</v>
      </c>
      <c r="D72" t="s">
        <v>123</v>
      </c>
      <c r="E72" t="s">
        <v>49</v>
      </c>
      <c r="F72" t="s">
        <v>50</v>
      </c>
      <c r="G72">
        <v>33</v>
      </c>
      <c r="H72" s="4">
        <v>63.88</v>
      </c>
      <c r="I72">
        <v>2108.04</v>
      </c>
      <c r="J72">
        <v>111.7</v>
      </c>
      <c r="K72">
        <v>676.34</v>
      </c>
      <c r="L72" t="s">
        <v>22</v>
      </c>
      <c r="M72" t="s">
        <v>37</v>
      </c>
      <c r="N72" t="s">
        <v>32</v>
      </c>
      <c r="O72">
        <f>_xlfn.XLOOKUP(E72,Product_Master!$B$2:$B$11,Product_Master!$F$2:$F$11)</f>
        <v>40</v>
      </c>
      <c r="P72">
        <f t="shared" si="2"/>
        <v>1320</v>
      </c>
      <c r="Q72" s="5">
        <f t="shared" si="3"/>
        <v>0.32083831426348647</v>
      </c>
    </row>
    <row r="73" spans="1:17" x14ac:dyDescent="0.3">
      <c r="A73" t="s">
        <v>193</v>
      </c>
      <c r="B73" t="s">
        <v>56</v>
      </c>
      <c r="C73" t="s">
        <v>108</v>
      </c>
      <c r="D73" t="s">
        <v>170</v>
      </c>
      <c r="E73" t="s">
        <v>29</v>
      </c>
      <c r="F73" t="s">
        <v>21</v>
      </c>
      <c r="G73">
        <v>39</v>
      </c>
      <c r="H73" s="4">
        <v>25.38</v>
      </c>
      <c r="I73">
        <v>989.82</v>
      </c>
      <c r="J73">
        <v>50.82</v>
      </c>
      <c r="K73">
        <v>237</v>
      </c>
      <c r="L73" t="s">
        <v>30</v>
      </c>
      <c r="M73" t="s">
        <v>31</v>
      </c>
      <c r="N73" t="s">
        <v>32</v>
      </c>
      <c r="O73">
        <f>_xlfn.XLOOKUP(E73,Product_Master!$B$2:$B$11,Product_Master!$F$2:$F$11)</f>
        <v>18</v>
      </c>
      <c r="P73">
        <f t="shared" si="2"/>
        <v>702</v>
      </c>
      <c r="Q73" s="5">
        <f t="shared" si="3"/>
        <v>0.23943747348002667</v>
      </c>
    </row>
    <row r="74" spans="1:17" x14ac:dyDescent="0.3">
      <c r="A74" t="s">
        <v>194</v>
      </c>
      <c r="B74" t="s">
        <v>56</v>
      </c>
      <c r="C74" t="s">
        <v>195</v>
      </c>
      <c r="D74" t="s">
        <v>196</v>
      </c>
      <c r="E74" t="s">
        <v>64</v>
      </c>
      <c r="F74" t="s">
        <v>65</v>
      </c>
      <c r="G74">
        <v>9</v>
      </c>
      <c r="H74" s="4">
        <v>38.979999999999997</v>
      </c>
      <c r="I74">
        <v>350.82</v>
      </c>
      <c r="J74">
        <v>25.56</v>
      </c>
      <c r="K74">
        <v>100.26</v>
      </c>
      <c r="L74" t="s">
        <v>22</v>
      </c>
      <c r="M74" t="s">
        <v>23</v>
      </c>
      <c r="N74" t="s">
        <v>66</v>
      </c>
      <c r="O74">
        <f>_xlfn.XLOOKUP(E74,Product_Master!$B$2:$B$11,Product_Master!$F$2:$F$11)</f>
        <v>25</v>
      </c>
      <c r="P74">
        <f t="shared" si="2"/>
        <v>225</v>
      </c>
      <c r="Q74" s="5">
        <f t="shared" si="3"/>
        <v>0.28578758337609034</v>
      </c>
    </row>
    <row r="75" spans="1:17" x14ac:dyDescent="0.3">
      <c r="A75" t="s">
        <v>197</v>
      </c>
      <c r="B75" t="s">
        <v>39</v>
      </c>
      <c r="C75" t="s">
        <v>198</v>
      </c>
      <c r="D75" t="s">
        <v>101</v>
      </c>
      <c r="E75" t="s">
        <v>54</v>
      </c>
      <c r="F75" t="s">
        <v>43</v>
      </c>
      <c r="G75">
        <v>14</v>
      </c>
      <c r="H75" s="4">
        <v>35.86</v>
      </c>
      <c r="I75">
        <v>502.04</v>
      </c>
      <c r="J75">
        <v>40.130000000000003</v>
      </c>
      <c r="K75">
        <v>181.91</v>
      </c>
      <c r="L75" t="s">
        <v>44</v>
      </c>
      <c r="M75" t="s">
        <v>37</v>
      </c>
      <c r="N75" t="s">
        <v>102</v>
      </c>
      <c r="O75">
        <f>_xlfn.XLOOKUP(E75,Product_Master!$B$2:$B$11,Product_Master!$F$2:$F$11)</f>
        <v>20</v>
      </c>
      <c r="P75">
        <f t="shared" si="2"/>
        <v>280</v>
      </c>
      <c r="Q75" s="5">
        <f t="shared" si="3"/>
        <v>0.36234164608397734</v>
      </c>
    </row>
    <row r="76" spans="1:17" x14ac:dyDescent="0.3">
      <c r="A76" t="s">
        <v>199</v>
      </c>
      <c r="B76" t="s">
        <v>157</v>
      </c>
      <c r="C76" t="s">
        <v>200</v>
      </c>
      <c r="D76" t="s">
        <v>91</v>
      </c>
      <c r="E76" t="s">
        <v>69</v>
      </c>
      <c r="F76" t="s">
        <v>59</v>
      </c>
      <c r="G76">
        <v>49</v>
      </c>
      <c r="H76" s="4">
        <v>21.37</v>
      </c>
      <c r="I76">
        <v>1047.1300000000001</v>
      </c>
      <c r="J76">
        <v>65.98</v>
      </c>
      <c r="K76">
        <v>221.65</v>
      </c>
      <c r="L76" t="s">
        <v>44</v>
      </c>
      <c r="M76" t="s">
        <v>37</v>
      </c>
      <c r="N76" t="s">
        <v>66</v>
      </c>
      <c r="O76">
        <f>_xlfn.XLOOKUP(E76,Product_Master!$B$2:$B$11,Product_Master!$F$2:$F$11)</f>
        <v>15.5</v>
      </c>
      <c r="P76">
        <f t="shared" si="2"/>
        <v>759.5</v>
      </c>
      <c r="Q76" s="5">
        <f t="shared" si="3"/>
        <v>0.21167381318460934</v>
      </c>
    </row>
    <row r="77" spans="1:17" x14ac:dyDescent="0.3">
      <c r="A77" t="s">
        <v>201</v>
      </c>
      <c r="B77" t="s">
        <v>104</v>
      </c>
      <c r="C77" t="s">
        <v>202</v>
      </c>
      <c r="D77" t="s">
        <v>53</v>
      </c>
      <c r="E77" t="s">
        <v>29</v>
      </c>
      <c r="F77" t="s">
        <v>21</v>
      </c>
      <c r="G77">
        <v>42</v>
      </c>
      <c r="H77" s="4">
        <v>24.57</v>
      </c>
      <c r="I77">
        <v>1031.94</v>
      </c>
      <c r="J77">
        <v>56.45</v>
      </c>
      <c r="K77">
        <v>219.49</v>
      </c>
      <c r="L77" t="s">
        <v>30</v>
      </c>
      <c r="M77" t="s">
        <v>23</v>
      </c>
      <c r="N77" t="s">
        <v>24</v>
      </c>
      <c r="O77">
        <f>_xlfn.XLOOKUP(E77,Product_Master!$B$2:$B$11,Product_Master!$F$2:$F$11)</f>
        <v>18</v>
      </c>
      <c r="P77">
        <f t="shared" si="2"/>
        <v>756</v>
      </c>
      <c r="Q77" s="5">
        <f t="shared" si="3"/>
        <v>0.2126964746012365</v>
      </c>
    </row>
    <row r="78" spans="1:17" x14ac:dyDescent="0.3">
      <c r="A78" t="s">
        <v>203</v>
      </c>
      <c r="B78" t="s">
        <v>132</v>
      </c>
      <c r="C78" t="s">
        <v>202</v>
      </c>
      <c r="D78" t="s">
        <v>81</v>
      </c>
      <c r="E78" t="s">
        <v>29</v>
      </c>
      <c r="F78" t="s">
        <v>21</v>
      </c>
      <c r="G78">
        <v>42</v>
      </c>
      <c r="H78" s="4">
        <v>26.39</v>
      </c>
      <c r="I78">
        <v>1108.3800000000001</v>
      </c>
      <c r="J78">
        <v>44.56</v>
      </c>
      <c r="K78">
        <v>307.82</v>
      </c>
      <c r="L78" t="s">
        <v>30</v>
      </c>
      <c r="M78" t="s">
        <v>23</v>
      </c>
      <c r="N78" t="s">
        <v>66</v>
      </c>
      <c r="O78">
        <f>_xlfn.XLOOKUP(E78,Product_Master!$B$2:$B$11,Product_Master!$F$2:$F$11)</f>
        <v>18</v>
      </c>
      <c r="P78">
        <f t="shared" si="2"/>
        <v>756</v>
      </c>
      <c r="Q78" s="5">
        <f t="shared" si="3"/>
        <v>0.27772063732654861</v>
      </c>
    </row>
    <row r="79" spans="1:17" x14ac:dyDescent="0.3">
      <c r="A79" t="s">
        <v>204</v>
      </c>
      <c r="B79" t="s">
        <v>132</v>
      </c>
      <c r="C79" t="s">
        <v>200</v>
      </c>
      <c r="D79" t="s">
        <v>48</v>
      </c>
      <c r="E79" t="s">
        <v>54</v>
      </c>
      <c r="F79" t="s">
        <v>43</v>
      </c>
      <c r="G79">
        <v>50</v>
      </c>
      <c r="H79" s="4">
        <v>29.73</v>
      </c>
      <c r="I79">
        <v>1486.5</v>
      </c>
      <c r="J79">
        <v>96.77</v>
      </c>
      <c r="K79">
        <v>389.73</v>
      </c>
      <c r="L79" t="s">
        <v>44</v>
      </c>
      <c r="M79" t="s">
        <v>23</v>
      </c>
      <c r="N79" t="s">
        <v>24</v>
      </c>
      <c r="O79">
        <f>_xlfn.XLOOKUP(E79,Product_Master!$B$2:$B$11,Product_Master!$F$2:$F$11)</f>
        <v>20</v>
      </c>
      <c r="P79">
        <f t="shared" si="2"/>
        <v>1000</v>
      </c>
      <c r="Q79" s="5">
        <f t="shared" si="3"/>
        <v>0.26217961654894045</v>
      </c>
    </row>
    <row r="80" spans="1:17" x14ac:dyDescent="0.3">
      <c r="A80" t="s">
        <v>205</v>
      </c>
      <c r="B80" t="s">
        <v>104</v>
      </c>
      <c r="C80" t="s">
        <v>198</v>
      </c>
      <c r="D80" t="s">
        <v>63</v>
      </c>
      <c r="E80" t="s">
        <v>69</v>
      </c>
      <c r="F80" t="s">
        <v>59</v>
      </c>
      <c r="G80">
        <v>39</v>
      </c>
      <c r="H80" s="4">
        <v>20.56</v>
      </c>
      <c r="I80">
        <v>801.84</v>
      </c>
      <c r="J80">
        <v>43.55</v>
      </c>
      <c r="K80">
        <v>153.79</v>
      </c>
      <c r="L80" t="s">
        <v>22</v>
      </c>
      <c r="M80" t="s">
        <v>23</v>
      </c>
      <c r="N80" t="s">
        <v>66</v>
      </c>
      <c r="O80">
        <f>_xlfn.XLOOKUP(E80,Product_Master!$B$2:$B$11,Product_Master!$F$2:$F$11)</f>
        <v>15.5</v>
      </c>
      <c r="P80">
        <f t="shared" si="2"/>
        <v>604.5</v>
      </c>
      <c r="Q80" s="5">
        <f t="shared" si="3"/>
        <v>0.19179636835278857</v>
      </c>
    </row>
    <row r="81" spans="1:17" x14ac:dyDescent="0.3">
      <c r="A81" t="s">
        <v>206</v>
      </c>
      <c r="B81" t="s">
        <v>157</v>
      </c>
      <c r="C81" t="s">
        <v>27</v>
      </c>
      <c r="D81" t="s">
        <v>63</v>
      </c>
      <c r="E81" t="s">
        <v>69</v>
      </c>
      <c r="F81" t="s">
        <v>59</v>
      </c>
      <c r="G81">
        <v>48</v>
      </c>
      <c r="H81" s="4">
        <v>24.36</v>
      </c>
      <c r="I81">
        <v>1169.28</v>
      </c>
      <c r="J81">
        <v>81.599999999999994</v>
      </c>
      <c r="K81">
        <v>343.68</v>
      </c>
      <c r="L81" t="s">
        <v>44</v>
      </c>
      <c r="M81" t="s">
        <v>37</v>
      </c>
      <c r="N81" t="s">
        <v>66</v>
      </c>
      <c r="O81">
        <f>_xlfn.XLOOKUP(E81,Product_Master!$B$2:$B$11,Product_Master!$F$2:$F$11)</f>
        <v>15.5</v>
      </c>
      <c r="P81">
        <f t="shared" si="2"/>
        <v>744</v>
      </c>
      <c r="Q81" s="5">
        <f t="shared" si="3"/>
        <v>0.29392446633825947</v>
      </c>
    </row>
    <row r="82" spans="1:17" x14ac:dyDescent="0.3">
      <c r="A82" t="s">
        <v>207</v>
      </c>
      <c r="B82" t="s">
        <v>68</v>
      </c>
      <c r="C82" t="s">
        <v>208</v>
      </c>
      <c r="D82" t="s">
        <v>170</v>
      </c>
      <c r="E82" t="s">
        <v>58</v>
      </c>
      <c r="F82" t="s">
        <v>59</v>
      </c>
      <c r="G82">
        <v>40</v>
      </c>
      <c r="H82" s="4">
        <v>27.95</v>
      </c>
      <c r="I82">
        <v>1118</v>
      </c>
      <c r="J82">
        <v>37.590000000000003</v>
      </c>
      <c r="K82">
        <v>180.41</v>
      </c>
      <c r="L82" t="s">
        <v>44</v>
      </c>
      <c r="M82" t="s">
        <v>37</v>
      </c>
      <c r="N82" t="s">
        <v>32</v>
      </c>
      <c r="O82">
        <f>_xlfn.XLOOKUP(E82,Product_Master!$B$2:$B$11,Product_Master!$F$2:$F$11)</f>
        <v>22.5</v>
      </c>
      <c r="P82">
        <f t="shared" si="2"/>
        <v>900</v>
      </c>
      <c r="Q82" s="5">
        <f t="shared" si="3"/>
        <v>0.16136851520572451</v>
      </c>
    </row>
    <row r="83" spans="1:17" x14ac:dyDescent="0.3">
      <c r="A83" t="s">
        <v>209</v>
      </c>
      <c r="B83" t="s">
        <v>26</v>
      </c>
      <c r="C83" t="s">
        <v>137</v>
      </c>
      <c r="D83" t="s">
        <v>196</v>
      </c>
      <c r="E83" t="s">
        <v>98</v>
      </c>
      <c r="F83" t="s">
        <v>59</v>
      </c>
      <c r="G83">
        <v>21</v>
      </c>
      <c r="H83" s="4">
        <v>40.19</v>
      </c>
      <c r="I83">
        <v>843.99</v>
      </c>
      <c r="J83">
        <v>32.4</v>
      </c>
      <c r="K83">
        <v>223.59</v>
      </c>
      <c r="L83" t="s">
        <v>30</v>
      </c>
      <c r="M83" t="s">
        <v>31</v>
      </c>
      <c r="N83" t="s">
        <v>66</v>
      </c>
      <c r="O83">
        <f>_xlfn.XLOOKUP(E83,Product_Master!$B$2:$B$11,Product_Master!$F$2:$F$11)</f>
        <v>28</v>
      </c>
      <c r="P83">
        <f t="shared" si="2"/>
        <v>588</v>
      </c>
      <c r="Q83" s="5">
        <f t="shared" si="3"/>
        <v>0.26492020047630899</v>
      </c>
    </row>
    <row r="84" spans="1:17" x14ac:dyDescent="0.3">
      <c r="A84" t="s">
        <v>210</v>
      </c>
      <c r="B84" t="s">
        <v>56</v>
      </c>
      <c r="C84" t="s">
        <v>105</v>
      </c>
      <c r="D84" t="s">
        <v>81</v>
      </c>
      <c r="E84" t="s">
        <v>73</v>
      </c>
      <c r="F84" t="s">
        <v>43</v>
      </c>
      <c r="G84">
        <v>26</v>
      </c>
      <c r="H84" s="4">
        <v>16.670000000000002</v>
      </c>
      <c r="I84">
        <v>433.42</v>
      </c>
      <c r="J84">
        <v>32.79</v>
      </c>
      <c r="K84">
        <v>69.13</v>
      </c>
      <c r="L84" t="s">
        <v>44</v>
      </c>
      <c r="M84" t="s">
        <v>31</v>
      </c>
      <c r="N84" t="s">
        <v>66</v>
      </c>
      <c r="O84">
        <f>_xlfn.XLOOKUP(E84,Product_Master!$B$2:$B$11,Product_Master!$F$2:$F$11)</f>
        <v>12.75</v>
      </c>
      <c r="P84">
        <f t="shared" si="2"/>
        <v>331.5</v>
      </c>
      <c r="Q84" s="5">
        <f t="shared" si="3"/>
        <v>0.15949886945687783</v>
      </c>
    </row>
    <row r="85" spans="1:17" x14ac:dyDescent="0.3">
      <c r="A85" t="s">
        <v>211</v>
      </c>
      <c r="B85" t="s">
        <v>132</v>
      </c>
      <c r="C85" t="s">
        <v>212</v>
      </c>
      <c r="D85" t="s">
        <v>41</v>
      </c>
      <c r="E85" t="s">
        <v>42</v>
      </c>
      <c r="F85" t="s">
        <v>43</v>
      </c>
      <c r="G85">
        <v>28</v>
      </c>
      <c r="H85" s="4">
        <v>39.85</v>
      </c>
      <c r="I85">
        <v>1115.8</v>
      </c>
      <c r="J85">
        <v>43.87</v>
      </c>
      <c r="K85">
        <v>175.93</v>
      </c>
      <c r="L85" t="s">
        <v>44</v>
      </c>
      <c r="M85" t="s">
        <v>23</v>
      </c>
      <c r="N85" t="s">
        <v>45</v>
      </c>
      <c r="O85">
        <f>_xlfn.XLOOKUP(E85,Product_Master!$B$2:$B$11,Product_Master!$F$2:$F$11)</f>
        <v>32</v>
      </c>
      <c r="P85">
        <f t="shared" si="2"/>
        <v>896</v>
      </c>
      <c r="Q85" s="5">
        <f t="shared" si="3"/>
        <v>0.15767162573937982</v>
      </c>
    </row>
    <row r="86" spans="1:17" x14ac:dyDescent="0.3">
      <c r="A86" t="s">
        <v>213</v>
      </c>
      <c r="B86" t="s">
        <v>132</v>
      </c>
      <c r="C86" t="s">
        <v>212</v>
      </c>
      <c r="D86" t="s">
        <v>53</v>
      </c>
      <c r="E86" t="s">
        <v>73</v>
      </c>
      <c r="F86" t="s">
        <v>43</v>
      </c>
      <c r="G86">
        <v>47</v>
      </c>
      <c r="H86" s="4">
        <v>15.97</v>
      </c>
      <c r="I86">
        <v>750.59</v>
      </c>
      <c r="J86">
        <v>48.55</v>
      </c>
      <c r="K86">
        <v>102.79</v>
      </c>
      <c r="L86" t="s">
        <v>44</v>
      </c>
      <c r="M86" t="s">
        <v>37</v>
      </c>
      <c r="N86" t="s">
        <v>24</v>
      </c>
      <c r="O86">
        <f>_xlfn.XLOOKUP(E86,Product_Master!$B$2:$B$11,Product_Master!$F$2:$F$11)</f>
        <v>12.75</v>
      </c>
      <c r="P86">
        <f t="shared" si="2"/>
        <v>599.25</v>
      </c>
      <c r="Q86" s="5">
        <f t="shared" si="3"/>
        <v>0.13694560279246992</v>
      </c>
    </row>
    <row r="87" spans="1:17" x14ac:dyDescent="0.3">
      <c r="A87" t="s">
        <v>214</v>
      </c>
      <c r="B87" t="s">
        <v>132</v>
      </c>
      <c r="C87" t="s">
        <v>153</v>
      </c>
      <c r="D87" t="s">
        <v>63</v>
      </c>
      <c r="E87" t="s">
        <v>49</v>
      </c>
      <c r="F87" t="s">
        <v>50</v>
      </c>
      <c r="G87">
        <v>28</v>
      </c>
      <c r="H87" s="4">
        <v>53.6</v>
      </c>
      <c r="I87">
        <v>1500.8</v>
      </c>
      <c r="J87">
        <v>68.55</v>
      </c>
      <c r="K87">
        <v>312.25</v>
      </c>
      <c r="L87" t="s">
        <v>30</v>
      </c>
      <c r="M87" t="s">
        <v>31</v>
      </c>
      <c r="N87" t="s">
        <v>66</v>
      </c>
      <c r="O87">
        <f>_xlfn.XLOOKUP(E87,Product_Master!$B$2:$B$11,Product_Master!$F$2:$F$11)</f>
        <v>40</v>
      </c>
      <c r="P87">
        <f t="shared" si="2"/>
        <v>1120</v>
      </c>
      <c r="Q87" s="5">
        <f t="shared" si="3"/>
        <v>0.20805570362473347</v>
      </c>
    </row>
    <row r="88" spans="1:17" x14ac:dyDescent="0.3">
      <c r="A88" t="s">
        <v>215</v>
      </c>
      <c r="B88" t="s">
        <v>78</v>
      </c>
      <c r="C88" t="s">
        <v>125</v>
      </c>
      <c r="D88" t="s">
        <v>196</v>
      </c>
      <c r="E88" t="s">
        <v>98</v>
      </c>
      <c r="F88" t="s">
        <v>59</v>
      </c>
      <c r="G88">
        <v>37</v>
      </c>
      <c r="H88" s="4">
        <v>40.049999999999997</v>
      </c>
      <c r="I88">
        <v>1481.85</v>
      </c>
      <c r="J88">
        <v>45.6</v>
      </c>
      <c r="K88">
        <v>400.25</v>
      </c>
      <c r="L88" t="s">
        <v>22</v>
      </c>
      <c r="M88" t="s">
        <v>37</v>
      </c>
      <c r="N88" t="s">
        <v>66</v>
      </c>
      <c r="O88">
        <f>_xlfn.XLOOKUP(E88,Product_Master!$B$2:$B$11,Product_Master!$F$2:$F$11)</f>
        <v>28</v>
      </c>
      <c r="P88">
        <f t="shared" si="2"/>
        <v>1036</v>
      </c>
      <c r="Q88" s="5">
        <f t="shared" si="3"/>
        <v>0.2701015622363937</v>
      </c>
    </row>
    <row r="89" spans="1:17" x14ac:dyDescent="0.3">
      <c r="A89" t="s">
        <v>216</v>
      </c>
      <c r="B89" t="s">
        <v>26</v>
      </c>
      <c r="C89" t="s">
        <v>158</v>
      </c>
      <c r="D89" t="s">
        <v>36</v>
      </c>
      <c r="E89" t="s">
        <v>20</v>
      </c>
      <c r="F89" t="s">
        <v>21</v>
      </c>
      <c r="G89">
        <v>45</v>
      </c>
      <c r="H89" s="4">
        <v>43.74</v>
      </c>
      <c r="I89">
        <v>1968.3</v>
      </c>
      <c r="J89">
        <v>80.55</v>
      </c>
      <c r="K89">
        <v>312.75</v>
      </c>
      <c r="L89" t="s">
        <v>30</v>
      </c>
      <c r="M89" t="s">
        <v>37</v>
      </c>
      <c r="N89" t="s">
        <v>32</v>
      </c>
      <c r="O89">
        <f>_xlfn.XLOOKUP(E89,Product_Master!$B$2:$B$11,Product_Master!$F$2:$F$11)</f>
        <v>35</v>
      </c>
      <c r="P89">
        <f t="shared" si="2"/>
        <v>1575</v>
      </c>
      <c r="Q89" s="5">
        <f t="shared" si="3"/>
        <v>0.15889346136259716</v>
      </c>
    </row>
    <row r="90" spans="1:17" x14ac:dyDescent="0.3">
      <c r="A90" t="s">
        <v>217</v>
      </c>
      <c r="B90" t="s">
        <v>104</v>
      </c>
      <c r="C90" t="s">
        <v>218</v>
      </c>
      <c r="D90" t="s">
        <v>28</v>
      </c>
      <c r="E90" t="s">
        <v>69</v>
      </c>
      <c r="F90" t="s">
        <v>59</v>
      </c>
      <c r="G90">
        <v>9</v>
      </c>
      <c r="H90" s="4">
        <v>24.63</v>
      </c>
      <c r="I90">
        <v>221.67</v>
      </c>
      <c r="J90">
        <v>13.53</v>
      </c>
      <c r="K90">
        <v>68.64</v>
      </c>
      <c r="L90" t="s">
        <v>30</v>
      </c>
      <c r="M90" t="s">
        <v>37</v>
      </c>
      <c r="N90" t="s">
        <v>32</v>
      </c>
      <c r="O90">
        <f>_xlfn.XLOOKUP(E90,Product_Master!$B$2:$B$11,Product_Master!$F$2:$F$11)</f>
        <v>15.5</v>
      </c>
      <c r="P90">
        <f t="shared" si="2"/>
        <v>139.5</v>
      </c>
      <c r="Q90" s="5">
        <f t="shared" si="3"/>
        <v>0.30964947895520373</v>
      </c>
    </row>
    <row r="91" spans="1:17" x14ac:dyDescent="0.3">
      <c r="A91" t="s">
        <v>219</v>
      </c>
      <c r="B91" t="s">
        <v>104</v>
      </c>
      <c r="C91" t="s">
        <v>47</v>
      </c>
      <c r="D91" t="s">
        <v>101</v>
      </c>
      <c r="E91" t="s">
        <v>69</v>
      </c>
      <c r="F91" t="s">
        <v>59</v>
      </c>
      <c r="G91">
        <v>6</v>
      </c>
      <c r="H91" s="4">
        <v>21.79</v>
      </c>
      <c r="I91">
        <v>130.74</v>
      </c>
      <c r="J91">
        <v>7.75</v>
      </c>
      <c r="K91">
        <v>29.99</v>
      </c>
      <c r="L91" t="s">
        <v>30</v>
      </c>
      <c r="M91" t="s">
        <v>37</v>
      </c>
      <c r="N91" t="s">
        <v>102</v>
      </c>
      <c r="O91">
        <f>_xlfn.XLOOKUP(E91,Product_Master!$B$2:$B$11,Product_Master!$F$2:$F$11)</f>
        <v>15.5</v>
      </c>
      <c r="P91">
        <f t="shared" si="2"/>
        <v>93</v>
      </c>
      <c r="Q91" s="5">
        <f t="shared" si="3"/>
        <v>0.22938656876242922</v>
      </c>
    </row>
    <row r="92" spans="1:17" x14ac:dyDescent="0.3">
      <c r="A92" t="s">
        <v>220</v>
      </c>
      <c r="B92" t="s">
        <v>95</v>
      </c>
      <c r="C92" t="s">
        <v>221</v>
      </c>
      <c r="D92" t="s">
        <v>123</v>
      </c>
      <c r="E92" t="s">
        <v>20</v>
      </c>
      <c r="F92" t="s">
        <v>21</v>
      </c>
      <c r="G92">
        <v>23</v>
      </c>
      <c r="H92" s="4">
        <v>58.43</v>
      </c>
      <c r="I92">
        <v>1343.89</v>
      </c>
      <c r="J92">
        <v>38.729999999999997</v>
      </c>
      <c r="K92">
        <v>500.16</v>
      </c>
      <c r="L92" t="s">
        <v>30</v>
      </c>
      <c r="M92" t="s">
        <v>23</v>
      </c>
      <c r="N92" t="s">
        <v>32</v>
      </c>
      <c r="O92">
        <f>_xlfn.XLOOKUP(E92,Product_Master!$B$2:$B$11,Product_Master!$F$2:$F$11)</f>
        <v>35</v>
      </c>
      <c r="P92">
        <f t="shared" si="2"/>
        <v>805</v>
      </c>
      <c r="Q92" s="5">
        <f t="shared" si="3"/>
        <v>0.37217331775666163</v>
      </c>
    </row>
    <row r="93" spans="1:17" x14ac:dyDescent="0.3">
      <c r="A93" t="s">
        <v>222</v>
      </c>
      <c r="B93" t="s">
        <v>68</v>
      </c>
      <c r="C93" t="s">
        <v>223</v>
      </c>
      <c r="D93" t="s">
        <v>81</v>
      </c>
      <c r="E93" t="s">
        <v>49</v>
      </c>
      <c r="F93" t="s">
        <v>50</v>
      </c>
      <c r="G93">
        <v>19</v>
      </c>
      <c r="H93" s="4">
        <v>67.06</v>
      </c>
      <c r="I93">
        <v>1274.1400000000001</v>
      </c>
      <c r="J93">
        <v>85.73</v>
      </c>
      <c r="K93">
        <v>428.41</v>
      </c>
      <c r="L93" t="s">
        <v>22</v>
      </c>
      <c r="M93" t="s">
        <v>31</v>
      </c>
      <c r="N93" t="s">
        <v>66</v>
      </c>
      <c r="O93">
        <f>_xlfn.XLOOKUP(E93,Product_Master!$B$2:$B$11,Product_Master!$F$2:$F$11)</f>
        <v>40</v>
      </c>
      <c r="P93">
        <f t="shared" si="2"/>
        <v>760</v>
      </c>
      <c r="Q93" s="5">
        <f t="shared" si="3"/>
        <v>0.33623463669612441</v>
      </c>
    </row>
    <row r="94" spans="1:17" x14ac:dyDescent="0.3">
      <c r="A94" t="s">
        <v>224</v>
      </c>
      <c r="B94" t="s">
        <v>95</v>
      </c>
      <c r="C94" t="s">
        <v>218</v>
      </c>
      <c r="D94" t="s">
        <v>36</v>
      </c>
      <c r="E94" t="s">
        <v>29</v>
      </c>
      <c r="F94" t="s">
        <v>21</v>
      </c>
      <c r="G94">
        <v>4</v>
      </c>
      <c r="H94" s="4">
        <v>25.13</v>
      </c>
      <c r="I94">
        <v>100.52</v>
      </c>
      <c r="J94">
        <v>5.6</v>
      </c>
      <c r="K94">
        <v>22.92</v>
      </c>
      <c r="L94" t="s">
        <v>30</v>
      </c>
      <c r="M94" t="s">
        <v>37</v>
      </c>
      <c r="N94" t="s">
        <v>32</v>
      </c>
      <c r="O94">
        <f>_xlfn.XLOOKUP(E94,Product_Master!$B$2:$B$11,Product_Master!$F$2:$F$11)</f>
        <v>18</v>
      </c>
      <c r="P94">
        <f t="shared" si="2"/>
        <v>72</v>
      </c>
      <c r="Q94" s="5">
        <f t="shared" si="3"/>
        <v>0.22801432550736175</v>
      </c>
    </row>
    <row r="95" spans="1:17" x14ac:dyDescent="0.3">
      <c r="A95" t="s">
        <v>225</v>
      </c>
      <c r="B95" t="s">
        <v>75</v>
      </c>
      <c r="C95" t="s">
        <v>226</v>
      </c>
      <c r="D95" t="s">
        <v>36</v>
      </c>
      <c r="E95" t="s">
        <v>69</v>
      </c>
      <c r="F95" t="s">
        <v>59</v>
      </c>
      <c r="G95">
        <v>26</v>
      </c>
      <c r="H95" s="4">
        <v>19.34</v>
      </c>
      <c r="I95">
        <v>502.84</v>
      </c>
      <c r="J95">
        <v>26.51</v>
      </c>
      <c r="K95">
        <v>73.33</v>
      </c>
      <c r="L95" t="s">
        <v>30</v>
      </c>
      <c r="M95" t="s">
        <v>23</v>
      </c>
      <c r="N95" t="s">
        <v>32</v>
      </c>
      <c r="O95">
        <f>_xlfn.XLOOKUP(E95,Product_Master!$B$2:$B$11,Product_Master!$F$2:$F$11)</f>
        <v>15.5</v>
      </c>
      <c r="P95">
        <f t="shared" si="2"/>
        <v>403</v>
      </c>
      <c r="Q95" s="5">
        <f t="shared" si="3"/>
        <v>0.14583167607986636</v>
      </c>
    </row>
    <row r="96" spans="1:17" x14ac:dyDescent="0.3">
      <c r="A96" t="s">
        <v>227</v>
      </c>
      <c r="B96" t="s">
        <v>68</v>
      </c>
      <c r="C96" t="s">
        <v>228</v>
      </c>
      <c r="D96" t="s">
        <v>101</v>
      </c>
      <c r="E96" t="s">
        <v>54</v>
      </c>
      <c r="F96" t="s">
        <v>43</v>
      </c>
      <c r="G96">
        <v>26</v>
      </c>
      <c r="H96" s="4">
        <v>35.81</v>
      </c>
      <c r="I96">
        <v>931.06</v>
      </c>
      <c r="J96">
        <v>61.06</v>
      </c>
      <c r="K96">
        <v>350</v>
      </c>
      <c r="L96" t="s">
        <v>22</v>
      </c>
      <c r="M96" t="s">
        <v>23</v>
      </c>
      <c r="N96" t="s">
        <v>102</v>
      </c>
      <c r="O96">
        <f>_xlfn.XLOOKUP(E96,Product_Master!$B$2:$B$11,Product_Master!$F$2:$F$11)</f>
        <v>20</v>
      </c>
      <c r="P96">
        <f t="shared" si="2"/>
        <v>520</v>
      </c>
      <c r="Q96" s="5">
        <f t="shared" si="3"/>
        <v>0.37591562305329412</v>
      </c>
    </row>
    <row r="97" spans="1:17" x14ac:dyDescent="0.3">
      <c r="A97" t="s">
        <v>229</v>
      </c>
      <c r="B97" t="s">
        <v>104</v>
      </c>
      <c r="C97" t="s">
        <v>230</v>
      </c>
      <c r="D97" t="s">
        <v>81</v>
      </c>
      <c r="E97" t="s">
        <v>58</v>
      </c>
      <c r="F97" t="s">
        <v>59</v>
      </c>
      <c r="G97">
        <v>42</v>
      </c>
      <c r="H97" s="4">
        <v>39.950000000000003</v>
      </c>
      <c r="I97">
        <v>1677.9</v>
      </c>
      <c r="J97">
        <v>93.95</v>
      </c>
      <c r="K97">
        <v>638.95000000000005</v>
      </c>
      <c r="L97" t="s">
        <v>30</v>
      </c>
      <c r="M97" t="s">
        <v>31</v>
      </c>
      <c r="N97" t="s">
        <v>66</v>
      </c>
      <c r="O97">
        <f>_xlfn.XLOOKUP(E97,Product_Master!$B$2:$B$11,Product_Master!$F$2:$F$11)</f>
        <v>22.5</v>
      </c>
      <c r="P97">
        <f t="shared" si="2"/>
        <v>945</v>
      </c>
      <c r="Q97" s="5">
        <f t="shared" si="3"/>
        <v>0.38080338518386081</v>
      </c>
    </row>
    <row r="98" spans="1:17" x14ac:dyDescent="0.3">
      <c r="A98" t="s">
        <v>231</v>
      </c>
      <c r="B98" t="s">
        <v>95</v>
      </c>
      <c r="C98" t="s">
        <v>105</v>
      </c>
      <c r="D98" t="s">
        <v>88</v>
      </c>
      <c r="E98" t="s">
        <v>20</v>
      </c>
      <c r="F98" t="s">
        <v>21</v>
      </c>
      <c r="G98">
        <v>38</v>
      </c>
      <c r="H98" s="4">
        <v>49.98</v>
      </c>
      <c r="I98">
        <v>1899.24</v>
      </c>
      <c r="J98">
        <v>112.91</v>
      </c>
      <c r="K98">
        <v>456.33</v>
      </c>
      <c r="L98" t="s">
        <v>44</v>
      </c>
      <c r="M98" t="s">
        <v>37</v>
      </c>
      <c r="N98" t="s">
        <v>66</v>
      </c>
      <c r="O98">
        <f>_xlfn.XLOOKUP(E98,Product_Master!$B$2:$B$11,Product_Master!$F$2:$F$11)</f>
        <v>35</v>
      </c>
      <c r="P98">
        <f t="shared" si="2"/>
        <v>1330</v>
      </c>
      <c r="Q98" s="5">
        <f t="shared" si="3"/>
        <v>0.24026979212737726</v>
      </c>
    </row>
    <row r="99" spans="1:17" x14ac:dyDescent="0.3">
      <c r="A99" t="s">
        <v>232</v>
      </c>
      <c r="B99" t="s">
        <v>71</v>
      </c>
      <c r="C99" t="s">
        <v>137</v>
      </c>
      <c r="D99" t="s">
        <v>91</v>
      </c>
      <c r="E99" t="s">
        <v>98</v>
      </c>
      <c r="F99" t="s">
        <v>59</v>
      </c>
      <c r="G99">
        <v>1</v>
      </c>
      <c r="H99" s="4">
        <v>45.84</v>
      </c>
      <c r="I99">
        <v>45.84</v>
      </c>
      <c r="J99">
        <v>1.26</v>
      </c>
      <c r="K99">
        <v>16.579999999999998</v>
      </c>
      <c r="L99" t="s">
        <v>44</v>
      </c>
      <c r="M99" t="s">
        <v>23</v>
      </c>
      <c r="N99" t="s">
        <v>66</v>
      </c>
      <c r="O99">
        <f>_xlfn.XLOOKUP(E99,Product_Master!$B$2:$B$11,Product_Master!$F$2:$F$11)</f>
        <v>28</v>
      </c>
      <c r="P99">
        <f t="shared" si="2"/>
        <v>28</v>
      </c>
      <c r="Q99" s="5">
        <f t="shared" si="3"/>
        <v>0.3616928446771378</v>
      </c>
    </row>
    <row r="100" spans="1:17" x14ac:dyDescent="0.3">
      <c r="A100" t="s">
        <v>233</v>
      </c>
      <c r="B100" t="s">
        <v>75</v>
      </c>
      <c r="C100" t="s">
        <v>208</v>
      </c>
      <c r="D100" t="s">
        <v>147</v>
      </c>
      <c r="E100" t="s">
        <v>29</v>
      </c>
      <c r="F100" t="s">
        <v>21</v>
      </c>
      <c r="G100">
        <v>38</v>
      </c>
      <c r="H100" s="4">
        <v>26.34</v>
      </c>
      <c r="I100">
        <v>1000.92</v>
      </c>
      <c r="J100">
        <v>47.88</v>
      </c>
      <c r="K100">
        <v>269.04000000000002</v>
      </c>
      <c r="L100" t="s">
        <v>22</v>
      </c>
      <c r="M100" t="s">
        <v>31</v>
      </c>
      <c r="N100" t="s">
        <v>148</v>
      </c>
      <c r="O100">
        <f>_xlfn.XLOOKUP(E100,Product_Master!$B$2:$B$11,Product_Master!$F$2:$F$11)</f>
        <v>18</v>
      </c>
      <c r="P100">
        <f t="shared" si="2"/>
        <v>684</v>
      </c>
      <c r="Q100" s="5">
        <f t="shared" si="3"/>
        <v>0.26879271070615035</v>
      </c>
    </row>
    <row r="101" spans="1:17" x14ac:dyDescent="0.3">
      <c r="A101" t="s">
        <v>234</v>
      </c>
      <c r="B101" t="s">
        <v>39</v>
      </c>
      <c r="C101" t="s">
        <v>187</v>
      </c>
      <c r="D101" t="s">
        <v>123</v>
      </c>
      <c r="E101" t="s">
        <v>64</v>
      </c>
      <c r="F101" t="s">
        <v>65</v>
      </c>
      <c r="G101">
        <v>30</v>
      </c>
      <c r="H101" s="4">
        <v>36.43</v>
      </c>
      <c r="I101">
        <v>1092.9000000000001</v>
      </c>
      <c r="J101">
        <v>61.97</v>
      </c>
      <c r="K101">
        <v>280.93</v>
      </c>
      <c r="L101" t="s">
        <v>44</v>
      </c>
      <c r="M101" t="s">
        <v>31</v>
      </c>
      <c r="N101" t="s">
        <v>32</v>
      </c>
      <c r="O101">
        <f>_xlfn.XLOOKUP(E101,Product_Master!$B$2:$B$11,Product_Master!$F$2:$F$11)</f>
        <v>25</v>
      </c>
      <c r="P101">
        <f t="shared" si="2"/>
        <v>750</v>
      </c>
      <c r="Q101" s="5">
        <f t="shared" si="3"/>
        <v>0.25705005032482386</v>
      </c>
    </row>
    <row r="102" spans="1:17" x14ac:dyDescent="0.3">
      <c r="A102" t="s">
        <v>235</v>
      </c>
      <c r="B102" t="s">
        <v>56</v>
      </c>
      <c r="C102" t="s">
        <v>212</v>
      </c>
      <c r="D102" t="s">
        <v>36</v>
      </c>
      <c r="E102" t="s">
        <v>73</v>
      </c>
      <c r="F102" t="s">
        <v>43</v>
      </c>
      <c r="G102">
        <v>9</v>
      </c>
      <c r="H102" s="4">
        <v>22.27</v>
      </c>
      <c r="I102">
        <v>200.43</v>
      </c>
      <c r="J102">
        <v>13.21</v>
      </c>
      <c r="K102">
        <v>72.47</v>
      </c>
      <c r="L102" t="s">
        <v>30</v>
      </c>
      <c r="M102" t="s">
        <v>31</v>
      </c>
      <c r="N102" t="s">
        <v>32</v>
      </c>
      <c r="O102">
        <f>_xlfn.XLOOKUP(E102,Product_Master!$B$2:$B$11,Product_Master!$F$2:$F$11)</f>
        <v>12.75</v>
      </c>
      <c r="P102">
        <f t="shared" si="2"/>
        <v>114.75</v>
      </c>
      <c r="Q102" s="5">
        <f t="shared" si="3"/>
        <v>0.36157261886943071</v>
      </c>
    </row>
    <row r="103" spans="1:17" x14ac:dyDescent="0.3">
      <c r="A103" t="s">
        <v>236</v>
      </c>
      <c r="B103" t="s">
        <v>68</v>
      </c>
      <c r="C103" t="s">
        <v>117</v>
      </c>
      <c r="D103" t="s">
        <v>147</v>
      </c>
      <c r="E103" t="s">
        <v>69</v>
      </c>
      <c r="F103" t="s">
        <v>59</v>
      </c>
      <c r="G103">
        <v>26</v>
      </c>
      <c r="H103" s="4">
        <v>27.65</v>
      </c>
      <c r="I103">
        <v>718.9</v>
      </c>
      <c r="J103">
        <v>46.25</v>
      </c>
      <c r="K103">
        <v>269.64999999999998</v>
      </c>
      <c r="L103" t="s">
        <v>30</v>
      </c>
      <c r="M103" t="s">
        <v>37</v>
      </c>
      <c r="N103" t="s">
        <v>148</v>
      </c>
      <c r="O103">
        <f>_xlfn.XLOOKUP(E103,Product_Master!$B$2:$B$11,Product_Master!$F$2:$F$11)</f>
        <v>15.5</v>
      </c>
      <c r="P103">
        <f t="shared" si="2"/>
        <v>403</v>
      </c>
      <c r="Q103" s="5">
        <f t="shared" si="3"/>
        <v>0.37508693837807761</v>
      </c>
    </row>
    <row r="104" spans="1:17" x14ac:dyDescent="0.3">
      <c r="A104" t="s">
        <v>237</v>
      </c>
      <c r="B104" t="s">
        <v>95</v>
      </c>
      <c r="C104" t="s">
        <v>208</v>
      </c>
      <c r="D104" t="s">
        <v>28</v>
      </c>
      <c r="E104" t="s">
        <v>69</v>
      </c>
      <c r="F104" t="s">
        <v>59</v>
      </c>
      <c r="G104">
        <v>23</v>
      </c>
      <c r="H104" s="4">
        <v>22.45</v>
      </c>
      <c r="I104">
        <v>516.35</v>
      </c>
      <c r="J104">
        <v>15.68</v>
      </c>
      <c r="K104">
        <v>144.16999999999999</v>
      </c>
      <c r="L104" t="s">
        <v>44</v>
      </c>
      <c r="M104" t="s">
        <v>37</v>
      </c>
      <c r="N104" t="s">
        <v>32</v>
      </c>
      <c r="O104">
        <f>_xlfn.XLOOKUP(E104,Product_Master!$B$2:$B$11,Product_Master!$F$2:$F$11)</f>
        <v>15.5</v>
      </c>
      <c r="P104">
        <f t="shared" si="2"/>
        <v>356.5</v>
      </c>
      <c r="Q104" s="5">
        <f t="shared" si="3"/>
        <v>0.2792098382879829</v>
      </c>
    </row>
    <row r="105" spans="1:17" x14ac:dyDescent="0.3">
      <c r="A105" t="s">
        <v>238</v>
      </c>
      <c r="B105" t="s">
        <v>71</v>
      </c>
      <c r="C105" t="s">
        <v>141</v>
      </c>
      <c r="D105" t="s">
        <v>28</v>
      </c>
      <c r="E105" t="s">
        <v>69</v>
      </c>
      <c r="F105" t="s">
        <v>59</v>
      </c>
      <c r="G105">
        <v>30</v>
      </c>
      <c r="H105" s="4">
        <v>21.93</v>
      </c>
      <c r="I105">
        <v>657.9</v>
      </c>
      <c r="J105">
        <v>24.66</v>
      </c>
      <c r="K105">
        <v>168.24</v>
      </c>
      <c r="L105" t="s">
        <v>30</v>
      </c>
      <c r="M105" t="s">
        <v>23</v>
      </c>
      <c r="N105" t="s">
        <v>32</v>
      </c>
      <c r="O105">
        <f>_xlfn.XLOOKUP(E105,Product_Master!$B$2:$B$11,Product_Master!$F$2:$F$11)</f>
        <v>15.5</v>
      </c>
      <c r="P105">
        <f t="shared" si="2"/>
        <v>465</v>
      </c>
      <c r="Q105" s="5">
        <f t="shared" si="3"/>
        <v>0.25572275421796625</v>
      </c>
    </row>
    <row r="106" spans="1:17" x14ac:dyDescent="0.3">
      <c r="A106" t="s">
        <v>239</v>
      </c>
      <c r="B106" t="s">
        <v>68</v>
      </c>
      <c r="C106" t="s">
        <v>240</v>
      </c>
      <c r="D106" t="s">
        <v>81</v>
      </c>
      <c r="E106" t="s">
        <v>73</v>
      </c>
      <c r="F106" t="s">
        <v>43</v>
      </c>
      <c r="G106">
        <v>43</v>
      </c>
      <c r="H106" s="4">
        <v>21.92</v>
      </c>
      <c r="I106">
        <v>942.56</v>
      </c>
      <c r="J106">
        <v>51.15</v>
      </c>
      <c r="K106">
        <v>343.16</v>
      </c>
      <c r="L106" t="s">
        <v>22</v>
      </c>
      <c r="M106" t="s">
        <v>37</v>
      </c>
      <c r="N106" t="s">
        <v>66</v>
      </c>
      <c r="O106">
        <f>_xlfn.XLOOKUP(E106,Product_Master!$B$2:$B$11,Product_Master!$F$2:$F$11)</f>
        <v>12.75</v>
      </c>
      <c r="P106">
        <f t="shared" si="2"/>
        <v>548.25</v>
      </c>
      <c r="Q106" s="5">
        <f t="shared" si="3"/>
        <v>0.36407231369886273</v>
      </c>
    </row>
    <row r="107" spans="1:17" x14ac:dyDescent="0.3">
      <c r="A107" t="s">
        <v>241</v>
      </c>
      <c r="B107" t="s">
        <v>26</v>
      </c>
      <c r="C107" t="s">
        <v>72</v>
      </c>
      <c r="D107" t="s">
        <v>41</v>
      </c>
      <c r="E107" t="s">
        <v>49</v>
      </c>
      <c r="F107" t="s">
        <v>50</v>
      </c>
      <c r="G107">
        <v>3</v>
      </c>
      <c r="H107" s="4">
        <v>56.21</v>
      </c>
      <c r="I107">
        <v>168.63</v>
      </c>
      <c r="J107">
        <v>7.56</v>
      </c>
      <c r="K107">
        <v>41.07</v>
      </c>
      <c r="L107" t="s">
        <v>44</v>
      </c>
      <c r="M107" t="s">
        <v>23</v>
      </c>
      <c r="N107" t="s">
        <v>45</v>
      </c>
      <c r="O107">
        <f>_xlfn.XLOOKUP(E107,Product_Master!$B$2:$B$11,Product_Master!$F$2:$F$11)</f>
        <v>40</v>
      </c>
      <c r="P107">
        <f t="shared" si="2"/>
        <v>120</v>
      </c>
      <c r="Q107" s="5">
        <f t="shared" si="3"/>
        <v>0.24355096957836686</v>
      </c>
    </row>
    <row r="108" spans="1:17" x14ac:dyDescent="0.3">
      <c r="A108" t="s">
        <v>242</v>
      </c>
      <c r="B108" t="s">
        <v>34</v>
      </c>
      <c r="C108" t="s">
        <v>18</v>
      </c>
      <c r="D108" t="s">
        <v>36</v>
      </c>
      <c r="E108" t="s">
        <v>73</v>
      </c>
      <c r="F108" t="s">
        <v>43</v>
      </c>
      <c r="G108">
        <v>33</v>
      </c>
      <c r="H108" s="4">
        <v>15.44</v>
      </c>
      <c r="I108">
        <v>509.52</v>
      </c>
      <c r="J108">
        <v>19.7</v>
      </c>
      <c r="K108">
        <v>69.069999999999993</v>
      </c>
      <c r="L108" t="s">
        <v>22</v>
      </c>
      <c r="M108" t="s">
        <v>37</v>
      </c>
      <c r="N108" t="s">
        <v>32</v>
      </c>
      <c r="O108">
        <f>_xlfn.XLOOKUP(E108,Product_Master!$B$2:$B$11,Product_Master!$F$2:$F$11)</f>
        <v>12.75</v>
      </c>
      <c r="P108">
        <f t="shared" si="2"/>
        <v>420.75</v>
      </c>
      <c r="Q108" s="5">
        <f t="shared" si="3"/>
        <v>0.13555895745014915</v>
      </c>
    </row>
    <row r="109" spans="1:17" x14ac:dyDescent="0.3">
      <c r="A109" t="s">
        <v>243</v>
      </c>
      <c r="B109" t="s">
        <v>68</v>
      </c>
      <c r="C109" t="s">
        <v>110</v>
      </c>
      <c r="D109" t="s">
        <v>101</v>
      </c>
      <c r="E109" t="s">
        <v>69</v>
      </c>
      <c r="F109" t="s">
        <v>59</v>
      </c>
      <c r="G109">
        <v>50</v>
      </c>
      <c r="H109" s="4">
        <v>23.02</v>
      </c>
      <c r="I109">
        <v>1151</v>
      </c>
      <c r="J109">
        <v>69.3</v>
      </c>
      <c r="K109">
        <v>306.7</v>
      </c>
      <c r="L109" t="s">
        <v>30</v>
      </c>
      <c r="M109" t="s">
        <v>31</v>
      </c>
      <c r="N109" t="s">
        <v>102</v>
      </c>
      <c r="O109">
        <f>_xlfn.XLOOKUP(E109,Product_Master!$B$2:$B$11,Product_Master!$F$2:$F$11)</f>
        <v>15.5</v>
      </c>
      <c r="P109">
        <f t="shared" si="2"/>
        <v>775</v>
      </c>
      <c r="Q109" s="5">
        <f t="shared" si="3"/>
        <v>0.26646394439617721</v>
      </c>
    </row>
    <row r="110" spans="1:17" x14ac:dyDescent="0.3">
      <c r="A110" t="s">
        <v>244</v>
      </c>
      <c r="B110" t="s">
        <v>86</v>
      </c>
      <c r="C110" t="s">
        <v>245</v>
      </c>
      <c r="D110" t="s">
        <v>41</v>
      </c>
      <c r="E110" t="s">
        <v>73</v>
      </c>
      <c r="F110" t="s">
        <v>43</v>
      </c>
      <c r="G110">
        <v>8</v>
      </c>
      <c r="H110" s="4">
        <v>17.010000000000002</v>
      </c>
      <c r="I110">
        <v>136.08000000000001</v>
      </c>
      <c r="J110">
        <v>8.84</v>
      </c>
      <c r="K110">
        <v>25.24</v>
      </c>
      <c r="L110" t="s">
        <v>22</v>
      </c>
      <c r="M110" t="s">
        <v>37</v>
      </c>
      <c r="N110" t="s">
        <v>45</v>
      </c>
      <c r="O110">
        <f>_xlfn.XLOOKUP(E110,Product_Master!$B$2:$B$11,Product_Master!$F$2:$F$11)</f>
        <v>12.75</v>
      </c>
      <c r="P110">
        <f t="shared" si="2"/>
        <v>102</v>
      </c>
      <c r="Q110" s="5">
        <f t="shared" si="3"/>
        <v>0.18547912992357435</v>
      </c>
    </row>
    <row r="111" spans="1:17" x14ac:dyDescent="0.3">
      <c r="A111" t="s">
        <v>246</v>
      </c>
      <c r="B111" t="s">
        <v>39</v>
      </c>
      <c r="C111" t="s">
        <v>208</v>
      </c>
      <c r="D111" t="s">
        <v>123</v>
      </c>
      <c r="E111" t="s">
        <v>29</v>
      </c>
      <c r="F111" t="s">
        <v>21</v>
      </c>
      <c r="G111">
        <v>16</v>
      </c>
      <c r="H111" s="4">
        <v>26.47</v>
      </c>
      <c r="I111">
        <v>423.52</v>
      </c>
      <c r="J111">
        <v>15.87</v>
      </c>
      <c r="K111">
        <v>119.65</v>
      </c>
      <c r="L111" t="s">
        <v>30</v>
      </c>
      <c r="M111" t="s">
        <v>23</v>
      </c>
      <c r="N111" t="s">
        <v>32</v>
      </c>
      <c r="O111">
        <f>_xlfn.XLOOKUP(E111,Product_Master!$B$2:$B$11,Product_Master!$F$2:$F$11)</f>
        <v>18</v>
      </c>
      <c r="P111">
        <f t="shared" si="2"/>
        <v>288</v>
      </c>
      <c r="Q111" s="5">
        <f t="shared" si="3"/>
        <v>0.28251322251605593</v>
      </c>
    </row>
    <row r="112" spans="1:17" x14ac:dyDescent="0.3">
      <c r="A112" t="s">
        <v>247</v>
      </c>
      <c r="B112" t="s">
        <v>68</v>
      </c>
      <c r="C112" t="s">
        <v>189</v>
      </c>
      <c r="D112" t="s">
        <v>41</v>
      </c>
      <c r="E112" t="s">
        <v>42</v>
      </c>
      <c r="F112" t="s">
        <v>43</v>
      </c>
      <c r="G112">
        <v>32</v>
      </c>
      <c r="H112" s="4">
        <v>43.18</v>
      </c>
      <c r="I112">
        <v>1381.76</v>
      </c>
      <c r="J112">
        <v>88.54</v>
      </c>
      <c r="K112">
        <v>269.22000000000003</v>
      </c>
      <c r="L112" t="s">
        <v>30</v>
      </c>
      <c r="M112" t="s">
        <v>37</v>
      </c>
      <c r="N112" t="s">
        <v>45</v>
      </c>
      <c r="O112">
        <f>_xlfn.XLOOKUP(E112,Product_Master!$B$2:$B$11,Product_Master!$F$2:$F$11)</f>
        <v>32</v>
      </c>
      <c r="P112">
        <f t="shared" si="2"/>
        <v>1024</v>
      </c>
      <c r="Q112" s="5">
        <f t="shared" si="3"/>
        <v>0.19483846688281614</v>
      </c>
    </row>
    <row r="113" spans="1:17" x14ac:dyDescent="0.3">
      <c r="A113" t="s">
        <v>248</v>
      </c>
      <c r="B113" t="s">
        <v>56</v>
      </c>
      <c r="C113" t="s">
        <v>127</v>
      </c>
      <c r="D113" t="s">
        <v>147</v>
      </c>
      <c r="E113" t="s">
        <v>69</v>
      </c>
      <c r="F113" t="s">
        <v>59</v>
      </c>
      <c r="G113">
        <v>29</v>
      </c>
      <c r="H113" s="4">
        <v>18.850000000000001</v>
      </c>
      <c r="I113">
        <v>546.65</v>
      </c>
      <c r="J113">
        <v>13.22</v>
      </c>
      <c r="K113">
        <v>83.93</v>
      </c>
      <c r="L113" t="s">
        <v>22</v>
      </c>
      <c r="M113" t="s">
        <v>37</v>
      </c>
      <c r="N113" t="s">
        <v>148</v>
      </c>
      <c r="O113">
        <f>_xlfn.XLOOKUP(E113,Product_Master!$B$2:$B$11,Product_Master!$F$2:$F$11)</f>
        <v>15.5</v>
      </c>
      <c r="P113">
        <f t="shared" si="2"/>
        <v>449.5</v>
      </c>
      <c r="Q113" s="5">
        <f t="shared" si="3"/>
        <v>0.153535168755145</v>
      </c>
    </row>
    <row r="114" spans="1:17" x14ac:dyDescent="0.3">
      <c r="A114" t="s">
        <v>249</v>
      </c>
      <c r="B114" t="s">
        <v>17</v>
      </c>
      <c r="C114" t="s">
        <v>250</v>
      </c>
      <c r="D114" t="s">
        <v>123</v>
      </c>
      <c r="E114" t="s">
        <v>49</v>
      </c>
      <c r="F114" t="s">
        <v>50</v>
      </c>
      <c r="G114">
        <v>16</v>
      </c>
      <c r="H114" s="4">
        <v>64.400000000000006</v>
      </c>
      <c r="I114">
        <v>1030.4000000000001</v>
      </c>
      <c r="J114">
        <v>61.72</v>
      </c>
      <c r="K114">
        <v>328.68</v>
      </c>
      <c r="L114" t="s">
        <v>30</v>
      </c>
      <c r="M114" t="s">
        <v>31</v>
      </c>
      <c r="N114" t="s">
        <v>32</v>
      </c>
      <c r="O114">
        <f>_xlfn.XLOOKUP(E114,Product_Master!$B$2:$B$11,Product_Master!$F$2:$F$11)</f>
        <v>40</v>
      </c>
      <c r="P114">
        <f t="shared" si="2"/>
        <v>640</v>
      </c>
      <c r="Q114" s="5">
        <f t="shared" si="3"/>
        <v>0.31898291925465838</v>
      </c>
    </row>
    <row r="115" spans="1:17" x14ac:dyDescent="0.3">
      <c r="A115" t="s">
        <v>251</v>
      </c>
      <c r="B115" t="s">
        <v>132</v>
      </c>
      <c r="C115" t="s">
        <v>252</v>
      </c>
      <c r="D115" t="s">
        <v>81</v>
      </c>
      <c r="E115" t="s">
        <v>69</v>
      </c>
      <c r="F115" t="s">
        <v>59</v>
      </c>
      <c r="G115">
        <v>15</v>
      </c>
      <c r="H115" s="4">
        <v>19.53</v>
      </c>
      <c r="I115">
        <v>292.95</v>
      </c>
      <c r="J115">
        <v>7.15</v>
      </c>
      <c r="K115">
        <v>53.3</v>
      </c>
      <c r="L115" t="s">
        <v>44</v>
      </c>
      <c r="M115" t="s">
        <v>31</v>
      </c>
      <c r="N115" t="s">
        <v>66</v>
      </c>
      <c r="O115">
        <f>_xlfn.XLOOKUP(E115,Product_Master!$B$2:$B$11,Product_Master!$F$2:$F$11)</f>
        <v>15.5</v>
      </c>
      <c r="P115">
        <f t="shared" si="2"/>
        <v>232.5</v>
      </c>
      <c r="Q115" s="5">
        <f t="shared" si="3"/>
        <v>0.18194231097456903</v>
      </c>
    </row>
    <row r="116" spans="1:17" x14ac:dyDescent="0.3">
      <c r="A116" t="s">
        <v>253</v>
      </c>
      <c r="B116" t="s">
        <v>95</v>
      </c>
      <c r="C116" t="s">
        <v>130</v>
      </c>
      <c r="D116" t="s">
        <v>170</v>
      </c>
      <c r="E116" t="s">
        <v>54</v>
      </c>
      <c r="F116" t="s">
        <v>43</v>
      </c>
      <c r="G116">
        <v>36</v>
      </c>
      <c r="H116" s="4">
        <v>26.05</v>
      </c>
      <c r="I116">
        <v>937.8</v>
      </c>
      <c r="J116">
        <v>32.799999999999997</v>
      </c>
      <c r="K116">
        <v>185</v>
      </c>
      <c r="L116" t="s">
        <v>22</v>
      </c>
      <c r="M116" t="s">
        <v>37</v>
      </c>
      <c r="N116" t="s">
        <v>32</v>
      </c>
      <c r="O116">
        <f>_xlfn.XLOOKUP(E116,Product_Master!$B$2:$B$11,Product_Master!$F$2:$F$11)</f>
        <v>20</v>
      </c>
      <c r="P116">
        <f t="shared" si="2"/>
        <v>720</v>
      </c>
      <c r="Q116" s="5">
        <f t="shared" si="3"/>
        <v>0.19727020686713587</v>
      </c>
    </row>
    <row r="117" spans="1:17" x14ac:dyDescent="0.3">
      <c r="A117" t="s">
        <v>254</v>
      </c>
      <c r="B117" t="s">
        <v>83</v>
      </c>
      <c r="C117" t="s">
        <v>62</v>
      </c>
      <c r="D117" t="s">
        <v>101</v>
      </c>
      <c r="E117" t="s">
        <v>42</v>
      </c>
      <c r="F117" t="s">
        <v>43</v>
      </c>
      <c r="G117">
        <v>26</v>
      </c>
      <c r="H117" s="4">
        <v>47.52</v>
      </c>
      <c r="I117">
        <v>1235.52</v>
      </c>
      <c r="J117">
        <v>31.41</v>
      </c>
      <c r="K117">
        <v>372.11</v>
      </c>
      <c r="L117" t="s">
        <v>30</v>
      </c>
      <c r="M117" t="s">
        <v>23</v>
      </c>
      <c r="N117" t="s">
        <v>102</v>
      </c>
      <c r="O117">
        <f>_xlfn.XLOOKUP(E117,Product_Master!$B$2:$B$11,Product_Master!$F$2:$F$11)</f>
        <v>32</v>
      </c>
      <c r="P117">
        <f t="shared" si="2"/>
        <v>832</v>
      </c>
      <c r="Q117" s="5">
        <f t="shared" si="3"/>
        <v>0.30117683242683246</v>
      </c>
    </row>
    <row r="118" spans="1:17" x14ac:dyDescent="0.3">
      <c r="A118" t="s">
        <v>255</v>
      </c>
      <c r="B118" t="s">
        <v>68</v>
      </c>
      <c r="C118" t="s">
        <v>230</v>
      </c>
      <c r="D118" t="s">
        <v>123</v>
      </c>
      <c r="E118" t="s">
        <v>29</v>
      </c>
      <c r="F118" t="s">
        <v>21</v>
      </c>
      <c r="G118">
        <v>38</v>
      </c>
      <c r="H118" s="4">
        <v>26.38</v>
      </c>
      <c r="I118">
        <v>1002.44</v>
      </c>
      <c r="J118">
        <v>33.049999999999997</v>
      </c>
      <c r="K118">
        <v>285.39</v>
      </c>
      <c r="L118" t="s">
        <v>30</v>
      </c>
      <c r="M118" t="s">
        <v>23</v>
      </c>
      <c r="N118" t="s">
        <v>32</v>
      </c>
      <c r="O118">
        <f>_xlfn.XLOOKUP(E118,Product_Master!$B$2:$B$11,Product_Master!$F$2:$F$11)</f>
        <v>18</v>
      </c>
      <c r="P118">
        <f t="shared" si="2"/>
        <v>684</v>
      </c>
      <c r="Q118" s="5">
        <f t="shared" si="3"/>
        <v>0.28469534336219621</v>
      </c>
    </row>
    <row r="119" spans="1:17" x14ac:dyDescent="0.3">
      <c r="A119" t="s">
        <v>256</v>
      </c>
      <c r="B119" t="s">
        <v>75</v>
      </c>
      <c r="C119" t="s">
        <v>158</v>
      </c>
      <c r="D119" t="s">
        <v>91</v>
      </c>
      <c r="E119" t="s">
        <v>73</v>
      </c>
      <c r="F119" t="s">
        <v>43</v>
      </c>
      <c r="G119">
        <v>7</v>
      </c>
      <c r="H119" s="4">
        <v>17.66</v>
      </c>
      <c r="I119">
        <v>123.62</v>
      </c>
      <c r="J119">
        <v>6.95</v>
      </c>
      <c r="K119">
        <v>27.42</v>
      </c>
      <c r="L119" t="s">
        <v>22</v>
      </c>
      <c r="M119" t="s">
        <v>23</v>
      </c>
      <c r="N119" t="s">
        <v>66</v>
      </c>
      <c r="O119">
        <f>_xlfn.XLOOKUP(E119,Product_Master!$B$2:$B$11,Product_Master!$F$2:$F$11)</f>
        <v>12.75</v>
      </c>
      <c r="P119">
        <f t="shared" si="2"/>
        <v>89.25</v>
      </c>
      <c r="Q119" s="5">
        <f t="shared" si="3"/>
        <v>0.22180876880763631</v>
      </c>
    </row>
    <row r="120" spans="1:17" x14ac:dyDescent="0.3">
      <c r="A120" t="s">
        <v>257</v>
      </c>
      <c r="B120" t="s">
        <v>132</v>
      </c>
      <c r="C120" t="s">
        <v>161</v>
      </c>
      <c r="D120" t="s">
        <v>147</v>
      </c>
      <c r="E120" t="s">
        <v>20</v>
      </c>
      <c r="F120" t="s">
        <v>21</v>
      </c>
      <c r="G120">
        <v>26</v>
      </c>
      <c r="H120" s="4">
        <v>51.5</v>
      </c>
      <c r="I120">
        <v>1339</v>
      </c>
      <c r="J120">
        <v>92.09</v>
      </c>
      <c r="K120">
        <v>336.91</v>
      </c>
      <c r="L120" t="s">
        <v>30</v>
      </c>
      <c r="M120" t="s">
        <v>31</v>
      </c>
      <c r="N120" t="s">
        <v>148</v>
      </c>
      <c r="O120">
        <f>_xlfn.XLOOKUP(E120,Product_Master!$B$2:$B$11,Product_Master!$F$2:$F$11)</f>
        <v>35</v>
      </c>
      <c r="P120">
        <f t="shared" si="2"/>
        <v>910</v>
      </c>
      <c r="Q120" s="5">
        <f t="shared" si="3"/>
        <v>0.25161314413741598</v>
      </c>
    </row>
    <row r="121" spans="1:17" x14ac:dyDescent="0.3">
      <c r="A121" t="s">
        <v>258</v>
      </c>
      <c r="B121" t="s">
        <v>75</v>
      </c>
      <c r="C121" t="s">
        <v>259</v>
      </c>
      <c r="D121" t="s">
        <v>19</v>
      </c>
      <c r="E121" t="s">
        <v>69</v>
      </c>
      <c r="F121" t="s">
        <v>59</v>
      </c>
      <c r="G121">
        <v>27</v>
      </c>
      <c r="H121" s="4">
        <v>25</v>
      </c>
      <c r="I121">
        <v>675</v>
      </c>
      <c r="J121">
        <v>15.49</v>
      </c>
      <c r="K121">
        <v>241.01</v>
      </c>
      <c r="L121" t="s">
        <v>30</v>
      </c>
      <c r="M121" t="s">
        <v>31</v>
      </c>
      <c r="N121" t="s">
        <v>24</v>
      </c>
      <c r="O121">
        <f>_xlfn.XLOOKUP(E121,Product_Master!$B$2:$B$11,Product_Master!$F$2:$F$11)</f>
        <v>15.5</v>
      </c>
      <c r="P121">
        <f t="shared" si="2"/>
        <v>418.5</v>
      </c>
      <c r="Q121" s="5">
        <f t="shared" si="3"/>
        <v>0.35705185185185184</v>
      </c>
    </row>
    <row r="122" spans="1:17" x14ac:dyDescent="0.3">
      <c r="A122" t="s">
        <v>260</v>
      </c>
      <c r="B122" t="s">
        <v>95</v>
      </c>
      <c r="C122" t="s">
        <v>52</v>
      </c>
      <c r="D122" t="s">
        <v>101</v>
      </c>
      <c r="E122" t="s">
        <v>73</v>
      </c>
      <c r="F122" t="s">
        <v>43</v>
      </c>
      <c r="G122">
        <v>4</v>
      </c>
      <c r="H122" s="4">
        <v>19</v>
      </c>
      <c r="I122">
        <v>76</v>
      </c>
      <c r="J122">
        <v>3.78</v>
      </c>
      <c r="K122">
        <v>21.22</v>
      </c>
      <c r="L122" t="s">
        <v>30</v>
      </c>
      <c r="M122" t="s">
        <v>37</v>
      </c>
      <c r="N122" t="s">
        <v>102</v>
      </c>
      <c r="O122">
        <f>_xlfn.XLOOKUP(E122,Product_Master!$B$2:$B$11,Product_Master!$F$2:$F$11)</f>
        <v>12.75</v>
      </c>
      <c r="P122">
        <f t="shared" si="2"/>
        <v>51</v>
      </c>
      <c r="Q122" s="5">
        <f t="shared" si="3"/>
        <v>0.27921052631578946</v>
      </c>
    </row>
    <row r="123" spans="1:17" x14ac:dyDescent="0.3">
      <c r="A123" t="s">
        <v>261</v>
      </c>
      <c r="B123" t="s">
        <v>107</v>
      </c>
      <c r="C123" t="s">
        <v>212</v>
      </c>
      <c r="D123" t="s">
        <v>48</v>
      </c>
      <c r="E123" t="s">
        <v>69</v>
      </c>
      <c r="F123" t="s">
        <v>59</v>
      </c>
      <c r="G123">
        <v>24</v>
      </c>
      <c r="H123" s="4">
        <v>26.63</v>
      </c>
      <c r="I123">
        <v>639.12</v>
      </c>
      <c r="J123">
        <v>31.92</v>
      </c>
      <c r="K123">
        <v>235.2</v>
      </c>
      <c r="L123" t="s">
        <v>44</v>
      </c>
      <c r="M123" t="s">
        <v>37</v>
      </c>
      <c r="N123" t="s">
        <v>24</v>
      </c>
      <c r="O123">
        <f>_xlfn.XLOOKUP(E123,Product_Master!$B$2:$B$11,Product_Master!$F$2:$F$11)</f>
        <v>15.5</v>
      </c>
      <c r="P123">
        <f t="shared" si="2"/>
        <v>372</v>
      </c>
      <c r="Q123" s="5">
        <f t="shared" si="3"/>
        <v>0.36800600826135937</v>
      </c>
    </row>
    <row r="124" spans="1:17" x14ac:dyDescent="0.3">
      <c r="A124" t="s">
        <v>262</v>
      </c>
      <c r="B124" t="s">
        <v>17</v>
      </c>
      <c r="C124" t="s">
        <v>96</v>
      </c>
      <c r="D124" t="s">
        <v>81</v>
      </c>
      <c r="E124" t="s">
        <v>64</v>
      </c>
      <c r="F124" t="s">
        <v>65</v>
      </c>
      <c r="G124">
        <v>26</v>
      </c>
      <c r="H124" s="4">
        <v>43.14</v>
      </c>
      <c r="I124">
        <v>1121.6400000000001</v>
      </c>
      <c r="J124">
        <v>48.08</v>
      </c>
      <c r="K124">
        <v>423.56</v>
      </c>
      <c r="L124" t="s">
        <v>22</v>
      </c>
      <c r="M124" t="s">
        <v>31</v>
      </c>
      <c r="N124" t="s">
        <v>66</v>
      </c>
      <c r="O124">
        <f>_xlfn.XLOOKUP(E124,Product_Master!$B$2:$B$11,Product_Master!$F$2:$F$11)</f>
        <v>25</v>
      </c>
      <c r="P124">
        <f t="shared" si="2"/>
        <v>650</v>
      </c>
      <c r="Q124" s="5">
        <f t="shared" si="3"/>
        <v>0.37762561962840124</v>
      </c>
    </row>
    <row r="125" spans="1:17" x14ac:dyDescent="0.3">
      <c r="A125" t="s">
        <v>263</v>
      </c>
      <c r="B125" t="s">
        <v>78</v>
      </c>
      <c r="C125" t="s">
        <v>218</v>
      </c>
      <c r="D125" t="s">
        <v>48</v>
      </c>
      <c r="E125" t="s">
        <v>64</v>
      </c>
      <c r="F125" t="s">
        <v>65</v>
      </c>
      <c r="G125">
        <v>39</v>
      </c>
      <c r="H125" s="4">
        <v>30.01</v>
      </c>
      <c r="I125">
        <v>1170.3900000000001</v>
      </c>
      <c r="J125">
        <v>60.43</v>
      </c>
      <c r="K125">
        <v>134.96</v>
      </c>
      <c r="L125" t="s">
        <v>30</v>
      </c>
      <c r="M125" t="s">
        <v>23</v>
      </c>
      <c r="N125" t="s">
        <v>24</v>
      </c>
      <c r="O125">
        <f>_xlfn.XLOOKUP(E125,Product_Master!$B$2:$B$11,Product_Master!$F$2:$F$11)</f>
        <v>25</v>
      </c>
      <c r="P125">
        <f t="shared" si="2"/>
        <v>975</v>
      </c>
      <c r="Q125" s="5">
        <f t="shared" si="3"/>
        <v>0.11531199002042054</v>
      </c>
    </row>
    <row r="126" spans="1:17" x14ac:dyDescent="0.3">
      <c r="A126" t="s">
        <v>264</v>
      </c>
      <c r="B126" t="s">
        <v>78</v>
      </c>
      <c r="C126" t="s">
        <v>265</v>
      </c>
      <c r="D126" t="s">
        <v>170</v>
      </c>
      <c r="E126" t="s">
        <v>58</v>
      </c>
      <c r="F126" t="s">
        <v>59</v>
      </c>
      <c r="G126">
        <v>5</v>
      </c>
      <c r="H126" s="4">
        <v>31.31</v>
      </c>
      <c r="I126">
        <v>156.55000000000001</v>
      </c>
      <c r="J126">
        <v>4.04</v>
      </c>
      <c r="K126">
        <v>40.01</v>
      </c>
      <c r="L126" t="s">
        <v>44</v>
      </c>
      <c r="M126" t="s">
        <v>37</v>
      </c>
      <c r="N126" t="s">
        <v>32</v>
      </c>
      <c r="O126">
        <f>_xlfn.XLOOKUP(E126,Product_Master!$B$2:$B$11,Product_Master!$F$2:$F$11)</f>
        <v>22.5</v>
      </c>
      <c r="P126">
        <f t="shared" si="2"/>
        <v>112.5</v>
      </c>
      <c r="Q126" s="5">
        <f t="shared" si="3"/>
        <v>0.25557329926541039</v>
      </c>
    </row>
    <row r="127" spans="1:17" x14ac:dyDescent="0.3">
      <c r="A127" t="s">
        <v>266</v>
      </c>
      <c r="B127" t="s">
        <v>71</v>
      </c>
      <c r="C127" t="s">
        <v>202</v>
      </c>
      <c r="D127" t="s">
        <v>19</v>
      </c>
      <c r="E127" t="s">
        <v>98</v>
      </c>
      <c r="F127" t="s">
        <v>59</v>
      </c>
      <c r="G127">
        <v>42</v>
      </c>
      <c r="H127" s="4">
        <v>36.950000000000003</v>
      </c>
      <c r="I127">
        <v>1551.9</v>
      </c>
      <c r="J127">
        <v>74.260000000000005</v>
      </c>
      <c r="K127">
        <v>301.64</v>
      </c>
      <c r="L127" t="s">
        <v>30</v>
      </c>
      <c r="M127" t="s">
        <v>31</v>
      </c>
      <c r="N127" t="s">
        <v>24</v>
      </c>
      <c r="O127">
        <f>_xlfn.XLOOKUP(E127,Product_Master!$B$2:$B$11,Product_Master!$F$2:$F$11)</f>
        <v>28</v>
      </c>
      <c r="P127">
        <f t="shared" si="2"/>
        <v>1176</v>
      </c>
      <c r="Q127" s="5">
        <f t="shared" si="3"/>
        <v>0.19436819382692183</v>
      </c>
    </row>
    <row r="128" spans="1:17" x14ac:dyDescent="0.3">
      <c r="A128" t="s">
        <v>267</v>
      </c>
      <c r="B128" t="s">
        <v>17</v>
      </c>
      <c r="C128" t="s">
        <v>268</v>
      </c>
      <c r="D128" t="s">
        <v>81</v>
      </c>
      <c r="E128" t="s">
        <v>49</v>
      </c>
      <c r="F128" t="s">
        <v>50</v>
      </c>
      <c r="G128">
        <v>36</v>
      </c>
      <c r="H128" s="4">
        <v>57.37</v>
      </c>
      <c r="I128">
        <v>2065.3200000000002</v>
      </c>
      <c r="J128">
        <v>94.34</v>
      </c>
      <c r="K128">
        <v>530.98</v>
      </c>
      <c r="L128" t="s">
        <v>44</v>
      </c>
      <c r="M128" t="s">
        <v>23</v>
      </c>
      <c r="N128" t="s">
        <v>66</v>
      </c>
      <c r="O128">
        <f>_xlfn.XLOOKUP(E128,Product_Master!$B$2:$B$11,Product_Master!$F$2:$F$11)</f>
        <v>40</v>
      </c>
      <c r="P128">
        <f t="shared" si="2"/>
        <v>1440</v>
      </c>
      <c r="Q128" s="5">
        <f t="shared" si="3"/>
        <v>0.25709333178393662</v>
      </c>
    </row>
    <row r="129" spans="1:17" x14ac:dyDescent="0.3">
      <c r="A129" t="s">
        <v>269</v>
      </c>
      <c r="B129" t="s">
        <v>132</v>
      </c>
      <c r="C129" t="s">
        <v>40</v>
      </c>
      <c r="D129" t="s">
        <v>88</v>
      </c>
      <c r="E129" t="s">
        <v>98</v>
      </c>
      <c r="F129" t="s">
        <v>59</v>
      </c>
      <c r="G129">
        <v>13</v>
      </c>
      <c r="H129" s="4">
        <v>40.18</v>
      </c>
      <c r="I129">
        <v>522.34</v>
      </c>
      <c r="J129">
        <v>37.369999999999997</v>
      </c>
      <c r="K129">
        <v>120.97</v>
      </c>
      <c r="L129" t="s">
        <v>30</v>
      </c>
      <c r="M129" t="s">
        <v>37</v>
      </c>
      <c r="N129" t="s">
        <v>66</v>
      </c>
      <c r="O129">
        <f>_xlfn.XLOOKUP(E129,Product_Master!$B$2:$B$11,Product_Master!$F$2:$F$11)</f>
        <v>28</v>
      </c>
      <c r="P129">
        <f t="shared" si="2"/>
        <v>364</v>
      </c>
      <c r="Q129" s="5">
        <f t="shared" si="3"/>
        <v>0.23159244936248419</v>
      </c>
    </row>
    <row r="130" spans="1:17" x14ac:dyDescent="0.3">
      <c r="A130" t="s">
        <v>270</v>
      </c>
      <c r="B130" t="s">
        <v>75</v>
      </c>
      <c r="C130" t="s">
        <v>226</v>
      </c>
      <c r="D130" t="s">
        <v>91</v>
      </c>
      <c r="E130" t="s">
        <v>42</v>
      </c>
      <c r="F130" t="s">
        <v>43</v>
      </c>
      <c r="G130">
        <v>37</v>
      </c>
      <c r="H130" s="4">
        <v>39.299999999999997</v>
      </c>
      <c r="I130">
        <v>1454.1</v>
      </c>
      <c r="J130">
        <v>67.08</v>
      </c>
      <c r="K130">
        <v>203.02</v>
      </c>
      <c r="L130" t="s">
        <v>44</v>
      </c>
      <c r="M130" t="s">
        <v>23</v>
      </c>
      <c r="N130" t="s">
        <v>66</v>
      </c>
      <c r="O130">
        <f>_xlfn.XLOOKUP(E130,Product_Master!$B$2:$B$11,Product_Master!$F$2:$F$11)</f>
        <v>32</v>
      </c>
      <c r="P130">
        <f t="shared" si="2"/>
        <v>1184</v>
      </c>
      <c r="Q130" s="5">
        <f t="shared" si="3"/>
        <v>0.13961900832129842</v>
      </c>
    </row>
    <row r="131" spans="1:17" x14ac:dyDescent="0.3">
      <c r="A131" t="s">
        <v>271</v>
      </c>
      <c r="B131" t="s">
        <v>75</v>
      </c>
      <c r="C131" t="s">
        <v>212</v>
      </c>
      <c r="D131" t="s">
        <v>48</v>
      </c>
      <c r="E131" t="s">
        <v>42</v>
      </c>
      <c r="F131" t="s">
        <v>43</v>
      </c>
      <c r="G131">
        <v>17</v>
      </c>
      <c r="H131" s="4">
        <v>43.28</v>
      </c>
      <c r="I131">
        <v>735.76</v>
      </c>
      <c r="J131">
        <v>50.96</v>
      </c>
      <c r="K131">
        <v>140.80000000000001</v>
      </c>
      <c r="L131" t="s">
        <v>30</v>
      </c>
      <c r="M131" t="s">
        <v>31</v>
      </c>
      <c r="N131" t="s">
        <v>24</v>
      </c>
      <c r="O131">
        <f>_xlfn.XLOOKUP(E131,Product_Master!$B$2:$B$11,Product_Master!$F$2:$F$11)</f>
        <v>32</v>
      </c>
      <c r="P131">
        <f t="shared" ref="P131:P194" si="4">G131*O131</f>
        <v>544</v>
      </c>
      <c r="Q131" s="5">
        <f t="shared" ref="Q131:Q194" si="5">K131/I131</f>
        <v>0.19136675002718279</v>
      </c>
    </row>
    <row r="132" spans="1:17" x14ac:dyDescent="0.3">
      <c r="A132" t="s">
        <v>272</v>
      </c>
      <c r="B132" t="s">
        <v>39</v>
      </c>
      <c r="C132" t="s">
        <v>18</v>
      </c>
      <c r="D132" t="s">
        <v>88</v>
      </c>
      <c r="E132" t="s">
        <v>20</v>
      </c>
      <c r="F132" t="s">
        <v>21</v>
      </c>
      <c r="G132">
        <v>22</v>
      </c>
      <c r="H132" s="4">
        <v>62.79</v>
      </c>
      <c r="I132">
        <v>1381.38</v>
      </c>
      <c r="J132">
        <v>75.84</v>
      </c>
      <c r="K132">
        <v>535.54</v>
      </c>
      <c r="L132" t="s">
        <v>44</v>
      </c>
      <c r="M132" t="s">
        <v>37</v>
      </c>
      <c r="N132" t="s">
        <v>66</v>
      </c>
      <c r="O132">
        <f>_xlfn.XLOOKUP(E132,Product_Master!$B$2:$B$11,Product_Master!$F$2:$F$11)</f>
        <v>35</v>
      </c>
      <c r="P132">
        <f t="shared" si="4"/>
        <v>770</v>
      </c>
      <c r="Q132" s="5">
        <f t="shared" si="5"/>
        <v>0.38768477898912673</v>
      </c>
    </row>
    <row r="133" spans="1:17" x14ac:dyDescent="0.3">
      <c r="A133" t="s">
        <v>273</v>
      </c>
      <c r="B133" t="s">
        <v>75</v>
      </c>
      <c r="C133" t="s">
        <v>175</v>
      </c>
      <c r="D133" t="s">
        <v>170</v>
      </c>
      <c r="E133" t="s">
        <v>49</v>
      </c>
      <c r="F133" t="s">
        <v>50</v>
      </c>
      <c r="G133">
        <v>23</v>
      </c>
      <c r="H133" s="4">
        <v>56.76</v>
      </c>
      <c r="I133">
        <v>1305.48</v>
      </c>
      <c r="J133">
        <v>62.93</v>
      </c>
      <c r="K133">
        <v>322.55</v>
      </c>
      <c r="L133" t="s">
        <v>44</v>
      </c>
      <c r="M133" t="s">
        <v>37</v>
      </c>
      <c r="N133" t="s">
        <v>32</v>
      </c>
      <c r="O133">
        <f>_xlfn.XLOOKUP(E133,Product_Master!$B$2:$B$11,Product_Master!$F$2:$F$11)</f>
        <v>40</v>
      </c>
      <c r="P133">
        <f t="shared" si="4"/>
        <v>920</v>
      </c>
      <c r="Q133" s="5">
        <f t="shared" si="5"/>
        <v>0.24707387321138585</v>
      </c>
    </row>
    <row r="134" spans="1:17" x14ac:dyDescent="0.3">
      <c r="A134" t="s">
        <v>274</v>
      </c>
      <c r="B134" t="s">
        <v>95</v>
      </c>
      <c r="C134" t="s">
        <v>35</v>
      </c>
      <c r="D134" t="s">
        <v>28</v>
      </c>
      <c r="E134" t="s">
        <v>49</v>
      </c>
      <c r="F134" t="s">
        <v>50</v>
      </c>
      <c r="G134">
        <v>22</v>
      </c>
      <c r="H134" s="4">
        <v>60.13</v>
      </c>
      <c r="I134">
        <v>1322.86</v>
      </c>
      <c r="J134">
        <v>54.06</v>
      </c>
      <c r="K134">
        <v>388.8</v>
      </c>
      <c r="L134" t="s">
        <v>44</v>
      </c>
      <c r="M134" t="s">
        <v>31</v>
      </c>
      <c r="N134" t="s">
        <v>32</v>
      </c>
      <c r="O134">
        <f>_xlfn.XLOOKUP(E134,Product_Master!$B$2:$B$11,Product_Master!$F$2:$F$11)</f>
        <v>40</v>
      </c>
      <c r="P134">
        <f t="shared" si="4"/>
        <v>880</v>
      </c>
      <c r="Q134" s="5">
        <f t="shared" si="5"/>
        <v>0.2939086524651135</v>
      </c>
    </row>
    <row r="135" spans="1:17" x14ac:dyDescent="0.3">
      <c r="A135" t="s">
        <v>275</v>
      </c>
      <c r="B135" t="s">
        <v>17</v>
      </c>
      <c r="C135" t="s">
        <v>276</v>
      </c>
      <c r="D135" t="s">
        <v>81</v>
      </c>
      <c r="E135" t="s">
        <v>64</v>
      </c>
      <c r="F135" t="s">
        <v>65</v>
      </c>
      <c r="G135">
        <v>21</v>
      </c>
      <c r="H135" s="4">
        <v>40.98</v>
      </c>
      <c r="I135">
        <v>860.58</v>
      </c>
      <c r="J135">
        <v>37.01</v>
      </c>
      <c r="K135">
        <v>298.57</v>
      </c>
      <c r="L135" t="s">
        <v>22</v>
      </c>
      <c r="M135" t="s">
        <v>37</v>
      </c>
      <c r="N135" t="s">
        <v>66</v>
      </c>
      <c r="O135">
        <f>_xlfn.XLOOKUP(E135,Product_Master!$B$2:$B$11,Product_Master!$F$2:$F$11)</f>
        <v>25</v>
      </c>
      <c r="P135">
        <f t="shared" si="4"/>
        <v>525</v>
      </c>
      <c r="Q135" s="5">
        <f t="shared" si="5"/>
        <v>0.34694043552023052</v>
      </c>
    </row>
    <row r="136" spans="1:17" x14ac:dyDescent="0.3">
      <c r="A136" t="s">
        <v>277</v>
      </c>
      <c r="B136" t="s">
        <v>78</v>
      </c>
      <c r="C136" t="s">
        <v>135</v>
      </c>
      <c r="D136" t="s">
        <v>41</v>
      </c>
      <c r="E136" t="s">
        <v>49</v>
      </c>
      <c r="F136" t="s">
        <v>50</v>
      </c>
      <c r="G136">
        <v>36</v>
      </c>
      <c r="H136" s="4">
        <v>54.6</v>
      </c>
      <c r="I136">
        <v>1965.6</v>
      </c>
      <c r="J136">
        <v>150.34</v>
      </c>
      <c r="K136">
        <v>375.26</v>
      </c>
      <c r="L136" t="s">
        <v>30</v>
      </c>
      <c r="M136" t="s">
        <v>23</v>
      </c>
      <c r="N136" t="s">
        <v>45</v>
      </c>
      <c r="O136">
        <f>_xlfn.XLOOKUP(E136,Product_Master!$B$2:$B$11,Product_Master!$F$2:$F$11)</f>
        <v>40</v>
      </c>
      <c r="P136">
        <f t="shared" si="4"/>
        <v>1440</v>
      </c>
      <c r="Q136" s="5">
        <f t="shared" si="5"/>
        <v>0.19091371591371592</v>
      </c>
    </row>
    <row r="137" spans="1:17" x14ac:dyDescent="0.3">
      <c r="A137" t="s">
        <v>278</v>
      </c>
      <c r="B137" t="s">
        <v>95</v>
      </c>
      <c r="C137" t="s">
        <v>245</v>
      </c>
      <c r="D137" t="s">
        <v>36</v>
      </c>
      <c r="E137" t="s">
        <v>69</v>
      </c>
      <c r="F137" t="s">
        <v>59</v>
      </c>
      <c r="G137">
        <v>1</v>
      </c>
      <c r="H137" s="4">
        <v>27.49</v>
      </c>
      <c r="I137">
        <v>27.49</v>
      </c>
      <c r="J137">
        <v>0.63</v>
      </c>
      <c r="K137">
        <v>11.36</v>
      </c>
      <c r="L137" t="s">
        <v>30</v>
      </c>
      <c r="M137" t="s">
        <v>37</v>
      </c>
      <c r="N137" t="s">
        <v>32</v>
      </c>
      <c r="O137">
        <f>_xlfn.XLOOKUP(E137,Product_Master!$B$2:$B$11,Product_Master!$F$2:$F$11)</f>
        <v>15.5</v>
      </c>
      <c r="P137">
        <f t="shared" si="4"/>
        <v>15.5</v>
      </c>
      <c r="Q137" s="5">
        <f t="shared" si="5"/>
        <v>0.41324117861040377</v>
      </c>
    </row>
    <row r="138" spans="1:17" x14ac:dyDescent="0.3">
      <c r="A138" t="s">
        <v>279</v>
      </c>
      <c r="B138" t="s">
        <v>157</v>
      </c>
      <c r="C138" t="s">
        <v>280</v>
      </c>
      <c r="D138" t="s">
        <v>81</v>
      </c>
      <c r="E138" t="s">
        <v>42</v>
      </c>
      <c r="F138" t="s">
        <v>43</v>
      </c>
      <c r="G138">
        <v>50</v>
      </c>
      <c r="H138" s="4">
        <v>41.11</v>
      </c>
      <c r="I138">
        <v>2055.5</v>
      </c>
      <c r="J138">
        <v>95.61</v>
      </c>
      <c r="K138">
        <v>359.89</v>
      </c>
      <c r="L138" t="s">
        <v>44</v>
      </c>
      <c r="M138" t="s">
        <v>31</v>
      </c>
      <c r="N138" t="s">
        <v>66</v>
      </c>
      <c r="O138">
        <f>_xlfn.XLOOKUP(E138,Product_Master!$B$2:$B$11,Product_Master!$F$2:$F$11)</f>
        <v>32</v>
      </c>
      <c r="P138">
        <f t="shared" si="4"/>
        <v>1600</v>
      </c>
      <c r="Q138" s="5">
        <f t="shared" si="5"/>
        <v>0.17508635368523473</v>
      </c>
    </row>
    <row r="139" spans="1:17" x14ac:dyDescent="0.3">
      <c r="A139" t="s">
        <v>281</v>
      </c>
      <c r="B139" t="s">
        <v>78</v>
      </c>
      <c r="C139" t="s">
        <v>137</v>
      </c>
      <c r="D139" t="s">
        <v>63</v>
      </c>
      <c r="E139" t="s">
        <v>69</v>
      </c>
      <c r="F139" t="s">
        <v>59</v>
      </c>
      <c r="G139">
        <v>18</v>
      </c>
      <c r="H139" s="4">
        <v>25.54</v>
      </c>
      <c r="I139">
        <v>459.72</v>
      </c>
      <c r="J139">
        <v>27.02</v>
      </c>
      <c r="K139">
        <v>153.69999999999999</v>
      </c>
      <c r="L139" t="s">
        <v>30</v>
      </c>
      <c r="M139" t="s">
        <v>23</v>
      </c>
      <c r="N139" t="s">
        <v>66</v>
      </c>
      <c r="O139">
        <f>_xlfn.XLOOKUP(E139,Product_Master!$B$2:$B$11,Product_Master!$F$2:$F$11)</f>
        <v>15.5</v>
      </c>
      <c r="P139">
        <f t="shared" si="4"/>
        <v>279</v>
      </c>
      <c r="Q139" s="5">
        <f t="shared" si="5"/>
        <v>0.33433394239972153</v>
      </c>
    </row>
    <row r="140" spans="1:17" x14ac:dyDescent="0.3">
      <c r="A140" t="s">
        <v>282</v>
      </c>
      <c r="B140" t="s">
        <v>17</v>
      </c>
      <c r="C140" t="s">
        <v>250</v>
      </c>
      <c r="D140" t="s">
        <v>91</v>
      </c>
      <c r="E140" t="s">
        <v>98</v>
      </c>
      <c r="F140" t="s">
        <v>59</v>
      </c>
      <c r="G140">
        <v>4</v>
      </c>
      <c r="H140" s="4">
        <v>47.52</v>
      </c>
      <c r="I140">
        <v>190.08</v>
      </c>
      <c r="J140">
        <v>10.23</v>
      </c>
      <c r="K140">
        <v>67.849999999999994</v>
      </c>
      <c r="L140" t="s">
        <v>22</v>
      </c>
      <c r="M140" t="s">
        <v>23</v>
      </c>
      <c r="N140" t="s">
        <v>66</v>
      </c>
      <c r="O140">
        <f>_xlfn.XLOOKUP(E140,Product_Master!$B$2:$B$11,Product_Master!$F$2:$F$11)</f>
        <v>28</v>
      </c>
      <c r="P140">
        <f t="shared" si="4"/>
        <v>112</v>
      </c>
      <c r="Q140" s="5">
        <f t="shared" si="5"/>
        <v>0.35695496632996626</v>
      </c>
    </row>
    <row r="141" spans="1:17" x14ac:dyDescent="0.3">
      <c r="A141" t="s">
        <v>283</v>
      </c>
      <c r="B141" t="s">
        <v>71</v>
      </c>
      <c r="C141" t="s">
        <v>189</v>
      </c>
      <c r="D141" t="s">
        <v>36</v>
      </c>
      <c r="E141" t="s">
        <v>64</v>
      </c>
      <c r="F141" t="s">
        <v>65</v>
      </c>
      <c r="G141">
        <v>29</v>
      </c>
      <c r="H141" s="4">
        <v>30.48</v>
      </c>
      <c r="I141">
        <v>883.92</v>
      </c>
      <c r="J141">
        <v>33.15</v>
      </c>
      <c r="K141">
        <v>125.77</v>
      </c>
      <c r="L141" t="s">
        <v>44</v>
      </c>
      <c r="M141" t="s">
        <v>23</v>
      </c>
      <c r="N141" t="s">
        <v>32</v>
      </c>
      <c r="O141">
        <f>_xlfn.XLOOKUP(E141,Product_Master!$B$2:$B$11,Product_Master!$F$2:$F$11)</f>
        <v>25</v>
      </c>
      <c r="P141">
        <f t="shared" si="4"/>
        <v>725</v>
      </c>
      <c r="Q141" s="5">
        <f t="shared" si="5"/>
        <v>0.14228663227441399</v>
      </c>
    </row>
    <row r="142" spans="1:17" x14ac:dyDescent="0.3">
      <c r="A142" t="s">
        <v>284</v>
      </c>
      <c r="B142" t="s">
        <v>86</v>
      </c>
      <c r="C142" t="s">
        <v>187</v>
      </c>
      <c r="D142" t="s">
        <v>101</v>
      </c>
      <c r="E142" t="s">
        <v>49</v>
      </c>
      <c r="F142" t="s">
        <v>50</v>
      </c>
      <c r="G142">
        <v>27</v>
      </c>
      <c r="H142" s="4">
        <v>50.39</v>
      </c>
      <c r="I142">
        <v>1360.53</v>
      </c>
      <c r="J142">
        <v>106.4</v>
      </c>
      <c r="K142">
        <v>174.13</v>
      </c>
      <c r="L142" t="s">
        <v>30</v>
      </c>
      <c r="M142" t="s">
        <v>31</v>
      </c>
      <c r="N142" t="s">
        <v>102</v>
      </c>
      <c r="O142">
        <f>_xlfn.XLOOKUP(E142,Product_Master!$B$2:$B$11,Product_Master!$F$2:$F$11)</f>
        <v>40</v>
      </c>
      <c r="P142">
        <f t="shared" si="4"/>
        <v>1080</v>
      </c>
      <c r="Q142" s="5">
        <f t="shared" si="5"/>
        <v>0.12798688746297399</v>
      </c>
    </row>
    <row r="143" spans="1:17" x14ac:dyDescent="0.3">
      <c r="A143" t="s">
        <v>285</v>
      </c>
      <c r="B143" t="s">
        <v>17</v>
      </c>
      <c r="C143" t="s">
        <v>164</v>
      </c>
      <c r="D143" t="s">
        <v>170</v>
      </c>
      <c r="E143" t="s">
        <v>64</v>
      </c>
      <c r="F143" t="s">
        <v>65</v>
      </c>
      <c r="G143">
        <v>34</v>
      </c>
      <c r="H143" s="4">
        <v>37.68</v>
      </c>
      <c r="I143">
        <v>1281.1199999999999</v>
      </c>
      <c r="J143">
        <v>54.86</v>
      </c>
      <c r="K143">
        <v>376.26</v>
      </c>
      <c r="L143" t="s">
        <v>44</v>
      </c>
      <c r="M143" t="s">
        <v>23</v>
      </c>
      <c r="N143" t="s">
        <v>32</v>
      </c>
      <c r="O143">
        <f>_xlfn.XLOOKUP(E143,Product_Master!$B$2:$B$11,Product_Master!$F$2:$F$11)</f>
        <v>25</v>
      </c>
      <c r="P143">
        <f t="shared" si="4"/>
        <v>850</v>
      </c>
      <c r="Q143" s="5">
        <f t="shared" si="5"/>
        <v>0.2936961408767329</v>
      </c>
    </row>
    <row r="144" spans="1:17" x14ac:dyDescent="0.3">
      <c r="A144" t="s">
        <v>286</v>
      </c>
      <c r="B144" t="s">
        <v>75</v>
      </c>
      <c r="C144" t="s">
        <v>287</v>
      </c>
      <c r="D144" t="s">
        <v>91</v>
      </c>
      <c r="E144" t="s">
        <v>64</v>
      </c>
      <c r="F144" t="s">
        <v>65</v>
      </c>
      <c r="G144">
        <v>3</v>
      </c>
      <c r="H144" s="4">
        <v>39.32</v>
      </c>
      <c r="I144">
        <v>117.96</v>
      </c>
      <c r="J144">
        <v>6.97</v>
      </c>
      <c r="K144">
        <v>35.99</v>
      </c>
      <c r="L144" t="s">
        <v>30</v>
      </c>
      <c r="M144" t="s">
        <v>31</v>
      </c>
      <c r="N144" t="s">
        <v>66</v>
      </c>
      <c r="O144">
        <f>_xlfn.XLOOKUP(E144,Product_Master!$B$2:$B$11,Product_Master!$F$2:$F$11)</f>
        <v>25</v>
      </c>
      <c r="P144">
        <f t="shared" si="4"/>
        <v>75</v>
      </c>
      <c r="Q144" s="5">
        <f t="shared" si="5"/>
        <v>0.3051034248897932</v>
      </c>
    </row>
    <row r="145" spans="1:17" x14ac:dyDescent="0.3">
      <c r="A145" t="s">
        <v>288</v>
      </c>
      <c r="B145" t="s">
        <v>78</v>
      </c>
      <c r="C145" t="s">
        <v>252</v>
      </c>
      <c r="D145" t="s">
        <v>48</v>
      </c>
      <c r="E145" t="s">
        <v>73</v>
      </c>
      <c r="F145" t="s">
        <v>43</v>
      </c>
      <c r="G145">
        <v>24</v>
      </c>
      <c r="H145" s="4">
        <v>18</v>
      </c>
      <c r="I145">
        <v>432</v>
      </c>
      <c r="J145">
        <v>22.68</v>
      </c>
      <c r="K145">
        <v>103.32</v>
      </c>
      <c r="L145" t="s">
        <v>22</v>
      </c>
      <c r="M145" t="s">
        <v>37</v>
      </c>
      <c r="N145" t="s">
        <v>24</v>
      </c>
      <c r="O145">
        <f>_xlfn.XLOOKUP(E145,Product_Master!$B$2:$B$11,Product_Master!$F$2:$F$11)</f>
        <v>12.75</v>
      </c>
      <c r="P145">
        <f t="shared" si="4"/>
        <v>306</v>
      </c>
      <c r="Q145" s="5">
        <f t="shared" si="5"/>
        <v>0.23916666666666664</v>
      </c>
    </row>
    <row r="146" spans="1:17" x14ac:dyDescent="0.3">
      <c r="A146" t="s">
        <v>289</v>
      </c>
      <c r="B146" t="s">
        <v>78</v>
      </c>
      <c r="C146" t="s">
        <v>117</v>
      </c>
      <c r="D146" t="s">
        <v>28</v>
      </c>
      <c r="E146" t="s">
        <v>58</v>
      </c>
      <c r="F146" t="s">
        <v>59</v>
      </c>
      <c r="G146">
        <v>5</v>
      </c>
      <c r="H146" s="4">
        <v>36.43</v>
      </c>
      <c r="I146">
        <v>182.15</v>
      </c>
      <c r="J146">
        <v>7.82</v>
      </c>
      <c r="K146">
        <v>61.83</v>
      </c>
      <c r="L146" t="s">
        <v>22</v>
      </c>
      <c r="M146" t="s">
        <v>37</v>
      </c>
      <c r="N146" t="s">
        <v>32</v>
      </c>
      <c r="O146">
        <f>_xlfn.XLOOKUP(E146,Product_Master!$B$2:$B$11,Product_Master!$F$2:$F$11)</f>
        <v>22.5</v>
      </c>
      <c r="P146">
        <f t="shared" si="4"/>
        <v>112.5</v>
      </c>
      <c r="Q146" s="5">
        <f t="shared" si="5"/>
        <v>0.33944551194070821</v>
      </c>
    </row>
    <row r="147" spans="1:17" x14ac:dyDescent="0.3">
      <c r="A147" t="s">
        <v>290</v>
      </c>
      <c r="B147" t="s">
        <v>95</v>
      </c>
      <c r="C147" t="s">
        <v>122</v>
      </c>
      <c r="D147" t="s">
        <v>63</v>
      </c>
      <c r="E147" t="s">
        <v>58</v>
      </c>
      <c r="F147" t="s">
        <v>59</v>
      </c>
      <c r="G147">
        <v>27</v>
      </c>
      <c r="H147" s="4">
        <v>38.39</v>
      </c>
      <c r="I147">
        <v>1036.53</v>
      </c>
      <c r="J147">
        <v>28.6</v>
      </c>
      <c r="K147">
        <v>400.43</v>
      </c>
      <c r="L147" t="s">
        <v>30</v>
      </c>
      <c r="M147" t="s">
        <v>23</v>
      </c>
      <c r="N147" t="s">
        <v>66</v>
      </c>
      <c r="O147">
        <f>_xlfn.XLOOKUP(E147,Product_Master!$B$2:$B$11,Product_Master!$F$2:$F$11)</f>
        <v>22.5</v>
      </c>
      <c r="P147">
        <f t="shared" si="4"/>
        <v>607.5</v>
      </c>
      <c r="Q147" s="5">
        <f t="shared" si="5"/>
        <v>0.38631781038657831</v>
      </c>
    </row>
    <row r="148" spans="1:17" x14ac:dyDescent="0.3">
      <c r="A148" t="s">
        <v>291</v>
      </c>
      <c r="B148" t="s">
        <v>107</v>
      </c>
      <c r="C148" t="s">
        <v>155</v>
      </c>
      <c r="D148" t="s">
        <v>41</v>
      </c>
      <c r="E148" t="s">
        <v>98</v>
      </c>
      <c r="F148" t="s">
        <v>59</v>
      </c>
      <c r="G148">
        <v>10</v>
      </c>
      <c r="H148" s="4">
        <v>47.5</v>
      </c>
      <c r="I148">
        <v>475</v>
      </c>
      <c r="J148">
        <v>15.95</v>
      </c>
      <c r="K148">
        <v>179.05</v>
      </c>
      <c r="L148" t="s">
        <v>22</v>
      </c>
      <c r="M148" t="s">
        <v>23</v>
      </c>
      <c r="N148" t="s">
        <v>45</v>
      </c>
      <c r="O148">
        <f>_xlfn.XLOOKUP(E148,Product_Master!$B$2:$B$11,Product_Master!$F$2:$F$11)</f>
        <v>28</v>
      </c>
      <c r="P148">
        <f t="shared" si="4"/>
        <v>280</v>
      </c>
      <c r="Q148" s="5">
        <f t="shared" si="5"/>
        <v>0.37694736842105264</v>
      </c>
    </row>
    <row r="149" spans="1:17" x14ac:dyDescent="0.3">
      <c r="A149" t="s">
        <v>292</v>
      </c>
      <c r="B149" t="s">
        <v>56</v>
      </c>
      <c r="C149" t="s">
        <v>293</v>
      </c>
      <c r="D149" t="s">
        <v>88</v>
      </c>
      <c r="E149" t="s">
        <v>42</v>
      </c>
      <c r="F149" t="s">
        <v>43</v>
      </c>
      <c r="G149">
        <v>47</v>
      </c>
      <c r="H149" s="4">
        <v>50.13</v>
      </c>
      <c r="I149">
        <v>2356.11</v>
      </c>
      <c r="J149">
        <v>166.22</v>
      </c>
      <c r="K149">
        <v>685.89</v>
      </c>
      <c r="L149" t="s">
        <v>22</v>
      </c>
      <c r="M149" t="s">
        <v>23</v>
      </c>
      <c r="N149" t="s">
        <v>66</v>
      </c>
      <c r="O149">
        <f>_xlfn.XLOOKUP(E149,Product_Master!$B$2:$B$11,Product_Master!$F$2:$F$11)</f>
        <v>32</v>
      </c>
      <c r="P149">
        <f t="shared" si="4"/>
        <v>1504</v>
      </c>
      <c r="Q149" s="5">
        <f t="shared" si="5"/>
        <v>0.29111119599679131</v>
      </c>
    </row>
    <row r="150" spans="1:17" x14ac:dyDescent="0.3">
      <c r="A150" t="s">
        <v>294</v>
      </c>
      <c r="B150" t="s">
        <v>39</v>
      </c>
      <c r="C150" t="s">
        <v>295</v>
      </c>
      <c r="D150" t="s">
        <v>53</v>
      </c>
      <c r="E150" t="s">
        <v>98</v>
      </c>
      <c r="F150" t="s">
        <v>59</v>
      </c>
      <c r="G150">
        <v>47</v>
      </c>
      <c r="H150" s="4">
        <v>42.25</v>
      </c>
      <c r="I150">
        <v>1985.75</v>
      </c>
      <c r="J150">
        <v>116.75</v>
      </c>
      <c r="K150">
        <v>553</v>
      </c>
      <c r="L150" t="s">
        <v>30</v>
      </c>
      <c r="M150" t="s">
        <v>23</v>
      </c>
      <c r="N150" t="s">
        <v>24</v>
      </c>
      <c r="O150">
        <f>_xlfn.XLOOKUP(E150,Product_Master!$B$2:$B$11,Product_Master!$F$2:$F$11)</f>
        <v>28</v>
      </c>
      <c r="P150">
        <f t="shared" si="4"/>
        <v>1316</v>
      </c>
      <c r="Q150" s="5">
        <f t="shared" si="5"/>
        <v>0.27848419992446177</v>
      </c>
    </row>
    <row r="151" spans="1:17" x14ac:dyDescent="0.3">
      <c r="A151" t="s">
        <v>296</v>
      </c>
      <c r="B151" t="s">
        <v>86</v>
      </c>
      <c r="C151" t="s">
        <v>297</v>
      </c>
      <c r="D151" t="s">
        <v>63</v>
      </c>
      <c r="E151" t="s">
        <v>64</v>
      </c>
      <c r="F151" t="s">
        <v>65</v>
      </c>
      <c r="G151">
        <v>18</v>
      </c>
      <c r="H151" s="4">
        <v>38.26</v>
      </c>
      <c r="I151">
        <v>688.68</v>
      </c>
      <c r="J151">
        <v>18.78</v>
      </c>
      <c r="K151">
        <v>219.9</v>
      </c>
      <c r="L151" t="s">
        <v>30</v>
      </c>
      <c r="M151" t="s">
        <v>23</v>
      </c>
      <c r="N151" t="s">
        <v>66</v>
      </c>
      <c r="O151">
        <f>_xlfn.XLOOKUP(E151,Product_Master!$B$2:$B$11,Product_Master!$F$2:$F$11)</f>
        <v>25</v>
      </c>
      <c r="P151">
        <f t="shared" si="4"/>
        <v>450</v>
      </c>
      <c r="Q151" s="5">
        <f t="shared" si="5"/>
        <v>0.31930649939013767</v>
      </c>
    </row>
    <row r="152" spans="1:17" x14ac:dyDescent="0.3">
      <c r="A152" t="s">
        <v>298</v>
      </c>
      <c r="B152" t="s">
        <v>83</v>
      </c>
      <c r="C152" t="s">
        <v>100</v>
      </c>
      <c r="D152" t="s">
        <v>81</v>
      </c>
      <c r="E152" t="s">
        <v>98</v>
      </c>
      <c r="F152" t="s">
        <v>59</v>
      </c>
      <c r="G152">
        <v>31</v>
      </c>
      <c r="H152" s="4">
        <v>46.66</v>
      </c>
      <c r="I152">
        <v>1446.46</v>
      </c>
      <c r="J152">
        <v>109.24</v>
      </c>
      <c r="K152">
        <v>469.22</v>
      </c>
      <c r="L152" t="s">
        <v>22</v>
      </c>
      <c r="M152" t="s">
        <v>37</v>
      </c>
      <c r="N152" t="s">
        <v>66</v>
      </c>
      <c r="O152">
        <f>_xlfn.XLOOKUP(E152,Product_Master!$B$2:$B$11,Product_Master!$F$2:$F$11)</f>
        <v>28</v>
      </c>
      <c r="P152">
        <f t="shared" si="4"/>
        <v>868</v>
      </c>
      <c r="Q152" s="5">
        <f t="shared" si="5"/>
        <v>0.32439196382893409</v>
      </c>
    </row>
    <row r="153" spans="1:17" x14ac:dyDescent="0.3">
      <c r="A153" t="s">
        <v>299</v>
      </c>
      <c r="B153" t="s">
        <v>86</v>
      </c>
      <c r="C153" t="s">
        <v>300</v>
      </c>
      <c r="D153" t="s">
        <v>101</v>
      </c>
      <c r="E153" t="s">
        <v>42</v>
      </c>
      <c r="F153" t="s">
        <v>43</v>
      </c>
      <c r="G153">
        <v>41</v>
      </c>
      <c r="H153" s="4">
        <v>52.65</v>
      </c>
      <c r="I153">
        <v>2158.65</v>
      </c>
      <c r="J153">
        <v>110.1</v>
      </c>
      <c r="K153">
        <v>736.55</v>
      </c>
      <c r="L153" t="s">
        <v>30</v>
      </c>
      <c r="M153" t="s">
        <v>37</v>
      </c>
      <c r="N153" t="s">
        <v>102</v>
      </c>
      <c r="O153">
        <f>_xlfn.XLOOKUP(E153,Product_Master!$B$2:$B$11,Product_Master!$F$2:$F$11)</f>
        <v>32</v>
      </c>
      <c r="P153">
        <f t="shared" si="4"/>
        <v>1312</v>
      </c>
      <c r="Q153" s="5">
        <f t="shared" si="5"/>
        <v>0.34120862576147126</v>
      </c>
    </row>
    <row r="154" spans="1:17" x14ac:dyDescent="0.3">
      <c r="A154" t="s">
        <v>301</v>
      </c>
      <c r="B154" t="s">
        <v>86</v>
      </c>
      <c r="C154" t="s">
        <v>133</v>
      </c>
      <c r="D154" t="s">
        <v>91</v>
      </c>
      <c r="E154" t="s">
        <v>29</v>
      </c>
      <c r="F154" t="s">
        <v>21</v>
      </c>
      <c r="G154">
        <v>28</v>
      </c>
      <c r="H154" s="4">
        <v>22.66</v>
      </c>
      <c r="I154">
        <v>634.48</v>
      </c>
      <c r="J154">
        <v>15.55</v>
      </c>
      <c r="K154">
        <v>114.93</v>
      </c>
      <c r="L154" t="s">
        <v>44</v>
      </c>
      <c r="M154" t="s">
        <v>23</v>
      </c>
      <c r="N154" t="s">
        <v>66</v>
      </c>
      <c r="O154">
        <f>_xlfn.XLOOKUP(E154,Product_Master!$B$2:$B$11,Product_Master!$F$2:$F$11)</f>
        <v>18</v>
      </c>
      <c r="P154">
        <f t="shared" si="4"/>
        <v>504</v>
      </c>
      <c r="Q154" s="5">
        <f t="shared" si="5"/>
        <v>0.1811404614802673</v>
      </c>
    </row>
    <row r="155" spans="1:17" x14ac:dyDescent="0.3">
      <c r="A155" t="s">
        <v>302</v>
      </c>
      <c r="B155" t="s">
        <v>26</v>
      </c>
      <c r="C155" t="s">
        <v>287</v>
      </c>
      <c r="D155" t="s">
        <v>53</v>
      </c>
      <c r="E155" t="s">
        <v>69</v>
      </c>
      <c r="F155" t="s">
        <v>59</v>
      </c>
      <c r="G155">
        <v>48</v>
      </c>
      <c r="H155" s="4">
        <v>25.07</v>
      </c>
      <c r="I155">
        <v>1203.3599999999999</v>
      </c>
      <c r="J155">
        <v>29.93</v>
      </c>
      <c r="K155">
        <v>429.43</v>
      </c>
      <c r="L155" t="s">
        <v>30</v>
      </c>
      <c r="M155" t="s">
        <v>31</v>
      </c>
      <c r="N155" t="s">
        <v>24</v>
      </c>
      <c r="O155">
        <f>_xlfn.XLOOKUP(E155,Product_Master!$B$2:$B$11,Product_Master!$F$2:$F$11)</f>
        <v>15.5</v>
      </c>
      <c r="P155">
        <f t="shared" si="4"/>
        <v>744</v>
      </c>
      <c r="Q155" s="5">
        <f t="shared" si="5"/>
        <v>0.35685912777556178</v>
      </c>
    </row>
    <row r="156" spans="1:17" x14ac:dyDescent="0.3">
      <c r="A156" t="s">
        <v>303</v>
      </c>
      <c r="B156" t="s">
        <v>107</v>
      </c>
      <c r="C156" t="s">
        <v>40</v>
      </c>
      <c r="D156" t="s">
        <v>41</v>
      </c>
      <c r="E156" t="s">
        <v>29</v>
      </c>
      <c r="F156" t="s">
        <v>21</v>
      </c>
      <c r="G156">
        <v>31</v>
      </c>
      <c r="H156" s="4">
        <v>30.53</v>
      </c>
      <c r="I156">
        <v>946.43</v>
      </c>
      <c r="J156">
        <v>72.150000000000006</v>
      </c>
      <c r="K156">
        <v>316.27999999999997</v>
      </c>
      <c r="L156" t="s">
        <v>44</v>
      </c>
      <c r="M156" t="s">
        <v>31</v>
      </c>
      <c r="N156" t="s">
        <v>45</v>
      </c>
      <c r="O156">
        <f>_xlfn.XLOOKUP(E156,Product_Master!$B$2:$B$11,Product_Master!$F$2:$F$11)</f>
        <v>18</v>
      </c>
      <c r="P156">
        <f t="shared" si="4"/>
        <v>558</v>
      </c>
      <c r="Q156" s="5">
        <f t="shared" si="5"/>
        <v>0.33418213708356664</v>
      </c>
    </row>
    <row r="157" spans="1:17" x14ac:dyDescent="0.3">
      <c r="A157" t="s">
        <v>304</v>
      </c>
      <c r="B157" t="s">
        <v>78</v>
      </c>
      <c r="C157" t="s">
        <v>305</v>
      </c>
      <c r="D157" t="s">
        <v>101</v>
      </c>
      <c r="E157" t="s">
        <v>58</v>
      </c>
      <c r="F157" t="s">
        <v>59</v>
      </c>
      <c r="G157">
        <v>33</v>
      </c>
      <c r="H157" s="4">
        <v>31</v>
      </c>
      <c r="I157">
        <v>1023</v>
      </c>
      <c r="J157">
        <v>63.94</v>
      </c>
      <c r="K157">
        <v>216.56</v>
      </c>
      <c r="L157" t="s">
        <v>30</v>
      </c>
      <c r="M157" t="s">
        <v>23</v>
      </c>
      <c r="N157" t="s">
        <v>102</v>
      </c>
      <c r="O157">
        <f>_xlfn.XLOOKUP(E157,Product_Master!$B$2:$B$11,Product_Master!$F$2:$F$11)</f>
        <v>22.5</v>
      </c>
      <c r="P157">
        <f t="shared" si="4"/>
        <v>742.5</v>
      </c>
      <c r="Q157" s="5">
        <f t="shared" si="5"/>
        <v>0.21169110459433041</v>
      </c>
    </row>
    <row r="158" spans="1:17" x14ac:dyDescent="0.3">
      <c r="A158" t="s">
        <v>306</v>
      </c>
      <c r="B158" t="s">
        <v>39</v>
      </c>
      <c r="C158" t="s">
        <v>137</v>
      </c>
      <c r="D158" t="s">
        <v>28</v>
      </c>
      <c r="E158" t="s">
        <v>69</v>
      </c>
      <c r="F158" t="s">
        <v>59</v>
      </c>
      <c r="G158">
        <v>32</v>
      </c>
      <c r="H158" s="4">
        <v>20.86</v>
      </c>
      <c r="I158">
        <v>667.52</v>
      </c>
      <c r="J158">
        <v>21.62</v>
      </c>
      <c r="K158">
        <v>149.9</v>
      </c>
      <c r="L158" t="s">
        <v>44</v>
      </c>
      <c r="M158" t="s">
        <v>37</v>
      </c>
      <c r="N158" t="s">
        <v>32</v>
      </c>
      <c r="O158">
        <f>_xlfn.XLOOKUP(E158,Product_Master!$B$2:$B$11,Product_Master!$F$2:$F$11)</f>
        <v>15.5</v>
      </c>
      <c r="P158">
        <f t="shared" si="4"/>
        <v>496</v>
      </c>
      <c r="Q158" s="5">
        <f t="shared" si="5"/>
        <v>0.22456255992329818</v>
      </c>
    </row>
    <row r="159" spans="1:17" x14ac:dyDescent="0.3">
      <c r="A159" t="s">
        <v>307</v>
      </c>
      <c r="B159" t="s">
        <v>68</v>
      </c>
      <c r="C159" t="s">
        <v>158</v>
      </c>
      <c r="D159" t="s">
        <v>170</v>
      </c>
      <c r="E159" t="s">
        <v>54</v>
      </c>
      <c r="F159" t="s">
        <v>43</v>
      </c>
      <c r="G159">
        <v>18</v>
      </c>
      <c r="H159" s="4">
        <v>24.61</v>
      </c>
      <c r="I159">
        <v>442.98</v>
      </c>
      <c r="J159">
        <v>26.99</v>
      </c>
      <c r="K159">
        <v>55.99</v>
      </c>
      <c r="L159" t="s">
        <v>44</v>
      </c>
      <c r="M159" t="s">
        <v>23</v>
      </c>
      <c r="N159" t="s">
        <v>32</v>
      </c>
      <c r="O159">
        <f>_xlfn.XLOOKUP(E159,Product_Master!$B$2:$B$11,Product_Master!$F$2:$F$11)</f>
        <v>20</v>
      </c>
      <c r="P159">
        <f t="shared" si="4"/>
        <v>360</v>
      </c>
      <c r="Q159" s="5">
        <f t="shared" si="5"/>
        <v>0.12639396812497178</v>
      </c>
    </row>
    <row r="160" spans="1:17" x14ac:dyDescent="0.3">
      <c r="A160" t="s">
        <v>308</v>
      </c>
      <c r="B160" t="s">
        <v>39</v>
      </c>
      <c r="C160" t="s">
        <v>112</v>
      </c>
      <c r="D160" t="s">
        <v>81</v>
      </c>
      <c r="E160" t="s">
        <v>49</v>
      </c>
      <c r="F160" t="s">
        <v>50</v>
      </c>
      <c r="G160">
        <v>18</v>
      </c>
      <c r="H160" s="4">
        <v>64.83</v>
      </c>
      <c r="I160">
        <v>1166.94</v>
      </c>
      <c r="J160">
        <v>34.28</v>
      </c>
      <c r="K160">
        <v>412.66</v>
      </c>
      <c r="L160" t="s">
        <v>44</v>
      </c>
      <c r="M160" t="s">
        <v>23</v>
      </c>
      <c r="N160" t="s">
        <v>66</v>
      </c>
      <c r="O160">
        <f>_xlfn.XLOOKUP(E160,Product_Master!$B$2:$B$11,Product_Master!$F$2:$F$11)</f>
        <v>40</v>
      </c>
      <c r="P160">
        <f t="shared" si="4"/>
        <v>720</v>
      </c>
      <c r="Q160" s="5">
        <f t="shared" si="5"/>
        <v>0.35362572197370901</v>
      </c>
    </row>
    <row r="161" spans="1:17" x14ac:dyDescent="0.3">
      <c r="A161" t="s">
        <v>309</v>
      </c>
      <c r="B161" t="s">
        <v>95</v>
      </c>
      <c r="C161" t="s">
        <v>310</v>
      </c>
      <c r="D161" t="s">
        <v>53</v>
      </c>
      <c r="E161" t="s">
        <v>54</v>
      </c>
      <c r="F161" t="s">
        <v>43</v>
      </c>
      <c r="G161">
        <v>49</v>
      </c>
      <c r="H161" s="4">
        <v>29.52</v>
      </c>
      <c r="I161">
        <v>1446.48</v>
      </c>
      <c r="J161">
        <v>104.7</v>
      </c>
      <c r="K161">
        <v>361.78</v>
      </c>
      <c r="L161" t="s">
        <v>44</v>
      </c>
      <c r="M161" t="s">
        <v>37</v>
      </c>
      <c r="N161" t="s">
        <v>24</v>
      </c>
      <c r="O161">
        <f>_xlfn.XLOOKUP(E161,Product_Master!$B$2:$B$11,Product_Master!$F$2:$F$11)</f>
        <v>20</v>
      </c>
      <c r="P161">
        <f t="shared" si="4"/>
        <v>980</v>
      </c>
      <c r="Q161" s="5">
        <f t="shared" si="5"/>
        <v>0.25011061335103146</v>
      </c>
    </row>
    <row r="162" spans="1:17" x14ac:dyDescent="0.3">
      <c r="A162" t="s">
        <v>311</v>
      </c>
      <c r="B162" t="s">
        <v>95</v>
      </c>
      <c r="C162" t="s">
        <v>312</v>
      </c>
      <c r="D162" t="s">
        <v>101</v>
      </c>
      <c r="E162" t="s">
        <v>54</v>
      </c>
      <c r="F162" t="s">
        <v>43</v>
      </c>
      <c r="G162">
        <v>10</v>
      </c>
      <c r="H162" s="4">
        <v>26.73</v>
      </c>
      <c r="I162">
        <v>267.3</v>
      </c>
      <c r="J162">
        <v>10.210000000000001</v>
      </c>
      <c r="K162">
        <v>57.09</v>
      </c>
      <c r="L162" t="s">
        <v>44</v>
      </c>
      <c r="M162" t="s">
        <v>37</v>
      </c>
      <c r="N162" t="s">
        <v>102</v>
      </c>
      <c r="O162">
        <f>_xlfn.XLOOKUP(E162,Product_Master!$B$2:$B$11,Product_Master!$F$2:$F$11)</f>
        <v>20</v>
      </c>
      <c r="P162">
        <f t="shared" si="4"/>
        <v>200</v>
      </c>
      <c r="Q162" s="5">
        <f t="shared" si="5"/>
        <v>0.21358024691358024</v>
      </c>
    </row>
    <row r="163" spans="1:17" x14ac:dyDescent="0.3">
      <c r="A163" t="s">
        <v>313</v>
      </c>
      <c r="B163" t="s">
        <v>83</v>
      </c>
      <c r="C163" t="s">
        <v>72</v>
      </c>
      <c r="D163" t="s">
        <v>28</v>
      </c>
      <c r="E163" t="s">
        <v>42</v>
      </c>
      <c r="F163" t="s">
        <v>43</v>
      </c>
      <c r="G163">
        <v>10</v>
      </c>
      <c r="H163" s="4">
        <v>54.45</v>
      </c>
      <c r="I163">
        <v>544.5</v>
      </c>
      <c r="J163">
        <v>16.59</v>
      </c>
      <c r="K163">
        <v>207.91</v>
      </c>
      <c r="L163" t="s">
        <v>22</v>
      </c>
      <c r="M163" t="s">
        <v>23</v>
      </c>
      <c r="N163" t="s">
        <v>32</v>
      </c>
      <c r="O163">
        <f>_xlfn.XLOOKUP(E163,Product_Master!$B$2:$B$11,Product_Master!$F$2:$F$11)</f>
        <v>32</v>
      </c>
      <c r="P163">
        <f t="shared" si="4"/>
        <v>320</v>
      </c>
      <c r="Q163" s="5">
        <f t="shared" si="5"/>
        <v>0.38183654729109273</v>
      </c>
    </row>
    <row r="164" spans="1:17" x14ac:dyDescent="0.3">
      <c r="A164" t="s">
        <v>314</v>
      </c>
      <c r="B164" t="s">
        <v>56</v>
      </c>
      <c r="C164" t="s">
        <v>72</v>
      </c>
      <c r="D164" t="s">
        <v>196</v>
      </c>
      <c r="E164" t="s">
        <v>29</v>
      </c>
      <c r="F164" t="s">
        <v>21</v>
      </c>
      <c r="G164">
        <v>46</v>
      </c>
      <c r="H164" s="4">
        <v>30.06</v>
      </c>
      <c r="I164">
        <v>1382.76</v>
      </c>
      <c r="J164">
        <v>77.17</v>
      </c>
      <c r="K164">
        <v>477.59</v>
      </c>
      <c r="L164" t="s">
        <v>30</v>
      </c>
      <c r="M164" t="s">
        <v>31</v>
      </c>
      <c r="N164" t="s">
        <v>66</v>
      </c>
      <c r="O164">
        <f>_xlfn.XLOOKUP(E164,Product_Master!$B$2:$B$11,Product_Master!$F$2:$F$11)</f>
        <v>18</v>
      </c>
      <c r="P164">
        <f t="shared" si="4"/>
        <v>828</v>
      </c>
      <c r="Q164" s="5">
        <f t="shared" si="5"/>
        <v>0.34538893228036677</v>
      </c>
    </row>
    <row r="165" spans="1:17" x14ac:dyDescent="0.3">
      <c r="A165" t="s">
        <v>315</v>
      </c>
      <c r="B165" t="s">
        <v>83</v>
      </c>
      <c r="C165" t="s">
        <v>316</v>
      </c>
      <c r="D165" t="s">
        <v>53</v>
      </c>
      <c r="E165" t="s">
        <v>69</v>
      </c>
      <c r="F165" t="s">
        <v>59</v>
      </c>
      <c r="G165">
        <v>25</v>
      </c>
      <c r="H165" s="4">
        <v>21.52</v>
      </c>
      <c r="I165">
        <v>538</v>
      </c>
      <c r="J165">
        <v>26.73</v>
      </c>
      <c r="K165">
        <v>123.77</v>
      </c>
      <c r="L165" t="s">
        <v>30</v>
      </c>
      <c r="M165" t="s">
        <v>23</v>
      </c>
      <c r="N165" t="s">
        <v>24</v>
      </c>
      <c r="O165">
        <f>_xlfn.XLOOKUP(E165,Product_Master!$B$2:$B$11,Product_Master!$F$2:$F$11)</f>
        <v>15.5</v>
      </c>
      <c r="P165">
        <f t="shared" si="4"/>
        <v>387.5</v>
      </c>
      <c r="Q165" s="5">
        <f t="shared" si="5"/>
        <v>0.23005576208178438</v>
      </c>
    </row>
    <row r="166" spans="1:17" x14ac:dyDescent="0.3">
      <c r="A166" t="s">
        <v>317</v>
      </c>
      <c r="B166" t="s">
        <v>83</v>
      </c>
      <c r="C166" t="s">
        <v>230</v>
      </c>
      <c r="D166" t="s">
        <v>196</v>
      </c>
      <c r="E166" t="s">
        <v>29</v>
      </c>
      <c r="F166" t="s">
        <v>21</v>
      </c>
      <c r="G166">
        <v>5</v>
      </c>
      <c r="H166" s="4">
        <v>26.25</v>
      </c>
      <c r="I166">
        <v>131.25</v>
      </c>
      <c r="J166">
        <v>3.35</v>
      </c>
      <c r="K166">
        <v>37.9</v>
      </c>
      <c r="L166" t="s">
        <v>30</v>
      </c>
      <c r="M166" t="s">
        <v>31</v>
      </c>
      <c r="N166" t="s">
        <v>66</v>
      </c>
      <c r="O166">
        <f>_xlfn.XLOOKUP(E166,Product_Master!$B$2:$B$11,Product_Master!$F$2:$F$11)</f>
        <v>18</v>
      </c>
      <c r="P166">
        <f t="shared" si="4"/>
        <v>90</v>
      </c>
      <c r="Q166" s="5">
        <f t="shared" si="5"/>
        <v>0.28876190476190478</v>
      </c>
    </row>
    <row r="167" spans="1:17" x14ac:dyDescent="0.3">
      <c r="A167" t="s">
        <v>318</v>
      </c>
      <c r="B167" t="s">
        <v>56</v>
      </c>
      <c r="C167" t="s">
        <v>319</v>
      </c>
      <c r="D167" t="s">
        <v>28</v>
      </c>
      <c r="E167" t="s">
        <v>64</v>
      </c>
      <c r="F167" t="s">
        <v>65</v>
      </c>
      <c r="G167">
        <v>10</v>
      </c>
      <c r="H167" s="4">
        <v>31.48</v>
      </c>
      <c r="I167">
        <v>314.8</v>
      </c>
      <c r="J167">
        <v>10.23</v>
      </c>
      <c r="K167">
        <v>54.57</v>
      </c>
      <c r="L167" t="s">
        <v>44</v>
      </c>
      <c r="M167" t="s">
        <v>37</v>
      </c>
      <c r="N167" t="s">
        <v>32</v>
      </c>
      <c r="O167">
        <f>_xlfn.XLOOKUP(E167,Product_Master!$B$2:$B$11,Product_Master!$F$2:$F$11)</f>
        <v>25</v>
      </c>
      <c r="P167">
        <f t="shared" si="4"/>
        <v>250</v>
      </c>
      <c r="Q167" s="5">
        <f t="shared" si="5"/>
        <v>0.17334815756035576</v>
      </c>
    </row>
    <row r="168" spans="1:17" x14ac:dyDescent="0.3">
      <c r="A168" t="s">
        <v>320</v>
      </c>
      <c r="B168" t="s">
        <v>71</v>
      </c>
      <c r="C168" t="s">
        <v>127</v>
      </c>
      <c r="D168" t="s">
        <v>41</v>
      </c>
      <c r="E168" t="s">
        <v>54</v>
      </c>
      <c r="F168" t="s">
        <v>43</v>
      </c>
      <c r="G168">
        <v>21</v>
      </c>
      <c r="H168" s="4">
        <v>30.91</v>
      </c>
      <c r="I168">
        <v>649.11</v>
      </c>
      <c r="J168">
        <v>38.42</v>
      </c>
      <c r="K168">
        <v>190.69</v>
      </c>
      <c r="L168" t="s">
        <v>30</v>
      </c>
      <c r="M168" t="s">
        <v>37</v>
      </c>
      <c r="N168" t="s">
        <v>45</v>
      </c>
      <c r="O168">
        <f>_xlfn.XLOOKUP(E168,Product_Master!$B$2:$B$11,Product_Master!$F$2:$F$11)</f>
        <v>20</v>
      </c>
      <c r="P168">
        <f t="shared" si="4"/>
        <v>420</v>
      </c>
      <c r="Q168" s="5">
        <f t="shared" si="5"/>
        <v>0.29377147170741474</v>
      </c>
    </row>
    <row r="169" spans="1:17" x14ac:dyDescent="0.3">
      <c r="A169" t="s">
        <v>321</v>
      </c>
      <c r="B169" t="s">
        <v>61</v>
      </c>
      <c r="C169" t="s">
        <v>322</v>
      </c>
      <c r="D169" t="s">
        <v>81</v>
      </c>
      <c r="E169" t="s">
        <v>73</v>
      </c>
      <c r="F169" t="s">
        <v>43</v>
      </c>
      <c r="G169">
        <v>29</v>
      </c>
      <c r="H169" s="4">
        <v>18.47</v>
      </c>
      <c r="I169">
        <v>535.63</v>
      </c>
      <c r="J169">
        <v>13.21</v>
      </c>
      <c r="K169">
        <v>152.66999999999999</v>
      </c>
      <c r="L169" t="s">
        <v>22</v>
      </c>
      <c r="M169" t="s">
        <v>23</v>
      </c>
      <c r="N169" t="s">
        <v>66</v>
      </c>
      <c r="O169">
        <f>_xlfn.XLOOKUP(E169,Product_Master!$B$2:$B$11,Product_Master!$F$2:$F$11)</f>
        <v>12.75</v>
      </c>
      <c r="P169">
        <f t="shared" si="4"/>
        <v>369.75</v>
      </c>
      <c r="Q169" s="5">
        <f t="shared" si="5"/>
        <v>0.28502884453820732</v>
      </c>
    </row>
    <row r="170" spans="1:17" x14ac:dyDescent="0.3">
      <c r="A170" t="s">
        <v>323</v>
      </c>
      <c r="B170" t="s">
        <v>132</v>
      </c>
      <c r="C170" t="s">
        <v>133</v>
      </c>
      <c r="D170" t="s">
        <v>53</v>
      </c>
      <c r="E170" t="s">
        <v>20</v>
      </c>
      <c r="F170" t="s">
        <v>21</v>
      </c>
      <c r="G170">
        <v>36</v>
      </c>
      <c r="H170" s="4">
        <v>44.79</v>
      </c>
      <c r="I170">
        <v>1612.44</v>
      </c>
      <c r="J170">
        <v>68.599999999999994</v>
      </c>
      <c r="K170">
        <v>283.83999999999997</v>
      </c>
      <c r="L170" t="s">
        <v>44</v>
      </c>
      <c r="M170" t="s">
        <v>31</v>
      </c>
      <c r="N170" t="s">
        <v>24</v>
      </c>
      <c r="O170">
        <f>_xlfn.XLOOKUP(E170,Product_Master!$B$2:$B$11,Product_Master!$F$2:$F$11)</f>
        <v>35</v>
      </c>
      <c r="P170">
        <f t="shared" si="4"/>
        <v>1260</v>
      </c>
      <c r="Q170" s="5">
        <f t="shared" si="5"/>
        <v>0.1760313562055022</v>
      </c>
    </row>
    <row r="171" spans="1:17" x14ac:dyDescent="0.3">
      <c r="A171" t="s">
        <v>324</v>
      </c>
      <c r="B171" t="s">
        <v>34</v>
      </c>
      <c r="C171" t="s">
        <v>325</v>
      </c>
      <c r="D171" t="s">
        <v>41</v>
      </c>
      <c r="E171" t="s">
        <v>69</v>
      </c>
      <c r="F171" t="s">
        <v>59</v>
      </c>
      <c r="G171">
        <v>3</v>
      </c>
      <c r="H171" s="4">
        <v>18.86</v>
      </c>
      <c r="I171">
        <v>56.58</v>
      </c>
      <c r="J171">
        <v>2.61</v>
      </c>
      <c r="K171">
        <v>7.47</v>
      </c>
      <c r="L171" t="s">
        <v>30</v>
      </c>
      <c r="M171" t="s">
        <v>37</v>
      </c>
      <c r="N171" t="s">
        <v>45</v>
      </c>
      <c r="O171">
        <f>_xlfn.XLOOKUP(E171,Product_Master!$B$2:$B$11,Product_Master!$F$2:$F$11)</f>
        <v>15.5</v>
      </c>
      <c r="P171">
        <f t="shared" si="4"/>
        <v>46.5</v>
      </c>
      <c r="Q171" s="5">
        <f t="shared" si="5"/>
        <v>0.1320254506892895</v>
      </c>
    </row>
    <row r="172" spans="1:17" x14ac:dyDescent="0.3">
      <c r="A172" t="s">
        <v>326</v>
      </c>
      <c r="B172" t="s">
        <v>132</v>
      </c>
      <c r="C172" t="s">
        <v>57</v>
      </c>
      <c r="D172" t="s">
        <v>63</v>
      </c>
      <c r="E172" t="s">
        <v>98</v>
      </c>
      <c r="F172" t="s">
        <v>59</v>
      </c>
      <c r="G172">
        <v>10</v>
      </c>
      <c r="H172" s="4">
        <v>45.86</v>
      </c>
      <c r="I172">
        <v>458.6</v>
      </c>
      <c r="J172">
        <v>14.4</v>
      </c>
      <c r="K172">
        <v>164.2</v>
      </c>
      <c r="L172" t="s">
        <v>44</v>
      </c>
      <c r="M172" t="s">
        <v>23</v>
      </c>
      <c r="N172" t="s">
        <v>66</v>
      </c>
      <c r="O172">
        <f>_xlfn.XLOOKUP(E172,Product_Master!$B$2:$B$11,Product_Master!$F$2:$F$11)</f>
        <v>28</v>
      </c>
      <c r="P172">
        <f t="shared" si="4"/>
        <v>280</v>
      </c>
      <c r="Q172" s="5">
        <f t="shared" si="5"/>
        <v>0.35804622764936761</v>
      </c>
    </row>
    <row r="173" spans="1:17" x14ac:dyDescent="0.3">
      <c r="A173" t="s">
        <v>327</v>
      </c>
      <c r="B173" t="s">
        <v>83</v>
      </c>
      <c r="C173" t="s">
        <v>325</v>
      </c>
      <c r="D173" t="s">
        <v>36</v>
      </c>
      <c r="E173" t="s">
        <v>29</v>
      </c>
      <c r="F173" t="s">
        <v>21</v>
      </c>
      <c r="G173">
        <v>1</v>
      </c>
      <c r="H173" s="4">
        <v>24.64</v>
      </c>
      <c r="I173">
        <v>24.64</v>
      </c>
      <c r="J173">
        <v>0.65</v>
      </c>
      <c r="K173">
        <v>5.99</v>
      </c>
      <c r="L173" t="s">
        <v>44</v>
      </c>
      <c r="M173" t="s">
        <v>31</v>
      </c>
      <c r="N173" t="s">
        <v>32</v>
      </c>
      <c r="O173">
        <f>_xlfn.XLOOKUP(E173,Product_Master!$B$2:$B$11,Product_Master!$F$2:$F$11)</f>
        <v>18</v>
      </c>
      <c r="P173">
        <f t="shared" si="4"/>
        <v>18</v>
      </c>
      <c r="Q173" s="5">
        <f t="shared" si="5"/>
        <v>0.24310064935064934</v>
      </c>
    </row>
    <row r="174" spans="1:17" x14ac:dyDescent="0.3">
      <c r="A174" t="s">
        <v>328</v>
      </c>
      <c r="B174" t="s">
        <v>95</v>
      </c>
      <c r="C174" t="s">
        <v>173</v>
      </c>
      <c r="D174" t="s">
        <v>36</v>
      </c>
      <c r="E174" t="s">
        <v>69</v>
      </c>
      <c r="F174" t="s">
        <v>59</v>
      </c>
      <c r="G174">
        <v>49</v>
      </c>
      <c r="H174" s="4">
        <v>22.8</v>
      </c>
      <c r="I174">
        <v>1117.2</v>
      </c>
      <c r="J174">
        <v>51.06</v>
      </c>
      <c r="K174">
        <v>306.64</v>
      </c>
      <c r="L174" t="s">
        <v>22</v>
      </c>
      <c r="M174" t="s">
        <v>31</v>
      </c>
      <c r="N174" t="s">
        <v>32</v>
      </c>
      <c r="O174">
        <f>_xlfn.XLOOKUP(E174,Product_Master!$B$2:$B$11,Product_Master!$F$2:$F$11)</f>
        <v>15.5</v>
      </c>
      <c r="P174">
        <f t="shared" si="4"/>
        <v>759.5</v>
      </c>
      <c r="Q174" s="5">
        <f t="shared" si="5"/>
        <v>0.27447189402076616</v>
      </c>
    </row>
    <row r="175" spans="1:17" x14ac:dyDescent="0.3">
      <c r="A175" t="s">
        <v>329</v>
      </c>
      <c r="B175" t="s">
        <v>39</v>
      </c>
      <c r="C175" t="s">
        <v>212</v>
      </c>
      <c r="D175" t="s">
        <v>53</v>
      </c>
      <c r="E175" t="s">
        <v>20</v>
      </c>
      <c r="F175" t="s">
        <v>21</v>
      </c>
      <c r="G175">
        <v>32</v>
      </c>
      <c r="H175" s="4">
        <v>44.5</v>
      </c>
      <c r="I175">
        <v>1424</v>
      </c>
      <c r="J175">
        <v>43.92</v>
      </c>
      <c r="K175">
        <v>260.08</v>
      </c>
      <c r="L175" t="s">
        <v>44</v>
      </c>
      <c r="M175" t="s">
        <v>31</v>
      </c>
      <c r="N175" t="s">
        <v>24</v>
      </c>
      <c r="O175">
        <f>_xlfn.XLOOKUP(E175,Product_Master!$B$2:$B$11,Product_Master!$F$2:$F$11)</f>
        <v>35</v>
      </c>
      <c r="P175">
        <f t="shared" si="4"/>
        <v>1120</v>
      </c>
      <c r="Q175" s="5">
        <f t="shared" si="5"/>
        <v>0.18264044943820223</v>
      </c>
    </row>
    <row r="176" spans="1:17" x14ac:dyDescent="0.3">
      <c r="A176" t="s">
        <v>330</v>
      </c>
      <c r="B176" t="s">
        <v>71</v>
      </c>
      <c r="C176" t="s">
        <v>228</v>
      </c>
      <c r="D176" t="s">
        <v>41</v>
      </c>
      <c r="E176" t="s">
        <v>20</v>
      </c>
      <c r="F176" t="s">
        <v>21</v>
      </c>
      <c r="G176">
        <v>43</v>
      </c>
      <c r="H176" s="4">
        <v>55.74</v>
      </c>
      <c r="I176">
        <v>2396.8200000000002</v>
      </c>
      <c r="J176">
        <v>63.85</v>
      </c>
      <c r="K176">
        <v>827.97</v>
      </c>
      <c r="L176" t="s">
        <v>30</v>
      </c>
      <c r="M176" t="s">
        <v>37</v>
      </c>
      <c r="N176" t="s">
        <v>45</v>
      </c>
      <c r="O176">
        <f>_xlfn.XLOOKUP(E176,Product_Master!$B$2:$B$11,Product_Master!$F$2:$F$11)</f>
        <v>35</v>
      </c>
      <c r="P176">
        <f t="shared" si="4"/>
        <v>1505</v>
      </c>
      <c r="Q176" s="5">
        <f t="shared" si="5"/>
        <v>0.34544521490975544</v>
      </c>
    </row>
    <row r="177" spans="1:17" x14ac:dyDescent="0.3">
      <c r="A177" t="s">
        <v>331</v>
      </c>
      <c r="B177" t="s">
        <v>39</v>
      </c>
      <c r="C177" t="s">
        <v>122</v>
      </c>
      <c r="D177" t="s">
        <v>81</v>
      </c>
      <c r="E177" t="s">
        <v>69</v>
      </c>
      <c r="F177" t="s">
        <v>59</v>
      </c>
      <c r="G177">
        <v>19</v>
      </c>
      <c r="H177" s="4">
        <v>25.78</v>
      </c>
      <c r="I177">
        <v>489.82</v>
      </c>
      <c r="J177">
        <v>28.4</v>
      </c>
      <c r="K177">
        <v>166.92</v>
      </c>
      <c r="L177" t="s">
        <v>44</v>
      </c>
      <c r="M177" t="s">
        <v>31</v>
      </c>
      <c r="N177" t="s">
        <v>66</v>
      </c>
      <c r="O177">
        <f>_xlfn.XLOOKUP(E177,Product_Master!$B$2:$B$11,Product_Master!$F$2:$F$11)</f>
        <v>15.5</v>
      </c>
      <c r="P177">
        <f t="shared" si="4"/>
        <v>294.5</v>
      </c>
      <c r="Q177" s="5">
        <f t="shared" si="5"/>
        <v>0.3407782450696174</v>
      </c>
    </row>
    <row r="178" spans="1:17" x14ac:dyDescent="0.3">
      <c r="A178" t="s">
        <v>332</v>
      </c>
      <c r="B178" t="s">
        <v>83</v>
      </c>
      <c r="C178" t="s">
        <v>265</v>
      </c>
      <c r="D178" t="s">
        <v>53</v>
      </c>
      <c r="E178" t="s">
        <v>29</v>
      </c>
      <c r="F178" t="s">
        <v>21</v>
      </c>
      <c r="G178">
        <v>43</v>
      </c>
      <c r="H178" s="4">
        <v>30.43</v>
      </c>
      <c r="I178">
        <v>1308.49</v>
      </c>
      <c r="J178">
        <v>35.340000000000003</v>
      </c>
      <c r="K178">
        <v>499.15</v>
      </c>
      <c r="L178" t="s">
        <v>30</v>
      </c>
      <c r="M178" t="s">
        <v>31</v>
      </c>
      <c r="N178" t="s">
        <v>24</v>
      </c>
      <c r="O178">
        <f>_xlfn.XLOOKUP(E178,Product_Master!$B$2:$B$11,Product_Master!$F$2:$F$11)</f>
        <v>18</v>
      </c>
      <c r="P178">
        <f t="shared" si="4"/>
        <v>774</v>
      </c>
      <c r="Q178" s="5">
        <f t="shared" si="5"/>
        <v>0.38147024432743082</v>
      </c>
    </row>
    <row r="179" spans="1:17" x14ac:dyDescent="0.3">
      <c r="A179" t="s">
        <v>333</v>
      </c>
      <c r="B179" t="s">
        <v>78</v>
      </c>
      <c r="C179" t="s">
        <v>334</v>
      </c>
      <c r="D179" t="s">
        <v>123</v>
      </c>
      <c r="E179" t="s">
        <v>69</v>
      </c>
      <c r="F179" t="s">
        <v>59</v>
      </c>
      <c r="G179">
        <v>17</v>
      </c>
      <c r="H179" s="4">
        <v>18.71</v>
      </c>
      <c r="I179">
        <v>318.07</v>
      </c>
      <c r="J179">
        <v>22.03</v>
      </c>
      <c r="K179">
        <v>32.54</v>
      </c>
      <c r="L179" t="s">
        <v>44</v>
      </c>
      <c r="M179" t="s">
        <v>23</v>
      </c>
      <c r="N179" t="s">
        <v>32</v>
      </c>
      <c r="O179">
        <f>_xlfn.XLOOKUP(E179,Product_Master!$B$2:$B$11,Product_Master!$F$2:$F$11)</f>
        <v>15.5</v>
      </c>
      <c r="P179">
        <f t="shared" si="4"/>
        <v>263.5</v>
      </c>
      <c r="Q179" s="5">
        <f t="shared" si="5"/>
        <v>0.10230452416134814</v>
      </c>
    </row>
    <row r="180" spans="1:17" x14ac:dyDescent="0.3">
      <c r="A180" t="s">
        <v>335</v>
      </c>
      <c r="B180" t="s">
        <v>86</v>
      </c>
      <c r="C180" t="s">
        <v>47</v>
      </c>
      <c r="D180" t="s">
        <v>63</v>
      </c>
      <c r="E180" t="s">
        <v>69</v>
      </c>
      <c r="F180" t="s">
        <v>59</v>
      </c>
      <c r="G180">
        <v>44</v>
      </c>
      <c r="H180" s="4">
        <v>23.87</v>
      </c>
      <c r="I180">
        <v>1050.28</v>
      </c>
      <c r="J180">
        <v>33.51</v>
      </c>
      <c r="K180">
        <v>334.77</v>
      </c>
      <c r="L180" t="s">
        <v>22</v>
      </c>
      <c r="M180" t="s">
        <v>31</v>
      </c>
      <c r="N180" t="s">
        <v>66</v>
      </c>
      <c r="O180">
        <f>_xlfn.XLOOKUP(E180,Product_Master!$B$2:$B$11,Product_Master!$F$2:$F$11)</f>
        <v>15.5</v>
      </c>
      <c r="P180">
        <f t="shared" si="4"/>
        <v>682</v>
      </c>
      <c r="Q180" s="5">
        <f t="shared" si="5"/>
        <v>0.31874357314240009</v>
      </c>
    </row>
    <row r="181" spans="1:17" x14ac:dyDescent="0.3">
      <c r="A181" t="s">
        <v>336</v>
      </c>
      <c r="B181" t="s">
        <v>68</v>
      </c>
      <c r="C181" t="s">
        <v>139</v>
      </c>
      <c r="D181" t="s">
        <v>147</v>
      </c>
      <c r="E181" t="s">
        <v>42</v>
      </c>
      <c r="F181" t="s">
        <v>43</v>
      </c>
      <c r="G181">
        <v>12</v>
      </c>
      <c r="H181" s="4">
        <v>42.91</v>
      </c>
      <c r="I181">
        <v>514.91999999999996</v>
      </c>
      <c r="J181">
        <v>15.18</v>
      </c>
      <c r="K181">
        <v>115.74</v>
      </c>
      <c r="L181" t="s">
        <v>44</v>
      </c>
      <c r="M181" t="s">
        <v>37</v>
      </c>
      <c r="N181" t="s">
        <v>148</v>
      </c>
      <c r="O181">
        <f>_xlfn.XLOOKUP(E181,Product_Master!$B$2:$B$11,Product_Master!$F$2:$F$11)</f>
        <v>32</v>
      </c>
      <c r="P181">
        <f t="shared" si="4"/>
        <v>384</v>
      </c>
      <c r="Q181" s="5">
        <f t="shared" si="5"/>
        <v>0.22477278023770683</v>
      </c>
    </row>
    <row r="182" spans="1:17" x14ac:dyDescent="0.3">
      <c r="A182" t="s">
        <v>337</v>
      </c>
      <c r="B182" t="s">
        <v>132</v>
      </c>
      <c r="C182" t="s">
        <v>338</v>
      </c>
      <c r="D182" t="s">
        <v>196</v>
      </c>
      <c r="E182" t="s">
        <v>49</v>
      </c>
      <c r="F182" t="s">
        <v>50</v>
      </c>
      <c r="G182">
        <v>21</v>
      </c>
      <c r="H182" s="4">
        <v>50.49</v>
      </c>
      <c r="I182">
        <v>1060.29</v>
      </c>
      <c r="J182">
        <v>32.340000000000003</v>
      </c>
      <c r="K182">
        <v>187.95</v>
      </c>
      <c r="L182" t="s">
        <v>44</v>
      </c>
      <c r="M182" t="s">
        <v>23</v>
      </c>
      <c r="N182" t="s">
        <v>66</v>
      </c>
      <c r="O182">
        <f>_xlfn.XLOOKUP(E182,Product_Master!$B$2:$B$11,Product_Master!$F$2:$F$11)</f>
        <v>40</v>
      </c>
      <c r="P182">
        <f t="shared" si="4"/>
        <v>840</v>
      </c>
      <c r="Q182" s="5">
        <f t="shared" si="5"/>
        <v>0.17726282432164783</v>
      </c>
    </row>
    <row r="183" spans="1:17" x14ac:dyDescent="0.3">
      <c r="A183" t="s">
        <v>339</v>
      </c>
      <c r="B183" t="s">
        <v>78</v>
      </c>
      <c r="C183" t="s">
        <v>212</v>
      </c>
      <c r="D183" t="s">
        <v>36</v>
      </c>
      <c r="E183" t="s">
        <v>20</v>
      </c>
      <c r="F183" t="s">
        <v>21</v>
      </c>
      <c r="G183">
        <v>41</v>
      </c>
      <c r="H183" s="4">
        <v>43.18</v>
      </c>
      <c r="I183">
        <v>1770.38</v>
      </c>
      <c r="J183">
        <v>128.4</v>
      </c>
      <c r="K183">
        <v>206.98</v>
      </c>
      <c r="L183" t="s">
        <v>30</v>
      </c>
      <c r="M183" t="s">
        <v>37</v>
      </c>
      <c r="N183" t="s">
        <v>32</v>
      </c>
      <c r="O183">
        <f>_xlfn.XLOOKUP(E183,Product_Master!$B$2:$B$11,Product_Master!$F$2:$F$11)</f>
        <v>35</v>
      </c>
      <c r="P183">
        <f t="shared" si="4"/>
        <v>1435</v>
      </c>
      <c r="Q183" s="5">
        <f t="shared" si="5"/>
        <v>0.11691275319422947</v>
      </c>
    </row>
    <row r="184" spans="1:17" x14ac:dyDescent="0.3">
      <c r="A184" t="s">
        <v>340</v>
      </c>
      <c r="B184" t="s">
        <v>86</v>
      </c>
      <c r="C184" t="s">
        <v>117</v>
      </c>
      <c r="D184" t="s">
        <v>147</v>
      </c>
      <c r="E184" t="s">
        <v>73</v>
      </c>
      <c r="F184" t="s">
        <v>43</v>
      </c>
      <c r="G184">
        <v>37</v>
      </c>
      <c r="H184" s="4">
        <v>19.8</v>
      </c>
      <c r="I184">
        <v>732.6</v>
      </c>
      <c r="J184">
        <v>54.68</v>
      </c>
      <c r="K184">
        <v>206.17</v>
      </c>
      <c r="L184" t="s">
        <v>22</v>
      </c>
      <c r="M184" t="s">
        <v>31</v>
      </c>
      <c r="N184" t="s">
        <v>148</v>
      </c>
      <c r="O184">
        <f>_xlfn.XLOOKUP(E184,Product_Master!$B$2:$B$11,Product_Master!$F$2:$F$11)</f>
        <v>12.75</v>
      </c>
      <c r="P184">
        <f t="shared" si="4"/>
        <v>471.75</v>
      </c>
      <c r="Q184" s="5">
        <f t="shared" si="5"/>
        <v>0.28142233142233142</v>
      </c>
    </row>
    <row r="185" spans="1:17" x14ac:dyDescent="0.3">
      <c r="A185" t="s">
        <v>341</v>
      </c>
      <c r="B185" t="s">
        <v>86</v>
      </c>
      <c r="C185" t="s">
        <v>342</v>
      </c>
      <c r="D185" t="s">
        <v>53</v>
      </c>
      <c r="E185" t="s">
        <v>73</v>
      </c>
      <c r="F185" t="s">
        <v>43</v>
      </c>
      <c r="G185">
        <v>4</v>
      </c>
      <c r="H185" s="4">
        <v>18.059999999999999</v>
      </c>
      <c r="I185">
        <v>72.239999999999995</v>
      </c>
      <c r="J185">
        <v>4.66</v>
      </c>
      <c r="K185">
        <v>16.579999999999998</v>
      </c>
      <c r="L185" t="s">
        <v>22</v>
      </c>
      <c r="M185" t="s">
        <v>23</v>
      </c>
      <c r="N185" t="s">
        <v>24</v>
      </c>
      <c r="O185">
        <f>_xlfn.XLOOKUP(E185,Product_Master!$B$2:$B$11,Product_Master!$F$2:$F$11)</f>
        <v>12.75</v>
      </c>
      <c r="P185">
        <f t="shared" si="4"/>
        <v>51</v>
      </c>
      <c r="Q185" s="5">
        <f t="shared" si="5"/>
        <v>0.22951273532668881</v>
      </c>
    </row>
    <row r="186" spans="1:17" x14ac:dyDescent="0.3">
      <c r="A186" t="s">
        <v>343</v>
      </c>
      <c r="B186" t="s">
        <v>78</v>
      </c>
      <c r="C186" t="s">
        <v>265</v>
      </c>
      <c r="D186" t="s">
        <v>19</v>
      </c>
      <c r="E186" t="s">
        <v>20</v>
      </c>
      <c r="F186" t="s">
        <v>21</v>
      </c>
      <c r="G186">
        <v>40</v>
      </c>
      <c r="H186" s="4">
        <v>55.59</v>
      </c>
      <c r="I186">
        <v>2223.6</v>
      </c>
      <c r="J186">
        <v>74.569999999999993</v>
      </c>
      <c r="K186">
        <v>749.03</v>
      </c>
      <c r="L186" t="s">
        <v>22</v>
      </c>
      <c r="M186" t="s">
        <v>23</v>
      </c>
      <c r="N186" t="s">
        <v>24</v>
      </c>
      <c r="O186">
        <f>_xlfn.XLOOKUP(E186,Product_Master!$B$2:$B$11,Product_Master!$F$2:$F$11)</f>
        <v>35</v>
      </c>
      <c r="P186">
        <f t="shared" si="4"/>
        <v>1400</v>
      </c>
      <c r="Q186" s="5">
        <f t="shared" si="5"/>
        <v>0.3368546501169275</v>
      </c>
    </row>
    <row r="187" spans="1:17" x14ac:dyDescent="0.3">
      <c r="A187" t="s">
        <v>344</v>
      </c>
      <c r="B187" t="s">
        <v>75</v>
      </c>
      <c r="C187" t="s">
        <v>18</v>
      </c>
      <c r="D187" t="s">
        <v>91</v>
      </c>
      <c r="E187" t="s">
        <v>64</v>
      </c>
      <c r="F187" t="s">
        <v>65</v>
      </c>
      <c r="G187">
        <v>5</v>
      </c>
      <c r="H187" s="4">
        <v>31.58</v>
      </c>
      <c r="I187">
        <v>157.9</v>
      </c>
      <c r="J187">
        <v>3.73</v>
      </c>
      <c r="K187">
        <v>29.17</v>
      </c>
      <c r="L187" t="s">
        <v>22</v>
      </c>
      <c r="M187" t="s">
        <v>31</v>
      </c>
      <c r="N187" t="s">
        <v>66</v>
      </c>
      <c r="O187">
        <f>_xlfn.XLOOKUP(E187,Product_Master!$B$2:$B$11,Product_Master!$F$2:$F$11)</f>
        <v>25</v>
      </c>
      <c r="P187">
        <f t="shared" si="4"/>
        <v>125</v>
      </c>
      <c r="Q187" s="5">
        <f t="shared" si="5"/>
        <v>0.18473717542748574</v>
      </c>
    </row>
    <row r="188" spans="1:17" x14ac:dyDescent="0.3">
      <c r="A188" t="s">
        <v>345</v>
      </c>
      <c r="B188" t="s">
        <v>34</v>
      </c>
      <c r="C188" t="s">
        <v>135</v>
      </c>
      <c r="D188" t="s">
        <v>48</v>
      </c>
      <c r="E188" t="s">
        <v>29</v>
      </c>
      <c r="F188" t="s">
        <v>21</v>
      </c>
      <c r="G188">
        <v>50</v>
      </c>
      <c r="H188" s="4">
        <v>26.67</v>
      </c>
      <c r="I188">
        <v>1333.5</v>
      </c>
      <c r="J188">
        <v>80.150000000000006</v>
      </c>
      <c r="K188">
        <v>353.35</v>
      </c>
      <c r="L188" t="s">
        <v>44</v>
      </c>
      <c r="M188" t="s">
        <v>23</v>
      </c>
      <c r="N188" t="s">
        <v>24</v>
      </c>
      <c r="O188">
        <f>_xlfn.XLOOKUP(E188,Product_Master!$B$2:$B$11,Product_Master!$F$2:$F$11)</f>
        <v>18</v>
      </c>
      <c r="P188">
        <f t="shared" si="4"/>
        <v>900</v>
      </c>
      <c r="Q188" s="5">
        <f t="shared" si="5"/>
        <v>0.26497937757780277</v>
      </c>
    </row>
    <row r="189" spans="1:17" x14ac:dyDescent="0.3">
      <c r="A189" t="s">
        <v>346</v>
      </c>
      <c r="B189" t="s">
        <v>86</v>
      </c>
      <c r="C189" t="s">
        <v>240</v>
      </c>
      <c r="D189" t="s">
        <v>81</v>
      </c>
      <c r="E189" t="s">
        <v>69</v>
      </c>
      <c r="F189" t="s">
        <v>59</v>
      </c>
      <c r="G189">
        <v>17</v>
      </c>
      <c r="H189" s="4">
        <v>20.68</v>
      </c>
      <c r="I189">
        <v>351.56</v>
      </c>
      <c r="J189">
        <v>18.47</v>
      </c>
      <c r="K189">
        <v>69.59</v>
      </c>
      <c r="L189" t="s">
        <v>44</v>
      </c>
      <c r="M189" t="s">
        <v>31</v>
      </c>
      <c r="N189" t="s">
        <v>66</v>
      </c>
      <c r="O189">
        <f>_xlfn.XLOOKUP(E189,Product_Master!$B$2:$B$11,Product_Master!$F$2:$F$11)</f>
        <v>15.5</v>
      </c>
      <c r="P189">
        <f t="shared" si="4"/>
        <v>263.5</v>
      </c>
      <c r="Q189" s="5">
        <f t="shared" si="5"/>
        <v>0.19794629650699738</v>
      </c>
    </row>
    <row r="190" spans="1:17" x14ac:dyDescent="0.3">
      <c r="A190" t="s">
        <v>347</v>
      </c>
      <c r="B190" t="s">
        <v>75</v>
      </c>
      <c r="C190" t="s">
        <v>295</v>
      </c>
      <c r="D190" t="s">
        <v>101</v>
      </c>
      <c r="E190" t="s">
        <v>20</v>
      </c>
      <c r="F190" t="s">
        <v>21</v>
      </c>
      <c r="G190">
        <v>29</v>
      </c>
      <c r="H190" s="4">
        <v>55.19</v>
      </c>
      <c r="I190">
        <v>1600.51</v>
      </c>
      <c r="J190">
        <v>103.06</v>
      </c>
      <c r="K190">
        <v>482.45</v>
      </c>
      <c r="L190" t="s">
        <v>22</v>
      </c>
      <c r="M190" t="s">
        <v>37</v>
      </c>
      <c r="N190" t="s">
        <v>102</v>
      </c>
      <c r="O190">
        <f>_xlfn.XLOOKUP(E190,Product_Master!$B$2:$B$11,Product_Master!$F$2:$F$11)</f>
        <v>35</v>
      </c>
      <c r="P190">
        <f t="shared" si="4"/>
        <v>1015</v>
      </c>
      <c r="Q190" s="5">
        <f t="shared" si="5"/>
        <v>0.30143516754034649</v>
      </c>
    </row>
    <row r="191" spans="1:17" x14ac:dyDescent="0.3">
      <c r="A191" t="s">
        <v>348</v>
      </c>
      <c r="B191" t="s">
        <v>34</v>
      </c>
      <c r="C191" t="s">
        <v>349</v>
      </c>
      <c r="D191" t="s">
        <v>81</v>
      </c>
      <c r="E191" t="s">
        <v>20</v>
      </c>
      <c r="F191" t="s">
        <v>21</v>
      </c>
      <c r="G191">
        <v>34</v>
      </c>
      <c r="H191" s="4">
        <v>61.62</v>
      </c>
      <c r="I191">
        <v>2095.08</v>
      </c>
      <c r="J191">
        <v>80.13</v>
      </c>
      <c r="K191">
        <v>824.95</v>
      </c>
      <c r="L191" t="s">
        <v>30</v>
      </c>
      <c r="M191" t="s">
        <v>23</v>
      </c>
      <c r="N191" t="s">
        <v>66</v>
      </c>
      <c r="O191">
        <f>_xlfn.XLOOKUP(E191,Product_Master!$B$2:$B$11,Product_Master!$F$2:$F$11)</f>
        <v>35</v>
      </c>
      <c r="P191">
        <f t="shared" si="4"/>
        <v>1190</v>
      </c>
      <c r="Q191" s="5">
        <f t="shared" si="5"/>
        <v>0.39375584703209426</v>
      </c>
    </row>
    <row r="192" spans="1:17" x14ac:dyDescent="0.3">
      <c r="A192" t="s">
        <v>350</v>
      </c>
      <c r="B192" t="s">
        <v>132</v>
      </c>
      <c r="C192" t="s">
        <v>192</v>
      </c>
      <c r="D192" t="s">
        <v>53</v>
      </c>
      <c r="E192" t="s">
        <v>58</v>
      </c>
      <c r="F192" t="s">
        <v>59</v>
      </c>
      <c r="G192">
        <v>10</v>
      </c>
      <c r="H192" s="4">
        <v>40.03</v>
      </c>
      <c r="I192">
        <v>400.3</v>
      </c>
      <c r="J192">
        <v>25.8</v>
      </c>
      <c r="K192">
        <v>149.5</v>
      </c>
      <c r="L192" t="s">
        <v>44</v>
      </c>
      <c r="M192" t="s">
        <v>23</v>
      </c>
      <c r="N192" t="s">
        <v>24</v>
      </c>
      <c r="O192">
        <f>_xlfn.XLOOKUP(E192,Product_Master!$B$2:$B$11,Product_Master!$F$2:$F$11)</f>
        <v>22.5</v>
      </c>
      <c r="P192">
        <f t="shared" si="4"/>
        <v>225</v>
      </c>
      <c r="Q192" s="5">
        <f t="shared" si="5"/>
        <v>0.37346989757681737</v>
      </c>
    </row>
    <row r="193" spans="1:17" x14ac:dyDescent="0.3">
      <c r="A193" t="s">
        <v>351</v>
      </c>
      <c r="B193" t="s">
        <v>104</v>
      </c>
      <c r="C193" t="s">
        <v>96</v>
      </c>
      <c r="D193" t="s">
        <v>88</v>
      </c>
      <c r="E193" t="s">
        <v>54</v>
      </c>
      <c r="F193" t="s">
        <v>43</v>
      </c>
      <c r="G193">
        <v>23</v>
      </c>
      <c r="H193" s="4">
        <v>31.3</v>
      </c>
      <c r="I193">
        <v>719.9</v>
      </c>
      <c r="J193">
        <v>47.88</v>
      </c>
      <c r="K193">
        <v>212.02</v>
      </c>
      <c r="L193" t="s">
        <v>30</v>
      </c>
      <c r="M193" t="s">
        <v>31</v>
      </c>
      <c r="N193" t="s">
        <v>66</v>
      </c>
      <c r="O193">
        <f>_xlfn.XLOOKUP(E193,Product_Master!$B$2:$B$11,Product_Master!$F$2:$F$11)</f>
        <v>20</v>
      </c>
      <c r="P193">
        <f t="shared" si="4"/>
        <v>460</v>
      </c>
      <c r="Q193" s="5">
        <f t="shared" si="5"/>
        <v>0.29451312682316994</v>
      </c>
    </row>
    <row r="194" spans="1:17" x14ac:dyDescent="0.3">
      <c r="A194" t="s">
        <v>352</v>
      </c>
      <c r="B194" t="s">
        <v>61</v>
      </c>
      <c r="C194" t="s">
        <v>108</v>
      </c>
      <c r="D194" t="s">
        <v>53</v>
      </c>
      <c r="E194" t="s">
        <v>20</v>
      </c>
      <c r="F194" t="s">
        <v>21</v>
      </c>
      <c r="G194">
        <v>37</v>
      </c>
      <c r="H194" s="4">
        <v>50.39</v>
      </c>
      <c r="I194">
        <v>1864.43</v>
      </c>
      <c r="J194">
        <v>60.06</v>
      </c>
      <c r="K194">
        <v>509.37</v>
      </c>
      <c r="L194" t="s">
        <v>30</v>
      </c>
      <c r="M194" t="s">
        <v>31</v>
      </c>
      <c r="N194" t="s">
        <v>24</v>
      </c>
      <c r="O194">
        <f>_xlfn.XLOOKUP(E194,Product_Master!$B$2:$B$11,Product_Master!$F$2:$F$11)</f>
        <v>35</v>
      </c>
      <c r="P194">
        <f t="shared" si="4"/>
        <v>1295</v>
      </c>
      <c r="Q194" s="5">
        <f t="shared" si="5"/>
        <v>0.27320414282113031</v>
      </c>
    </row>
    <row r="195" spans="1:17" x14ac:dyDescent="0.3">
      <c r="A195" t="s">
        <v>353</v>
      </c>
      <c r="B195" t="s">
        <v>78</v>
      </c>
      <c r="C195" t="s">
        <v>297</v>
      </c>
      <c r="D195" t="s">
        <v>19</v>
      </c>
      <c r="E195" t="s">
        <v>73</v>
      </c>
      <c r="F195" t="s">
        <v>43</v>
      </c>
      <c r="G195">
        <v>38</v>
      </c>
      <c r="H195" s="4">
        <v>16.97</v>
      </c>
      <c r="I195">
        <v>644.86</v>
      </c>
      <c r="J195">
        <v>40</v>
      </c>
      <c r="K195">
        <v>120.36</v>
      </c>
      <c r="L195" t="s">
        <v>44</v>
      </c>
      <c r="M195" t="s">
        <v>23</v>
      </c>
      <c r="N195" t="s">
        <v>24</v>
      </c>
      <c r="O195">
        <f>_xlfn.XLOOKUP(E195,Product_Master!$B$2:$B$11,Product_Master!$F$2:$F$11)</f>
        <v>12.75</v>
      </c>
      <c r="P195">
        <f t="shared" ref="P195:P258" si="6">G195*O195</f>
        <v>484.5</v>
      </c>
      <c r="Q195" s="5">
        <f t="shared" ref="Q195:Q258" si="7">K195/I195</f>
        <v>0.18664516329125702</v>
      </c>
    </row>
    <row r="196" spans="1:17" x14ac:dyDescent="0.3">
      <c r="A196" t="s">
        <v>354</v>
      </c>
      <c r="B196" t="s">
        <v>95</v>
      </c>
      <c r="C196" t="s">
        <v>226</v>
      </c>
      <c r="D196" t="s">
        <v>101</v>
      </c>
      <c r="E196" t="s">
        <v>54</v>
      </c>
      <c r="F196" t="s">
        <v>43</v>
      </c>
      <c r="G196">
        <v>2</v>
      </c>
      <c r="H196" s="4">
        <v>35.92</v>
      </c>
      <c r="I196">
        <v>71.84</v>
      </c>
      <c r="J196">
        <v>2.34</v>
      </c>
      <c r="K196">
        <v>29.5</v>
      </c>
      <c r="L196" t="s">
        <v>44</v>
      </c>
      <c r="M196" t="s">
        <v>31</v>
      </c>
      <c r="N196" t="s">
        <v>102</v>
      </c>
      <c r="O196">
        <f>_xlfn.XLOOKUP(E196,Product_Master!$B$2:$B$11,Product_Master!$F$2:$F$11)</f>
        <v>20</v>
      </c>
      <c r="P196">
        <f t="shared" si="6"/>
        <v>40</v>
      </c>
      <c r="Q196" s="5">
        <f t="shared" si="7"/>
        <v>0.41063474387527837</v>
      </c>
    </row>
    <row r="197" spans="1:17" x14ac:dyDescent="0.3">
      <c r="A197" t="s">
        <v>355</v>
      </c>
      <c r="B197" t="s">
        <v>107</v>
      </c>
      <c r="C197" t="s">
        <v>72</v>
      </c>
      <c r="D197" t="s">
        <v>41</v>
      </c>
      <c r="E197" t="s">
        <v>54</v>
      </c>
      <c r="F197" t="s">
        <v>43</v>
      </c>
      <c r="G197">
        <v>48</v>
      </c>
      <c r="H197" s="4">
        <v>31.87</v>
      </c>
      <c r="I197">
        <v>1529.76</v>
      </c>
      <c r="J197">
        <v>89.85</v>
      </c>
      <c r="K197">
        <v>479.91</v>
      </c>
      <c r="L197" t="s">
        <v>44</v>
      </c>
      <c r="M197" t="s">
        <v>23</v>
      </c>
      <c r="N197" t="s">
        <v>45</v>
      </c>
      <c r="O197">
        <f>_xlfn.XLOOKUP(E197,Product_Master!$B$2:$B$11,Product_Master!$F$2:$F$11)</f>
        <v>20</v>
      </c>
      <c r="P197">
        <f t="shared" si="6"/>
        <v>960</v>
      </c>
      <c r="Q197" s="5">
        <f t="shared" si="7"/>
        <v>0.31371587700031378</v>
      </c>
    </row>
    <row r="198" spans="1:17" x14ac:dyDescent="0.3">
      <c r="A198" t="s">
        <v>356</v>
      </c>
      <c r="B198" t="s">
        <v>78</v>
      </c>
      <c r="C198" t="s">
        <v>240</v>
      </c>
      <c r="D198" t="s">
        <v>147</v>
      </c>
      <c r="E198" t="s">
        <v>49</v>
      </c>
      <c r="F198" t="s">
        <v>50</v>
      </c>
      <c r="G198">
        <v>46</v>
      </c>
      <c r="H198" s="4">
        <v>70</v>
      </c>
      <c r="I198">
        <v>3220</v>
      </c>
      <c r="J198">
        <v>160.11000000000001</v>
      </c>
      <c r="K198">
        <v>1219.8900000000001</v>
      </c>
      <c r="L198" t="s">
        <v>30</v>
      </c>
      <c r="M198" t="s">
        <v>31</v>
      </c>
      <c r="N198" t="s">
        <v>148</v>
      </c>
      <c r="O198">
        <f>_xlfn.XLOOKUP(E198,Product_Master!$B$2:$B$11,Product_Master!$F$2:$F$11)</f>
        <v>40</v>
      </c>
      <c r="P198">
        <f t="shared" si="6"/>
        <v>1840</v>
      </c>
      <c r="Q198" s="5">
        <f t="shared" si="7"/>
        <v>0.37884782608695655</v>
      </c>
    </row>
    <row r="199" spans="1:17" x14ac:dyDescent="0.3">
      <c r="A199" t="s">
        <v>357</v>
      </c>
      <c r="B199" t="s">
        <v>75</v>
      </c>
      <c r="C199" t="s">
        <v>322</v>
      </c>
      <c r="D199" t="s">
        <v>81</v>
      </c>
      <c r="E199" t="s">
        <v>20</v>
      </c>
      <c r="F199" t="s">
        <v>21</v>
      </c>
      <c r="G199">
        <v>45</v>
      </c>
      <c r="H199" s="4">
        <v>57.7</v>
      </c>
      <c r="I199">
        <v>2596.5</v>
      </c>
      <c r="J199">
        <v>102.52</v>
      </c>
      <c r="K199">
        <v>918.98</v>
      </c>
      <c r="L199" t="s">
        <v>30</v>
      </c>
      <c r="M199" t="s">
        <v>23</v>
      </c>
      <c r="N199" t="s">
        <v>66</v>
      </c>
      <c r="O199">
        <f>_xlfn.XLOOKUP(E199,Product_Master!$B$2:$B$11,Product_Master!$F$2:$F$11)</f>
        <v>35</v>
      </c>
      <c r="P199">
        <f t="shared" si="6"/>
        <v>1575</v>
      </c>
      <c r="Q199" s="5">
        <f t="shared" si="7"/>
        <v>0.35393029077604471</v>
      </c>
    </row>
    <row r="200" spans="1:17" x14ac:dyDescent="0.3">
      <c r="A200" t="s">
        <v>358</v>
      </c>
      <c r="B200" t="s">
        <v>61</v>
      </c>
      <c r="C200" t="s">
        <v>137</v>
      </c>
      <c r="D200" t="s">
        <v>91</v>
      </c>
      <c r="E200" t="s">
        <v>73</v>
      </c>
      <c r="F200" t="s">
        <v>43</v>
      </c>
      <c r="G200">
        <v>23</v>
      </c>
      <c r="H200" s="4">
        <v>20.23</v>
      </c>
      <c r="I200">
        <v>465.29</v>
      </c>
      <c r="J200">
        <v>17.29</v>
      </c>
      <c r="K200">
        <v>154.75</v>
      </c>
      <c r="L200" t="s">
        <v>44</v>
      </c>
      <c r="M200" t="s">
        <v>23</v>
      </c>
      <c r="N200" t="s">
        <v>66</v>
      </c>
      <c r="O200">
        <f>_xlfn.XLOOKUP(E200,Product_Master!$B$2:$B$11,Product_Master!$F$2:$F$11)</f>
        <v>12.75</v>
      </c>
      <c r="P200">
        <f t="shared" si="6"/>
        <v>293.25</v>
      </c>
      <c r="Q200" s="5">
        <f t="shared" si="7"/>
        <v>0.33258827827806314</v>
      </c>
    </row>
    <row r="201" spans="1:17" x14ac:dyDescent="0.3">
      <c r="A201" t="s">
        <v>359</v>
      </c>
      <c r="B201" t="s">
        <v>75</v>
      </c>
      <c r="C201" t="s">
        <v>139</v>
      </c>
      <c r="D201" t="s">
        <v>36</v>
      </c>
      <c r="E201" t="s">
        <v>29</v>
      </c>
      <c r="F201" t="s">
        <v>21</v>
      </c>
      <c r="G201">
        <v>10</v>
      </c>
      <c r="H201" s="4">
        <v>22.96</v>
      </c>
      <c r="I201">
        <v>229.6</v>
      </c>
      <c r="J201">
        <v>18.260000000000002</v>
      </c>
      <c r="K201">
        <v>31.34</v>
      </c>
      <c r="L201" t="s">
        <v>22</v>
      </c>
      <c r="M201" t="s">
        <v>37</v>
      </c>
      <c r="N201" t="s">
        <v>32</v>
      </c>
      <c r="O201">
        <f>_xlfn.XLOOKUP(E201,Product_Master!$B$2:$B$11,Product_Master!$F$2:$F$11)</f>
        <v>18</v>
      </c>
      <c r="P201">
        <f t="shared" si="6"/>
        <v>180</v>
      </c>
      <c r="Q201" s="5">
        <f t="shared" si="7"/>
        <v>0.13649825783972125</v>
      </c>
    </row>
    <row r="202" spans="1:17" x14ac:dyDescent="0.3">
      <c r="A202" t="s">
        <v>360</v>
      </c>
      <c r="B202" t="s">
        <v>71</v>
      </c>
      <c r="C202" t="s">
        <v>361</v>
      </c>
      <c r="D202" t="s">
        <v>41</v>
      </c>
      <c r="E202" t="s">
        <v>20</v>
      </c>
      <c r="F202" t="s">
        <v>21</v>
      </c>
      <c r="G202">
        <v>40</v>
      </c>
      <c r="H202" s="4">
        <v>54.84</v>
      </c>
      <c r="I202">
        <v>2193.6</v>
      </c>
      <c r="J202">
        <v>89.26</v>
      </c>
      <c r="K202">
        <v>704.34</v>
      </c>
      <c r="L202" t="s">
        <v>30</v>
      </c>
      <c r="M202" t="s">
        <v>23</v>
      </c>
      <c r="N202" t="s">
        <v>45</v>
      </c>
      <c r="O202">
        <f>_xlfn.XLOOKUP(E202,Product_Master!$B$2:$B$11,Product_Master!$F$2:$F$11)</f>
        <v>35</v>
      </c>
      <c r="P202">
        <f t="shared" si="6"/>
        <v>1400</v>
      </c>
      <c r="Q202" s="5">
        <f t="shared" si="7"/>
        <v>0.32108862144420136</v>
      </c>
    </row>
    <row r="203" spans="1:17" x14ac:dyDescent="0.3">
      <c r="A203" t="s">
        <v>362</v>
      </c>
      <c r="B203" t="s">
        <v>34</v>
      </c>
      <c r="C203" t="s">
        <v>185</v>
      </c>
      <c r="D203" t="s">
        <v>81</v>
      </c>
      <c r="E203" t="s">
        <v>64</v>
      </c>
      <c r="F203" t="s">
        <v>65</v>
      </c>
      <c r="G203">
        <v>7</v>
      </c>
      <c r="H203" s="4">
        <v>36.43</v>
      </c>
      <c r="I203">
        <v>255.01</v>
      </c>
      <c r="J203">
        <v>6.3</v>
      </c>
      <c r="K203">
        <v>73.709999999999994</v>
      </c>
      <c r="L203" t="s">
        <v>22</v>
      </c>
      <c r="M203" t="s">
        <v>31</v>
      </c>
      <c r="N203" t="s">
        <v>66</v>
      </c>
      <c r="O203">
        <f>_xlfn.XLOOKUP(E203,Product_Master!$B$2:$B$11,Product_Master!$F$2:$F$11)</f>
        <v>25</v>
      </c>
      <c r="P203">
        <f t="shared" si="6"/>
        <v>175</v>
      </c>
      <c r="Q203" s="5">
        <f t="shared" si="7"/>
        <v>0.28904748833379079</v>
      </c>
    </row>
    <row r="204" spans="1:17" x14ac:dyDescent="0.3">
      <c r="A204" t="s">
        <v>363</v>
      </c>
      <c r="B204" t="s">
        <v>104</v>
      </c>
      <c r="C204" t="s">
        <v>226</v>
      </c>
      <c r="D204" t="s">
        <v>53</v>
      </c>
      <c r="E204" t="s">
        <v>73</v>
      </c>
      <c r="F204" t="s">
        <v>43</v>
      </c>
      <c r="G204">
        <v>39</v>
      </c>
      <c r="H204" s="4">
        <v>19.48</v>
      </c>
      <c r="I204">
        <v>759.72</v>
      </c>
      <c r="J204">
        <v>40.090000000000003</v>
      </c>
      <c r="K204">
        <v>222.38</v>
      </c>
      <c r="L204" t="s">
        <v>44</v>
      </c>
      <c r="M204" t="s">
        <v>31</v>
      </c>
      <c r="N204" t="s">
        <v>24</v>
      </c>
      <c r="O204">
        <f>_xlfn.XLOOKUP(E204,Product_Master!$B$2:$B$11,Product_Master!$F$2:$F$11)</f>
        <v>12.75</v>
      </c>
      <c r="P204">
        <f t="shared" si="6"/>
        <v>497.25</v>
      </c>
      <c r="Q204" s="5">
        <f t="shared" si="7"/>
        <v>0.29271310482809454</v>
      </c>
    </row>
    <row r="205" spans="1:17" x14ac:dyDescent="0.3">
      <c r="A205" t="s">
        <v>364</v>
      </c>
      <c r="B205" t="s">
        <v>83</v>
      </c>
      <c r="C205" t="s">
        <v>287</v>
      </c>
      <c r="D205" t="s">
        <v>101</v>
      </c>
      <c r="E205" t="s">
        <v>58</v>
      </c>
      <c r="F205" t="s">
        <v>59</v>
      </c>
      <c r="G205">
        <v>35</v>
      </c>
      <c r="H205" s="4">
        <v>38.83</v>
      </c>
      <c r="I205">
        <v>1359.05</v>
      </c>
      <c r="J205">
        <v>93.92</v>
      </c>
      <c r="K205">
        <v>477.63</v>
      </c>
      <c r="L205" t="s">
        <v>44</v>
      </c>
      <c r="M205" t="s">
        <v>31</v>
      </c>
      <c r="N205" t="s">
        <v>102</v>
      </c>
      <c r="O205">
        <f>_xlfn.XLOOKUP(E205,Product_Master!$B$2:$B$11,Product_Master!$F$2:$F$11)</f>
        <v>22.5</v>
      </c>
      <c r="P205">
        <f t="shared" si="6"/>
        <v>787.5</v>
      </c>
      <c r="Q205" s="5">
        <f t="shared" si="7"/>
        <v>0.35144402339869762</v>
      </c>
    </row>
    <row r="206" spans="1:17" x14ac:dyDescent="0.3">
      <c r="A206" t="s">
        <v>365</v>
      </c>
      <c r="B206" t="s">
        <v>39</v>
      </c>
      <c r="C206" t="s">
        <v>164</v>
      </c>
      <c r="D206" t="s">
        <v>63</v>
      </c>
      <c r="E206" t="s">
        <v>54</v>
      </c>
      <c r="F206" t="s">
        <v>43</v>
      </c>
      <c r="G206">
        <v>39</v>
      </c>
      <c r="H206" s="4">
        <v>32.76</v>
      </c>
      <c r="I206">
        <v>1277.6400000000001</v>
      </c>
      <c r="J206">
        <v>35.81</v>
      </c>
      <c r="K206">
        <v>461.83</v>
      </c>
      <c r="L206" t="s">
        <v>30</v>
      </c>
      <c r="M206" t="s">
        <v>37</v>
      </c>
      <c r="N206" t="s">
        <v>66</v>
      </c>
      <c r="O206">
        <f>_xlfn.XLOOKUP(E206,Product_Master!$B$2:$B$11,Product_Master!$F$2:$F$11)</f>
        <v>20</v>
      </c>
      <c r="P206">
        <f t="shared" si="6"/>
        <v>780</v>
      </c>
      <c r="Q206" s="5">
        <f t="shared" si="7"/>
        <v>0.36147114993268836</v>
      </c>
    </row>
    <row r="207" spans="1:17" x14ac:dyDescent="0.3">
      <c r="A207" t="s">
        <v>366</v>
      </c>
      <c r="B207" t="s">
        <v>17</v>
      </c>
      <c r="C207" t="s">
        <v>208</v>
      </c>
      <c r="D207" t="s">
        <v>19</v>
      </c>
      <c r="E207" t="s">
        <v>42</v>
      </c>
      <c r="F207" t="s">
        <v>43</v>
      </c>
      <c r="G207">
        <v>8</v>
      </c>
      <c r="H207" s="4">
        <v>39.869999999999997</v>
      </c>
      <c r="I207">
        <v>318.95999999999998</v>
      </c>
      <c r="J207">
        <v>15.95</v>
      </c>
      <c r="K207">
        <v>47.01</v>
      </c>
      <c r="L207" t="s">
        <v>44</v>
      </c>
      <c r="M207" t="s">
        <v>37</v>
      </c>
      <c r="N207" t="s">
        <v>24</v>
      </c>
      <c r="O207">
        <f>_xlfn.XLOOKUP(E207,Product_Master!$B$2:$B$11,Product_Master!$F$2:$F$11)</f>
        <v>32</v>
      </c>
      <c r="P207">
        <f t="shared" si="6"/>
        <v>256</v>
      </c>
      <c r="Q207" s="5">
        <f t="shared" si="7"/>
        <v>0.14738525206922498</v>
      </c>
    </row>
    <row r="208" spans="1:17" x14ac:dyDescent="0.3">
      <c r="A208" t="s">
        <v>367</v>
      </c>
      <c r="B208" t="s">
        <v>75</v>
      </c>
      <c r="C208" t="s">
        <v>280</v>
      </c>
      <c r="D208" t="s">
        <v>88</v>
      </c>
      <c r="E208" t="s">
        <v>49</v>
      </c>
      <c r="F208" t="s">
        <v>50</v>
      </c>
      <c r="G208">
        <v>10</v>
      </c>
      <c r="H208" s="4">
        <v>63.1</v>
      </c>
      <c r="I208">
        <v>631</v>
      </c>
      <c r="J208">
        <v>26.93</v>
      </c>
      <c r="K208">
        <v>204.07</v>
      </c>
      <c r="L208" t="s">
        <v>30</v>
      </c>
      <c r="M208" t="s">
        <v>31</v>
      </c>
      <c r="N208" t="s">
        <v>66</v>
      </c>
      <c r="O208">
        <f>_xlfn.XLOOKUP(E208,Product_Master!$B$2:$B$11,Product_Master!$F$2:$F$11)</f>
        <v>40</v>
      </c>
      <c r="P208">
        <f t="shared" si="6"/>
        <v>400</v>
      </c>
      <c r="Q208" s="5">
        <f t="shared" si="7"/>
        <v>0.32340729001584784</v>
      </c>
    </row>
    <row r="209" spans="1:17" x14ac:dyDescent="0.3">
      <c r="A209" t="s">
        <v>368</v>
      </c>
      <c r="B209" t="s">
        <v>107</v>
      </c>
      <c r="C209" t="s">
        <v>117</v>
      </c>
      <c r="D209" t="s">
        <v>170</v>
      </c>
      <c r="E209" t="s">
        <v>42</v>
      </c>
      <c r="F209" t="s">
        <v>43</v>
      </c>
      <c r="G209">
        <v>3</v>
      </c>
      <c r="H209" s="4">
        <v>55.1</v>
      </c>
      <c r="I209">
        <v>165.3</v>
      </c>
      <c r="J209">
        <v>9.17</v>
      </c>
      <c r="K209">
        <v>60.13</v>
      </c>
      <c r="L209" t="s">
        <v>22</v>
      </c>
      <c r="M209" t="s">
        <v>23</v>
      </c>
      <c r="N209" t="s">
        <v>32</v>
      </c>
      <c r="O209">
        <f>_xlfn.XLOOKUP(E209,Product_Master!$B$2:$B$11,Product_Master!$F$2:$F$11)</f>
        <v>32</v>
      </c>
      <c r="P209">
        <f t="shared" si="6"/>
        <v>96</v>
      </c>
      <c r="Q209" s="5">
        <f t="shared" si="7"/>
        <v>0.36376285541439807</v>
      </c>
    </row>
    <row r="210" spans="1:17" x14ac:dyDescent="0.3">
      <c r="A210" t="s">
        <v>369</v>
      </c>
      <c r="B210" t="s">
        <v>83</v>
      </c>
      <c r="C210" t="s">
        <v>84</v>
      </c>
      <c r="D210" t="s">
        <v>196</v>
      </c>
      <c r="E210" t="s">
        <v>69</v>
      </c>
      <c r="F210" t="s">
        <v>59</v>
      </c>
      <c r="G210">
        <v>26</v>
      </c>
      <c r="H210" s="4">
        <v>19.809999999999999</v>
      </c>
      <c r="I210">
        <v>515.05999999999995</v>
      </c>
      <c r="J210">
        <v>10.3</v>
      </c>
      <c r="K210">
        <v>101.76</v>
      </c>
      <c r="L210" t="s">
        <v>44</v>
      </c>
      <c r="M210" t="s">
        <v>31</v>
      </c>
      <c r="N210" t="s">
        <v>66</v>
      </c>
      <c r="O210">
        <f>_xlfn.XLOOKUP(E210,Product_Master!$B$2:$B$11,Product_Master!$F$2:$F$11)</f>
        <v>15.5</v>
      </c>
      <c r="P210">
        <f t="shared" si="6"/>
        <v>403</v>
      </c>
      <c r="Q210" s="5">
        <f t="shared" si="7"/>
        <v>0.19756921523705978</v>
      </c>
    </row>
    <row r="211" spans="1:17" x14ac:dyDescent="0.3">
      <c r="A211" t="s">
        <v>370</v>
      </c>
      <c r="B211" t="s">
        <v>75</v>
      </c>
      <c r="C211" t="s">
        <v>125</v>
      </c>
      <c r="D211" t="s">
        <v>88</v>
      </c>
      <c r="E211" t="s">
        <v>49</v>
      </c>
      <c r="F211" t="s">
        <v>50</v>
      </c>
      <c r="G211">
        <v>17</v>
      </c>
      <c r="H211" s="4">
        <v>53.34</v>
      </c>
      <c r="I211">
        <v>906.78</v>
      </c>
      <c r="J211">
        <v>30.6</v>
      </c>
      <c r="K211">
        <v>196.18</v>
      </c>
      <c r="L211" t="s">
        <v>22</v>
      </c>
      <c r="M211" t="s">
        <v>31</v>
      </c>
      <c r="N211" t="s">
        <v>66</v>
      </c>
      <c r="O211">
        <f>_xlfn.XLOOKUP(E211,Product_Master!$B$2:$B$11,Product_Master!$F$2:$F$11)</f>
        <v>40</v>
      </c>
      <c r="P211">
        <f t="shared" si="6"/>
        <v>680</v>
      </c>
      <c r="Q211" s="5">
        <f t="shared" si="7"/>
        <v>0.21634795650543684</v>
      </c>
    </row>
    <row r="212" spans="1:17" x14ac:dyDescent="0.3">
      <c r="A212" t="s">
        <v>371</v>
      </c>
      <c r="B212" t="s">
        <v>95</v>
      </c>
      <c r="C212" t="s">
        <v>110</v>
      </c>
      <c r="D212" t="s">
        <v>63</v>
      </c>
      <c r="E212" t="s">
        <v>54</v>
      </c>
      <c r="F212" t="s">
        <v>43</v>
      </c>
      <c r="G212">
        <v>17</v>
      </c>
      <c r="H212" s="4">
        <v>28.23</v>
      </c>
      <c r="I212">
        <v>479.91</v>
      </c>
      <c r="J212">
        <v>31.88</v>
      </c>
      <c r="K212">
        <v>108.03</v>
      </c>
      <c r="L212" t="s">
        <v>30</v>
      </c>
      <c r="M212" t="s">
        <v>23</v>
      </c>
      <c r="N212" t="s">
        <v>66</v>
      </c>
      <c r="O212">
        <f>_xlfn.XLOOKUP(E212,Product_Master!$B$2:$B$11,Product_Master!$F$2:$F$11)</f>
        <v>20</v>
      </c>
      <c r="P212">
        <f t="shared" si="6"/>
        <v>340</v>
      </c>
      <c r="Q212" s="5">
        <f t="shared" si="7"/>
        <v>0.22510470713258734</v>
      </c>
    </row>
    <row r="213" spans="1:17" x14ac:dyDescent="0.3">
      <c r="A213" t="s">
        <v>372</v>
      </c>
      <c r="B213" t="s">
        <v>86</v>
      </c>
      <c r="C213" t="s">
        <v>373</v>
      </c>
      <c r="D213" t="s">
        <v>170</v>
      </c>
      <c r="E213" t="s">
        <v>29</v>
      </c>
      <c r="F213" t="s">
        <v>21</v>
      </c>
      <c r="G213">
        <v>42</v>
      </c>
      <c r="H213" s="4">
        <v>25.26</v>
      </c>
      <c r="I213">
        <v>1060.92</v>
      </c>
      <c r="J213">
        <v>77.05</v>
      </c>
      <c r="K213">
        <v>227.87</v>
      </c>
      <c r="L213" t="s">
        <v>22</v>
      </c>
      <c r="M213" t="s">
        <v>37</v>
      </c>
      <c r="N213" t="s">
        <v>32</v>
      </c>
      <c r="O213">
        <f>_xlfn.XLOOKUP(E213,Product_Master!$B$2:$B$11,Product_Master!$F$2:$F$11)</f>
        <v>18</v>
      </c>
      <c r="P213">
        <f t="shared" si="6"/>
        <v>756</v>
      </c>
      <c r="Q213" s="5">
        <f t="shared" si="7"/>
        <v>0.21478528069976999</v>
      </c>
    </row>
    <row r="214" spans="1:17" x14ac:dyDescent="0.3">
      <c r="A214" t="s">
        <v>374</v>
      </c>
      <c r="B214" t="s">
        <v>68</v>
      </c>
      <c r="C214" t="s">
        <v>168</v>
      </c>
      <c r="D214" t="s">
        <v>196</v>
      </c>
      <c r="E214" t="s">
        <v>29</v>
      </c>
      <c r="F214" t="s">
        <v>21</v>
      </c>
      <c r="G214">
        <v>2</v>
      </c>
      <c r="H214" s="4">
        <v>27.27</v>
      </c>
      <c r="I214">
        <v>54.54</v>
      </c>
      <c r="J214">
        <v>1.45</v>
      </c>
      <c r="K214">
        <v>17.09</v>
      </c>
      <c r="L214" t="s">
        <v>22</v>
      </c>
      <c r="M214" t="s">
        <v>37</v>
      </c>
      <c r="N214" t="s">
        <v>66</v>
      </c>
      <c r="O214">
        <f>_xlfn.XLOOKUP(E214,Product_Master!$B$2:$B$11,Product_Master!$F$2:$F$11)</f>
        <v>18</v>
      </c>
      <c r="P214">
        <f t="shared" si="6"/>
        <v>36</v>
      </c>
      <c r="Q214" s="5">
        <f t="shared" si="7"/>
        <v>0.31334800146681335</v>
      </c>
    </row>
    <row r="215" spans="1:17" x14ac:dyDescent="0.3">
      <c r="A215" t="s">
        <v>375</v>
      </c>
      <c r="B215" t="s">
        <v>132</v>
      </c>
      <c r="C215" t="s">
        <v>250</v>
      </c>
      <c r="D215" t="s">
        <v>88</v>
      </c>
      <c r="E215" t="s">
        <v>98</v>
      </c>
      <c r="F215" t="s">
        <v>59</v>
      </c>
      <c r="G215">
        <v>48</v>
      </c>
      <c r="H215" s="4">
        <v>44.95</v>
      </c>
      <c r="I215">
        <v>2157.6</v>
      </c>
      <c r="J215">
        <v>148.41</v>
      </c>
      <c r="K215">
        <v>665.19</v>
      </c>
      <c r="L215" t="s">
        <v>22</v>
      </c>
      <c r="M215" t="s">
        <v>23</v>
      </c>
      <c r="N215" t="s">
        <v>66</v>
      </c>
      <c r="O215">
        <f>_xlfn.XLOOKUP(E215,Product_Master!$B$2:$B$11,Product_Master!$F$2:$F$11)</f>
        <v>28</v>
      </c>
      <c r="P215">
        <f t="shared" si="6"/>
        <v>1344</v>
      </c>
      <c r="Q215" s="5">
        <f t="shared" si="7"/>
        <v>0.30830088987764187</v>
      </c>
    </row>
    <row r="216" spans="1:17" x14ac:dyDescent="0.3">
      <c r="A216" t="s">
        <v>376</v>
      </c>
      <c r="B216" t="s">
        <v>75</v>
      </c>
      <c r="C216" t="s">
        <v>373</v>
      </c>
      <c r="D216" t="s">
        <v>81</v>
      </c>
      <c r="E216" t="s">
        <v>54</v>
      </c>
      <c r="F216" t="s">
        <v>43</v>
      </c>
      <c r="G216">
        <v>23</v>
      </c>
      <c r="H216" s="4">
        <v>28.6</v>
      </c>
      <c r="I216">
        <v>657.8</v>
      </c>
      <c r="J216">
        <v>13.36</v>
      </c>
      <c r="K216">
        <v>184.44</v>
      </c>
      <c r="L216" t="s">
        <v>22</v>
      </c>
      <c r="M216" t="s">
        <v>37</v>
      </c>
      <c r="N216" t="s">
        <v>66</v>
      </c>
      <c r="O216">
        <f>_xlfn.XLOOKUP(E216,Product_Master!$B$2:$B$11,Product_Master!$F$2:$F$11)</f>
        <v>20</v>
      </c>
      <c r="P216">
        <f t="shared" si="6"/>
        <v>460</v>
      </c>
      <c r="Q216" s="5">
        <f t="shared" si="7"/>
        <v>0.28038917604135</v>
      </c>
    </row>
    <row r="217" spans="1:17" x14ac:dyDescent="0.3">
      <c r="A217" t="s">
        <v>377</v>
      </c>
      <c r="B217" t="s">
        <v>132</v>
      </c>
      <c r="C217" t="s">
        <v>125</v>
      </c>
      <c r="D217" t="s">
        <v>123</v>
      </c>
      <c r="E217" t="s">
        <v>69</v>
      </c>
      <c r="F217" t="s">
        <v>59</v>
      </c>
      <c r="G217">
        <v>18</v>
      </c>
      <c r="H217" s="4">
        <v>26.1</v>
      </c>
      <c r="I217">
        <v>469.8</v>
      </c>
      <c r="J217">
        <v>19.52</v>
      </c>
      <c r="K217">
        <v>171.28</v>
      </c>
      <c r="L217" t="s">
        <v>44</v>
      </c>
      <c r="M217" t="s">
        <v>23</v>
      </c>
      <c r="N217" t="s">
        <v>32</v>
      </c>
      <c r="O217">
        <f>_xlfn.XLOOKUP(E217,Product_Master!$B$2:$B$11,Product_Master!$F$2:$F$11)</f>
        <v>15.5</v>
      </c>
      <c r="P217">
        <f t="shared" si="6"/>
        <v>279</v>
      </c>
      <c r="Q217" s="5">
        <f t="shared" si="7"/>
        <v>0.36458067262664962</v>
      </c>
    </row>
    <row r="218" spans="1:17" x14ac:dyDescent="0.3">
      <c r="A218" t="s">
        <v>378</v>
      </c>
      <c r="B218" t="s">
        <v>39</v>
      </c>
      <c r="C218" t="s">
        <v>379</v>
      </c>
      <c r="D218" t="s">
        <v>53</v>
      </c>
      <c r="E218" t="s">
        <v>98</v>
      </c>
      <c r="F218" t="s">
        <v>59</v>
      </c>
      <c r="G218">
        <v>21</v>
      </c>
      <c r="H218" s="4">
        <v>37.450000000000003</v>
      </c>
      <c r="I218">
        <v>786.45</v>
      </c>
      <c r="J218">
        <v>62.4</v>
      </c>
      <c r="K218">
        <v>136.05000000000001</v>
      </c>
      <c r="L218" t="s">
        <v>22</v>
      </c>
      <c r="M218" t="s">
        <v>37</v>
      </c>
      <c r="N218" t="s">
        <v>24</v>
      </c>
      <c r="O218">
        <f>_xlfn.XLOOKUP(E218,Product_Master!$B$2:$B$11,Product_Master!$F$2:$F$11)</f>
        <v>28</v>
      </c>
      <c r="P218">
        <f t="shared" si="6"/>
        <v>588</v>
      </c>
      <c r="Q218" s="5">
        <f t="shared" si="7"/>
        <v>0.17299256151058554</v>
      </c>
    </row>
    <row r="219" spans="1:17" x14ac:dyDescent="0.3">
      <c r="A219" t="s">
        <v>380</v>
      </c>
      <c r="B219" t="s">
        <v>78</v>
      </c>
      <c r="C219" t="s">
        <v>342</v>
      </c>
      <c r="D219" t="s">
        <v>81</v>
      </c>
      <c r="E219" t="s">
        <v>54</v>
      </c>
      <c r="F219" t="s">
        <v>43</v>
      </c>
      <c r="G219">
        <v>25</v>
      </c>
      <c r="H219" s="4">
        <v>28.54</v>
      </c>
      <c r="I219">
        <v>713.5</v>
      </c>
      <c r="J219">
        <v>50.38</v>
      </c>
      <c r="K219">
        <v>163.12</v>
      </c>
      <c r="L219" t="s">
        <v>22</v>
      </c>
      <c r="M219" t="s">
        <v>23</v>
      </c>
      <c r="N219" t="s">
        <v>66</v>
      </c>
      <c r="O219">
        <f>_xlfn.XLOOKUP(E219,Product_Master!$B$2:$B$11,Product_Master!$F$2:$F$11)</f>
        <v>20</v>
      </c>
      <c r="P219">
        <f t="shared" si="6"/>
        <v>500</v>
      </c>
      <c r="Q219" s="5">
        <f t="shared" si="7"/>
        <v>0.22861948142957253</v>
      </c>
    </row>
    <row r="220" spans="1:17" x14ac:dyDescent="0.3">
      <c r="A220" t="s">
        <v>381</v>
      </c>
      <c r="B220" t="s">
        <v>26</v>
      </c>
      <c r="C220" t="s">
        <v>130</v>
      </c>
      <c r="D220" t="s">
        <v>19</v>
      </c>
      <c r="E220" t="s">
        <v>64</v>
      </c>
      <c r="F220" t="s">
        <v>65</v>
      </c>
      <c r="G220">
        <v>11</v>
      </c>
      <c r="H220" s="4">
        <v>38.07</v>
      </c>
      <c r="I220">
        <v>418.77</v>
      </c>
      <c r="J220">
        <v>29.02</v>
      </c>
      <c r="K220">
        <v>114.75</v>
      </c>
      <c r="L220" t="s">
        <v>30</v>
      </c>
      <c r="M220" t="s">
        <v>23</v>
      </c>
      <c r="N220" t="s">
        <v>24</v>
      </c>
      <c r="O220">
        <f>_xlfn.XLOOKUP(E220,Product_Master!$B$2:$B$11,Product_Master!$F$2:$F$11)</f>
        <v>25</v>
      </c>
      <c r="P220">
        <f t="shared" si="6"/>
        <v>275</v>
      </c>
      <c r="Q220" s="5">
        <f t="shared" si="7"/>
        <v>0.27401676337846553</v>
      </c>
    </row>
    <row r="221" spans="1:17" x14ac:dyDescent="0.3">
      <c r="A221" t="s">
        <v>382</v>
      </c>
      <c r="B221" t="s">
        <v>39</v>
      </c>
      <c r="C221" t="s">
        <v>383</v>
      </c>
      <c r="D221" t="s">
        <v>48</v>
      </c>
      <c r="E221" t="s">
        <v>69</v>
      </c>
      <c r="F221" t="s">
        <v>59</v>
      </c>
      <c r="G221">
        <v>18</v>
      </c>
      <c r="H221" s="4">
        <v>19.32</v>
      </c>
      <c r="I221">
        <v>347.76</v>
      </c>
      <c r="J221">
        <v>21.34</v>
      </c>
      <c r="K221">
        <v>47.42</v>
      </c>
      <c r="L221" t="s">
        <v>30</v>
      </c>
      <c r="M221" t="s">
        <v>23</v>
      </c>
      <c r="N221" t="s">
        <v>24</v>
      </c>
      <c r="O221">
        <f>_xlfn.XLOOKUP(E221,Product_Master!$B$2:$B$11,Product_Master!$F$2:$F$11)</f>
        <v>15.5</v>
      </c>
      <c r="P221">
        <f t="shared" si="6"/>
        <v>279</v>
      </c>
      <c r="Q221" s="5">
        <f t="shared" si="7"/>
        <v>0.13635840809753855</v>
      </c>
    </row>
    <row r="222" spans="1:17" x14ac:dyDescent="0.3">
      <c r="A222" t="s">
        <v>384</v>
      </c>
      <c r="B222" t="s">
        <v>56</v>
      </c>
      <c r="C222" t="s">
        <v>76</v>
      </c>
      <c r="D222" t="s">
        <v>28</v>
      </c>
      <c r="E222" t="s">
        <v>98</v>
      </c>
      <c r="F222" t="s">
        <v>59</v>
      </c>
      <c r="G222">
        <v>42</v>
      </c>
      <c r="H222" s="4">
        <v>50.02</v>
      </c>
      <c r="I222">
        <v>2100.84</v>
      </c>
      <c r="J222">
        <v>89.65</v>
      </c>
      <c r="K222">
        <v>835.19</v>
      </c>
      <c r="L222" t="s">
        <v>30</v>
      </c>
      <c r="M222" t="s">
        <v>31</v>
      </c>
      <c r="N222" t="s">
        <v>32</v>
      </c>
      <c r="O222">
        <f>_xlfn.XLOOKUP(E222,Product_Master!$B$2:$B$11,Product_Master!$F$2:$F$11)</f>
        <v>28</v>
      </c>
      <c r="P222">
        <f t="shared" si="6"/>
        <v>1176</v>
      </c>
      <c r="Q222" s="5">
        <f t="shared" si="7"/>
        <v>0.39755050360808059</v>
      </c>
    </row>
    <row r="223" spans="1:17" x14ac:dyDescent="0.3">
      <c r="A223" t="s">
        <v>385</v>
      </c>
      <c r="B223" t="s">
        <v>17</v>
      </c>
      <c r="C223" t="s">
        <v>276</v>
      </c>
      <c r="D223" t="s">
        <v>147</v>
      </c>
      <c r="E223" t="s">
        <v>98</v>
      </c>
      <c r="F223" t="s">
        <v>59</v>
      </c>
      <c r="G223">
        <v>13</v>
      </c>
      <c r="H223" s="4">
        <v>49.39</v>
      </c>
      <c r="I223">
        <v>642.07000000000005</v>
      </c>
      <c r="J223">
        <v>38.32</v>
      </c>
      <c r="K223">
        <v>239.75</v>
      </c>
      <c r="L223" t="s">
        <v>30</v>
      </c>
      <c r="M223" t="s">
        <v>23</v>
      </c>
      <c r="N223" t="s">
        <v>148</v>
      </c>
      <c r="O223">
        <f>_xlfn.XLOOKUP(E223,Product_Master!$B$2:$B$11,Product_Master!$F$2:$F$11)</f>
        <v>28</v>
      </c>
      <c r="P223">
        <f t="shared" si="6"/>
        <v>364</v>
      </c>
      <c r="Q223" s="5">
        <f t="shared" si="7"/>
        <v>0.37340165402526199</v>
      </c>
    </row>
    <row r="224" spans="1:17" x14ac:dyDescent="0.3">
      <c r="A224" t="s">
        <v>386</v>
      </c>
      <c r="B224" t="s">
        <v>61</v>
      </c>
      <c r="C224" t="s">
        <v>135</v>
      </c>
      <c r="D224" t="s">
        <v>28</v>
      </c>
      <c r="E224" t="s">
        <v>29</v>
      </c>
      <c r="F224" t="s">
        <v>21</v>
      </c>
      <c r="G224">
        <v>15</v>
      </c>
      <c r="H224" s="4">
        <v>22.86</v>
      </c>
      <c r="I224">
        <v>342.9</v>
      </c>
      <c r="J224">
        <v>27.16</v>
      </c>
      <c r="K224">
        <v>45.74</v>
      </c>
      <c r="L224" t="s">
        <v>44</v>
      </c>
      <c r="M224" t="s">
        <v>37</v>
      </c>
      <c r="N224" t="s">
        <v>32</v>
      </c>
      <c r="O224">
        <f>_xlfn.XLOOKUP(E224,Product_Master!$B$2:$B$11,Product_Master!$F$2:$F$11)</f>
        <v>18</v>
      </c>
      <c r="P224">
        <f t="shared" si="6"/>
        <v>270</v>
      </c>
      <c r="Q224" s="5">
        <f t="shared" si="7"/>
        <v>0.13339165937591135</v>
      </c>
    </row>
    <row r="225" spans="1:17" x14ac:dyDescent="0.3">
      <c r="A225" t="s">
        <v>387</v>
      </c>
      <c r="B225" t="s">
        <v>68</v>
      </c>
      <c r="C225" t="s">
        <v>379</v>
      </c>
      <c r="D225" t="s">
        <v>196</v>
      </c>
      <c r="E225" t="s">
        <v>64</v>
      </c>
      <c r="F225" t="s">
        <v>65</v>
      </c>
      <c r="G225">
        <v>37</v>
      </c>
      <c r="H225" s="4">
        <v>37.270000000000003</v>
      </c>
      <c r="I225">
        <v>1378.99</v>
      </c>
      <c r="J225">
        <v>92.92</v>
      </c>
      <c r="K225">
        <v>361.07</v>
      </c>
      <c r="L225" t="s">
        <v>22</v>
      </c>
      <c r="M225" t="s">
        <v>23</v>
      </c>
      <c r="N225" t="s">
        <v>66</v>
      </c>
      <c r="O225">
        <f>_xlfn.XLOOKUP(E225,Product_Master!$B$2:$B$11,Product_Master!$F$2:$F$11)</f>
        <v>25</v>
      </c>
      <c r="P225">
        <f t="shared" si="6"/>
        <v>925</v>
      </c>
      <c r="Q225" s="5">
        <f t="shared" si="7"/>
        <v>0.26183656154141799</v>
      </c>
    </row>
    <row r="226" spans="1:17" x14ac:dyDescent="0.3">
      <c r="A226" t="s">
        <v>388</v>
      </c>
      <c r="B226" t="s">
        <v>86</v>
      </c>
      <c r="C226" t="s">
        <v>52</v>
      </c>
      <c r="D226" t="s">
        <v>123</v>
      </c>
      <c r="E226" t="s">
        <v>20</v>
      </c>
      <c r="F226" t="s">
        <v>21</v>
      </c>
      <c r="G226">
        <v>49</v>
      </c>
      <c r="H226" s="4">
        <v>54.05</v>
      </c>
      <c r="I226">
        <v>2648.45</v>
      </c>
      <c r="J226">
        <v>66.8</v>
      </c>
      <c r="K226">
        <v>866.65</v>
      </c>
      <c r="L226" t="s">
        <v>44</v>
      </c>
      <c r="M226" t="s">
        <v>23</v>
      </c>
      <c r="N226" t="s">
        <v>32</v>
      </c>
      <c r="O226">
        <f>_xlfn.XLOOKUP(E226,Product_Master!$B$2:$B$11,Product_Master!$F$2:$F$11)</f>
        <v>35</v>
      </c>
      <c r="P226">
        <f t="shared" si="6"/>
        <v>1715</v>
      </c>
      <c r="Q226" s="5">
        <f t="shared" si="7"/>
        <v>0.32722913402178633</v>
      </c>
    </row>
    <row r="227" spans="1:17" x14ac:dyDescent="0.3">
      <c r="A227" t="s">
        <v>389</v>
      </c>
      <c r="B227" t="s">
        <v>71</v>
      </c>
      <c r="C227" t="s">
        <v>390</v>
      </c>
      <c r="D227" t="s">
        <v>28</v>
      </c>
      <c r="E227" t="s">
        <v>73</v>
      </c>
      <c r="F227" t="s">
        <v>43</v>
      </c>
      <c r="G227">
        <v>33</v>
      </c>
      <c r="H227" s="4">
        <v>20.059999999999999</v>
      </c>
      <c r="I227">
        <v>661.98</v>
      </c>
      <c r="J227">
        <v>50.02</v>
      </c>
      <c r="K227">
        <v>191.21</v>
      </c>
      <c r="L227" t="s">
        <v>44</v>
      </c>
      <c r="M227" t="s">
        <v>31</v>
      </c>
      <c r="N227" t="s">
        <v>32</v>
      </c>
      <c r="O227">
        <f>_xlfn.XLOOKUP(E227,Product_Master!$B$2:$B$11,Product_Master!$F$2:$F$11)</f>
        <v>12.75</v>
      </c>
      <c r="P227">
        <f t="shared" si="6"/>
        <v>420.75</v>
      </c>
      <c r="Q227" s="5">
        <f t="shared" si="7"/>
        <v>0.28884558445874498</v>
      </c>
    </row>
    <row r="228" spans="1:17" x14ac:dyDescent="0.3">
      <c r="A228" t="s">
        <v>391</v>
      </c>
      <c r="B228" t="s">
        <v>132</v>
      </c>
      <c r="C228" t="s">
        <v>226</v>
      </c>
      <c r="D228" t="s">
        <v>170</v>
      </c>
      <c r="E228" t="s">
        <v>98</v>
      </c>
      <c r="F228" t="s">
        <v>59</v>
      </c>
      <c r="G228">
        <v>49</v>
      </c>
      <c r="H228" s="4">
        <v>35.68</v>
      </c>
      <c r="I228">
        <v>1748.32</v>
      </c>
      <c r="J228">
        <v>124.47</v>
      </c>
      <c r="K228">
        <v>251.85</v>
      </c>
      <c r="L228" t="s">
        <v>44</v>
      </c>
      <c r="M228" t="s">
        <v>37</v>
      </c>
      <c r="N228" t="s">
        <v>32</v>
      </c>
      <c r="O228">
        <f>_xlfn.XLOOKUP(E228,Product_Master!$B$2:$B$11,Product_Master!$F$2:$F$11)</f>
        <v>28</v>
      </c>
      <c r="P228">
        <f t="shared" si="6"/>
        <v>1372</v>
      </c>
      <c r="Q228" s="5">
        <f t="shared" si="7"/>
        <v>0.14405257618742565</v>
      </c>
    </row>
    <row r="229" spans="1:17" x14ac:dyDescent="0.3">
      <c r="A229" t="s">
        <v>392</v>
      </c>
      <c r="B229" t="s">
        <v>104</v>
      </c>
      <c r="C229" t="s">
        <v>35</v>
      </c>
      <c r="D229" t="s">
        <v>196</v>
      </c>
      <c r="E229" t="s">
        <v>64</v>
      </c>
      <c r="F229" t="s">
        <v>65</v>
      </c>
      <c r="G229">
        <v>23</v>
      </c>
      <c r="H229" s="4">
        <v>30.89</v>
      </c>
      <c r="I229">
        <v>710.47</v>
      </c>
      <c r="J229">
        <v>18.739999999999998</v>
      </c>
      <c r="K229">
        <v>116.73</v>
      </c>
      <c r="L229" t="s">
        <v>30</v>
      </c>
      <c r="M229" t="s">
        <v>23</v>
      </c>
      <c r="N229" t="s">
        <v>66</v>
      </c>
      <c r="O229">
        <f>_xlfn.XLOOKUP(E229,Product_Master!$B$2:$B$11,Product_Master!$F$2:$F$11)</f>
        <v>25</v>
      </c>
      <c r="P229">
        <f t="shared" si="6"/>
        <v>575</v>
      </c>
      <c r="Q229" s="5">
        <f t="shared" si="7"/>
        <v>0.16429968893830843</v>
      </c>
    </row>
    <row r="230" spans="1:17" x14ac:dyDescent="0.3">
      <c r="A230" t="s">
        <v>393</v>
      </c>
      <c r="B230" t="s">
        <v>39</v>
      </c>
      <c r="C230" t="s">
        <v>40</v>
      </c>
      <c r="D230" t="s">
        <v>123</v>
      </c>
      <c r="E230" t="s">
        <v>20</v>
      </c>
      <c r="F230" t="s">
        <v>21</v>
      </c>
      <c r="G230">
        <v>14</v>
      </c>
      <c r="H230" s="4">
        <v>59.6</v>
      </c>
      <c r="I230">
        <v>834.4</v>
      </c>
      <c r="J230">
        <v>19.11</v>
      </c>
      <c r="K230">
        <v>325.29000000000002</v>
      </c>
      <c r="L230" t="s">
        <v>30</v>
      </c>
      <c r="M230" t="s">
        <v>31</v>
      </c>
      <c r="N230" t="s">
        <v>32</v>
      </c>
      <c r="O230">
        <f>_xlfn.XLOOKUP(E230,Product_Master!$B$2:$B$11,Product_Master!$F$2:$F$11)</f>
        <v>35</v>
      </c>
      <c r="P230">
        <f t="shared" si="6"/>
        <v>490</v>
      </c>
      <c r="Q230" s="5">
        <f t="shared" si="7"/>
        <v>0.38984899328859063</v>
      </c>
    </row>
    <row r="231" spans="1:17" x14ac:dyDescent="0.3">
      <c r="A231" t="s">
        <v>394</v>
      </c>
      <c r="B231" t="s">
        <v>26</v>
      </c>
      <c r="C231" t="s">
        <v>322</v>
      </c>
      <c r="D231" t="s">
        <v>170</v>
      </c>
      <c r="E231" t="s">
        <v>58</v>
      </c>
      <c r="F231" t="s">
        <v>59</v>
      </c>
      <c r="G231">
        <v>3</v>
      </c>
      <c r="H231" s="4">
        <v>28.36</v>
      </c>
      <c r="I231">
        <v>85.08</v>
      </c>
      <c r="J231">
        <v>4.46</v>
      </c>
      <c r="K231">
        <v>13.12</v>
      </c>
      <c r="L231" t="s">
        <v>22</v>
      </c>
      <c r="M231" t="s">
        <v>31</v>
      </c>
      <c r="N231" t="s">
        <v>32</v>
      </c>
      <c r="O231">
        <f>_xlfn.XLOOKUP(E231,Product_Master!$B$2:$B$11,Product_Master!$F$2:$F$11)</f>
        <v>22.5</v>
      </c>
      <c r="P231">
        <f t="shared" si="6"/>
        <v>67.5</v>
      </c>
      <c r="Q231" s="5">
        <f t="shared" si="7"/>
        <v>0.15420780441936999</v>
      </c>
    </row>
    <row r="232" spans="1:17" x14ac:dyDescent="0.3">
      <c r="A232" t="s">
        <v>395</v>
      </c>
      <c r="B232" t="s">
        <v>132</v>
      </c>
      <c r="C232" t="s">
        <v>153</v>
      </c>
      <c r="D232" t="s">
        <v>170</v>
      </c>
      <c r="E232" t="s">
        <v>73</v>
      </c>
      <c r="F232" t="s">
        <v>43</v>
      </c>
      <c r="G232">
        <v>28</v>
      </c>
      <c r="H232" s="4">
        <v>22.13</v>
      </c>
      <c r="I232">
        <v>619.64</v>
      </c>
      <c r="J232">
        <v>17.2</v>
      </c>
      <c r="K232">
        <v>245.44</v>
      </c>
      <c r="L232" t="s">
        <v>30</v>
      </c>
      <c r="M232" t="s">
        <v>37</v>
      </c>
      <c r="N232" t="s">
        <v>32</v>
      </c>
      <c r="O232">
        <f>_xlfn.XLOOKUP(E232,Product_Master!$B$2:$B$11,Product_Master!$F$2:$F$11)</f>
        <v>12.75</v>
      </c>
      <c r="P232">
        <f t="shared" si="6"/>
        <v>357</v>
      </c>
      <c r="Q232" s="5">
        <f t="shared" si="7"/>
        <v>0.39610096184881544</v>
      </c>
    </row>
    <row r="233" spans="1:17" x14ac:dyDescent="0.3">
      <c r="A233" t="s">
        <v>396</v>
      </c>
      <c r="B233" t="s">
        <v>78</v>
      </c>
      <c r="C233" t="s">
        <v>252</v>
      </c>
      <c r="D233" t="s">
        <v>19</v>
      </c>
      <c r="E233" t="s">
        <v>29</v>
      </c>
      <c r="F233" t="s">
        <v>21</v>
      </c>
      <c r="G233">
        <v>28</v>
      </c>
      <c r="H233" s="4">
        <v>27.62</v>
      </c>
      <c r="I233">
        <v>773.36</v>
      </c>
      <c r="J233">
        <v>29.88</v>
      </c>
      <c r="K233">
        <v>239.48</v>
      </c>
      <c r="L233" t="s">
        <v>22</v>
      </c>
      <c r="M233" t="s">
        <v>23</v>
      </c>
      <c r="N233" t="s">
        <v>24</v>
      </c>
      <c r="O233">
        <f>_xlfn.XLOOKUP(E233,Product_Master!$B$2:$B$11,Product_Master!$F$2:$F$11)</f>
        <v>18</v>
      </c>
      <c r="P233">
        <f t="shared" si="6"/>
        <v>504</v>
      </c>
      <c r="Q233" s="5">
        <f t="shared" si="7"/>
        <v>0.30966173580221368</v>
      </c>
    </row>
    <row r="234" spans="1:17" x14ac:dyDescent="0.3">
      <c r="A234" t="s">
        <v>397</v>
      </c>
      <c r="B234" t="s">
        <v>104</v>
      </c>
      <c r="C234" t="s">
        <v>139</v>
      </c>
      <c r="D234" t="s">
        <v>48</v>
      </c>
      <c r="E234" t="s">
        <v>64</v>
      </c>
      <c r="F234" t="s">
        <v>65</v>
      </c>
      <c r="G234">
        <v>40</v>
      </c>
      <c r="H234" s="4">
        <v>34.229999999999997</v>
      </c>
      <c r="I234">
        <v>1369.2</v>
      </c>
      <c r="J234">
        <v>78.03</v>
      </c>
      <c r="K234">
        <v>291.17</v>
      </c>
      <c r="L234" t="s">
        <v>22</v>
      </c>
      <c r="M234" t="s">
        <v>23</v>
      </c>
      <c r="N234" t="s">
        <v>24</v>
      </c>
      <c r="O234">
        <f>_xlfn.XLOOKUP(E234,Product_Master!$B$2:$B$11,Product_Master!$F$2:$F$11)</f>
        <v>25</v>
      </c>
      <c r="P234">
        <f t="shared" si="6"/>
        <v>1000</v>
      </c>
      <c r="Q234" s="5">
        <f t="shared" si="7"/>
        <v>0.21265702600058428</v>
      </c>
    </row>
    <row r="235" spans="1:17" x14ac:dyDescent="0.3">
      <c r="A235" t="s">
        <v>398</v>
      </c>
      <c r="B235" t="s">
        <v>17</v>
      </c>
      <c r="C235" t="s">
        <v>198</v>
      </c>
      <c r="D235" t="s">
        <v>91</v>
      </c>
      <c r="E235" t="s">
        <v>49</v>
      </c>
      <c r="F235" t="s">
        <v>50</v>
      </c>
      <c r="G235">
        <v>9</v>
      </c>
      <c r="H235" s="4">
        <v>52.2</v>
      </c>
      <c r="I235">
        <v>469.8</v>
      </c>
      <c r="J235">
        <v>31.5</v>
      </c>
      <c r="K235">
        <v>78.3</v>
      </c>
      <c r="L235" t="s">
        <v>44</v>
      </c>
      <c r="M235" t="s">
        <v>37</v>
      </c>
      <c r="N235" t="s">
        <v>66</v>
      </c>
      <c r="O235">
        <f>_xlfn.XLOOKUP(E235,Product_Master!$B$2:$B$11,Product_Master!$F$2:$F$11)</f>
        <v>40</v>
      </c>
      <c r="P235">
        <f t="shared" si="6"/>
        <v>360</v>
      </c>
      <c r="Q235" s="5">
        <f t="shared" si="7"/>
        <v>0.16666666666666666</v>
      </c>
    </row>
    <row r="236" spans="1:17" x14ac:dyDescent="0.3">
      <c r="A236" t="s">
        <v>399</v>
      </c>
      <c r="B236" t="s">
        <v>104</v>
      </c>
      <c r="C236" t="s">
        <v>252</v>
      </c>
      <c r="D236" t="s">
        <v>123</v>
      </c>
      <c r="E236" t="s">
        <v>64</v>
      </c>
      <c r="F236" t="s">
        <v>65</v>
      </c>
      <c r="G236">
        <v>31</v>
      </c>
      <c r="H236" s="4">
        <v>43.54</v>
      </c>
      <c r="I236">
        <v>1349.74</v>
      </c>
      <c r="J236">
        <v>99.86</v>
      </c>
      <c r="K236">
        <v>474.88</v>
      </c>
      <c r="L236" t="s">
        <v>22</v>
      </c>
      <c r="M236" t="s">
        <v>31</v>
      </c>
      <c r="N236" t="s">
        <v>32</v>
      </c>
      <c r="O236">
        <f>_xlfn.XLOOKUP(E236,Product_Master!$B$2:$B$11,Product_Master!$F$2:$F$11)</f>
        <v>25</v>
      </c>
      <c r="P236">
        <f t="shared" si="6"/>
        <v>775</v>
      </c>
      <c r="Q236" s="5">
        <f t="shared" si="7"/>
        <v>0.35183072295405038</v>
      </c>
    </row>
    <row r="237" spans="1:17" x14ac:dyDescent="0.3">
      <c r="A237" t="s">
        <v>400</v>
      </c>
      <c r="B237" t="s">
        <v>61</v>
      </c>
      <c r="C237" t="s">
        <v>133</v>
      </c>
      <c r="D237" t="s">
        <v>88</v>
      </c>
      <c r="E237" t="s">
        <v>69</v>
      </c>
      <c r="F237" t="s">
        <v>59</v>
      </c>
      <c r="G237">
        <v>31</v>
      </c>
      <c r="H237" s="4">
        <v>18.63</v>
      </c>
      <c r="I237">
        <v>577.53</v>
      </c>
      <c r="J237">
        <v>36.65</v>
      </c>
      <c r="K237">
        <v>60.38</v>
      </c>
      <c r="L237" t="s">
        <v>44</v>
      </c>
      <c r="M237" t="s">
        <v>23</v>
      </c>
      <c r="N237" t="s">
        <v>66</v>
      </c>
      <c r="O237">
        <f>_xlfn.XLOOKUP(E237,Product_Master!$B$2:$B$11,Product_Master!$F$2:$F$11)</f>
        <v>15.5</v>
      </c>
      <c r="P237">
        <f t="shared" si="6"/>
        <v>480.5</v>
      </c>
      <c r="Q237" s="5">
        <f t="shared" si="7"/>
        <v>0.1045486814537773</v>
      </c>
    </row>
    <row r="238" spans="1:17" x14ac:dyDescent="0.3">
      <c r="A238" t="s">
        <v>401</v>
      </c>
      <c r="B238" t="s">
        <v>83</v>
      </c>
      <c r="C238" t="s">
        <v>297</v>
      </c>
      <c r="D238" t="s">
        <v>91</v>
      </c>
      <c r="E238" t="s">
        <v>54</v>
      </c>
      <c r="F238" t="s">
        <v>43</v>
      </c>
      <c r="G238">
        <v>38</v>
      </c>
      <c r="H238" s="4">
        <v>27.28</v>
      </c>
      <c r="I238">
        <v>1036.6400000000001</v>
      </c>
      <c r="J238">
        <v>38.770000000000003</v>
      </c>
      <c r="K238">
        <v>237.87</v>
      </c>
      <c r="L238" t="s">
        <v>22</v>
      </c>
      <c r="M238" t="s">
        <v>37</v>
      </c>
      <c r="N238" t="s">
        <v>66</v>
      </c>
      <c r="O238">
        <f>_xlfn.XLOOKUP(E238,Product_Master!$B$2:$B$11,Product_Master!$F$2:$F$11)</f>
        <v>20</v>
      </c>
      <c r="P238">
        <f t="shared" si="6"/>
        <v>760</v>
      </c>
      <c r="Q238" s="5">
        <f t="shared" si="7"/>
        <v>0.22946249421206974</v>
      </c>
    </row>
    <row r="239" spans="1:17" x14ac:dyDescent="0.3">
      <c r="A239" t="s">
        <v>402</v>
      </c>
      <c r="B239" t="s">
        <v>132</v>
      </c>
      <c r="C239" t="s">
        <v>226</v>
      </c>
      <c r="D239" t="s">
        <v>41</v>
      </c>
      <c r="E239" t="s">
        <v>29</v>
      </c>
      <c r="F239" t="s">
        <v>21</v>
      </c>
      <c r="G239">
        <v>50</v>
      </c>
      <c r="H239" s="4">
        <v>30.97</v>
      </c>
      <c r="I239">
        <v>1548.5</v>
      </c>
      <c r="J239">
        <v>82.09</v>
      </c>
      <c r="K239">
        <v>566.41</v>
      </c>
      <c r="L239" t="s">
        <v>30</v>
      </c>
      <c r="M239" t="s">
        <v>31</v>
      </c>
      <c r="N239" t="s">
        <v>45</v>
      </c>
      <c r="O239">
        <f>_xlfn.XLOOKUP(E239,Product_Master!$B$2:$B$11,Product_Master!$F$2:$F$11)</f>
        <v>18</v>
      </c>
      <c r="P239">
        <f t="shared" si="6"/>
        <v>900</v>
      </c>
      <c r="Q239" s="5">
        <f t="shared" si="7"/>
        <v>0.36577978689053919</v>
      </c>
    </row>
    <row r="240" spans="1:17" x14ac:dyDescent="0.3">
      <c r="A240" t="s">
        <v>403</v>
      </c>
      <c r="B240" t="s">
        <v>83</v>
      </c>
      <c r="C240" t="s">
        <v>90</v>
      </c>
      <c r="D240" t="s">
        <v>91</v>
      </c>
      <c r="E240" t="s">
        <v>49</v>
      </c>
      <c r="F240" t="s">
        <v>50</v>
      </c>
      <c r="G240">
        <v>17</v>
      </c>
      <c r="H240" s="4">
        <v>60.91</v>
      </c>
      <c r="I240">
        <v>1035.47</v>
      </c>
      <c r="J240">
        <v>54.09</v>
      </c>
      <c r="K240">
        <v>301.38</v>
      </c>
      <c r="L240" t="s">
        <v>44</v>
      </c>
      <c r="M240" t="s">
        <v>23</v>
      </c>
      <c r="N240" t="s">
        <v>66</v>
      </c>
      <c r="O240">
        <f>_xlfn.XLOOKUP(E240,Product_Master!$B$2:$B$11,Product_Master!$F$2:$F$11)</f>
        <v>40</v>
      </c>
      <c r="P240">
        <f t="shared" si="6"/>
        <v>680</v>
      </c>
      <c r="Q240" s="5">
        <f t="shared" si="7"/>
        <v>0.29105623533274744</v>
      </c>
    </row>
    <row r="241" spans="1:17" x14ac:dyDescent="0.3">
      <c r="A241" t="s">
        <v>404</v>
      </c>
      <c r="B241" t="s">
        <v>61</v>
      </c>
      <c r="C241" t="s">
        <v>293</v>
      </c>
      <c r="D241" t="s">
        <v>63</v>
      </c>
      <c r="E241" t="s">
        <v>54</v>
      </c>
      <c r="F241" t="s">
        <v>43</v>
      </c>
      <c r="G241">
        <v>25</v>
      </c>
      <c r="H241" s="4">
        <v>31.15</v>
      </c>
      <c r="I241">
        <v>778.75</v>
      </c>
      <c r="J241">
        <v>47.45</v>
      </c>
      <c r="K241">
        <v>231.3</v>
      </c>
      <c r="L241" t="s">
        <v>22</v>
      </c>
      <c r="M241" t="s">
        <v>37</v>
      </c>
      <c r="N241" t="s">
        <v>66</v>
      </c>
      <c r="O241">
        <f>_xlfn.XLOOKUP(E241,Product_Master!$B$2:$B$11,Product_Master!$F$2:$F$11)</f>
        <v>20</v>
      </c>
      <c r="P241">
        <f t="shared" si="6"/>
        <v>500</v>
      </c>
      <c r="Q241" s="5">
        <f t="shared" si="7"/>
        <v>0.29701444622792939</v>
      </c>
    </row>
    <row r="242" spans="1:17" x14ac:dyDescent="0.3">
      <c r="A242" t="s">
        <v>405</v>
      </c>
      <c r="B242" t="s">
        <v>95</v>
      </c>
      <c r="C242" t="s">
        <v>310</v>
      </c>
      <c r="D242" t="s">
        <v>123</v>
      </c>
      <c r="E242" t="s">
        <v>29</v>
      </c>
      <c r="F242" t="s">
        <v>21</v>
      </c>
      <c r="G242">
        <v>30</v>
      </c>
      <c r="H242" s="4">
        <v>31.12</v>
      </c>
      <c r="I242">
        <v>933.6</v>
      </c>
      <c r="J242">
        <v>50.88</v>
      </c>
      <c r="K242">
        <v>342.72</v>
      </c>
      <c r="L242" t="s">
        <v>30</v>
      </c>
      <c r="M242" t="s">
        <v>31</v>
      </c>
      <c r="N242" t="s">
        <v>32</v>
      </c>
      <c r="O242">
        <f>_xlfn.XLOOKUP(E242,Product_Master!$B$2:$B$11,Product_Master!$F$2:$F$11)</f>
        <v>18</v>
      </c>
      <c r="P242">
        <f t="shared" si="6"/>
        <v>540</v>
      </c>
      <c r="Q242" s="5">
        <f t="shared" si="7"/>
        <v>0.36709511568123393</v>
      </c>
    </row>
    <row r="243" spans="1:17" x14ac:dyDescent="0.3">
      <c r="A243" t="s">
        <v>406</v>
      </c>
      <c r="B243" t="s">
        <v>26</v>
      </c>
      <c r="C243" t="s">
        <v>130</v>
      </c>
      <c r="D243" t="s">
        <v>53</v>
      </c>
      <c r="E243" t="s">
        <v>69</v>
      </c>
      <c r="F243" t="s">
        <v>59</v>
      </c>
      <c r="G243">
        <v>17</v>
      </c>
      <c r="H243" s="4">
        <v>19.64</v>
      </c>
      <c r="I243">
        <v>333.88</v>
      </c>
      <c r="J243">
        <v>22.23</v>
      </c>
      <c r="K243">
        <v>48.15</v>
      </c>
      <c r="L243" t="s">
        <v>44</v>
      </c>
      <c r="M243" t="s">
        <v>37</v>
      </c>
      <c r="N243" t="s">
        <v>24</v>
      </c>
      <c r="O243">
        <f>_xlfn.XLOOKUP(E243,Product_Master!$B$2:$B$11,Product_Master!$F$2:$F$11)</f>
        <v>15.5</v>
      </c>
      <c r="P243">
        <f t="shared" si="6"/>
        <v>263.5</v>
      </c>
      <c r="Q243" s="5">
        <f t="shared" si="7"/>
        <v>0.14421348987660237</v>
      </c>
    </row>
    <row r="244" spans="1:17" x14ac:dyDescent="0.3">
      <c r="A244" t="s">
        <v>407</v>
      </c>
      <c r="B244" t="s">
        <v>56</v>
      </c>
      <c r="C244" t="s">
        <v>408</v>
      </c>
      <c r="D244" t="s">
        <v>19</v>
      </c>
      <c r="E244" t="s">
        <v>42</v>
      </c>
      <c r="F244" t="s">
        <v>43</v>
      </c>
      <c r="G244">
        <v>37</v>
      </c>
      <c r="H244" s="4">
        <v>57.35</v>
      </c>
      <c r="I244">
        <v>2121.9499999999998</v>
      </c>
      <c r="J244">
        <v>147.38999999999999</v>
      </c>
      <c r="K244">
        <v>790.56</v>
      </c>
      <c r="L244" t="s">
        <v>22</v>
      </c>
      <c r="M244" t="s">
        <v>23</v>
      </c>
      <c r="N244" t="s">
        <v>24</v>
      </c>
      <c r="O244">
        <f>_xlfn.XLOOKUP(E244,Product_Master!$B$2:$B$11,Product_Master!$F$2:$F$11)</f>
        <v>32</v>
      </c>
      <c r="P244">
        <f t="shared" si="6"/>
        <v>1184</v>
      </c>
      <c r="Q244" s="5">
        <f t="shared" si="7"/>
        <v>0.37256297273734068</v>
      </c>
    </row>
    <row r="245" spans="1:17" x14ac:dyDescent="0.3">
      <c r="A245" t="s">
        <v>409</v>
      </c>
      <c r="B245" t="s">
        <v>26</v>
      </c>
      <c r="C245" t="s">
        <v>18</v>
      </c>
      <c r="D245" t="s">
        <v>36</v>
      </c>
      <c r="E245" t="s">
        <v>20</v>
      </c>
      <c r="F245" t="s">
        <v>21</v>
      </c>
      <c r="G245">
        <v>45</v>
      </c>
      <c r="H245" s="4">
        <v>42.6</v>
      </c>
      <c r="I245">
        <v>1917</v>
      </c>
      <c r="J245">
        <v>104.27</v>
      </c>
      <c r="K245">
        <v>237.73</v>
      </c>
      <c r="L245" t="s">
        <v>30</v>
      </c>
      <c r="M245" t="s">
        <v>37</v>
      </c>
      <c r="N245" t="s">
        <v>32</v>
      </c>
      <c r="O245">
        <f>_xlfn.XLOOKUP(E245,Product_Master!$B$2:$B$11,Product_Master!$F$2:$F$11)</f>
        <v>35</v>
      </c>
      <c r="P245">
        <f t="shared" si="6"/>
        <v>1575</v>
      </c>
      <c r="Q245" s="5">
        <f t="shared" si="7"/>
        <v>0.12401147626499738</v>
      </c>
    </row>
    <row r="246" spans="1:17" x14ac:dyDescent="0.3">
      <c r="A246" t="s">
        <v>410</v>
      </c>
      <c r="B246" t="s">
        <v>56</v>
      </c>
      <c r="C246" t="s">
        <v>119</v>
      </c>
      <c r="D246" t="s">
        <v>28</v>
      </c>
      <c r="E246" t="s">
        <v>54</v>
      </c>
      <c r="F246" t="s">
        <v>43</v>
      </c>
      <c r="G246">
        <v>25</v>
      </c>
      <c r="H246" s="4">
        <v>31.82</v>
      </c>
      <c r="I246">
        <v>795.5</v>
      </c>
      <c r="J246">
        <v>37.33</v>
      </c>
      <c r="K246">
        <v>258.17</v>
      </c>
      <c r="L246" t="s">
        <v>22</v>
      </c>
      <c r="M246" t="s">
        <v>31</v>
      </c>
      <c r="N246" t="s">
        <v>32</v>
      </c>
      <c r="O246">
        <f>_xlfn.XLOOKUP(E246,Product_Master!$B$2:$B$11,Product_Master!$F$2:$F$11)</f>
        <v>20</v>
      </c>
      <c r="P246">
        <f t="shared" si="6"/>
        <v>500</v>
      </c>
      <c r="Q246" s="5">
        <f t="shared" si="7"/>
        <v>0.32453802639849155</v>
      </c>
    </row>
    <row r="247" spans="1:17" x14ac:dyDescent="0.3">
      <c r="A247" t="s">
        <v>411</v>
      </c>
      <c r="B247" t="s">
        <v>61</v>
      </c>
      <c r="C247" t="s">
        <v>143</v>
      </c>
      <c r="D247" t="s">
        <v>196</v>
      </c>
      <c r="E247" t="s">
        <v>64</v>
      </c>
      <c r="F247" t="s">
        <v>65</v>
      </c>
      <c r="G247">
        <v>17</v>
      </c>
      <c r="H247" s="4">
        <v>36.270000000000003</v>
      </c>
      <c r="I247">
        <v>616.59</v>
      </c>
      <c r="J247">
        <v>22.76</v>
      </c>
      <c r="K247">
        <v>168.83</v>
      </c>
      <c r="L247" t="s">
        <v>44</v>
      </c>
      <c r="M247" t="s">
        <v>23</v>
      </c>
      <c r="N247" t="s">
        <v>66</v>
      </c>
      <c r="O247">
        <f>_xlfn.XLOOKUP(E247,Product_Master!$B$2:$B$11,Product_Master!$F$2:$F$11)</f>
        <v>25</v>
      </c>
      <c r="P247">
        <f t="shared" si="6"/>
        <v>425</v>
      </c>
      <c r="Q247" s="5">
        <f t="shared" si="7"/>
        <v>0.27381241992247685</v>
      </c>
    </row>
    <row r="248" spans="1:17" x14ac:dyDescent="0.3">
      <c r="A248" t="s">
        <v>412</v>
      </c>
      <c r="B248" t="s">
        <v>132</v>
      </c>
      <c r="C248" t="s">
        <v>230</v>
      </c>
      <c r="D248" t="s">
        <v>88</v>
      </c>
      <c r="E248" t="s">
        <v>29</v>
      </c>
      <c r="F248" t="s">
        <v>21</v>
      </c>
      <c r="G248">
        <v>4</v>
      </c>
      <c r="H248" s="4">
        <v>27.01</v>
      </c>
      <c r="I248">
        <v>108.04</v>
      </c>
      <c r="J248">
        <v>4.7300000000000004</v>
      </c>
      <c r="K248">
        <v>31.31</v>
      </c>
      <c r="L248" t="s">
        <v>44</v>
      </c>
      <c r="M248" t="s">
        <v>37</v>
      </c>
      <c r="N248" t="s">
        <v>66</v>
      </c>
      <c r="O248">
        <f>_xlfn.XLOOKUP(E248,Product_Master!$B$2:$B$11,Product_Master!$F$2:$F$11)</f>
        <v>18</v>
      </c>
      <c r="P248">
        <f t="shared" si="6"/>
        <v>72</v>
      </c>
      <c r="Q248" s="5">
        <f t="shared" si="7"/>
        <v>0.28980007404664937</v>
      </c>
    </row>
    <row r="249" spans="1:17" x14ac:dyDescent="0.3">
      <c r="A249" t="s">
        <v>413</v>
      </c>
      <c r="B249" t="s">
        <v>107</v>
      </c>
      <c r="C249" t="s">
        <v>250</v>
      </c>
      <c r="D249" t="s">
        <v>53</v>
      </c>
      <c r="E249" t="s">
        <v>20</v>
      </c>
      <c r="F249" t="s">
        <v>21</v>
      </c>
      <c r="G249">
        <v>22</v>
      </c>
      <c r="H249" s="4">
        <v>57.6</v>
      </c>
      <c r="I249">
        <v>1267.2</v>
      </c>
      <c r="J249">
        <v>35.32</v>
      </c>
      <c r="K249">
        <v>461.88</v>
      </c>
      <c r="L249" t="s">
        <v>44</v>
      </c>
      <c r="M249" t="s">
        <v>23</v>
      </c>
      <c r="N249" t="s">
        <v>24</v>
      </c>
      <c r="O249">
        <f>_xlfn.XLOOKUP(E249,Product_Master!$B$2:$B$11,Product_Master!$F$2:$F$11)</f>
        <v>35</v>
      </c>
      <c r="P249">
        <f t="shared" si="6"/>
        <v>770</v>
      </c>
      <c r="Q249" s="5">
        <f t="shared" si="7"/>
        <v>0.36448863636363632</v>
      </c>
    </row>
    <row r="250" spans="1:17" x14ac:dyDescent="0.3">
      <c r="A250" t="s">
        <v>414</v>
      </c>
      <c r="B250" t="s">
        <v>157</v>
      </c>
      <c r="C250" t="s">
        <v>280</v>
      </c>
      <c r="D250" t="s">
        <v>170</v>
      </c>
      <c r="E250" t="s">
        <v>64</v>
      </c>
      <c r="F250" t="s">
        <v>65</v>
      </c>
      <c r="G250">
        <v>24</v>
      </c>
      <c r="H250" s="4">
        <v>43.34</v>
      </c>
      <c r="I250">
        <v>1040.1600000000001</v>
      </c>
      <c r="J250">
        <v>41.18</v>
      </c>
      <c r="K250">
        <v>398.98</v>
      </c>
      <c r="L250" t="s">
        <v>22</v>
      </c>
      <c r="M250" t="s">
        <v>37</v>
      </c>
      <c r="N250" t="s">
        <v>32</v>
      </c>
      <c r="O250">
        <f>_xlfn.XLOOKUP(E250,Product_Master!$B$2:$B$11,Product_Master!$F$2:$F$11)</f>
        <v>25</v>
      </c>
      <c r="P250">
        <f t="shared" si="6"/>
        <v>600</v>
      </c>
      <c r="Q250" s="5">
        <f t="shared" si="7"/>
        <v>0.38357560375326871</v>
      </c>
    </row>
    <row r="251" spans="1:17" x14ac:dyDescent="0.3">
      <c r="A251" t="s">
        <v>415</v>
      </c>
      <c r="B251" t="s">
        <v>26</v>
      </c>
      <c r="C251" t="s">
        <v>185</v>
      </c>
      <c r="D251" t="s">
        <v>53</v>
      </c>
      <c r="E251" t="s">
        <v>49</v>
      </c>
      <c r="F251" t="s">
        <v>50</v>
      </c>
      <c r="G251">
        <v>37</v>
      </c>
      <c r="H251" s="4">
        <v>71.8</v>
      </c>
      <c r="I251">
        <v>2656.6</v>
      </c>
      <c r="J251">
        <v>60.3</v>
      </c>
      <c r="K251">
        <v>1116.3</v>
      </c>
      <c r="L251" t="s">
        <v>30</v>
      </c>
      <c r="M251" t="s">
        <v>23</v>
      </c>
      <c r="N251" t="s">
        <v>24</v>
      </c>
      <c r="O251">
        <f>_xlfn.XLOOKUP(E251,Product_Master!$B$2:$B$11,Product_Master!$F$2:$F$11)</f>
        <v>40</v>
      </c>
      <c r="P251">
        <f t="shared" si="6"/>
        <v>1480</v>
      </c>
      <c r="Q251" s="5">
        <f t="shared" si="7"/>
        <v>0.42019875028231574</v>
      </c>
    </row>
    <row r="252" spans="1:17" x14ac:dyDescent="0.3">
      <c r="A252" t="s">
        <v>416</v>
      </c>
      <c r="B252" t="s">
        <v>56</v>
      </c>
      <c r="C252" t="s">
        <v>408</v>
      </c>
      <c r="D252" t="s">
        <v>88</v>
      </c>
      <c r="E252" t="s">
        <v>54</v>
      </c>
      <c r="F252" t="s">
        <v>43</v>
      </c>
      <c r="G252">
        <v>24</v>
      </c>
      <c r="H252" s="4">
        <v>29.11</v>
      </c>
      <c r="I252">
        <v>698.64</v>
      </c>
      <c r="J252">
        <v>53.99</v>
      </c>
      <c r="K252">
        <v>164.65</v>
      </c>
      <c r="L252" t="s">
        <v>44</v>
      </c>
      <c r="M252" t="s">
        <v>37</v>
      </c>
      <c r="N252" t="s">
        <v>66</v>
      </c>
      <c r="O252">
        <f>_xlfn.XLOOKUP(E252,Product_Master!$B$2:$B$11,Product_Master!$F$2:$F$11)</f>
        <v>20</v>
      </c>
      <c r="P252">
        <f t="shared" si="6"/>
        <v>480</v>
      </c>
      <c r="Q252" s="5">
        <f t="shared" si="7"/>
        <v>0.23567216305965877</v>
      </c>
    </row>
    <row r="253" spans="1:17" x14ac:dyDescent="0.3">
      <c r="A253" t="s">
        <v>417</v>
      </c>
      <c r="B253" t="s">
        <v>157</v>
      </c>
      <c r="C253" t="s">
        <v>418</v>
      </c>
      <c r="D253" t="s">
        <v>91</v>
      </c>
      <c r="E253" t="s">
        <v>58</v>
      </c>
      <c r="F253" t="s">
        <v>59</v>
      </c>
      <c r="G253">
        <v>6</v>
      </c>
      <c r="H253" s="4">
        <v>27.91</v>
      </c>
      <c r="I253">
        <v>167.46</v>
      </c>
      <c r="J253">
        <v>10.01</v>
      </c>
      <c r="K253">
        <v>22.45</v>
      </c>
      <c r="L253" t="s">
        <v>22</v>
      </c>
      <c r="M253" t="s">
        <v>23</v>
      </c>
      <c r="N253" t="s">
        <v>66</v>
      </c>
      <c r="O253">
        <f>_xlfn.XLOOKUP(E253,Product_Master!$B$2:$B$11,Product_Master!$F$2:$F$11)</f>
        <v>22.5</v>
      </c>
      <c r="P253">
        <f t="shared" si="6"/>
        <v>135</v>
      </c>
      <c r="Q253" s="5">
        <f t="shared" si="7"/>
        <v>0.1340618655201242</v>
      </c>
    </row>
    <row r="254" spans="1:17" x14ac:dyDescent="0.3">
      <c r="A254" t="s">
        <v>419</v>
      </c>
      <c r="B254" t="s">
        <v>83</v>
      </c>
      <c r="C254" t="s">
        <v>40</v>
      </c>
      <c r="D254" t="s">
        <v>63</v>
      </c>
      <c r="E254" t="s">
        <v>58</v>
      </c>
      <c r="F254" t="s">
        <v>59</v>
      </c>
      <c r="G254">
        <v>28</v>
      </c>
      <c r="H254" s="4">
        <v>27.29</v>
      </c>
      <c r="I254">
        <v>764.12</v>
      </c>
      <c r="J254">
        <v>25.78</v>
      </c>
      <c r="K254">
        <v>108.34</v>
      </c>
      <c r="L254" t="s">
        <v>44</v>
      </c>
      <c r="M254" t="s">
        <v>23</v>
      </c>
      <c r="N254" t="s">
        <v>66</v>
      </c>
      <c r="O254">
        <f>_xlfn.XLOOKUP(E254,Product_Master!$B$2:$B$11,Product_Master!$F$2:$F$11)</f>
        <v>22.5</v>
      </c>
      <c r="P254">
        <f t="shared" si="6"/>
        <v>630</v>
      </c>
      <c r="Q254" s="5">
        <f t="shared" si="7"/>
        <v>0.1417840129822541</v>
      </c>
    </row>
    <row r="255" spans="1:17" x14ac:dyDescent="0.3">
      <c r="A255" t="s">
        <v>420</v>
      </c>
      <c r="B255" t="s">
        <v>83</v>
      </c>
      <c r="C255" t="s">
        <v>338</v>
      </c>
      <c r="D255" t="s">
        <v>53</v>
      </c>
      <c r="E255" t="s">
        <v>58</v>
      </c>
      <c r="F255" t="s">
        <v>59</v>
      </c>
      <c r="G255">
        <v>47</v>
      </c>
      <c r="H255" s="4">
        <v>35.880000000000003</v>
      </c>
      <c r="I255">
        <v>1686.36</v>
      </c>
      <c r="J255">
        <v>70.3</v>
      </c>
      <c r="K255">
        <v>558.55999999999995</v>
      </c>
      <c r="L255" t="s">
        <v>22</v>
      </c>
      <c r="M255" t="s">
        <v>31</v>
      </c>
      <c r="N255" t="s">
        <v>24</v>
      </c>
      <c r="O255">
        <f>_xlfn.XLOOKUP(E255,Product_Master!$B$2:$B$11,Product_Master!$F$2:$F$11)</f>
        <v>22.5</v>
      </c>
      <c r="P255">
        <f t="shared" si="6"/>
        <v>1057.5</v>
      </c>
      <c r="Q255" s="5">
        <f t="shared" si="7"/>
        <v>0.33122227756825351</v>
      </c>
    </row>
    <row r="256" spans="1:17" x14ac:dyDescent="0.3">
      <c r="A256" t="s">
        <v>421</v>
      </c>
      <c r="B256" t="s">
        <v>56</v>
      </c>
      <c r="C256" t="s">
        <v>218</v>
      </c>
      <c r="D256" t="s">
        <v>123</v>
      </c>
      <c r="E256" t="s">
        <v>69</v>
      </c>
      <c r="F256" t="s">
        <v>59</v>
      </c>
      <c r="G256">
        <v>19</v>
      </c>
      <c r="H256" s="4">
        <v>27.47</v>
      </c>
      <c r="I256">
        <v>521.92999999999995</v>
      </c>
      <c r="J256">
        <v>31.29</v>
      </c>
      <c r="K256">
        <v>196.14</v>
      </c>
      <c r="L256" t="s">
        <v>30</v>
      </c>
      <c r="M256" t="s">
        <v>37</v>
      </c>
      <c r="N256" t="s">
        <v>32</v>
      </c>
      <c r="O256">
        <f>_xlfn.XLOOKUP(E256,Product_Master!$B$2:$B$11,Product_Master!$F$2:$F$11)</f>
        <v>15.5</v>
      </c>
      <c r="P256">
        <f t="shared" si="6"/>
        <v>294.5</v>
      </c>
      <c r="Q256" s="5">
        <f t="shared" si="7"/>
        <v>0.37579752074032918</v>
      </c>
    </row>
    <row r="257" spans="1:17" x14ac:dyDescent="0.3">
      <c r="A257" t="s">
        <v>422</v>
      </c>
      <c r="B257" t="s">
        <v>132</v>
      </c>
      <c r="C257" t="s">
        <v>153</v>
      </c>
      <c r="D257" t="s">
        <v>147</v>
      </c>
      <c r="E257" t="s">
        <v>54</v>
      </c>
      <c r="F257" t="s">
        <v>43</v>
      </c>
      <c r="G257">
        <v>13</v>
      </c>
      <c r="H257" s="4">
        <v>29.26</v>
      </c>
      <c r="I257">
        <v>380.38</v>
      </c>
      <c r="J257">
        <v>9.4700000000000006</v>
      </c>
      <c r="K257">
        <v>110.91</v>
      </c>
      <c r="L257" t="s">
        <v>30</v>
      </c>
      <c r="M257" t="s">
        <v>37</v>
      </c>
      <c r="N257" t="s">
        <v>148</v>
      </c>
      <c r="O257">
        <f>_xlfn.XLOOKUP(E257,Product_Master!$B$2:$B$11,Product_Master!$F$2:$F$11)</f>
        <v>20</v>
      </c>
      <c r="P257">
        <f t="shared" si="6"/>
        <v>260</v>
      </c>
      <c r="Q257" s="5">
        <f t="shared" si="7"/>
        <v>0.29157684420842317</v>
      </c>
    </row>
    <row r="258" spans="1:17" x14ac:dyDescent="0.3">
      <c r="A258" t="s">
        <v>423</v>
      </c>
      <c r="B258" t="s">
        <v>17</v>
      </c>
      <c r="C258" t="s">
        <v>325</v>
      </c>
      <c r="D258" t="s">
        <v>170</v>
      </c>
      <c r="E258" t="s">
        <v>29</v>
      </c>
      <c r="F258" t="s">
        <v>21</v>
      </c>
      <c r="G258">
        <v>4</v>
      </c>
      <c r="H258" s="4">
        <v>26.17</v>
      </c>
      <c r="I258">
        <v>104.68</v>
      </c>
      <c r="J258">
        <v>6.33</v>
      </c>
      <c r="K258">
        <v>26.35</v>
      </c>
      <c r="L258" t="s">
        <v>22</v>
      </c>
      <c r="M258" t="s">
        <v>31</v>
      </c>
      <c r="N258" t="s">
        <v>32</v>
      </c>
      <c r="O258">
        <f>_xlfn.XLOOKUP(E258,Product_Master!$B$2:$B$11,Product_Master!$F$2:$F$11)</f>
        <v>18</v>
      </c>
      <c r="P258">
        <f t="shared" si="6"/>
        <v>72</v>
      </c>
      <c r="Q258" s="5">
        <f t="shared" si="7"/>
        <v>0.25171952617500953</v>
      </c>
    </row>
    <row r="259" spans="1:17" x14ac:dyDescent="0.3">
      <c r="A259" t="s">
        <v>424</v>
      </c>
      <c r="B259" t="s">
        <v>157</v>
      </c>
      <c r="C259" t="s">
        <v>185</v>
      </c>
      <c r="D259" t="s">
        <v>170</v>
      </c>
      <c r="E259" t="s">
        <v>58</v>
      </c>
      <c r="F259" t="s">
        <v>59</v>
      </c>
      <c r="G259">
        <v>43</v>
      </c>
      <c r="H259" s="4">
        <v>37.32</v>
      </c>
      <c r="I259">
        <v>1604.76</v>
      </c>
      <c r="J259">
        <v>61.01</v>
      </c>
      <c r="K259">
        <v>576.25</v>
      </c>
      <c r="L259" t="s">
        <v>22</v>
      </c>
      <c r="M259" t="s">
        <v>31</v>
      </c>
      <c r="N259" t="s">
        <v>32</v>
      </c>
      <c r="O259">
        <f>_xlfn.XLOOKUP(E259,Product_Master!$B$2:$B$11,Product_Master!$F$2:$F$11)</f>
        <v>22.5</v>
      </c>
      <c r="P259">
        <f t="shared" ref="P259:P322" si="8">G259*O259</f>
        <v>967.5</v>
      </c>
      <c r="Q259" s="5">
        <f t="shared" ref="Q259:Q322" si="9">K259/I259</f>
        <v>0.35908796330915527</v>
      </c>
    </row>
    <row r="260" spans="1:17" x14ac:dyDescent="0.3">
      <c r="A260" t="s">
        <v>425</v>
      </c>
      <c r="B260" t="s">
        <v>68</v>
      </c>
      <c r="C260" t="s">
        <v>312</v>
      </c>
      <c r="D260" t="s">
        <v>101</v>
      </c>
      <c r="E260" t="s">
        <v>29</v>
      </c>
      <c r="F260" t="s">
        <v>21</v>
      </c>
      <c r="G260">
        <v>27</v>
      </c>
      <c r="H260" s="4">
        <v>23.05</v>
      </c>
      <c r="I260">
        <v>622.35</v>
      </c>
      <c r="J260">
        <v>20.440000000000001</v>
      </c>
      <c r="K260">
        <v>115.91</v>
      </c>
      <c r="L260" t="s">
        <v>44</v>
      </c>
      <c r="M260" t="s">
        <v>31</v>
      </c>
      <c r="N260" t="s">
        <v>102</v>
      </c>
      <c r="O260">
        <f>_xlfn.XLOOKUP(E260,Product_Master!$B$2:$B$11,Product_Master!$F$2:$F$11)</f>
        <v>18</v>
      </c>
      <c r="P260">
        <f t="shared" si="8"/>
        <v>486</v>
      </c>
      <c r="Q260" s="5">
        <f t="shared" si="9"/>
        <v>0.18624568169036715</v>
      </c>
    </row>
    <row r="261" spans="1:17" x14ac:dyDescent="0.3">
      <c r="A261" t="s">
        <v>426</v>
      </c>
      <c r="B261" t="s">
        <v>39</v>
      </c>
      <c r="C261" t="s">
        <v>427</v>
      </c>
      <c r="D261" t="s">
        <v>91</v>
      </c>
      <c r="E261" t="s">
        <v>73</v>
      </c>
      <c r="F261" t="s">
        <v>43</v>
      </c>
      <c r="G261">
        <v>38</v>
      </c>
      <c r="H261" s="4">
        <v>19.02</v>
      </c>
      <c r="I261">
        <v>722.76</v>
      </c>
      <c r="J261">
        <v>14.63</v>
      </c>
      <c r="K261">
        <v>223.63</v>
      </c>
      <c r="L261" t="s">
        <v>30</v>
      </c>
      <c r="M261" t="s">
        <v>31</v>
      </c>
      <c r="N261" t="s">
        <v>66</v>
      </c>
      <c r="O261">
        <f>_xlfn.XLOOKUP(E261,Product_Master!$B$2:$B$11,Product_Master!$F$2:$F$11)</f>
        <v>12.75</v>
      </c>
      <c r="P261">
        <f t="shared" si="8"/>
        <v>484.5</v>
      </c>
      <c r="Q261" s="5">
        <f t="shared" si="9"/>
        <v>0.30941114616193482</v>
      </c>
    </row>
    <row r="262" spans="1:17" x14ac:dyDescent="0.3">
      <c r="A262" t="s">
        <v>428</v>
      </c>
      <c r="B262" t="s">
        <v>56</v>
      </c>
      <c r="C262" t="s">
        <v>429</v>
      </c>
      <c r="D262" t="s">
        <v>48</v>
      </c>
      <c r="E262" t="s">
        <v>49</v>
      </c>
      <c r="F262" t="s">
        <v>50</v>
      </c>
      <c r="G262">
        <v>10</v>
      </c>
      <c r="H262" s="4">
        <v>70.94</v>
      </c>
      <c r="I262">
        <v>709.4</v>
      </c>
      <c r="J262">
        <v>18.64</v>
      </c>
      <c r="K262">
        <v>290.76</v>
      </c>
      <c r="L262" t="s">
        <v>30</v>
      </c>
      <c r="M262" t="s">
        <v>37</v>
      </c>
      <c r="N262" t="s">
        <v>24</v>
      </c>
      <c r="O262">
        <f>_xlfn.XLOOKUP(E262,Product_Master!$B$2:$B$11,Product_Master!$F$2:$F$11)</f>
        <v>40</v>
      </c>
      <c r="P262">
        <f t="shared" si="8"/>
        <v>400</v>
      </c>
      <c r="Q262" s="5">
        <f t="shared" si="9"/>
        <v>0.40986749365661124</v>
      </c>
    </row>
    <row r="263" spans="1:17" x14ac:dyDescent="0.3">
      <c r="A263" t="s">
        <v>430</v>
      </c>
      <c r="B263" t="s">
        <v>157</v>
      </c>
      <c r="C263" t="s">
        <v>297</v>
      </c>
      <c r="D263" t="s">
        <v>81</v>
      </c>
      <c r="E263" t="s">
        <v>64</v>
      </c>
      <c r="F263" t="s">
        <v>65</v>
      </c>
      <c r="G263">
        <v>17</v>
      </c>
      <c r="H263" s="4">
        <v>38.28</v>
      </c>
      <c r="I263">
        <v>650.76</v>
      </c>
      <c r="J263">
        <v>38.43</v>
      </c>
      <c r="K263">
        <v>187.33</v>
      </c>
      <c r="L263" t="s">
        <v>30</v>
      </c>
      <c r="M263" t="s">
        <v>37</v>
      </c>
      <c r="N263" t="s">
        <v>66</v>
      </c>
      <c r="O263">
        <f>_xlfn.XLOOKUP(E263,Product_Master!$B$2:$B$11,Product_Master!$F$2:$F$11)</f>
        <v>25</v>
      </c>
      <c r="P263">
        <f t="shared" si="8"/>
        <v>425</v>
      </c>
      <c r="Q263" s="5">
        <f t="shared" si="9"/>
        <v>0.28786342123056119</v>
      </c>
    </row>
    <row r="264" spans="1:17" x14ac:dyDescent="0.3">
      <c r="A264" t="s">
        <v>431</v>
      </c>
      <c r="B264" t="s">
        <v>68</v>
      </c>
      <c r="C264" t="s">
        <v>383</v>
      </c>
      <c r="D264" t="s">
        <v>19</v>
      </c>
      <c r="E264" t="s">
        <v>42</v>
      </c>
      <c r="F264" t="s">
        <v>43</v>
      </c>
      <c r="G264">
        <v>10</v>
      </c>
      <c r="H264" s="4">
        <v>38.799999999999997</v>
      </c>
      <c r="I264">
        <v>388</v>
      </c>
      <c r="J264">
        <v>16.39</v>
      </c>
      <c r="K264">
        <v>51.61</v>
      </c>
      <c r="L264" t="s">
        <v>44</v>
      </c>
      <c r="M264" t="s">
        <v>31</v>
      </c>
      <c r="N264" t="s">
        <v>24</v>
      </c>
      <c r="O264">
        <f>_xlfn.XLOOKUP(E264,Product_Master!$B$2:$B$11,Product_Master!$F$2:$F$11)</f>
        <v>32</v>
      </c>
      <c r="P264">
        <f t="shared" si="8"/>
        <v>320</v>
      </c>
      <c r="Q264" s="5">
        <f t="shared" si="9"/>
        <v>0.13301546391752578</v>
      </c>
    </row>
    <row r="265" spans="1:17" x14ac:dyDescent="0.3">
      <c r="A265" t="s">
        <v>432</v>
      </c>
      <c r="B265" t="s">
        <v>107</v>
      </c>
      <c r="C265" t="s">
        <v>185</v>
      </c>
      <c r="D265" t="s">
        <v>63</v>
      </c>
      <c r="E265" t="s">
        <v>64</v>
      </c>
      <c r="F265" t="s">
        <v>65</v>
      </c>
      <c r="G265">
        <v>3</v>
      </c>
      <c r="H265" s="4">
        <v>33.840000000000003</v>
      </c>
      <c r="I265">
        <v>101.52</v>
      </c>
      <c r="J265">
        <v>2.3199999999999998</v>
      </c>
      <c r="K265">
        <v>24.2</v>
      </c>
      <c r="L265" t="s">
        <v>44</v>
      </c>
      <c r="M265" t="s">
        <v>37</v>
      </c>
      <c r="N265" t="s">
        <v>66</v>
      </c>
      <c r="O265">
        <f>_xlfn.XLOOKUP(E265,Product_Master!$B$2:$B$11,Product_Master!$F$2:$F$11)</f>
        <v>25</v>
      </c>
      <c r="P265">
        <f t="shared" si="8"/>
        <v>75</v>
      </c>
      <c r="Q265" s="5">
        <f t="shared" si="9"/>
        <v>0.23837667454688732</v>
      </c>
    </row>
    <row r="266" spans="1:17" x14ac:dyDescent="0.3">
      <c r="A266" t="s">
        <v>433</v>
      </c>
      <c r="B266" t="s">
        <v>86</v>
      </c>
      <c r="C266" t="s">
        <v>218</v>
      </c>
      <c r="D266" t="s">
        <v>170</v>
      </c>
      <c r="E266" t="s">
        <v>69</v>
      </c>
      <c r="F266" t="s">
        <v>59</v>
      </c>
      <c r="G266">
        <v>20</v>
      </c>
      <c r="H266" s="4">
        <v>21.12</v>
      </c>
      <c r="I266">
        <v>422.4</v>
      </c>
      <c r="J266">
        <v>22.08</v>
      </c>
      <c r="K266">
        <v>90.32</v>
      </c>
      <c r="L266" t="s">
        <v>30</v>
      </c>
      <c r="M266" t="s">
        <v>37</v>
      </c>
      <c r="N266" t="s">
        <v>32</v>
      </c>
      <c r="O266">
        <f>_xlfn.XLOOKUP(E266,Product_Master!$B$2:$B$11,Product_Master!$F$2:$F$11)</f>
        <v>15.5</v>
      </c>
      <c r="P266">
        <f t="shared" si="8"/>
        <v>310</v>
      </c>
      <c r="Q266" s="5">
        <f t="shared" si="9"/>
        <v>0.21382575757575756</v>
      </c>
    </row>
    <row r="267" spans="1:17" x14ac:dyDescent="0.3">
      <c r="A267" t="s">
        <v>434</v>
      </c>
      <c r="B267" t="s">
        <v>78</v>
      </c>
      <c r="C267" t="s">
        <v>295</v>
      </c>
      <c r="D267" t="s">
        <v>101</v>
      </c>
      <c r="E267" t="s">
        <v>20</v>
      </c>
      <c r="F267" t="s">
        <v>21</v>
      </c>
      <c r="G267">
        <v>1</v>
      </c>
      <c r="H267" s="4">
        <v>58.15</v>
      </c>
      <c r="I267">
        <v>58.15</v>
      </c>
      <c r="J267">
        <v>4.2</v>
      </c>
      <c r="K267">
        <v>18.95</v>
      </c>
      <c r="L267" t="s">
        <v>30</v>
      </c>
      <c r="M267" t="s">
        <v>31</v>
      </c>
      <c r="N267" t="s">
        <v>102</v>
      </c>
      <c r="O267">
        <f>_xlfn.XLOOKUP(E267,Product_Master!$B$2:$B$11,Product_Master!$F$2:$F$11)</f>
        <v>35</v>
      </c>
      <c r="P267">
        <f t="shared" si="8"/>
        <v>35</v>
      </c>
      <c r="Q267" s="5">
        <f t="shared" si="9"/>
        <v>0.32588134135855545</v>
      </c>
    </row>
    <row r="268" spans="1:17" x14ac:dyDescent="0.3">
      <c r="A268" t="s">
        <v>435</v>
      </c>
      <c r="B268" t="s">
        <v>86</v>
      </c>
      <c r="C268" t="s">
        <v>114</v>
      </c>
      <c r="D268" t="s">
        <v>41</v>
      </c>
      <c r="E268" t="s">
        <v>42</v>
      </c>
      <c r="F268" t="s">
        <v>43</v>
      </c>
      <c r="G268">
        <v>32</v>
      </c>
      <c r="H268" s="4">
        <v>45.96</v>
      </c>
      <c r="I268">
        <v>1470.72</v>
      </c>
      <c r="J268">
        <v>82.77</v>
      </c>
      <c r="K268">
        <v>363.95</v>
      </c>
      <c r="L268" t="s">
        <v>22</v>
      </c>
      <c r="M268" t="s">
        <v>31</v>
      </c>
      <c r="N268" t="s">
        <v>45</v>
      </c>
      <c r="O268">
        <f>_xlfn.XLOOKUP(E268,Product_Master!$B$2:$B$11,Product_Master!$F$2:$F$11)</f>
        <v>32</v>
      </c>
      <c r="P268">
        <f t="shared" si="8"/>
        <v>1024</v>
      </c>
      <c r="Q268" s="5">
        <f t="shared" si="9"/>
        <v>0.24746382724107918</v>
      </c>
    </row>
    <row r="269" spans="1:17" x14ac:dyDescent="0.3">
      <c r="A269" t="s">
        <v>436</v>
      </c>
      <c r="B269" t="s">
        <v>75</v>
      </c>
      <c r="C269" t="s">
        <v>316</v>
      </c>
      <c r="D269" t="s">
        <v>36</v>
      </c>
      <c r="E269" t="s">
        <v>73</v>
      </c>
      <c r="F269" t="s">
        <v>43</v>
      </c>
      <c r="G269">
        <v>37</v>
      </c>
      <c r="H269" s="4">
        <v>16.82</v>
      </c>
      <c r="I269">
        <v>622.34</v>
      </c>
      <c r="J269">
        <v>32.9</v>
      </c>
      <c r="K269">
        <v>117.69</v>
      </c>
      <c r="L269" t="s">
        <v>44</v>
      </c>
      <c r="M269" t="s">
        <v>31</v>
      </c>
      <c r="N269" t="s">
        <v>32</v>
      </c>
      <c r="O269">
        <f>_xlfn.XLOOKUP(E269,Product_Master!$B$2:$B$11,Product_Master!$F$2:$F$11)</f>
        <v>12.75</v>
      </c>
      <c r="P269">
        <f t="shared" si="8"/>
        <v>471.75</v>
      </c>
      <c r="Q269" s="5">
        <f t="shared" si="9"/>
        <v>0.18910884725391264</v>
      </c>
    </row>
    <row r="270" spans="1:17" x14ac:dyDescent="0.3">
      <c r="A270" t="s">
        <v>437</v>
      </c>
      <c r="B270" t="s">
        <v>34</v>
      </c>
      <c r="C270" t="s">
        <v>57</v>
      </c>
      <c r="D270" t="s">
        <v>36</v>
      </c>
      <c r="E270" t="s">
        <v>42</v>
      </c>
      <c r="F270" t="s">
        <v>43</v>
      </c>
      <c r="G270">
        <v>18</v>
      </c>
      <c r="H270" s="4">
        <v>54.62</v>
      </c>
      <c r="I270">
        <v>983.16</v>
      </c>
      <c r="J270">
        <v>22.61</v>
      </c>
      <c r="K270">
        <v>384.55</v>
      </c>
      <c r="L270" t="s">
        <v>44</v>
      </c>
      <c r="M270" t="s">
        <v>31</v>
      </c>
      <c r="N270" t="s">
        <v>32</v>
      </c>
      <c r="O270">
        <f>_xlfn.XLOOKUP(E270,Product_Master!$B$2:$B$11,Product_Master!$F$2:$F$11)</f>
        <v>32</v>
      </c>
      <c r="P270">
        <f t="shared" si="8"/>
        <v>576</v>
      </c>
      <c r="Q270" s="5">
        <f t="shared" si="9"/>
        <v>0.39113674274787424</v>
      </c>
    </row>
    <row r="271" spans="1:17" x14ac:dyDescent="0.3">
      <c r="A271" t="s">
        <v>438</v>
      </c>
      <c r="B271" t="s">
        <v>104</v>
      </c>
      <c r="C271" t="s">
        <v>122</v>
      </c>
      <c r="D271" t="s">
        <v>36</v>
      </c>
      <c r="E271" t="s">
        <v>73</v>
      </c>
      <c r="F271" t="s">
        <v>43</v>
      </c>
      <c r="G271">
        <v>30</v>
      </c>
      <c r="H271" s="4">
        <v>22.83</v>
      </c>
      <c r="I271">
        <v>684.9</v>
      </c>
      <c r="J271">
        <v>32.31</v>
      </c>
      <c r="K271">
        <v>270.08999999999997</v>
      </c>
      <c r="L271" t="s">
        <v>22</v>
      </c>
      <c r="M271" t="s">
        <v>31</v>
      </c>
      <c r="N271" t="s">
        <v>32</v>
      </c>
      <c r="O271">
        <f>_xlfn.XLOOKUP(E271,Product_Master!$B$2:$B$11,Product_Master!$F$2:$F$11)</f>
        <v>12.75</v>
      </c>
      <c r="P271">
        <f t="shared" si="8"/>
        <v>382.5</v>
      </c>
      <c r="Q271" s="5">
        <f t="shared" si="9"/>
        <v>0.3943495400788436</v>
      </c>
    </row>
    <row r="272" spans="1:17" x14ac:dyDescent="0.3">
      <c r="A272" t="s">
        <v>439</v>
      </c>
      <c r="B272" t="s">
        <v>78</v>
      </c>
      <c r="C272" t="s">
        <v>440</v>
      </c>
      <c r="D272" t="s">
        <v>123</v>
      </c>
      <c r="E272" t="s">
        <v>42</v>
      </c>
      <c r="F272" t="s">
        <v>43</v>
      </c>
      <c r="G272">
        <v>39</v>
      </c>
      <c r="H272" s="4">
        <v>47.02</v>
      </c>
      <c r="I272">
        <v>1833.78</v>
      </c>
      <c r="J272">
        <v>50.01</v>
      </c>
      <c r="K272">
        <v>535.77</v>
      </c>
      <c r="L272" t="s">
        <v>44</v>
      </c>
      <c r="M272" t="s">
        <v>31</v>
      </c>
      <c r="N272" t="s">
        <v>32</v>
      </c>
      <c r="O272">
        <f>_xlfn.XLOOKUP(E272,Product_Master!$B$2:$B$11,Product_Master!$F$2:$F$11)</f>
        <v>32</v>
      </c>
      <c r="P272">
        <f t="shared" si="8"/>
        <v>1248</v>
      </c>
      <c r="Q272" s="5">
        <f t="shared" si="9"/>
        <v>0.29216699931289469</v>
      </c>
    </row>
    <row r="273" spans="1:17" x14ac:dyDescent="0.3">
      <c r="A273" t="s">
        <v>441</v>
      </c>
      <c r="B273" t="s">
        <v>75</v>
      </c>
      <c r="C273" t="s">
        <v>105</v>
      </c>
      <c r="D273" t="s">
        <v>19</v>
      </c>
      <c r="E273" t="s">
        <v>98</v>
      </c>
      <c r="F273" t="s">
        <v>59</v>
      </c>
      <c r="G273">
        <v>22</v>
      </c>
      <c r="H273" s="4">
        <v>43.32</v>
      </c>
      <c r="I273">
        <v>953.04</v>
      </c>
      <c r="J273">
        <v>71.3</v>
      </c>
      <c r="K273">
        <v>265.74</v>
      </c>
      <c r="L273" t="s">
        <v>30</v>
      </c>
      <c r="M273" t="s">
        <v>37</v>
      </c>
      <c r="N273" t="s">
        <v>24</v>
      </c>
      <c r="O273">
        <f>_xlfn.XLOOKUP(E273,Product_Master!$B$2:$B$11,Product_Master!$F$2:$F$11)</f>
        <v>28</v>
      </c>
      <c r="P273">
        <f t="shared" si="8"/>
        <v>616</v>
      </c>
      <c r="Q273" s="5">
        <f t="shared" si="9"/>
        <v>0.27883404683958701</v>
      </c>
    </row>
    <row r="274" spans="1:17" x14ac:dyDescent="0.3">
      <c r="A274" t="s">
        <v>442</v>
      </c>
      <c r="B274" t="s">
        <v>39</v>
      </c>
      <c r="C274" t="s">
        <v>319</v>
      </c>
      <c r="D274" t="s">
        <v>91</v>
      </c>
      <c r="E274" t="s">
        <v>58</v>
      </c>
      <c r="F274" t="s">
        <v>59</v>
      </c>
      <c r="G274">
        <v>6</v>
      </c>
      <c r="H274" s="4">
        <v>31.69</v>
      </c>
      <c r="I274">
        <v>190.14</v>
      </c>
      <c r="J274">
        <v>12.52</v>
      </c>
      <c r="K274">
        <v>42.62</v>
      </c>
      <c r="L274" t="s">
        <v>44</v>
      </c>
      <c r="M274" t="s">
        <v>31</v>
      </c>
      <c r="N274" t="s">
        <v>66</v>
      </c>
      <c r="O274">
        <f>_xlfn.XLOOKUP(E274,Product_Master!$B$2:$B$11,Product_Master!$F$2:$F$11)</f>
        <v>22.5</v>
      </c>
      <c r="P274">
        <f t="shared" si="8"/>
        <v>135</v>
      </c>
      <c r="Q274" s="5">
        <f t="shared" si="9"/>
        <v>0.22415062585463344</v>
      </c>
    </row>
    <row r="275" spans="1:17" x14ac:dyDescent="0.3">
      <c r="A275" t="s">
        <v>443</v>
      </c>
      <c r="B275" t="s">
        <v>56</v>
      </c>
      <c r="C275" t="s">
        <v>218</v>
      </c>
      <c r="D275" t="s">
        <v>170</v>
      </c>
      <c r="E275" t="s">
        <v>20</v>
      </c>
      <c r="F275" t="s">
        <v>21</v>
      </c>
      <c r="G275">
        <v>19</v>
      </c>
      <c r="H275" s="4">
        <v>53.28</v>
      </c>
      <c r="I275">
        <v>1012.32</v>
      </c>
      <c r="J275">
        <v>27.24</v>
      </c>
      <c r="K275">
        <v>320.08</v>
      </c>
      <c r="L275" t="s">
        <v>44</v>
      </c>
      <c r="M275" t="s">
        <v>31</v>
      </c>
      <c r="N275" t="s">
        <v>32</v>
      </c>
      <c r="O275">
        <f>_xlfn.XLOOKUP(E275,Product_Master!$B$2:$B$11,Product_Master!$F$2:$F$11)</f>
        <v>35</v>
      </c>
      <c r="P275">
        <f t="shared" si="8"/>
        <v>665</v>
      </c>
      <c r="Q275" s="5">
        <f t="shared" si="9"/>
        <v>0.31618460565828982</v>
      </c>
    </row>
    <row r="276" spans="1:17" x14ac:dyDescent="0.3">
      <c r="A276" t="s">
        <v>444</v>
      </c>
      <c r="B276" t="s">
        <v>107</v>
      </c>
      <c r="C276" t="s">
        <v>173</v>
      </c>
      <c r="D276" t="s">
        <v>19</v>
      </c>
      <c r="E276" t="s">
        <v>20</v>
      </c>
      <c r="F276" t="s">
        <v>21</v>
      </c>
      <c r="G276">
        <v>47</v>
      </c>
      <c r="H276" s="4">
        <v>47.53</v>
      </c>
      <c r="I276">
        <v>2233.91</v>
      </c>
      <c r="J276">
        <v>128.91</v>
      </c>
      <c r="K276">
        <v>460</v>
      </c>
      <c r="L276" t="s">
        <v>30</v>
      </c>
      <c r="M276" t="s">
        <v>23</v>
      </c>
      <c r="N276" t="s">
        <v>24</v>
      </c>
      <c r="O276">
        <f>_xlfn.XLOOKUP(E276,Product_Master!$B$2:$B$11,Product_Master!$F$2:$F$11)</f>
        <v>35</v>
      </c>
      <c r="P276">
        <f t="shared" si="8"/>
        <v>1645</v>
      </c>
      <c r="Q276" s="5">
        <f t="shared" si="9"/>
        <v>0.20591697964555422</v>
      </c>
    </row>
    <row r="277" spans="1:17" x14ac:dyDescent="0.3">
      <c r="A277" t="s">
        <v>445</v>
      </c>
      <c r="B277" t="s">
        <v>132</v>
      </c>
      <c r="C277" t="s">
        <v>305</v>
      </c>
      <c r="D277" t="s">
        <v>81</v>
      </c>
      <c r="E277" t="s">
        <v>54</v>
      </c>
      <c r="F277" t="s">
        <v>43</v>
      </c>
      <c r="G277">
        <v>12</v>
      </c>
      <c r="H277" s="4">
        <v>24.02</v>
      </c>
      <c r="I277">
        <v>288.24</v>
      </c>
      <c r="J277">
        <v>9.8000000000000007</v>
      </c>
      <c r="K277">
        <v>38.44</v>
      </c>
      <c r="L277" t="s">
        <v>22</v>
      </c>
      <c r="M277" t="s">
        <v>37</v>
      </c>
      <c r="N277" t="s">
        <v>66</v>
      </c>
      <c r="O277">
        <f>_xlfn.XLOOKUP(E277,Product_Master!$B$2:$B$11,Product_Master!$F$2:$F$11)</f>
        <v>20</v>
      </c>
      <c r="P277">
        <f t="shared" si="8"/>
        <v>240</v>
      </c>
      <c r="Q277" s="5">
        <f t="shared" si="9"/>
        <v>0.133361087982237</v>
      </c>
    </row>
    <row r="278" spans="1:17" x14ac:dyDescent="0.3">
      <c r="A278" t="s">
        <v>446</v>
      </c>
      <c r="B278" t="s">
        <v>17</v>
      </c>
      <c r="C278" t="s">
        <v>383</v>
      </c>
      <c r="D278" t="s">
        <v>81</v>
      </c>
      <c r="E278" t="s">
        <v>73</v>
      </c>
      <c r="F278" t="s">
        <v>43</v>
      </c>
      <c r="G278">
        <v>32</v>
      </c>
      <c r="H278" s="4">
        <v>15.64</v>
      </c>
      <c r="I278">
        <v>500.48</v>
      </c>
      <c r="J278">
        <v>24.69</v>
      </c>
      <c r="K278">
        <v>67.790000000000006</v>
      </c>
      <c r="L278" t="s">
        <v>44</v>
      </c>
      <c r="M278" t="s">
        <v>23</v>
      </c>
      <c r="N278" t="s">
        <v>66</v>
      </c>
      <c r="O278">
        <f>_xlfn.XLOOKUP(E278,Product_Master!$B$2:$B$11,Product_Master!$F$2:$F$11)</f>
        <v>12.75</v>
      </c>
      <c r="P278">
        <f t="shared" si="8"/>
        <v>408</v>
      </c>
      <c r="Q278" s="5">
        <f t="shared" si="9"/>
        <v>0.13544996803069054</v>
      </c>
    </row>
    <row r="279" spans="1:17" x14ac:dyDescent="0.3">
      <c r="A279" t="s">
        <v>447</v>
      </c>
      <c r="B279" t="s">
        <v>39</v>
      </c>
      <c r="C279" t="s">
        <v>259</v>
      </c>
      <c r="D279" t="s">
        <v>147</v>
      </c>
      <c r="E279" t="s">
        <v>42</v>
      </c>
      <c r="F279" t="s">
        <v>43</v>
      </c>
      <c r="G279">
        <v>22</v>
      </c>
      <c r="H279" s="4">
        <v>42.54</v>
      </c>
      <c r="I279">
        <v>935.88</v>
      </c>
      <c r="J279">
        <v>45.37</v>
      </c>
      <c r="K279">
        <v>186.51</v>
      </c>
      <c r="L279" t="s">
        <v>22</v>
      </c>
      <c r="M279" t="s">
        <v>37</v>
      </c>
      <c r="N279" t="s">
        <v>148</v>
      </c>
      <c r="O279">
        <f>_xlfn.XLOOKUP(E279,Product_Master!$B$2:$B$11,Product_Master!$F$2:$F$11)</f>
        <v>32</v>
      </c>
      <c r="P279">
        <f t="shared" si="8"/>
        <v>704</v>
      </c>
      <c r="Q279" s="5">
        <f t="shared" si="9"/>
        <v>0.1992883703038851</v>
      </c>
    </row>
    <row r="280" spans="1:17" x14ac:dyDescent="0.3">
      <c r="A280" t="s">
        <v>448</v>
      </c>
      <c r="B280" t="s">
        <v>56</v>
      </c>
      <c r="C280" t="s">
        <v>334</v>
      </c>
      <c r="D280" t="s">
        <v>196</v>
      </c>
      <c r="E280" t="s">
        <v>64</v>
      </c>
      <c r="F280" t="s">
        <v>65</v>
      </c>
      <c r="G280">
        <v>37</v>
      </c>
      <c r="H280" s="4">
        <v>43.55</v>
      </c>
      <c r="I280">
        <v>1611.35</v>
      </c>
      <c r="J280">
        <v>67.78</v>
      </c>
      <c r="K280">
        <v>618.57000000000005</v>
      </c>
      <c r="L280" t="s">
        <v>30</v>
      </c>
      <c r="M280" t="s">
        <v>31</v>
      </c>
      <c r="N280" t="s">
        <v>66</v>
      </c>
      <c r="O280">
        <f>_xlfn.XLOOKUP(E280,Product_Master!$B$2:$B$11,Product_Master!$F$2:$F$11)</f>
        <v>25</v>
      </c>
      <c r="P280">
        <f t="shared" si="8"/>
        <v>925</v>
      </c>
      <c r="Q280" s="5">
        <f t="shared" si="9"/>
        <v>0.38388307940546751</v>
      </c>
    </row>
    <row r="281" spans="1:17" x14ac:dyDescent="0.3">
      <c r="A281" t="s">
        <v>449</v>
      </c>
      <c r="B281" t="s">
        <v>71</v>
      </c>
      <c r="C281" t="s">
        <v>130</v>
      </c>
      <c r="D281" t="s">
        <v>41</v>
      </c>
      <c r="E281" t="s">
        <v>69</v>
      </c>
      <c r="F281" t="s">
        <v>59</v>
      </c>
      <c r="G281">
        <v>42</v>
      </c>
      <c r="H281" s="4">
        <v>20.260000000000002</v>
      </c>
      <c r="I281">
        <v>850.92</v>
      </c>
      <c r="J281">
        <v>22.43</v>
      </c>
      <c r="K281">
        <v>177.49</v>
      </c>
      <c r="L281" t="s">
        <v>44</v>
      </c>
      <c r="M281" t="s">
        <v>37</v>
      </c>
      <c r="N281" t="s">
        <v>45</v>
      </c>
      <c r="O281">
        <f>_xlfn.XLOOKUP(E281,Product_Master!$B$2:$B$11,Product_Master!$F$2:$F$11)</f>
        <v>15.5</v>
      </c>
      <c r="P281">
        <f t="shared" si="8"/>
        <v>651</v>
      </c>
      <c r="Q281" s="5">
        <f t="shared" si="9"/>
        <v>0.20858600103417479</v>
      </c>
    </row>
    <row r="282" spans="1:17" x14ac:dyDescent="0.3">
      <c r="A282" t="s">
        <v>450</v>
      </c>
      <c r="B282" t="s">
        <v>61</v>
      </c>
      <c r="C282" t="s">
        <v>79</v>
      </c>
      <c r="D282" t="s">
        <v>48</v>
      </c>
      <c r="E282" t="s">
        <v>29</v>
      </c>
      <c r="F282" t="s">
        <v>21</v>
      </c>
      <c r="G282">
        <v>43</v>
      </c>
      <c r="H282" s="4">
        <v>24.08</v>
      </c>
      <c r="I282">
        <v>1035.44</v>
      </c>
      <c r="J282">
        <v>35.07</v>
      </c>
      <c r="K282">
        <v>226.37</v>
      </c>
      <c r="L282" t="s">
        <v>30</v>
      </c>
      <c r="M282" t="s">
        <v>37</v>
      </c>
      <c r="N282" t="s">
        <v>24</v>
      </c>
      <c r="O282">
        <f>_xlfn.XLOOKUP(E282,Product_Master!$B$2:$B$11,Product_Master!$F$2:$F$11)</f>
        <v>18</v>
      </c>
      <c r="P282">
        <f t="shared" si="8"/>
        <v>774</v>
      </c>
      <c r="Q282" s="5">
        <f t="shared" si="9"/>
        <v>0.21862203507687553</v>
      </c>
    </row>
    <row r="283" spans="1:17" x14ac:dyDescent="0.3">
      <c r="A283" t="s">
        <v>451</v>
      </c>
      <c r="B283" t="s">
        <v>56</v>
      </c>
      <c r="C283" t="s">
        <v>316</v>
      </c>
      <c r="D283" t="s">
        <v>170</v>
      </c>
      <c r="E283" t="s">
        <v>49</v>
      </c>
      <c r="F283" t="s">
        <v>50</v>
      </c>
      <c r="G283">
        <v>14</v>
      </c>
      <c r="H283" s="4">
        <v>69.010000000000005</v>
      </c>
      <c r="I283">
        <v>966.14</v>
      </c>
      <c r="J283">
        <v>32.67</v>
      </c>
      <c r="K283">
        <v>373.47</v>
      </c>
      <c r="L283" t="s">
        <v>30</v>
      </c>
      <c r="M283" t="s">
        <v>23</v>
      </c>
      <c r="N283" t="s">
        <v>32</v>
      </c>
      <c r="O283">
        <f>_xlfn.XLOOKUP(E283,Product_Master!$B$2:$B$11,Product_Master!$F$2:$F$11)</f>
        <v>40</v>
      </c>
      <c r="P283">
        <f t="shared" si="8"/>
        <v>560</v>
      </c>
      <c r="Q283" s="5">
        <f t="shared" si="9"/>
        <v>0.38655888380565967</v>
      </c>
    </row>
    <row r="284" spans="1:17" x14ac:dyDescent="0.3">
      <c r="A284" t="s">
        <v>452</v>
      </c>
      <c r="B284" t="s">
        <v>107</v>
      </c>
      <c r="C284" t="s">
        <v>135</v>
      </c>
      <c r="D284" t="s">
        <v>147</v>
      </c>
      <c r="E284" t="s">
        <v>54</v>
      </c>
      <c r="F284" t="s">
        <v>43</v>
      </c>
      <c r="G284">
        <v>29</v>
      </c>
      <c r="H284" s="4">
        <v>28.29</v>
      </c>
      <c r="I284">
        <v>820.41</v>
      </c>
      <c r="J284">
        <v>63.15</v>
      </c>
      <c r="K284">
        <v>177.26</v>
      </c>
      <c r="L284" t="s">
        <v>44</v>
      </c>
      <c r="M284" t="s">
        <v>37</v>
      </c>
      <c r="N284" t="s">
        <v>148</v>
      </c>
      <c r="O284">
        <f>_xlfn.XLOOKUP(E284,Product_Master!$B$2:$B$11,Product_Master!$F$2:$F$11)</f>
        <v>20</v>
      </c>
      <c r="P284">
        <f t="shared" si="8"/>
        <v>580</v>
      </c>
      <c r="Q284" s="5">
        <f t="shared" si="9"/>
        <v>0.21606270035713851</v>
      </c>
    </row>
    <row r="285" spans="1:17" x14ac:dyDescent="0.3">
      <c r="A285" t="s">
        <v>453</v>
      </c>
      <c r="B285" t="s">
        <v>157</v>
      </c>
      <c r="C285" t="s">
        <v>240</v>
      </c>
      <c r="D285" t="s">
        <v>53</v>
      </c>
      <c r="E285" t="s">
        <v>69</v>
      </c>
      <c r="F285" t="s">
        <v>59</v>
      </c>
      <c r="G285">
        <v>29</v>
      </c>
      <c r="H285" s="4">
        <v>26.51</v>
      </c>
      <c r="I285">
        <v>768.79</v>
      </c>
      <c r="J285">
        <v>15.66</v>
      </c>
      <c r="K285">
        <v>303.63</v>
      </c>
      <c r="L285" t="s">
        <v>30</v>
      </c>
      <c r="M285" t="s">
        <v>23</v>
      </c>
      <c r="N285" t="s">
        <v>24</v>
      </c>
      <c r="O285">
        <f>_xlfn.XLOOKUP(E285,Product_Master!$B$2:$B$11,Product_Master!$F$2:$F$11)</f>
        <v>15.5</v>
      </c>
      <c r="P285">
        <f t="shared" si="8"/>
        <v>449.5</v>
      </c>
      <c r="Q285" s="5">
        <f t="shared" si="9"/>
        <v>0.3949453036589966</v>
      </c>
    </row>
    <row r="286" spans="1:17" x14ac:dyDescent="0.3">
      <c r="A286" t="s">
        <v>454</v>
      </c>
      <c r="B286" t="s">
        <v>78</v>
      </c>
      <c r="C286" t="s">
        <v>139</v>
      </c>
      <c r="D286" t="s">
        <v>48</v>
      </c>
      <c r="E286" t="s">
        <v>20</v>
      </c>
      <c r="F286" t="s">
        <v>21</v>
      </c>
      <c r="G286">
        <v>11</v>
      </c>
      <c r="H286" s="4">
        <v>58.07</v>
      </c>
      <c r="I286">
        <v>638.77</v>
      </c>
      <c r="J286">
        <v>43.89</v>
      </c>
      <c r="K286">
        <v>209.88</v>
      </c>
      <c r="L286" t="s">
        <v>22</v>
      </c>
      <c r="M286" t="s">
        <v>31</v>
      </c>
      <c r="N286" t="s">
        <v>24</v>
      </c>
      <c r="O286">
        <f>_xlfn.XLOOKUP(E286,Product_Master!$B$2:$B$11,Product_Master!$F$2:$F$11)</f>
        <v>35</v>
      </c>
      <c r="P286">
        <f t="shared" si="8"/>
        <v>385</v>
      </c>
      <c r="Q286" s="5">
        <f t="shared" si="9"/>
        <v>0.32856896848630962</v>
      </c>
    </row>
    <row r="287" spans="1:17" x14ac:dyDescent="0.3">
      <c r="A287" t="s">
        <v>455</v>
      </c>
      <c r="B287" t="s">
        <v>61</v>
      </c>
      <c r="C287" t="s">
        <v>127</v>
      </c>
      <c r="D287" t="s">
        <v>28</v>
      </c>
      <c r="E287" t="s">
        <v>42</v>
      </c>
      <c r="F287" t="s">
        <v>43</v>
      </c>
      <c r="G287">
        <v>3</v>
      </c>
      <c r="H287" s="4">
        <v>48.76</v>
      </c>
      <c r="I287">
        <v>146.28</v>
      </c>
      <c r="J287">
        <v>10.45</v>
      </c>
      <c r="K287">
        <v>39.83</v>
      </c>
      <c r="L287" t="s">
        <v>44</v>
      </c>
      <c r="M287" t="s">
        <v>31</v>
      </c>
      <c r="N287" t="s">
        <v>32</v>
      </c>
      <c r="O287">
        <f>_xlfn.XLOOKUP(E287,Product_Master!$B$2:$B$11,Product_Master!$F$2:$F$11)</f>
        <v>32</v>
      </c>
      <c r="P287">
        <f t="shared" si="8"/>
        <v>96</v>
      </c>
      <c r="Q287" s="5">
        <f t="shared" si="9"/>
        <v>0.2722860267979218</v>
      </c>
    </row>
    <row r="288" spans="1:17" x14ac:dyDescent="0.3">
      <c r="A288" t="s">
        <v>456</v>
      </c>
      <c r="B288" t="s">
        <v>107</v>
      </c>
      <c r="C288" t="s">
        <v>180</v>
      </c>
      <c r="D288" t="s">
        <v>196</v>
      </c>
      <c r="E288" t="s">
        <v>54</v>
      </c>
      <c r="F288" t="s">
        <v>43</v>
      </c>
      <c r="G288">
        <v>49</v>
      </c>
      <c r="H288" s="4">
        <v>30.46</v>
      </c>
      <c r="I288">
        <v>1492.54</v>
      </c>
      <c r="J288">
        <v>51.82</v>
      </c>
      <c r="K288">
        <v>460.72</v>
      </c>
      <c r="L288" t="s">
        <v>30</v>
      </c>
      <c r="M288" t="s">
        <v>23</v>
      </c>
      <c r="N288" t="s">
        <v>66</v>
      </c>
      <c r="O288">
        <f>_xlfn.XLOOKUP(E288,Product_Master!$B$2:$B$11,Product_Master!$F$2:$F$11)</f>
        <v>20</v>
      </c>
      <c r="P288">
        <f t="shared" si="8"/>
        <v>980</v>
      </c>
      <c r="Q288" s="5">
        <f t="shared" si="9"/>
        <v>0.30868184437268015</v>
      </c>
    </row>
    <row r="289" spans="1:17" x14ac:dyDescent="0.3">
      <c r="A289" t="s">
        <v>457</v>
      </c>
      <c r="B289" t="s">
        <v>68</v>
      </c>
      <c r="C289" t="s">
        <v>35</v>
      </c>
      <c r="D289" t="s">
        <v>63</v>
      </c>
      <c r="E289" t="s">
        <v>98</v>
      </c>
      <c r="F289" t="s">
        <v>59</v>
      </c>
      <c r="G289">
        <v>25</v>
      </c>
      <c r="H289" s="4">
        <v>35.21</v>
      </c>
      <c r="I289">
        <v>880.25</v>
      </c>
      <c r="J289">
        <v>39.799999999999997</v>
      </c>
      <c r="K289">
        <v>140.44999999999999</v>
      </c>
      <c r="L289" t="s">
        <v>44</v>
      </c>
      <c r="M289" t="s">
        <v>31</v>
      </c>
      <c r="N289" t="s">
        <v>66</v>
      </c>
      <c r="O289">
        <f>_xlfn.XLOOKUP(E289,Product_Master!$B$2:$B$11,Product_Master!$F$2:$F$11)</f>
        <v>28</v>
      </c>
      <c r="P289">
        <f t="shared" si="8"/>
        <v>700</v>
      </c>
      <c r="Q289" s="5">
        <f t="shared" si="9"/>
        <v>0.1595569440499858</v>
      </c>
    </row>
    <row r="290" spans="1:17" x14ac:dyDescent="0.3">
      <c r="A290" t="s">
        <v>458</v>
      </c>
      <c r="B290" t="s">
        <v>157</v>
      </c>
      <c r="C290" t="s">
        <v>240</v>
      </c>
      <c r="D290" t="s">
        <v>19</v>
      </c>
      <c r="E290" t="s">
        <v>98</v>
      </c>
      <c r="F290" t="s">
        <v>59</v>
      </c>
      <c r="G290">
        <v>37</v>
      </c>
      <c r="H290" s="4">
        <v>44.82</v>
      </c>
      <c r="I290">
        <v>1658.34</v>
      </c>
      <c r="J290">
        <v>65.75</v>
      </c>
      <c r="K290">
        <v>556.59</v>
      </c>
      <c r="L290" t="s">
        <v>30</v>
      </c>
      <c r="M290" t="s">
        <v>31</v>
      </c>
      <c r="N290" t="s">
        <v>24</v>
      </c>
      <c r="O290">
        <f>_xlfn.XLOOKUP(E290,Product_Master!$B$2:$B$11,Product_Master!$F$2:$F$11)</f>
        <v>28</v>
      </c>
      <c r="P290">
        <f t="shared" si="8"/>
        <v>1036</v>
      </c>
      <c r="Q290" s="5">
        <f t="shared" si="9"/>
        <v>0.33563081153442603</v>
      </c>
    </row>
    <row r="291" spans="1:17" x14ac:dyDescent="0.3">
      <c r="A291" t="s">
        <v>459</v>
      </c>
      <c r="B291" t="s">
        <v>56</v>
      </c>
      <c r="C291" t="s">
        <v>325</v>
      </c>
      <c r="D291" t="s">
        <v>170</v>
      </c>
      <c r="E291" t="s">
        <v>69</v>
      </c>
      <c r="F291" t="s">
        <v>59</v>
      </c>
      <c r="G291">
        <v>11</v>
      </c>
      <c r="H291" s="4">
        <v>18.75</v>
      </c>
      <c r="I291">
        <v>206.25</v>
      </c>
      <c r="J291">
        <v>11.67</v>
      </c>
      <c r="K291">
        <v>24.08</v>
      </c>
      <c r="L291" t="s">
        <v>22</v>
      </c>
      <c r="M291" t="s">
        <v>23</v>
      </c>
      <c r="N291" t="s">
        <v>32</v>
      </c>
      <c r="O291">
        <f>_xlfn.XLOOKUP(E291,Product_Master!$B$2:$B$11,Product_Master!$F$2:$F$11)</f>
        <v>15.5</v>
      </c>
      <c r="P291">
        <f t="shared" si="8"/>
        <v>170.5</v>
      </c>
      <c r="Q291" s="5">
        <f t="shared" si="9"/>
        <v>0.11675151515151515</v>
      </c>
    </row>
    <row r="292" spans="1:17" x14ac:dyDescent="0.3">
      <c r="A292" t="s">
        <v>460</v>
      </c>
      <c r="B292" t="s">
        <v>83</v>
      </c>
      <c r="C292" t="s">
        <v>240</v>
      </c>
      <c r="D292" t="s">
        <v>41</v>
      </c>
      <c r="E292" t="s">
        <v>54</v>
      </c>
      <c r="F292" t="s">
        <v>43</v>
      </c>
      <c r="G292">
        <v>37</v>
      </c>
      <c r="H292" s="4">
        <v>31.66</v>
      </c>
      <c r="I292">
        <v>1171.42</v>
      </c>
      <c r="J292">
        <v>58.95</v>
      </c>
      <c r="K292">
        <v>372.47</v>
      </c>
      <c r="L292" t="s">
        <v>44</v>
      </c>
      <c r="M292" t="s">
        <v>23</v>
      </c>
      <c r="N292" t="s">
        <v>45</v>
      </c>
      <c r="O292">
        <f>_xlfn.XLOOKUP(E292,Product_Master!$B$2:$B$11,Product_Master!$F$2:$F$11)</f>
        <v>20</v>
      </c>
      <c r="P292">
        <f t="shared" si="8"/>
        <v>740</v>
      </c>
      <c r="Q292" s="5">
        <f t="shared" si="9"/>
        <v>0.31796452169162215</v>
      </c>
    </row>
    <row r="293" spans="1:17" x14ac:dyDescent="0.3">
      <c r="A293" t="s">
        <v>461</v>
      </c>
      <c r="B293" t="s">
        <v>95</v>
      </c>
      <c r="C293" t="s">
        <v>319</v>
      </c>
      <c r="D293" t="s">
        <v>28</v>
      </c>
      <c r="E293" t="s">
        <v>54</v>
      </c>
      <c r="F293" t="s">
        <v>43</v>
      </c>
      <c r="G293">
        <v>17</v>
      </c>
      <c r="H293" s="4">
        <v>32.74</v>
      </c>
      <c r="I293">
        <v>556.58000000000004</v>
      </c>
      <c r="J293">
        <v>14.68</v>
      </c>
      <c r="K293">
        <v>201.9</v>
      </c>
      <c r="L293" t="s">
        <v>30</v>
      </c>
      <c r="M293" t="s">
        <v>31</v>
      </c>
      <c r="N293" t="s">
        <v>32</v>
      </c>
      <c r="O293">
        <f>_xlfn.XLOOKUP(E293,Product_Master!$B$2:$B$11,Product_Master!$F$2:$F$11)</f>
        <v>20</v>
      </c>
      <c r="P293">
        <f t="shared" si="8"/>
        <v>340</v>
      </c>
      <c r="Q293" s="5">
        <f t="shared" si="9"/>
        <v>0.36275108699558012</v>
      </c>
    </row>
    <row r="294" spans="1:17" x14ac:dyDescent="0.3">
      <c r="A294" t="s">
        <v>462</v>
      </c>
      <c r="B294" t="s">
        <v>34</v>
      </c>
      <c r="C294" t="s">
        <v>79</v>
      </c>
      <c r="D294" t="s">
        <v>19</v>
      </c>
      <c r="E294" t="s">
        <v>98</v>
      </c>
      <c r="F294" t="s">
        <v>59</v>
      </c>
      <c r="G294">
        <v>7</v>
      </c>
      <c r="H294" s="4">
        <v>46.64</v>
      </c>
      <c r="I294">
        <v>326.48</v>
      </c>
      <c r="J294">
        <v>25.19</v>
      </c>
      <c r="K294">
        <v>105.29</v>
      </c>
      <c r="L294" t="s">
        <v>30</v>
      </c>
      <c r="M294" t="s">
        <v>37</v>
      </c>
      <c r="N294" t="s">
        <v>24</v>
      </c>
      <c r="O294">
        <f>_xlfn.XLOOKUP(E294,Product_Master!$B$2:$B$11,Product_Master!$F$2:$F$11)</f>
        <v>28</v>
      </c>
      <c r="P294">
        <f t="shared" si="8"/>
        <v>196</v>
      </c>
      <c r="Q294" s="5">
        <f t="shared" si="9"/>
        <v>0.32250061259495222</v>
      </c>
    </row>
    <row r="295" spans="1:17" x14ac:dyDescent="0.3">
      <c r="A295" t="s">
        <v>463</v>
      </c>
      <c r="B295" t="s">
        <v>26</v>
      </c>
      <c r="C295" t="s">
        <v>153</v>
      </c>
      <c r="D295" t="s">
        <v>88</v>
      </c>
      <c r="E295" t="s">
        <v>29</v>
      </c>
      <c r="F295" t="s">
        <v>21</v>
      </c>
      <c r="G295">
        <v>16</v>
      </c>
      <c r="H295" s="4">
        <v>24.77</v>
      </c>
      <c r="I295">
        <v>396.32</v>
      </c>
      <c r="J295">
        <v>15.6</v>
      </c>
      <c r="K295">
        <v>92.72</v>
      </c>
      <c r="L295" t="s">
        <v>22</v>
      </c>
      <c r="M295" t="s">
        <v>37</v>
      </c>
      <c r="N295" t="s">
        <v>66</v>
      </c>
      <c r="O295">
        <f>_xlfn.XLOOKUP(E295,Product_Master!$B$2:$B$11,Product_Master!$F$2:$F$11)</f>
        <v>18</v>
      </c>
      <c r="P295">
        <f t="shared" si="8"/>
        <v>288</v>
      </c>
      <c r="Q295" s="5">
        <f t="shared" si="9"/>
        <v>0.23395236172789666</v>
      </c>
    </row>
    <row r="296" spans="1:17" x14ac:dyDescent="0.3">
      <c r="A296" t="s">
        <v>464</v>
      </c>
      <c r="B296" t="s">
        <v>75</v>
      </c>
      <c r="C296" t="s">
        <v>72</v>
      </c>
      <c r="D296" t="s">
        <v>53</v>
      </c>
      <c r="E296" t="s">
        <v>49</v>
      </c>
      <c r="F296" t="s">
        <v>50</v>
      </c>
      <c r="G296">
        <v>39</v>
      </c>
      <c r="H296" s="4">
        <v>56.5</v>
      </c>
      <c r="I296">
        <v>2203.5</v>
      </c>
      <c r="J296">
        <v>141.58000000000001</v>
      </c>
      <c r="K296">
        <v>501.92</v>
      </c>
      <c r="L296" t="s">
        <v>44</v>
      </c>
      <c r="M296" t="s">
        <v>23</v>
      </c>
      <c r="N296" t="s">
        <v>24</v>
      </c>
      <c r="O296">
        <f>_xlfn.XLOOKUP(E296,Product_Master!$B$2:$B$11,Product_Master!$F$2:$F$11)</f>
        <v>40</v>
      </c>
      <c r="P296">
        <f t="shared" si="8"/>
        <v>1560</v>
      </c>
      <c r="Q296" s="5">
        <f t="shared" si="9"/>
        <v>0.2277830723848423</v>
      </c>
    </row>
    <row r="297" spans="1:17" x14ac:dyDescent="0.3">
      <c r="A297" t="s">
        <v>465</v>
      </c>
      <c r="B297" t="s">
        <v>68</v>
      </c>
      <c r="C297" t="s">
        <v>383</v>
      </c>
      <c r="D297" t="s">
        <v>196</v>
      </c>
      <c r="E297" t="s">
        <v>69</v>
      </c>
      <c r="F297" t="s">
        <v>59</v>
      </c>
      <c r="G297">
        <v>1</v>
      </c>
      <c r="H297" s="4">
        <v>24.01</v>
      </c>
      <c r="I297">
        <v>24.01</v>
      </c>
      <c r="J297">
        <v>1.58</v>
      </c>
      <c r="K297">
        <v>6.93</v>
      </c>
      <c r="L297" t="s">
        <v>22</v>
      </c>
      <c r="M297" t="s">
        <v>23</v>
      </c>
      <c r="N297" t="s">
        <v>66</v>
      </c>
      <c r="O297">
        <f>_xlfn.XLOOKUP(E297,Product_Master!$B$2:$B$11,Product_Master!$F$2:$F$11)</f>
        <v>15.5</v>
      </c>
      <c r="P297">
        <f t="shared" si="8"/>
        <v>15.5</v>
      </c>
      <c r="Q297" s="5">
        <f t="shared" si="9"/>
        <v>0.28862973760932942</v>
      </c>
    </row>
    <row r="298" spans="1:17" x14ac:dyDescent="0.3">
      <c r="A298" t="s">
        <v>466</v>
      </c>
      <c r="B298" t="s">
        <v>78</v>
      </c>
      <c r="C298" t="s">
        <v>117</v>
      </c>
      <c r="D298" t="s">
        <v>196</v>
      </c>
      <c r="E298" t="s">
        <v>64</v>
      </c>
      <c r="F298" t="s">
        <v>65</v>
      </c>
      <c r="G298">
        <v>45</v>
      </c>
      <c r="H298" s="4">
        <v>35.99</v>
      </c>
      <c r="I298">
        <v>1619.55</v>
      </c>
      <c r="J298">
        <v>49.95</v>
      </c>
      <c r="K298">
        <v>444.6</v>
      </c>
      <c r="L298" t="s">
        <v>22</v>
      </c>
      <c r="M298" t="s">
        <v>31</v>
      </c>
      <c r="N298" t="s">
        <v>66</v>
      </c>
      <c r="O298">
        <f>_xlfn.XLOOKUP(E298,Product_Master!$B$2:$B$11,Product_Master!$F$2:$F$11)</f>
        <v>25</v>
      </c>
      <c r="P298">
        <f t="shared" si="8"/>
        <v>1125</v>
      </c>
      <c r="Q298" s="5">
        <f t="shared" si="9"/>
        <v>0.27452070019449848</v>
      </c>
    </row>
    <row r="299" spans="1:17" x14ac:dyDescent="0.3">
      <c r="A299" t="s">
        <v>467</v>
      </c>
      <c r="B299" t="s">
        <v>26</v>
      </c>
      <c r="C299" t="s">
        <v>185</v>
      </c>
      <c r="D299" t="s">
        <v>81</v>
      </c>
      <c r="E299" t="s">
        <v>54</v>
      </c>
      <c r="F299" t="s">
        <v>43</v>
      </c>
      <c r="G299">
        <v>5</v>
      </c>
      <c r="H299" s="4">
        <v>25.45</v>
      </c>
      <c r="I299">
        <v>127.25</v>
      </c>
      <c r="J299">
        <v>7.22</v>
      </c>
      <c r="K299">
        <v>20.03</v>
      </c>
      <c r="L299" t="s">
        <v>44</v>
      </c>
      <c r="M299" t="s">
        <v>37</v>
      </c>
      <c r="N299" t="s">
        <v>66</v>
      </c>
      <c r="O299">
        <f>_xlfn.XLOOKUP(E299,Product_Master!$B$2:$B$11,Product_Master!$F$2:$F$11)</f>
        <v>20</v>
      </c>
      <c r="P299">
        <f t="shared" si="8"/>
        <v>100</v>
      </c>
      <c r="Q299" s="5">
        <f t="shared" si="9"/>
        <v>0.15740667976424363</v>
      </c>
    </row>
    <row r="300" spans="1:17" x14ac:dyDescent="0.3">
      <c r="A300" t="s">
        <v>468</v>
      </c>
      <c r="B300" t="s">
        <v>17</v>
      </c>
      <c r="C300" t="s">
        <v>117</v>
      </c>
      <c r="D300" t="s">
        <v>91</v>
      </c>
      <c r="E300" t="s">
        <v>69</v>
      </c>
      <c r="F300" t="s">
        <v>59</v>
      </c>
      <c r="G300">
        <v>24</v>
      </c>
      <c r="H300" s="4">
        <v>19.53</v>
      </c>
      <c r="I300">
        <v>468.72</v>
      </c>
      <c r="J300">
        <v>14.12</v>
      </c>
      <c r="K300">
        <v>82.6</v>
      </c>
      <c r="L300" t="s">
        <v>22</v>
      </c>
      <c r="M300" t="s">
        <v>23</v>
      </c>
      <c r="N300" t="s">
        <v>66</v>
      </c>
      <c r="O300">
        <f>_xlfn.XLOOKUP(E300,Product_Master!$B$2:$B$11,Product_Master!$F$2:$F$11)</f>
        <v>15.5</v>
      </c>
      <c r="P300">
        <f t="shared" si="8"/>
        <v>372</v>
      </c>
      <c r="Q300" s="5">
        <f t="shared" si="9"/>
        <v>0.17622461170848266</v>
      </c>
    </row>
    <row r="301" spans="1:17" x14ac:dyDescent="0.3">
      <c r="A301" t="s">
        <v>469</v>
      </c>
      <c r="B301" t="s">
        <v>17</v>
      </c>
      <c r="C301" t="s">
        <v>27</v>
      </c>
      <c r="D301" t="s">
        <v>48</v>
      </c>
      <c r="E301" t="s">
        <v>73</v>
      </c>
      <c r="F301" t="s">
        <v>43</v>
      </c>
      <c r="G301">
        <v>28</v>
      </c>
      <c r="H301" s="4">
        <v>22.33</v>
      </c>
      <c r="I301">
        <v>625.24</v>
      </c>
      <c r="J301">
        <v>44.24</v>
      </c>
      <c r="K301">
        <v>224</v>
      </c>
      <c r="L301" t="s">
        <v>22</v>
      </c>
      <c r="M301" t="s">
        <v>23</v>
      </c>
      <c r="N301" t="s">
        <v>24</v>
      </c>
      <c r="O301">
        <f>_xlfn.XLOOKUP(E301,Product_Master!$B$2:$B$11,Product_Master!$F$2:$F$11)</f>
        <v>12.75</v>
      </c>
      <c r="P301">
        <f t="shared" si="8"/>
        <v>357</v>
      </c>
      <c r="Q301" s="5">
        <f t="shared" si="9"/>
        <v>0.35826242722794449</v>
      </c>
    </row>
    <row r="302" spans="1:17" x14ac:dyDescent="0.3">
      <c r="A302" t="s">
        <v>470</v>
      </c>
      <c r="B302" t="s">
        <v>132</v>
      </c>
      <c r="C302" t="s">
        <v>108</v>
      </c>
      <c r="D302" t="s">
        <v>36</v>
      </c>
      <c r="E302" t="s">
        <v>42</v>
      </c>
      <c r="F302" t="s">
        <v>43</v>
      </c>
      <c r="G302">
        <v>49</v>
      </c>
      <c r="H302" s="4">
        <v>39.31</v>
      </c>
      <c r="I302">
        <v>1926.19</v>
      </c>
      <c r="J302">
        <v>69.7</v>
      </c>
      <c r="K302">
        <v>288.49</v>
      </c>
      <c r="L302" t="s">
        <v>30</v>
      </c>
      <c r="M302" t="s">
        <v>23</v>
      </c>
      <c r="N302" t="s">
        <v>32</v>
      </c>
      <c r="O302">
        <f>_xlfn.XLOOKUP(E302,Product_Master!$B$2:$B$11,Product_Master!$F$2:$F$11)</f>
        <v>32</v>
      </c>
      <c r="P302">
        <f t="shared" si="8"/>
        <v>1568</v>
      </c>
      <c r="Q302" s="5">
        <f t="shared" si="9"/>
        <v>0.14977234852221225</v>
      </c>
    </row>
    <row r="303" spans="1:17" x14ac:dyDescent="0.3">
      <c r="A303" t="s">
        <v>471</v>
      </c>
      <c r="B303" t="s">
        <v>95</v>
      </c>
      <c r="C303" t="s">
        <v>202</v>
      </c>
      <c r="D303" t="s">
        <v>196</v>
      </c>
      <c r="E303" t="s">
        <v>69</v>
      </c>
      <c r="F303" t="s">
        <v>59</v>
      </c>
      <c r="G303">
        <v>6</v>
      </c>
      <c r="H303" s="4">
        <v>22.95</v>
      </c>
      <c r="I303">
        <v>137.69999999999999</v>
      </c>
      <c r="J303">
        <v>5.63</v>
      </c>
      <c r="K303">
        <v>39.07</v>
      </c>
      <c r="L303" t="s">
        <v>30</v>
      </c>
      <c r="M303" t="s">
        <v>31</v>
      </c>
      <c r="N303" t="s">
        <v>66</v>
      </c>
      <c r="O303">
        <f>_xlfn.XLOOKUP(E303,Product_Master!$B$2:$B$11,Product_Master!$F$2:$F$11)</f>
        <v>15.5</v>
      </c>
      <c r="P303">
        <f t="shared" si="8"/>
        <v>93</v>
      </c>
      <c r="Q303" s="5">
        <f t="shared" si="9"/>
        <v>0.28373275236020334</v>
      </c>
    </row>
    <row r="304" spans="1:17" x14ac:dyDescent="0.3">
      <c r="A304" t="s">
        <v>472</v>
      </c>
      <c r="B304" t="s">
        <v>56</v>
      </c>
      <c r="C304" t="s">
        <v>173</v>
      </c>
      <c r="D304" t="s">
        <v>53</v>
      </c>
      <c r="E304" t="s">
        <v>54</v>
      </c>
      <c r="F304" t="s">
        <v>43</v>
      </c>
      <c r="G304">
        <v>35</v>
      </c>
      <c r="H304" s="4">
        <v>27.72</v>
      </c>
      <c r="I304">
        <v>970.2</v>
      </c>
      <c r="J304">
        <v>61.74</v>
      </c>
      <c r="K304">
        <v>208.46</v>
      </c>
      <c r="L304" t="s">
        <v>22</v>
      </c>
      <c r="M304" t="s">
        <v>37</v>
      </c>
      <c r="N304" t="s">
        <v>24</v>
      </c>
      <c r="O304">
        <f>_xlfn.XLOOKUP(E304,Product_Master!$B$2:$B$11,Product_Master!$F$2:$F$11)</f>
        <v>20</v>
      </c>
      <c r="P304">
        <f t="shared" si="8"/>
        <v>700</v>
      </c>
      <c r="Q304" s="5">
        <f t="shared" si="9"/>
        <v>0.21486291486291487</v>
      </c>
    </row>
    <row r="305" spans="1:17" x14ac:dyDescent="0.3">
      <c r="A305" t="s">
        <v>473</v>
      </c>
      <c r="B305" t="s">
        <v>39</v>
      </c>
      <c r="C305" t="s">
        <v>164</v>
      </c>
      <c r="D305" t="s">
        <v>63</v>
      </c>
      <c r="E305" t="s">
        <v>49</v>
      </c>
      <c r="F305" t="s">
        <v>50</v>
      </c>
      <c r="G305">
        <v>34</v>
      </c>
      <c r="H305" s="4">
        <v>64.75</v>
      </c>
      <c r="I305">
        <v>2201.5</v>
      </c>
      <c r="J305">
        <v>68.05</v>
      </c>
      <c r="K305">
        <v>773.45</v>
      </c>
      <c r="L305" t="s">
        <v>44</v>
      </c>
      <c r="M305" t="s">
        <v>37</v>
      </c>
      <c r="N305" t="s">
        <v>66</v>
      </c>
      <c r="O305">
        <f>_xlfn.XLOOKUP(E305,Product_Master!$B$2:$B$11,Product_Master!$F$2:$F$11)</f>
        <v>40</v>
      </c>
      <c r="P305">
        <f t="shared" si="8"/>
        <v>1360</v>
      </c>
      <c r="Q305" s="5">
        <f t="shared" si="9"/>
        <v>0.35132863956393368</v>
      </c>
    </row>
    <row r="306" spans="1:17" x14ac:dyDescent="0.3">
      <c r="A306" t="s">
        <v>474</v>
      </c>
      <c r="B306" t="s">
        <v>75</v>
      </c>
      <c r="C306" t="s">
        <v>137</v>
      </c>
      <c r="D306" t="s">
        <v>147</v>
      </c>
      <c r="E306" t="s">
        <v>54</v>
      </c>
      <c r="F306" t="s">
        <v>43</v>
      </c>
      <c r="G306">
        <v>49</v>
      </c>
      <c r="H306" s="4">
        <v>26.02</v>
      </c>
      <c r="I306">
        <v>1274.98</v>
      </c>
      <c r="J306">
        <v>61.84</v>
      </c>
      <c r="K306">
        <v>233.14</v>
      </c>
      <c r="L306" t="s">
        <v>44</v>
      </c>
      <c r="M306" t="s">
        <v>31</v>
      </c>
      <c r="N306" t="s">
        <v>148</v>
      </c>
      <c r="O306">
        <f>_xlfn.XLOOKUP(E306,Product_Master!$B$2:$B$11,Product_Master!$F$2:$F$11)</f>
        <v>20</v>
      </c>
      <c r="P306">
        <f t="shared" si="8"/>
        <v>980</v>
      </c>
      <c r="Q306" s="5">
        <f t="shared" si="9"/>
        <v>0.18285777031796577</v>
      </c>
    </row>
    <row r="307" spans="1:17" x14ac:dyDescent="0.3">
      <c r="A307" t="s">
        <v>475</v>
      </c>
      <c r="B307" t="s">
        <v>78</v>
      </c>
      <c r="C307" t="s">
        <v>265</v>
      </c>
      <c r="D307" t="s">
        <v>41</v>
      </c>
      <c r="E307" t="s">
        <v>64</v>
      </c>
      <c r="F307" t="s">
        <v>65</v>
      </c>
      <c r="G307">
        <v>1</v>
      </c>
      <c r="H307" s="4">
        <v>32.979999999999997</v>
      </c>
      <c r="I307">
        <v>32.979999999999997</v>
      </c>
      <c r="J307">
        <v>1.89</v>
      </c>
      <c r="K307">
        <v>6.09</v>
      </c>
      <c r="L307" t="s">
        <v>44</v>
      </c>
      <c r="M307" t="s">
        <v>31</v>
      </c>
      <c r="N307" t="s">
        <v>45</v>
      </c>
      <c r="O307">
        <f>_xlfn.XLOOKUP(E307,Product_Master!$B$2:$B$11,Product_Master!$F$2:$F$11)</f>
        <v>25</v>
      </c>
      <c r="P307">
        <f t="shared" si="8"/>
        <v>25</v>
      </c>
      <c r="Q307" s="5">
        <f t="shared" si="9"/>
        <v>0.18465736810187994</v>
      </c>
    </row>
    <row r="308" spans="1:17" x14ac:dyDescent="0.3">
      <c r="A308" t="s">
        <v>476</v>
      </c>
      <c r="B308" t="s">
        <v>132</v>
      </c>
      <c r="C308" t="s">
        <v>334</v>
      </c>
      <c r="D308" t="s">
        <v>41</v>
      </c>
      <c r="E308" t="s">
        <v>73</v>
      </c>
      <c r="F308" t="s">
        <v>43</v>
      </c>
      <c r="G308">
        <v>18</v>
      </c>
      <c r="H308" s="4">
        <v>20.09</v>
      </c>
      <c r="I308">
        <v>361.62</v>
      </c>
      <c r="J308">
        <v>8.3800000000000008</v>
      </c>
      <c r="K308">
        <v>123.74</v>
      </c>
      <c r="L308" t="s">
        <v>22</v>
      </c>
      <c r="M308" t="s">
        <v>23</v>
      </c>
      <c r="N308" t="s">
        <v>45</v>
      </c>
      <c r="O308">
        <f>_xlfn.XLOOKUP(E308,Product_Master!$B$2:$B$11,Product_Master!$F$2:$F$11)</f>
        <v>12.75</v>
      </c>
      <c r="P308">
        <f t="shared" si="8"/>
        <v>229.5</v>
      </c>
      <c r="Q308" s="5">
        <f t="shared" si="9"/>
        <v>0.34218240141585088</v>
      </c>
    </row>
    <row r="309" spans="1:17" x14ac:dyDescent="0.3">
      <c r="A309" t="s">
        <v>477</v>
      </c>
      <c r="B309" t="s">
        <v>56</v>
      </c>
      <c r="C309" t="s">
        <v>185</v>
      </c>
      <c r="D309" t="s">
        <v>196</v>
      </c>
      <c r="E309" t="s">
        <v>20</v>
      </c>
      <c r="F309" t="s">
        <v>21</v>
      </c>
      <c r="G309">
        <v>39</v>
      </c>
      <c r="H309" s="4">
        <v>49.59</v>
      </c>
      <c r="I309">
        <v>1934.01</v>
      </c>
      <c r="J309">
        <v>62.79</v>
      </c>
      <c r="K309">
        <v>506.22</v>
      </c>
      <c r="L309" t="s">
        <v>30</v>
      </c>
      <c r="M309" t="s">
        <v>31</v>
      </c>
      <c r="N309" t="s">
        <v>66</v>
      </c>
      <c r="O309">
        <f>_xlfn.XLOOKUP(E309,Product_Master!$B$2:$B$11,Product_Master!$F$2:$F$11)</f>
        <v>35</v>
      </c>
      <c r="P309">
        <f t="shared" si="8"/>
        <v>1365</v>
      </c>
      <c r="Q309" s="5">
        <f t="shared" si="9"/>
        <v>0.26174631982254487</v>
      </c>
    </row>
    <row r="310" spans="1:17" x14ac:dyDescent="0.3">
      <c r="A310" t="s">
        <v>478</v>
      </c>
      <c r="B310" t="s">
        <v>75</v>
      </c>
      <c r="C310" t="s">
        <v>310</v>
      </c>
      <c r="D310" t="s">
        <v>48</v>
      </c>
      <c r="E310" t="s">
        <v>42</v>
      </c>
      <c r="F310" t="s">
        <v>43</v>
      </c>
      <c r="G310">
        <v>6</v>
      </c>
      <c r="H310" s="4">
        <v>41.99</v>
      </c>
      <c r="I310">
        <v>251.94</v>
      </c>
      <c r="J310">
        <v>10.76</v>
      </c>
      <c r="K310">
        <v>49.18</v>
      </c>
      <c r="L310" t="s">
        <v>22</v>
      </c>
      <c r="M310" t="s">
        <v>23</v>
      </c>
      <c r="N310" t="s">
        <v>24</v>
      </c>
      <c r="O310">
        <f>_xlfn.XLOOKUP(E310,Product_Master!$B$2:$B$11,Product_Master!$F$2:$F$11)</f>
        <v>32</v>
      </c>
      <c r="P310">
        <f t="shared" si="8"/>
        <v>192</v>
      </c>
      <c r="Q310" s="5">
        <f t="shared" si="9"/>
        <v>0.19520520758910853</v>
      </c>
    </row>
    <row r="311" spans="1:17" x14ac:dyDescent="0.3">
      <c r="A311" t="s">
        <v>479</v>
      </c>
      <c r="B311" t="s">
        <v>107</v>
      </c>
      <c r="C311" t="s">
        <v>79</v>
      </c>
      <c r="D311" t="s">
        <v>81</v>
      </c>
      <c r="E311" t="s">
        <v>20</v>
      </c>
      <c r="F311" t="s">
        <v>21</v>
      </c>
      <c r="G311">
        <v>12</v>
      </c>
      <c r="H311" s="4">
        <v>47.4</v>
      </c>
      <c r="I311">
        <v>568.79999999999995</v>
      </c>
      <c r="J311">
        <v>23.31</v>
      </c>
      <c r="K311">
        <v>125.49</v>
      </c>
      <c r="L311" t="s">
        <v>44</v>
      </c>
      <c r="M311" t="s">
        <v>23</v>
      </c>
      <c r="N311" t="s">
        <v>66</v>
      </c>
      <c r="O311">
        <f>_xlfn.XLOOKUP(E311,Product_Master!$B$2:$B$11,Product_Master!$F$2:$F$11)</f>
        <v>35</v>
      </c>
      <c r="P311">
        <f t="shared" si="8"/>
        <v>420</v>
      </c>
      <c r="Q311" s="5">
        <f t="shared" si="9"/>
        <v>0.22062236286919831</v>
      </c>
    </row>
    <row r="312" spans="1:17" x14ac:dyDescent="0.3">
      <c r="A312" t="s">
        <v>480</v>
      </c>
      <c r="B312" t="s">
        <v>95</v>
      </c>
      <c r="C312" t="s">
        <v>268</v>
      </c>
      <c r="D312" t="s">
        <v>88</v>
      </c>
      <c r="E312" t="s">
        <v>54</v>
      </c>
      <c r="F312" t="s">
        <v>43</v>
      </c>
      <c r="G312">
        <v>50</v>
      </c>
      <c r="H312" s="4">
        <v>34.28</v>
      </c>
      <c r="I312">
        <v>1714</v>
      </c>
      <c r="J312">
        <v>59.84</v>
      </c>
      <c r="K312">
        <v>654.16</v>
      </c>
      <c r="L312" t="s">
        <v>22</v>
      </c>
      <c r="M312" t="s">
        <v>23</v>
      </c>
      <c r="N312" t="s">
        <v>66</v>
      </c>
      <c r="O312">
        <f>_xlfn.XLOOKUP(E312,Product_Master!$B$2:$B$11,Product_Master!$F$2:$F$11)</f>
        <v>20</v>
      </c>
      <c r="P312">
        <f t="shared" si="8"/>
        <v>1000</v>
      </c>
      <c r="Q312" s="5">
        <f t="shared" si="9"/>
        <v>0.38165694282380397</v>
      </c>
    </row>
    <row r="313" spans="1:17" x14ac:dyDescent="0.3">
      <c r="A313" t="s">
        <v>481</v>
      </c>
      <c r="B313" t="s">
        <v>104</v>
      </c>
      <c r="C313" t="s">
        <v>223</v>
      </c>
      <c r="D313" t="s">
        <v>101</v>
      </c>
      <c r="E313" t="s">
        <v>29</v>
      </c>
      <c r="F313" t="s">
        <v>21</v>
      </c>
      <c r="G313">
        <v>50</v>
      </c>
      <c r="H313" s="4">
        <v>29.39</v>
      </c>
      <c r="I313">
        <v>1469.5</v>
      </c>
      <c r="J313">
        <v>101.51</v>
      </c>
      <c r="K313">
        <v>467.99</v>
      </c>
      <c r="L313" t="s">
        <v>44</v>
      </c>
      <c r="M313" t="s">
        <v>37</v>
      </c>
      <c r="N313" t="s">
        <v>102</v>
      </c>
      <c r="O313">
        <f>_xlfn.XLOOKUP(E313,Product_Master!$B$2:$B$11,Product_Master!$F$2:$F$11)</f>
        <v>18</v>
      </c>
      <c r="P313">
        <f t="shared" si="8"/>
        <v>900</v>
      </c>
      <c r="Q313" s="5">
        <f t="shared" si="9"/>
        <v>0.31846886696155158</v>
      </c>
    </row>
    <row r="314" spans="1:17" x14ac:dyDescent="0.3">
      <c r="A314" t="s">
        <v>482</v>
      </c>
      <c r="B314" t="s">
        <v>71</v>
      </c>
      <c r="C314" t="s">
        <v>130</v>
      </c>
      <c r="D314" t="s">
        <v>41</v>
      </c>
      <c r="E314" t="s">
        <v>29</v>
      </c>
      <c r="F314" t="s">
        <v>21</v>
      </c>
      <c r="G314">
        <v>46</v>
      </c>
      <c r="H314" s="4">
        <v>30.34</v>
      </c>
      <c r="I314">
        <v>1395.64</v>
      </c>
      <c r="J314">
        <v>104.2</v>
      </c>
      <c r="K314">
        <v>463.44</v>
      </c>
      <c r="L314" t="s">
        <v>22</v>
      </c>
      <c r="M314" t="s">
        <v>31</v>
      </c>
      <c r="N314" t="s">
        <v>45</v>
      </c>
      <c r="O314">
        <f>_xlfn.XLOOKUP(E314,Product_Master!$B$2:$B$11,Product_Master!$F$2:$F$11)</f>
        <v>18</v>
      </c>
      <c r="P314">
        <f t="shared" si="8"/>
        <v>828</v>
      </c>
      <c r="Q314" s="5">
        <f t="shared" si="9"/>
        <v>0.33206270958126732</v>
      </c>
    </row>
    <row r="315" spans="1:17" x14ac:dyDescent="0.3">
      <c r="A315" t="s">
        <v>483</v>
      </c>
      <c r="B315" t="s">
        <v>86</v>
      </c>
      <c r="C315" t="s">
        <v>484</v>
      </c>
      <c r="D315" t="s">
        <v>81</v>
      </c>
      <c r="E315" t="s">
        <v>73</v>
      </c>
      <c r="F315" t="s">
        <v>43</v>
      </c>
      <c r="G315">
        <v>50</v>
      </c>
      <c r="H315" s="4">
        <v>18.809999999999999</v>
      </c>
      <c r="I315">
        <v>940.5</v>
      </c>
      <c r="J315">
        <v>40.25</v>
      </c>
      <c r="K315">
        <v>262.75</v>
      </c>
      <c r="L315" t="s">
        <v>30</v>
      </c>
      <c r="M315" t="s">
        <v>31</v>
      </c>
      <c r="N315" t="s">
        <v>66</v>
      </c>
      <c r="O315">
        <f>_xlfn.XLOOKUP(E315,Product_Master!$B$2:$B$11,Product_Master!$F$2:$F$11)</f>
        <v>12.75</v>
      </c>
      <c r="P315">
        <f t="shared" si="8"/>
        <v>637.5</v>
      </c>
      <c r="Q315" s="5">
        <f t="shared" si="9"/>
        <v>0.27937267410951622</v>
      </c>
    </row>
    <row r="316" spans="1:17" x14ac:dyDescent="0.3">
      <c r="A316" t="s">
        <v>485</v>
      </c>
      <c r="B316" t="s">
        <v>95</v>
      </c>
      <c r="C316" t="s">
        <v>223</v>
      </c>
      <c r="D316" t="s">
        <v>147</v>
      </c>
      <c r="E316" t="s">
        <v>58</v>
      </c>
      <c r="F316" t="s">
        <v>59</v>
      </c>
      <c r="G316">
        <v>2</v>
      </c>
      <c r="H316" s="4">
        <v>29.64</v>
      </c>
      <c r="I316">
        <v>59.28</v>
      </c>
      <c r="J316">
        <v>4.59</v>
      </c>
      <c r="K316">
        <v>9.69</v>
      </c>
      <c r="L316" t="s">
        <v>30</v>
      </c>
      <c r="M316" t="s">
        <v>37</v>
      </c>
      <c r="N316" t="s">
        <v>148</v>
      </c>
      <c r="O316">
        <f>_xlfn.XLOOKUP(E316,Product_Master!$B$2:$B$11,Product_Master!$F$2:$F$11)</f>
        <v>22.5</v>
      </c>
      <c r="P316">
        <f t="shared" si="8"/>
        <v>45</v>
      </c>
      <c r="Q316" s="5">
        <f t="shared" si="9"/>
        <v>0.16346153846153846</v>
      </c>
    </row>
    <row r="317" spans="1:17" x14ac:dyDescent="0.3">
      <c r="A317" t="s">
        <v>486</v>
      </c>
      <c r="B317" t="s">
        <v>157</v>
      </c>
      <c r="C317" t="s">
        <v>383</v>
      </c>
      <c r="D317" t="s">
        <v>81</v>
      </c>
      <c r="E317" t="s">
        <v>58</v>
      </c>
      <c r="F317" t="s">
        <v>59</v>
      </c>
      <c r="G317">
        <v>48</v>
      </c>
      <c r="H317" s="4">
        <v>27.9</v>
      </c>
      <c r="I317">
        <v>1339.2</v>
      </c>
      <c r="J317">
        <v>66.31</v>
      </c>
      <c r="K317">
        <v>192.89</v>
      </c>
      <c r="L317" t="s">
        <v>30</v>
      </c>
      <c r="M317" t="s">
        <v>37</v>
      </c>
      <c r="N317" t="s">
        <v>66</v>
      </c>
      <c r="O317">
        <f>_xlfn.XLOOKUP(E317,Product_Master!$B$2:$B$11,Product_Master!$F$2:$F$11)</f>
        <v>22.5</v>
      </c>
      <c r="P317">
        <f t="shared" si="8"/>
        <v>1080</v>
      </c>
      <c r="Q317" s="5">
        <f t="shared" si="9"/>
        <v>0.1440337514934289</v>
      </c>
    </row>
    <row r="318" spans="1:17" x14ac:dyDescent="0.3">
      <c r="A318" t="s">
        <v>487</v>
      </c>
      <c r="B318" t="s">
        <v>78</v>
      </c>
      <c r="C318" t="s">
        <v>312</v>
      </c>
      <c r="D318" t="s">
        <v>123</v>
      </c>
      <c r="E318" t="s">
        <v>64</v>
      </c>
      <c r="F318" t="s">
        <v>65</v>
      </c>
      <c r="G318">
        <v>28</v>
      </c>
      <c r="H318" s="4">
        <v>38.520000000000003</v>
      </c>
      <c r="I318">
        <v>1078.56</v>
      </c>
      <c r="J318">
        <v>64.510000000000005</v>
      </c>
      <c r="K318">
        <v>314.05</v>
      </c>
      <c r="L318" t="s">
        <v>22</v>
      </c>
      <c r="M318" t="s">
        <v>31</v>
      </c>
      <c r="N318" t="s">
        <v>32</v>
      </c>
      <c r="O318">
        <f>_xlfn.XLOOKUP(E318,Product_Master!$B$2:$B$11,Product_Master!$F$2:$F$11)</f>
        <v>25</v>
      </c>
      <c r="P318">
        <f t="shared" si="8"/>
        <v>700</v>
      </c>
      <c r="Q318" s="5">
        <f t="shared" si="9"/>
        <v>0.29117527073134553</v>
      </c>
    </row>
    <row r="319" spans="1:17" x14ac:dyDescent="0.3">
      <c r="A319" t="s">
        <v>488</v>
      </c>
      <c r="B319" t="s">
        <v>86</v>
      </c>
      <c r="C319" t="s">
        <v>200</v>
      </c>
      <c r="D319" t="s">
        <v>28</v>
      </c>
      <c r="E319" t="s">
        <v>58</v>
      </c>
      <c r="F319" t="s">
        <v>59</v>
      </c>
      <c r="G319">
        <v>11</v>
      </c>
      <c r="H319" s="4">
        <v>31.08</v>
      </c>
      <c r="I319">
        <v>341.88</v>
      </c>
      <c r="J319">
        <v>17.18</v>
      </c>
      <c r="K319">
        <v>77.2</v>
      </c>
      <c r="L319" t="s">
        <v>44</v>
      </c>
      <c r="M319" t="s">
        <v>37</v>
      </c>
      <c r="N319" t="s">
        <v>32</v>
      </c>
      <c r="O319">
        <f>_xlfn.XLOOKUP(E319,Product_Master!$B$2:$B$11,Product_Master!$F$2:$F$11)</f>
        <v>22.5</v>
      </c>
      <c r="P319">
        <f t="shared" si="8"/>
        <v>247.5</v>
      </c>
      <c r="Q319" s="5">
        <f t="shared" si="9"/>
        <v>0.22581022581022583</v>
      </c>
    </row>
    <row r="320" spans="1:17" x14ac:dyDescent="0.3">
      <c r="A320" t="s">
        <v>489</v>
      </c>
      <c r="B320" t="s">
        <v>39</v>
      </c>
      <c r="C320" t="s">
        <v>265</v>
      </c>
      <c r="D320" t="s">
        <v>53</v>
      </c>
      <c r="E320" t="s">
        <v>54</v>
      </c>
      <c r="F320" t="s">
        <v>43</v>
      </c>
      <c r="G320">
        <v>42</v>
      </c>
      <c r="H320" s="4">
        <v>25.95</v>
      </c>
      <c r="I320">
        <v>1089.9000000000001</v>
      </c>
      <c r="J320">
        <v>27.5</v>
      </c>
      <c r="K320">
        <v>222.4</v>
      </c>
      <c r="L320" t="s">
        <v>44</v>
      </c>
      <c r="M320" t="s">
        <v>37</v>
      </c>
      <c r="N320" t="s">
        <v>24</v>
      </c>
      <c r="O320">
        <f>_xlfn.XLOOKUP(E320,Product_Master!$B$2:$B$11,Product_Master!$F$2:$F$11)</f>
        <v>20</v>
      </c>
      <c r="P320">
        <f t="shared" si="8"/>
        <v>840</v>
      </c>
      <c r="Q320" s="5">
        <f t="shared" si="9"/>
        <v>0.2040554179282503</v>
      </c>
    </row>
    <row r="321" spans="1:17" x14ac:dyDescent="0.3">
      <c r="A321" t="s">
        <v>490</v>
      </c>
      <c r="B321" t="s">
        <v>71</v>
      </c>
      <c r="C321" t="s">
        <v>418</v>
      </c>
      <c r="D321" t="s">
        <v>81</v>
      </c>
      <c r="E321" t="s">
        <v>64</v>
      </c>
      <c r="F321" t="s">
        <v>65</v>
      </c>
      <c r="G321">
        <v>30</v>
      </c>
      <c r="H321" s="4">
        <v>30.16</v>
      </c>
      <c r="I321">
        <v>904.8</v>
      </c>
      <c r="J321">
        <v>70.13</v>
      </c>
      <c r="K321">
        <v>84.67</v>
      </c>
      <c r="L321" t="s">
        <v>30</v>
      </c>
      <c r="M321" t="s">
        <v>23</v>
      </c>
      <c r="N321" t="s">
        <v>66</v>
      </c>
      <c r="O321">
        <f>_xlfn.XLOOKUP(E321,Product_Master!$B$2:$B$11,Product_Master!$F$2:$F$11)</f>
        <v>25</v>
      </c>
      <c r="P321">
        <f t="shared" si="8"/>
        <v>750</v>
      </c>
      <c r="Q321" s="5">
        <f t="shared" si="9"/>
        <v>9.3578691423519017E-2</v>
      </c>
    </row>
    <row r="322" spans="1:17" x14ac:dyDescent="0.3">
      <c r="A322" t="s">
        <v>491</v>
      </c>
      <c r="B322" t="s">
        <v>95</v>
      </c>
      <c r="C322" t="s">
        <v>492</v>
      </c>
      <c r="D322" t="s">
        <v>41</v>
      </c>
      <c r="E322" t="s">
        <v>54</v>
      </c>
      <c r="F322" t="s">
        <v>43</v>
      </c>
      <c r="G322">
        <v>40</v>
      </c>
      <c r="H322" s="4">
        <v>30.03</v>
      </c>
      <c r="I322">
        <v>1201.2</v>
      </c>
      <c r="J322">
        <v>71.97</v>
      </c>
      <c r="K322">
        <v>329.23</v>
      </c>
      <c r="L322" t="s">
        <v>30</v>
      </c>
      <c r="M322" t="s">
        <v>23</v>
      </c>
      <c r="N322" t="s">
        <v>45</v>
      </c>
      <c r="O322">
        <f>_xlfn.XLOOKUP(E322,Product_Master!$B$2:$B$11,Product_Master!$F$2:$F$11)</f>
        <v>20</v>
      </c>
      <c r="P322">
        <f t="shared" si="8"/>
        <v>800</v>
      </c>
      <c r="Q322" s="5">
        <f t="shared" si="9"/>
        <v>0.27408424908424911</v>
      </c>
    </row>
    <row r="323" spans="1:17" x14ac:dyDescent="0.3">
      <c r="A323" t="s">
        <v>493</v>
      </c>
      <c r="B323" t="s">
        <v>39</v>
      </c>
      <c r="C323" t="s">
        <v>117</v>
      </c>
      <c r="D323" t="s">
        <v>101</v>
      </c>
      <c r="E323" t="s">
        <v>54</v>
      </c>
      <c r="F323" t="s">
        <v>43</v>
      </c>
      <c r="G323">
        <v>15</v>
      </c>
      <c r="H323" s="4">
        <v>27.12</v>
      </c>
      <c r="I323">
        <v>406.8</v>
      </c>
      <c r="J323">
        <v>24.28</v>
      </c>
      <c r="K323">
        <v>82.52</v>
      </c>
      <c r="L323" t="s">
        <v>30</v>
      </c>
      <c r="M323" t="s">
        <v>31</v>
      </c>
      <c r="N323" t="s">
        <v>102</v>
      </c>
      <c r="O323">
        <f>_xlfn.XLOOKUP(E323,Product_Master!$B$2:$B$11,Product_Master!$F$2:$F$11)</f>
        <v>20</v>
      </c>
      <c r="P323">
        <f t="shared" ref="P323:P386" si="10">G323*O323</f>
        <v>300</v>
      </c>
      <c r="Q323" s="5">
        <f t="shared" ref="Q323:Q386" si="11">K323/I323</f>
        <v>0.20285152409046212</v>
      </c>
    </row>
    <row r="324" spans="1:17" x14ac:dyDescent="0.3">
      <c r="A324" t="s">
        <v>494</v>
      </c>
      <c r="B324" t="s">
        <v>39</v>
      </c>
      <c r="C324" t="s">
        <v>180</v>
      </c>
      <c r="D324" t="s">
        <v>123</v>
      </c>
      <c r="E324" t="s">
        <v>73</v>
      </c>
      <c r="F324" t="s">
        <v>43</v>
      </c>
      <c r="G324">
        <v>35</v>
      </c>
      <c r="H324" s="4">
        <v>18.350000000000001</v>
      </c>
      <c r="I324">
        <v>642.25</v>
      </c>
      <c r="J324">
        <v>29.35</v>
      </c>
      <c r="K324">
        <v>166.65</v>
      </c>
      <c r="L324" t="s">
        <v>22</v>
      </c>
      <c r="M324" t="s">
        <v>31</v>
      </c>
      <c r="N324" t="s">
        <v>32</v>
      </c>
      <c r="O324">
        <f>_xlfn.XLOOKUP(E324,Product_Master!$B$2:$B$11,Product_Master!$F$2:$F$11)</f>
        <v>12.75</v>
      </c>
      <c r="P324">
        <f t="shared" si="10"/>
        <v>446.25</v>
      </c>
      <c r="Q324" s="5">
        <f t="shared" si="11"/>
        <v>0.2594783962631374</v>
      </c>
    </row>
    <row r="325" spans="1:17" x14ac:dyDescent="0.3">
      <c r="A325" t="s">
        <v>495</v>
      </c>
      <c r="B325" t="s">
        <v>56</v>
      </c>
      <c r="C325" t="s">
        <v>429</v>
      </c>
      <c r="D325" t="s">
        <v>101</v>
      </c>
      <c r="E325" t="s">
        <v>20</v>
      </c>
      <c r="F325" t="s">
        <v>21</v>
      </c>
      <c r="G325">
        <v>21</v>
      </c>
      <c r="H325" s="4">
        <v>52.59</v>
      </c>
      <c r="I325">
        <v>1104.3900000000001</v>
      </c>
      <c r="J325">
        <v>57.06</v>
      </c>
      <c r="K325">
        <v>312.33</v>
      </c>
      <c r="L325" t="s">
        <v>30</v>
      </c>
      <c r="M325" t="s">
        <v>31</v>
      </c>
      <c r="N325" t="s">
        <v>102</v>
      </c>
      <c r="O325">
        <f>_xlfn.XLOOKUP(E325,Product_Master!$B$2:$B$11,Product_Master!$F$2:$F$11)</f>
        <v>35</v>
      </c>
      <c r="P325">
        <f t="shared" si="10"/>
        <v>735</v>
      </c>
      <c r="Q325" s="5">
        <f t="shared" si="11"/>
        <v>0.28280770380028791</v>
      </c>
    </row>
    <row r="326" spans="1:17" x14ac:dyDescent="0.3">
      <c r="A326" t="s">
        <v>496</v>
      </c>
      <c r="B326" t="s">
        <v>68</v>
      </c>
      <c r="C326" t="s">
        <v>383</v>
      </c>
      <c r="D326" t="s">
        <v>63</v>
      </c>
      <c r="E326" t="s">
        <v>98</v>
      </c>
      <c r="F326" t="s">
        <v>59</v>
      </c>
      <c r="G326">
        <v>10</v>
      </c>
      <c r="H326" s="4">
        <v>44.2</v>
      </c>
      <c r="I326">
        <v>442</v>
      </c>
      <c r="J326">
        <v>18.45</v>
      </c>
      <c r="K326">
        <v>143.55000000000001</v>
      </c>
      <c r="L326" t="s">
        <v>22</v>
      </c>
      <c r="M326" t="s">
        <v>23</v>
      </c>
      <c r="N326" t="s">
        <v>66</v>
      </c>
      <c r="O326">
        <f>_xlfn.XLOOKUP(E326,Product_Master!$B$2:$B$11,Product_Master!$F$2:$F$11)</f>
        <v>28</v>
      </c>
      <c r="P326">
        <f t="shared" si="10"/>
        <v>280</v>
      </c>
      <c r="Q326" s="5">
        <f t="shared" si="11"/>
        <v>0.32477375565610861</v>
      </c>
    </row>
    <row r="327" spans="1:17" x14ac:dyDescent="0.3">
      <c r="A327" t="s">
        <v>497</v>
      </c>
      <c r="B327" t="s">
        <v>78</v>
      </c>
      <c r="C327" t="s">
        <v>228</v>
      </c>
      <c r="D327" t="s">
        <v>63</v>
      </c>
      <c r="E327" t="s">
        <v>20</v>
      </c>
      <c r="F327" t="s">
        <v>21</v>
      </c>
      <c r="G327">
        <v>11</v>
      </c>
      <c r="H327" s="4">
        <v>60.9</v>
      </c>
      <c r="I327">
        <v>669.9</v>
      </c>
      <c r="J327">
        <v>26.28</v>
      </c>
      <c r="K327">
        <v>258.62</v>
      </c>
      <c r="L327" t="s">
        <v>30</v>
      </c>
      <c r="M327" t="s">
        <v>31</v>
      </c>
      <c r="N327" t="s">
        <v>66</v>
      </c>
      <c r="O327">
        <f>_xlfn.XLOOKUP(E327,Product_Master!$B$2:$B$11,Product_Master!$F$2:$F$11)</f>
        <v>35</v>
      </c>
      <c r="P327">
        <f t="shared" si="10"/>
        <v>385</v>
      </c>
      <c r="Q327" s="5">
        <f t="shared" si="11"/>
        <v>0.38605762054037918</v>
      </c>
    </row>
    <row r="328" spans="1:17" x14ac:dyDescent="0.3">
      <c r="A328" t="s">
        <v>498</v>
      </c>
      <c r="B328" t="s">
        <v>68</v>
      </c>
      <c r="C328" t="s">
        <v>62</v>
      </c>
      <c r="D328" t="s">
        <v>88</v>
      </c>
      <c r="E328" t="s">
        <v>73</v>
      </c>
      <c r="F328" t="s">
        <v>43</v>
      </c>
      <c r="G328">
        <v>26</v>
      </c>
      <c r="H328" s="4">
        <v>22.32</v>
      </c>
      <c r="I328">
        <v>580.32000000000005</v>
      </c>
      <c r="J328">
        <v>45.08</v>
      </c>
      <c r="K328">
        <v>203.74</v>
      </c>
      <c r="L328" t="s">
        <v>30</v>
      </c>
      <c r="M328" t="s">
        <v>31</v>
      </c>
      <c r="N328" t="s">
        <v>66</v>
      </c>
      <c r="O328">
        <f>_xlfn.XLOOKUP(E328,Product_Master!$B$2:$B$11,Product_Master!$F$2:$F$11)</f>
        <v>12.75</v>
      </c>
      <c r="P328">
        <f t="shared" si="10"/>
        <v>331.5</v>
      </c>
      <c r="Q328" s="5">
        <f t="shared" si="11"/>
        <v>0.3510821615660325</v>
      </c>
    </row>
    <row r="329" spans="1:17" x14ac:dyDescent="0.3">
      <c r="A329" t="s">
        <v>499</v>
      </c>
      <c r="B329" t="s">
        <v>17</v>
      </c>
      <c r="C329" t="s">
        <v>280</v>
      </c>
      <c r="D329" t="s">
        <v>63</v>
      </c>
      <c r="E329" t="s">
        <v>98</v>
      </c>
      <c r="F329" t="s">
        <v>59</v>
      </c>
      <c r="G329">
        <v>46</v>
      </c>
      <c r="H329" s="4">
        <v>41.89</v>
      </c>
      <c r="I329">
        <v>1926.94</v>
      </c>
      <c r="J329">
        <v>97.39</v>
      </c>
      <c r="K329">
        <v>541.54999999999995</v>
      </c>
      <c r="L329" t="s">
        <v>22</v>
      </c>
      <c r="M329" t="s">
        <v>37</v>
      </c>
      <c r="N329" t="s">
        <v>66</v>
      </c>
      <c r="O329">
        <f>_xlfn.XLOOKUP(E329,Product_Master!$B$2:$B$11,Product_Master!$F$2:$F$11)</f>
        <v>28</v>
      </c>
      <c r="P329">
        <f t="shared" si="10"/>
        <v>1288</v>
      </c>
      <c r="Q329" s="5">
        <f t="shared" si="11"/>
        <v>0.28104144394739844</v>
      </c>
    </row>
    <row r="330" spans="1:17" x14ac:dyDescent="0.3">
      <c r="A330" t="s">
        <v>500</v>
      </c>
      <c r="B330" t="s">
        <v>39</v>
      </c>
      <c r="C330" t="s">
        <v>192</v>
      </c>
      <c r="D330" t="s">
        <v>28</v>
      </c>
      <c r="E330" t="s">
        <v>73</v>
      </c>
      <c r="F330" t="s">
        <v>43</v>
      </c>
      <c r="G330">
        <v>43</v>
      </c>
      <c r="H330" s="4">
        <v>21.24</v>
      </c>
      <c r="I330">
        <v>913.32</v>
      </c>
      <c r="J330">
        <v>50.32</v>
      </c>
      <c r="K330">
        <v>314.75</v>
      </c>
      <c r="L330" t="s">
        <v>30</v>
      </c>
      <c r="M330" t="s">
        <v>23</v>
      </c>
      <c r="N330" t="s">
        <v>32</v>
      </c>
      <c r="O330">
        <f>_xlfn.XLOOKUP(E330,Product_Master!$B$2:$B$11,Product_Master!$F$2:$F$11)</f>
        <v>12.75</v>
      </c>
      <c r="P330">
        <f t="shared" si="10"/>
        <v>548.25</v>
      </c>
      <c r="Q330" s="5">
        <f t="shared" si="11"/>
        <v>0.34462181929663205</v>
      </c>
    </row>
    <row r="331" spans="1:17" x14ac:dyDescent="0.3">
      <c r="A331" t="s">
        <v>501</v>
      </c>
      <c r="B331" t="s">
        <v>86</v>
      </c>
      <c r="C331" t="s">
        <v>502</v>
      </c>
      <c r="D331" t="s">
        <v>170</v>
      </c>
      <c r="E331" t="s">
        <v>58</v>
      </c>
      <c r="F331" t="s">
        <v>59</v>
      </c>
      <c r="G331">
        <v>28</v>
      </c>
      <c r="H331" s="4">
        <v>33.700000000000003</v>
      </c>
      <c r="I331">
        <v>943.6</v>
      </c>
      <c r="J331">
        <v>20.170000000000002</v>
      </c>
      <c r="K331">
        <v>293.43</v>
      </c>
      <c r="L331" t="s">
        <v>22</v>
      </c>
      <c r="M331" t="s">
        <v>31</v>
      </c>
      <c r="N331" t="s">
        <v>32</v>
      </c>
      <c r="O331">
        <f>_xlfn.XLOOKUP(E331,Product_Master!$B$2:$B$11,Product_Master!$F$2:$F$11)</f>
        <v>22.5</v>
      </c>
      <c r="P331">
        <f t="shared" si="10"/>
        <v>630</v>
      </c>
      <c r="Q331" s="5">
        <f t="shared" si="11"/>
        <v>0.31096863077575243</v>
      </c>
    </row>
    <row r="332" spans="1:17" x14ac:dyDescent="0.3">
      <c r="A332" t="s">
        <v>503</v>
      </c>
      <c r="B332" t="s">
        <v>71</v>
      </c>
      <c r="C332" t="s">
        <v>230</v>
      </c>
      <c r="D332" t="s">
        <v>196</v>
      </c>
      <c r="E332" t="s">
        <v>20</v>
      </c>
      <c r="F332" t="s">
        <v>21</v>
      </c>
      <c r="G332">
        <v>41</v>
      </c>
      <c r="H332" s="4">
        <v>42.74</v>
      </c>
      <c r="I332">
        <v>1752.34</v>
      </c>
      <c r="J332">
        <v>92.09</v>
      </c>
      <c r="K332">
        <v>225.25</v>
      </c>
      <c r="L332" t="s">
        <v>44</v>
      </c>
      <c r="M332" t="s">
        <v>23</v>
      </c>
      <c r="N332" t="s">
        <v>66</v>
      </c>
      <c r="O332">
        <f>_xlfn.XLOOKUP(E332,Product_Master!$B$2:$B$11,Product_Master!$F$2:$F$11)</f>
        <v>35</v>
      </c>
      <c r="P332">
        <f t="shared" si="10"/>
        <v>1435</v>
      </c>
      <c r="Q332" s="5">
        <f t="shared" si="11"/>
        <v>0.12854240615405688</v>
      </c>
    </row>
    <row r="333" spans="1:17" x14ac:dyDescent="0.3">
      <c r="A333" t="s">
        <v>504</v>
      </c>
      <c r="B333" t="s">
        <v>68</v>
      </c>
      <c r="C333" t="s">
        <v>429</v>
      </c>
      <c r="D333" t="s">
        <v>28</v>
      </c>
      <c r="E333" t="s">
        <v>54</v>
      </c>
      <c r="F333" t="s">
        <v>43</v>
      </c>
      <c r="G333">
        <v>24</v>
      </c>
      <c r="H333" s="4">
        <v>30.18</v>
      </c>
      <c r="I333">
        <v>724.32</v>
      </c>
      <c r="J333">
        <v>44.97</v>
      </c>
      <c r="K333">
        <v>199.35</v>
      </c>
      <c r="L333" t="s">
        <v>22</v>
      </c>
      <c r="M333" t="s">
        <v>23</v>
      </c>
      <c r="N333" t="s">
        <v>32</v>
      </c>
      <c r="O333">
        <f>_xlfn.XLOOKUP(E333,Product_Master!$B$2:$B$11,Product_Master!$F$2:$F$11)</f>
        <v>20</v>
      </c>
      <c r="P333">
        <f t="shared" si="10"/>
        <v>480</v>
      </c>
      <c r="Q333" s="5">
        <f t="shared" si="11"/>
        <v>0.27522365805168986</v>
      </c>
    </row>
    <row r="334" spans="1:17" x14ac:dyDescent="0.3">
      <c r="A334" t="s">
        <v>505</v>
      </c>
      <c r="B334" t="s">
        <v>26</v>
      </c>
      <c r="C334" t="s">
        <v>127</v>
      </c>
      <c r="D334" t="s">
        <v>91</v>
      </c>
      <c r="E334" t="s">
        <v>69</v>
      </c>
      <c r="F334" t="s">
        <v>59</v>
      </c>
      <c r="G334">
        <v>44</v>
      </c>
      <c r="H334" s="4">
        <v>20.02</v>
      </c>
      <c r="I334">
        <v>880.88</v>
      </c>
      <c r="J334">
        <v>60.27</v>
      </c>
      <c r="K334">
        <v>138.61000000000001</v>
      </c>
      <c r="L334" t="s">
        <v>30</v>
      </c>
      <c r="M334" t="s">
        <v>31</v>
      </c>
      <c r="N334" t="s">
        <v>66</v>
      </c>
      <c r="O334">
        <f>_xlfn.XLOOKUP(E334,Product_Master!$B$2:$B$11,Product_Master!$F$2:$F$11)</f>
        <v>15.5</v>
      </c>
      <c r="P334">
        <f t="shared" si="10"/>
        <v>682</v>
      </c>
      <c r="Q334" s="5">
        <f t="shared" si="11"/>
        <v>0.15735400962673693</v>
      </c>
    </row>
    <row r="335" spans="1:17" x14ac:dyDescent="0.3">
      <c r="A335" t="s">
        <v>506</v>
      </c>
      <c r="B335" t="s">
        <v>71</v>
      </c>
      <c r="C335" t="s">
        <v>125</v>
      </c>
      <c r="D335" t="s">
        <v>28</v>
      </c>
      <c r="E335" t="s">
        <v>54</v>
      </c>
      <c r="F335" t="s">
        <v>43</v>
      </c>
      <c r="G335">
        <v>12</v>
      </c>
      <c r="H335" s="4">
        <v>27.45</v>
      </c>
      <c r="I335">
        <v>329.4</v>
      </c>
      <c r="J335">
        <v>13.22</v>
      </c>
      <c r="K335">
        <v>76.180000000000007</v>
      </c>
      <c r="L335" t="s">
        <v>44</v>
      </c>
      <c r="M335" t="s">
        <v>37</v>
      </c>
      <c r="N335" t="s">
        <v>32</v>
      </c>
      <c r="O335">
        <f>_xlfn.XLOOKUP(E335,Product_Master!$B$2:$B$11,Product_Master!$F$2:$F$11)</f>
        <v>20</v>
      </c>
      <c r="P335">
        <f t="shared" si="10"/>
        <v>240</v>
      </c>
      <c r="Q335" s="5">
        <f t="shared" si="11"/>
        <v>0.23126897389192475</v>
      </c>
    </row>
    <row r="336" spans="1:17" x14ac:dyDescent="0.3">
      <c r="A336" t="s">
        <v>507</v>
      </c>
      <c r="B336" t="s">
        <v>132</v>
      </c>
      <c r="C336" t="s">
        <v>105</v>
      </c>
      <c r="D336" t="s">
        <v>101</v>
      </c>
      <c r="E336" t="s">
        <v>54</v>
      </c>
      <c r="F336" t="s">
        <v>43</v>
      </c>
      <c r="G336">
        <v>26</v>
      </c>
      <c r="H336" s="4">
        <v>30.57</v>
      </c>
      <c r="I336">
        <v>794.82</v>
      </c>
      <c r="J336">
        <v>19.45</v>
      </c>
      <c r="K336">
        <v>255.37</v>
      </c>
      <c r="L336" t="s">
        <v>44</v>
      </c>
      <c r="M336" t="s">
        <v>31</v>
      </c>
      <c r="N336" t="s">
        <v>102</v>
      </c>
      <c r="O336">
        <f>_xlfn.XLOOKUP(E336,Product_Master!$B$2:$B$11,Product_Master!$F$2:$F$11)</f>
        <v>20</v>
      </c>
      <c r="P336">
        <f t="shared" si="10"/>
        <v>520</v>
      </c>
      <c r="Q336" s="5">
        <f t="shared" si="11"/>
        <v>0.32129287134193907</v>
      </c>
    </row>
    <row r="337" spans="1:17" x14ac:dyDescent="0.3">
      <c r="A337" t="s">
        <v>508</v>
      </c>
      <c r="B337" t="s">
        <v>68</v>
      </c>
      <c r="C337" t="s">
        <v>133</v>
      </c>
      <c r="D337" t="s">
        <v>91</v>
      </c>
      <c r="E337" t="s">
        <v>64</v>
      </c>
      <c r="F337" t="s">
        <v>65</v>
      </c>
      <c r="G337">
        <v>46</v>
      </c>
      <c r="H337" s="4">
        <v>32.19</v>
      </c>
      <c r="I337">
        <v>1480.74</v>
      </c>
      <c r="J337">
        <v>111.13</v>
      </c>
      <c r="K337">
        <v>219.61</v>
      </c>
      <c r="L337" t="s">
        <v>44</v>
      </c>
      <c r="M337" t="s">
        <v>31</v>
      </c>
      <c r="N337" t="s">
        <v>66</v>
      </c>
      <c r="O337">
        <f>_xlfn.XLOOKUP(E337,Product_Master!$B$2:$B$11,Product_Master!$F$2:$F$11)</f>
        <v>25</v>
      </c>
      <c r="P337">
        <f t="shared" si="10"/>
        <v>1150</v>
      </c>
      <c r="Q337" s="5">
        <f t="shared" si="11"/>
        <v>0.14831097964531248</v>
      </c>
    </row>
    <row r="338" spans="1:17" x14ac:dyDescent="0.3">
      <c r="A338" t="s">
        <v>509</v>
      </c>
      <c r="B338" t="s">
        <v>104</v>
      </c>
      <c r="C338" t="s">
        <v>100</v>
      </c>
      <c r="D338" t="s">
        <v>81</v>
      </c>
      <c r="E338" t="s">
        <v>29</v>
      </c>
      <c r="F338" t="s">
        <v>21</v>
      </c>
      <c r="G338">
        <v>20</v>
      </c>
      <c r="H338" s="4">
        <v>31.79</v>
      </c>
      <c r="I338">
        <v>635.79999999999995</v>
      </c>
      <c r="J338">
        <v>38.43</v>
      </c>
      <c r="K338">
        <v>237.37</v>
      </c>
      <c r="L338" t="s">
        <v>22</v>
      </c>
      <c r="M338" t="s">
        <v>31</v>
      </c>
      <c r="N338" t="s">
        <v>66</v>
      </c>
      <c r="O338">
        <f>_xlfn.XLOOKUP(E338,Product_Master!$B$2:$B$11,Product_Master!$F$2:$F$11)</f>
        <v>18</v>
      </c>
      <c r="P338">
        <f t="shared" si="10"/>
        <v>360</v>
      </c>
      <c r="Q338" s="5">
        <f t="shared" si="11"/>
        <v>0.37334067316766284</v>
      </c>
    </row>
    <row r="339" spans="1:17" x14ac:dyDescent="0.3">
      <c r="A339" t="s">
        <v>510</v>
      </c>
      <c r="B339" t="s">
        <v>104</v>
      </c>
      <c r="C339" t="s">
        <v>18</v>
      </c>
      <c r="D339" t="s">
        <v>147</v>
      </c>
      <c r="E339" t="s">
        <v>29</v>
      </c>
      <c r="F339" t="s">
        <v>21</v>
      </c>
      <c r="G339">
        <v>8</v>
      </c>
      <c r="H339" s="4">
        <v>28.94</v>
      </c>
      <c r="I339">
        <v>231.52</v>
      </c>
      <c r="J339">
        <v>7</v>
      </c>
      <c r="K339">
        <v>80.52</v>
      </c>
      <c r="L339" t="s">
        <v>44</v>
      </c>
      <c r="M339" t="s">
        <v>31</v>
      </c>
      <c r="N339" t="s">
        <v>148</v>
      </c>
      <c r="O339">
        <f>_xlfn.XLOOKUP(E339,Product_Master!$B$2:$B$11,Product_Master!$F$2:$F$11)</f>
        <v>18</v>
      </c>
      <c r="P339">
        <f t="shared" si="10"/>
        <v>144</v>
      </c>
      <c r="Q339" s="5">
        <f t="shared" si="11"/>
        <v>0.34778852798894261</v>
      </c>
    </row>
    <row r="340" spans="1:17" x14ac:dyDescent="0.3">
      <c r="A340" t="s">
        <v>511</v>
      </c>
      <c r="B340" t="s">
        <v>39</v>
      </c>
      <c r="C340" t="s">
        <v>230</v>
      </c>
      <c r="D340" t="s">
        <v>123</v>
      </c>
      <c r="E340" t="s">
        <v>29</v>
      </c>
      <c r="F340" t="s">
        <v>21</v>
      </c>
      <c r="G340">
        <v>40</v>
      </c>
      <c r="H340" s="4">
        <v>30.66</v>
      </c>
      <c r="I340">
        <v>1226.4000000000001</v>
      </c>
      <c r="J340">
        <v>85.24</v>
      </c>
      <c r="K340">
        <v>421.16</v>
      </c>
      <c r="L340" t="s">
        <v>22</v>
      </c>
      <c r="M340" t="s">
        <v>23</v>
      </c>
      <c r="N340" t="s">
        <v>32</v>
      </c>
      <c r="O340">
        <f>_xlfn.XLOOKUP(E340,Product_Master!$B$2:$B$11,Product_Master!$F$2:$F$11)</f>
        <v>18</v>
      </c>
      <c r="P340">
        <f t="shared" si="10"/>
        <v>720</v>
      </c>
      <c r="Q340" s="5">
        <f t="shared" si="11"/>
        <v>0.34341161121983038</v>
      </c>
    </row>
    <row r="341" spans="1:17" x14ac:dyDescent="0.3">
      <c r="A341" t="s">
        <v>512</v>
      </c>
      <c r="B341" t="s">
        <v>104</v>
      </c>
      <c r="C341" t="s">
        <v>361</v>
      </c>
      <c r="D341" t="s">
        <v>147</v>
      </c>
      <c r="E341" t="s">
        <v>42</v>
      </c>
      <c r="F341" t="s">
        <v>43</v>
      </c>
      <c r="G341">
        <v>44</v>
      </c>
      <c r="H341" s="4">
        <v>54.09</v>
      </c>
      <c r="I341">
        <v>2379.96</v>
      </c>
      <c r="J341">
        <v>106.39</v>
      </c>
      <c r="K341">
        <v>865.57</v>
      </c>
      <c r="L341" t="s">
        <v>22</v>
      </c>
      <c r="M341" t="s">
        <v>31</v>
      </c>
      <c r="N341" t="s">
        <v>148</v>
      </c>
      <c r="O341">
        <f>_xlfn.XLOOKUP(E341,Product_Master!$B$2:$B$11,Product_Master!$F$2:$F$11)</f>
        <v>32</v>
      </c>
      <c r="P341">
        <f t="shared" si="10"/>
        <v>1408</v>
      </c>
      <c r="Q341" s="5">
        <f t="shared" si="11"/>
        <v>0.36369098640313285</v>
      </c>
    </row>
    <row r="342" spans="1:17" x14ac:dyDescent="0.3">
      <c r="A342" t="s">
        <v>513</v>
      </c>
      <c r="B342" t="s">
        <v>26</v>
      </c>
      <c r="C342" t="s">
        <v>127</v>
      </c>
      <c r="D342" t="s">
        <v>81</v>
      </c>
      <c r="E342" t="s">
        <v>49</v>
      </c>
      <c r="F342" t="s">
        <v>50</v>
      </c>
      <c r="G342">
        <v>32</v>
      </c>
      <c r="H342" s="4">
        <v>68.89</v>
      </c>
      <c r="I342">
        <v>2204.48</v>
      </c>
      <c r="J342">
        <v>152.05000000000001</v>
      </c>
      <c r="K342">
        <v>772.43</v>
      </c>
      <c r="L342" t="s">
        <v>22</v>
      </c>
      <c r="M342" t="s">
        <v>31</v>
      </c>
      <c r="N342" t="s">
        <v>66</v>
      </c>
      <c r="O342">
        <f>_xlfn.XLOOKUP(E342,Product_Master!$B$2:$B$11,Product_Master!$F$2:$F$11)</f>
        <v>40</v>
      </c>
      <c r="P342">
        <f t="shared" si="10"/>
        <v>1280</v>
      </c>
      <c r="Q342" s="5">
        <f t="shared" si="11"/>
        <v>0.35039102191900129</v>
      </c>
    </row>
    <row r="343" spans="1:17" x14ac:dyDescent="0.3">
      <c r="A343" t="s">
        <v>514</v>
      </c>
      <c r="B343" t="s">
        <v>107</v>
      </c>
      <c r="C343" t="s">
        <v>484</v>
      </c>
      <c r="D343" t="s">
        <v>196</v>
      </c>
      <c r="E343" t="s">
        <v>20</v>
      </c>
      <c r="F343" t="s">
        <v>21</v>
      </c>
      <c r="G343">
        <v>44</v>
      </c>
      <c r="H343" s="4">
        <v>43.35</v>
      </c>
      <c r="I343">
        <v>1907.4</v>
      </c>
      <c r="J343">
        <v>99.05</v>
      </c>
      <c r="K343">
        <v>268.35000000000002</v>
      </c>
      <c r="L343" t="s">
        <v>44</v>
      </c>
      <c r="M343" t="s">
        <v>31</v>
      </c>
      <c r="N343" t="s">
        <v>66</v>
      </c>
      <c r="O343">
        <f>_xlfn.XLOOKUP(E343,Product_Master!$B$2:$B$11,Product_Master!$F$2:$F$11)</f>
        <v>35</v>
      </c>
      <c r="P343">
        <f t="shared" si="10"/>
        <v>1540</v>
      </c>
      <c r="Q343" s="5">
        <f t="shared" si="11"/>
        <v>0.1406888958792073</v>
      </c>
    </row>
    <row r="344" spans="1:17" x14ac:dyDescent="0.3">
      <c r="A344" t="s">
        <v>515</v>
      </c>
      <c r="B344" t="s">
        <v>95</v>
      </c>
      <c r="C344" t="s">
        <v>27</v>
      </c>
      <c r="D344" t="s">
        <v>53</v>
      </c>
      <c r="E344" t="s">
        <v>98</v>
      </c>
      <c r="F344" t="s">
        <v>59</v>
      </c>
      <c r="G344">
        <v>24</v>
      </c>
      <c r="H344" s="4">
        <v>34</v>
      </c>
      <c r="I344">
        <v>816</v>
      </c>
      <c r="J344">
        <v>42.15</v>
      </c>
      <c r="K344">
        <v>101.85</v>
      </c>
      <c r="L344" t="s">
        <v>44</v>
      </c>
      <c r="M344" t="s">
        <v>23</v>
      </c>
      <c r="N344" t="s">
        <v>24</v>
      </c>
      <c r="O344">
        <f>_xlfn.XLOOKUP(E344,Product_Master!$B$2:$B$11,Product_Master!$F$2:$F$11)</f>
        <v>28</v>
      </c>
      <c r="P344">
        <f t="shared" si="10"/>
        <v>672</v>
      </c>
      <c r="Q344" s="5">
        <f t="shared" si="11"/>
        <v>0.12481617647058822</v>
      </c>
    </row>
    <row r="345" spans="1:17" x14ac:dyDescent="0.3">
      <c r="A345" t="s">
        <v>516</v>
      </c>
      <c r="B345" t="s">
        <v>83</v>
      </c>
      <c r="C345" t="s">
        <v>168</v>
      </c>
      <c r="D345" t="s">
        <v>63</v>
      </c>
      <c r="E345" t="s">
        <v>29</v>
      </c>
      <c r="F345" t="s">
        <v>21</v>
      </c>
      <c r="G345">
        <v>41</v>
      </c>
      <c r="H345" s="4">
        <v>30.25</v>
      </c>
      <c r="I345">
        <v>1240.25</v>
      </c>
      <c r="J345">
        <v>92.86</v>
      </c>
      <c r="K345">
        <v>409.39</v>
      </c>
      <c r="L345" t="s">
        <v>22</v>
      </c>
      <c r="M345" t="s">
        <v>23</v>
      </c>
      <c r="N345" t="s">
        <v>66</v>
      </c>
      <c r="O345">
        <f>_xlfn.XLOOKUP(E345,Product_Master!$B$2:$B$11,Product_Master!$F$2:$F$11)</f>
        <v>18</v>
      </c>
      <c r="P345">
        <f t="shared" si="10"/>
        <v>738</v>
      </c>
      <c r="Q345" s="5">
        <f t="shared" si="11"/>
        <v>0.33008667607337228</v>
      </c>
    </row>
    <row r="346" spans="1:17" x14ac:dyDescent="0.3">
      <c r="A346" t="s">
        <v>517</v>
      </c>
      <c r="B346" t="s">
        <v>104</v>
      </c>
      <c r="C346" t="s">
        <v>18</v>
      </c>
      <c r="D346" t="s">
        <v>101</v>
      </c>
      <c r="E346" t="s">
        <v>69</v>
      </c>
      <c r="F346" t="s">
        <v>59</v>
      </c>
      <c r="G346">
        <v>15</v>
      </c>
      <c r="H346" s="4">
        <v>23.71</v>
      </c>
      <c r="I346">
        <v>355.65</v>
      </c>
      <c r="J346">
        <v>7.22</v>
      </c>
      <c r="K346">
        <v>115.93</v>
      </c>
      <c r="L346" t="s">
        <v>30</v>
      </c>
      <c r="M346" t="s">
        <v>31</v>
      </c>
      <c r="N346" t="s">
        <v>102</v>
      </c>
      <c r="O346">
        <f>_xlfn.XLOOKUP(E346,Product_Master!$B$2:$B$11,Product_Master!$F$2:$F$11)</f>
        <v>15.5</v>
      </c>
      <c r="P346">
        <f t="shared" si="10"/>
        <v>232.5</v>
      </c>
      <c r="Q346" s="5">
        <f t="shared" si="11"/>
        <v>0.32596654013777593</v>
      </c>
    </row>
    <row r="347" spans="1:17" x14ac:dyDescent="0.3">
      <c r="A347" t="s">
        <v>518</v>
      </c>
      <c r="B347" t="s">
        <v>71</v>
      </c>
      <c r="C347" t="s">
        <v>141</v>
      </c>
      <c r="D347" t="s">
        <v>81</v>
      </c>
      <c r="E347" t="s">
        <v>42</v>
      </c>
      <c r="F347" t="s">
        <v>43</v>
      </c>
      <c r="G347">
        <v>33</v>
      </c>
      <c r="H347" s="4">
        <v>48.64</v>
      </c>
      <c r="I347">
        <v>1605.12</v>
      </c>
      <c r="J347">
        <v>98.71</v>
      </c>
      <c r="K347">
        <v>450.41</v>
      </c>
      <c r="L347" t="s">
        <v>22</v>
      </c>
      <c r="M347" t="s">
        <v>31</v>
      </c>
      <c r="N347" t="s">
        <v>66</v>
      </c>
      <c r="O347">
        <f>_xlfn.XLOOKUP(E347,Product_Master!$B$2:$B$11,Product_Master!$F$2:$F$11)</f>
        <v>32</v>
      </c>
      <c r="P347">
        <f t="shared" si="10"/>
        <v>1056</v>
      </c>
      <c r="Q347" s="5">
        <f t="shared" si="11"/>
        <v>0.28060830342902715</v>
      </c>
    </row>
    <row r="348" spans="1:17" x14ac:dyDescent="0.3">
      <c r="A348" t="s">
        <v>519</v>
      </c>
      <c r="B348" t="s">
        <v>34</v>
      </c>
      <c r="C348" t="s">
        <v>40</v>
      </c>
      <c r="D348" t="s">
        <v>170</v>
      </c>
      <c r="E348" t="s">
        <v>20</v>
      </c>
      <c r="F348" t="s">
        <v>21</v>
      </c>
      <c r="G348">
        <v>7</v>
      </c>
      <c r="H348" s="4">
        <v>50.94</v>
      </c>
      <c r="I348">
        <v>356.58</v>
      </c>
      <c r="J348">
        <v>11.19</v>
      </c>
      <c r="K348">
        <v>100.39</v>
      </c>
      <c r="L348" t="s">
        <v>30</v>
      </c>
      <c r="M348" t="s">
        <v>23</v>
      </c>
      <c r="N348" t="s">
        <v>32</v>
      </c>
      <c r="O348">
        <f>_xlfn.XLOOKUP(E348,Product_Master!$B$2:$B$11,Product_Master!$F$2:$F$11)</f>
        <v>35</v>
      </c>
      <c r="P348">
        <f t="shared" si="10"/>
        <v>245</v>
      </c>
      <c r="Q348" s="5">
        <f t="shared" si="11"/>
        <v>0.28153570026361546</v>
      </c>
    </row>
    <row r="349" spans="1:17" x14ac:dyDescent="0.3">
      <c r="A349" t="s">
        <v>520</v>
      </c>
      <c r="B349" t="s">
        <v>17</v>
      </c>
      <c r="C349" t="s">
        <v>223</v>
      </c>
      <c r="D349" t="s">
        <v>147</v>
      </c>
      <c r="E349" t="s">
        <v>54</v>
      </c>
      <c r="F349" t="s">
        <v>43</v>
      </c>
      <c r="G349">
        <v>1</v>
      </c>
      <c r="H349" s="4">
        <v>31.4</v>
      </c>
      <c r="I349">
        <v>31.4</v>
      </c>
      <c r="J349">
        <v>1.1399999999999999</v>
      </c>
      <c r="K349">
        <v>10.26</v>
      </c>
      <c r="L349" t="s">
        <v>44</v>
      </c>
      <c r="M349" t="s">
        <v>31</v>
      </c>
      <c r="N349" t="s">
        <v>148</v>
      </c>
      <c r="O349">
        <f>_xlfn.XLOOKUP(E349,Product_Master!$B$2:$B$11,Product_Master!$F$2:$F$11)</f>
        <v>20</v>
      </c>
      <c r="P349">
        <f t="shared" si="10"/>
        <v>20</v>
      </c>
      <c r="Q349" s="5">
        <f t="shared" si="11"/>
        <v>0.32675159235668788</v>
      </c>
    </row>
    <row r="350" spans="1:17" x14ac:dyDescent="0.3">
      <c r="A350" t="s">
        <v>521</v>
      </c>
      <c r="B350" t="s">
        <v>95</v>
      </c>
      <c r="C350" t="s">
        <v>218</v>
      </c>
      <c r="D350" t="s">
        <v>36</v>
      </c>
      <c r="E350" t="s">
        <v>73</v>
      </c>
      <c r="F350" t="s">
        <v>43</v>
      </c>
      <c r="G350">
        <v>28</v>
      </c>
      <c r="H350" s="4">
        <v>18.59</v>
      </c>
      <c r="I350">
        <v>520.52</v>
      </c>
      <c r="J350">
        <v>14.08</v>
      </c>
      <c r="K350">
        <v>149.44</v>
      </c>
      <c r="L350" t="s">
        <v>22</v>
      </c>
      <c r="M350" t="s">
        <v>23</v>
      </c>
      <c r="N350" t="s">
        <v>32</v>
      </c>
      <c r="O350">
        <f>_xlfn.XLOOKUP(E350,Product_Master!$B$2:$B$11,Product_Master!$F$2:$F$11)</f>
        <v>12.75</v>
      </c>
      <c r="P350">
        <f t="shared" si="10"/>
        <v>357</v>
      </c>
      <c r="Q350" s="5">
        <f t="shared" si="11"/>
        <v>0.28709751786674864</v>
      </c>
    </row>
    <row r="351" spans="1:17" x14ac:dyDescent="0.3">
      <c r="A351" t="s">
        <v>522</v>
      </c>
      <c r="B351" t="s">
        <v>104</v>
      </c>
      <c r="C351" t="s">
        <v>523</v>
      </c>
      <c r="D351" t="s">
        <v>123</v>
      </c>
      <c r="E351" t="s">
        <v>69</v>
      </c>
      <c r="F351" t="s">
        <v>59</v>
      </c>
      <c r="G351">
        <v>50</v>
      </c>
      <c r="H351" s="4">
        <v>20.66</v>
      </c>
      <c r="I351">
        <v>1033</v>
      </c>
      <c r="J351">
        <v>34.130000000000003</v>
      </c>
      <c r="K351">
        <v>223.87</v>
      </c>
      <c r="L351" t="s">
        <v>44</v>
      </c>
      <c r="M351" t="s">
        <v>31</v>
      </c>
      <c r="N351" t="s">
        <v>32</v>
      </c>
      <c r="O351">
        <f>_xlfn.XLOOKUP(E351,Product_Master!$B$2:$B$11,Product_Master!$F$2:$F$11)</f>
        <v>15.5</v>
      </c>
      <c r="P351">
        <f t="shared" si="10"/>
        <v>775</v>
      </c>
      <c r="Q351" s="5">
        <f t="shared" si="11"/>
        <v>0.21671829622458857</v>
      </c>
    </row>
    <row r="352" spans="1:17" x14ac:dyDescent="0.3">
      <c r="A352" t="s">
        <v>524</v>
      </c>
      <c r="B352" t="s">
        <v>17</v>
      </c>
      <c r="C352" t="s">
        <v>175</v>
      </c>
      <c r="D352" t="s">
        <v>63</v>
      </c>
      <c r="E352" t="s">
        <v>20</v>
      </c>
      <c r="F352" t="s">
        <v>21</v>
      </c>
      <c r="G352">
        <v>4</v>
      </c>
      <c r="H352" s="4">
        <v>46.62</v>
      </c>
      <c r="I352">
        <v>186.48</v>
      </c>
      <c r="J352">
        <v>13.29</v>
      </c>
      <c r="K352">
        <v>33.19</v>
      </c>
      <c r="L352" t="s">
        <v>30</v>
      </c>
      <c r="M352" t="s">
        <v>23</v>
      </c>
      <c r="N352" t="s">
        <v>66</v>
      </c>
      <c r="O352">
        <f>_xlfn.XLOOKUP(E352,Product_Master!$B$2:$B$11,Product_Master!$F$2:$F$11)</f>
        <v>35</v>
      </c>
      <c r="P352">
        <f t="shared" si="10"/>
        <v>140</v>
      </c>
      <c r="Q352" s="5">
        <f t="shared" si="11"/>
        <v>0.17798155298155299</v>
      </c>
    </row>
    <row r="353" spans="1:17" x14ac:dyDescent="0.3">
      <c r="A353" t="s">
        <v>525</v>
      </c>
      <c r="B353" t="s">
        <v>17</v>
      </c>
      <c r="C353" t="s">
        <v>484</v>
      </c>
      <c r="D353" t="s">
        <v>101</v>
      </c>
      <c r="E353" t="s">
        <v>69</v>
      </c>
      <c r="F353" t="s">
        <v>59</v>
      </c>
      <c r="G353">
        <v>37</v>
      </c>
      <c r="H353" s="4">
        <v>21.81</v>
      </c>
      <c r="I353">
        <v>806.97</v>
      </c>
      <c r="J353">
        <v>19.63</v>
      </c>
      <c r="K353">
        <v>213.84</v>
      </c>
      <c r="L353" t="s">
        <v>44</v>
      </c>
      <c r="M353" t="s">
        <v>37</v>
      </c>
      <c r="N353" t="s">
        <v>102</v>
      </c>
      <c r="O353">
        <f>_xlfn.XLOOKUP(E353,Product_Master!$B$2:$B$11,Product_Master!$F$2:$F$11)</f>
        <v>15.5</v>
      </c>
      <c r="P353">
        <f t="shared" si="10"/>
        <v>573.5</v>
      </c>
      <c r="Q353" s="5">
        <f t="shared" si="11"/>
        <v>0.26499126361574782</v>
      </c>
    </row>
    <row r="354" spans="1:17" x14ac:dyDescent="0.3">
      <c r="A354" t="s">
        <v>526</v>
      </c>
      <c r="B354" t="s">
        <v>34</v>
      </c>
      <c r="C354" t="s">
        <v>153</v>
      </c>
      <c r="D354" t="s">
        <v>63</v>
      </c>
      <c r="E354" t="s">
        <v>69</v>
      </c>
      <c r="F354" t="s">
        <v>59</v>
      </c>
      <c r="G354">
        <v>48</v>
      </c>
      <c r="H354" s="4">
        <v>26.68</v>
      </c>
      <c r="I354">
        <v>1280.6400000000001</v>
      </c>
      <c r="J354">
        <v>55.36</v>
      </c>
      <c r="K354">
        <v>481.28</v>
      </c>
      <c r="L354" t="s">
        <v>22</v>
      </c>
      <c r="M354" t="s">
        <v>31</v>
      </c>
      <c r="N354" t="s">
        <v>66</v>
      </c>
      <c r="O354">
        <f>_xlfn.XLOOKUP(E354,Product_Master!$B$2:$B$11,Product_Master!$F$2:$F$11)</f>
        <v>15.5</v>
      </c>
      <c r="P354">
        <f t="shared" si="10"/>
        <v>744</v>
      </c>
      <c r="Q354" s="5">
        <f t="shared" si="11"/>
        <v>0.37581209395302345</v>
      </c>
    </row>
    <row r="355" spans="1:17" x14ac:dyDescent="0.3">
      <c r="A355" t="s">
        <v>527</v>
      </c>
      <c r="B355" t="s">
        <v>61</v>
      </c>
      <c r="C355" t="s">
        <v>137</v>
      </c>
      <c r="D355" t="s">
        <v>41</v>
      </c>
      <c r="E355" t="s">
        <v>64</v>
      </c>
      <c r="F355" t="s">
        <v>65</v>
      </c>
      <c r="G355">
        <v>24</v>
      </c>
      <c r="H355" s="4">
        <v>42.82</v>
      </c>
      <c r="I355">
        <v>1027.68</v>
      </c>
      <c r="J355">
        <v>69.95</v>
      </c>
      <c r="K355">
        <v>357.73</v>
      </c>
      <c r="L355" t="s">
        <v>22</v>
      </c>
      <c r="M355" t="s">
        <v>23</v>
      </c>
      <c r="N355" t="s">
        <v>45</v>
      </c>
      <c r="O355">
        <f>_xlfn.XLOOKUP(E355,Product_Master!$B$2:$B$11,Product_Master!$F$2:$F$11)</f>
        <v>25</v>
      </c>
      <c r="P355">
        <f t="shared" si="10"/>
        <v>600</v>
      </c>
      <c r="Q355" s="5">
        <f t="shared" si="11"/>
        <v>0.34809473766152887</v>
      </c>
    </row>
    <row r="356" spans="1:17" x14ac:dyDescent="0.3">
      <c r="A356" t="s">
        <v>528</v>
      </c>
      <c r="B356" t="s">
        <v>17</v>
      </c>
      <c r="C356" t="s">
        <v>139</v>
      </c>
      <c r="D356" t="s">
        <v>147</v>
      </c>
      <c r="E356" t="s">
        <v>58</v>
      </c>
      <c r="F356" t="s">
        <v>59</v>
      </c>
      <c r="G356">
        <v>26</v>
      </c>
      <c r="H356" s="4">
        <v>34.4</v>
      </c>
      <c r="I356">
        <v>894.4</v>
      </c>
      <c r="J356">
        <v>40.42</v>
      </c>
      <c r="K356">
        <v>268.98</v>
      </c>
      <c r="L356" t="s">
        <v>22</v>
      </c>
      <c r="M356" t="s">
        <v>23</v>
      </c>
      <c r="N356" t="s">
        <v>148</v>
      </c>
      <c r="O356">
        <f>_xlfn.XLOOKUP(E356,Product_Master!$B$2:$B$11,Product_Master!$F$2:$F$11)</f>
        <v>22.5</v>
      </c>
      <c r="P356">
        <f t="shared" si="10"/>
        <v>585</v>
      </c>
      <c r="Q356" s="5">
        <f t="shared" si="11"/>
        <v>0.3007379248658319</v>
      </c>
    </row>
    <row r="357" spans="1:17" x14ac:dyDescent="0.3">
      <c r="A357" t="s">
        <v>529</v>
      </c>
      <c r="B357" t="s">
        <v>56</v>
      </c>
      <c r="C357" t="s">
        <v>221</v>
      </c>
      <c r="D357" t="s">
        <v>36</v>
      </c>
      <c r="E357" t="s">
        <v>20</v>
      </c>
      <c r="F357" t="s">
        <v>21</v>
      </c>
      <c r="G357">
        <v>47</v>
      </c>
      <c r="H357" s="4">
        <v>44.89</v>
      </c>
      <c r="I357">
        <v>2109.83</v>
      </c>
      <c r="J357">
        <v>45.91</v>
      </c>
      <c r="K357">
        <v>418.92</v>
      </c>
      <c r="L357" t="s">
        <v>22</v>
      </c>
      <c r="M357" t="s">
        <v>31</v>
      </c>
      <c r="N357" t="s">
        <v>32</v>
      </c>
      <c r="O357">
        <f>_xlfn.XLOOKUP(E357,Product_Master!$B$2:$B$11,Product_Master!$F$2:$F$11)</f>
        <v>35</v>
      </c>
      <c r="P357">
        <f t="shared" si="10"/>
        <v>1645</v>
      </c>
      <c r="Q357" s="5">
        <f t="shared" si="11"/>
        <v>0.19855628178573631</v>
      </c>
    </row>
    <row r="358" spans="1:17" x14ac:dyDescent="0.3">
      <c r="A358" t="s">
        <v>530</v>
      </c>
      <c r="B358" t="s">
        <v>78</v>
      </c>
      <c r="C358" t="s">
        <v>198</v>
      </c>
      <c r="D358" t="s">
        <v>63</v>
      </c>
      <c r="E358" t="s">
        <v>69</v>
      </c>
      <c r="F358" t="s">
        <v>59</v>
      </c>
      <c r="G358">
        <v>1</v>
      </c>
      <c r="H358" s="4">
        <v>18.739999999999998</v>
      </c>
      <c r="I358">
        <v>18.739999999999998</v>
      </c>
      <c r="J358">
        <v>0.5</v>
      </c>
      <c r="K358">
        <v>2.74</v>
      </c>
      <c r="L358" t="s">
        <v>44</v>
      </c>
      <c r="M358" t="s">
        <v>31</v>
      </c>
      <c r="N358" t="s">
        <v>66</v>
      </c>
      <c r="O358">
        <f>_xlfn.XLOOKUP(E358,Product_Master!$B$2:$B$11,Product_Master!$F$2:$F$11)</f>
        <v>15.5</v>
      </c>
      <c r="P358">
        <f t="shared" si="10"/>
        <v>15.5</v>
      </c>
      <c r="Q358" s="5">
        <f t="shared" si="11"/>
        <v>0.14621131270010676</v>
      </c>
    </row>
    <row r="359" spans="1:17" x14ac:dyDescent="0.3">
      <c r="A359" t="s">
        <v>531</v>
      </c>
      <c r="B359" t="s">
        <v>78</v>
      </c>
      <c r="C359" t="s">
        <v>189</v>
      </c>
      <c r="D359" t="s">
        <v>81</v>
      </c>
      <c r="E359" t="s">
        <v>58</v>
      </c>
      <c r="F359" t="s">
        <v>59</v>
      </c>
      <c r="G359">
        <v>27</v>
      </c>
      <c r="H359" s="4">
        <v>36.270000000000003</v>
      </c>
      <c r="I359">
        <v>979.29</v>
      </c>
      <c r="J359">
        <v>54.58</v>
      </c>
      <c r="K359">
        <v>317.20999999999998</v>
      </c>
      <c r="L359" t="s">
        <v>30</v>
      </c>
      <c r="M359" t="s">
        <v>31</v>
      </c>
      <c r="N359" t="s">
        <v>66</v>
      </c>
      <c r="O359">
        <f>_xlfn.XLOOKUP(E359,Product_Master!$B$2:$B$11,Product_Master!$F$2:$F$11)</f>
        <v>22.5</v>
      </c>
      <c r="P359">
        <f t="shared" si="10"/>
        <v>607.5</v>
      </c>
      <c r="Q359" s="5">
        <f t="shared" si="11"/>
        <v>0.32391834900795474</v>
      </c>
    </row>
    <row r="360" spans="1:17" x14ac:dyDescent="0.3">
      <c r="A360" t="s">
        <v>532</v>
      </c>
      <c r="B360" t="s">
        <v>39</v>
      </c>
      <c r="C360" t="s">
        <v>110</v>
      </c>
      <c r="D360" t="s">
        <v>170</v>
      </c>
      <c r="E360" t="s">
        <v>73</v>
      </c>
      <c r="F360" t="s">
        <v>43</v>
      </c>
      <c r="G360">
        <v>13</v>
      </c>
      <c r="H360" s="4">
        <v>18.82</v>
      </c>
      <c r="I360">
        <v>244.66</v>
      </c>
      <c r="J360">
        <v>6.49</v>
      </c>
      <c r="K360">
        <v>72.42</v>
      </c>
      <c r="L360" t="s">
        <v>44</v>
      </c>
      <c r="M360" t="s">
        <v>31</v>
      </c>
      <c r="N360" t="s">
        <v>32</v>
      </c>
      <c r="O360">
        <f>_xlfn.XLOOKUP(E360,Product_Master!$B$2:$B$11,Product_Master!$F$2:$F$11)</f>
        <v>12.75</v>
      </c>
      <c r="P360">
        <f t="shared" si="10"/>
        <v>165.75</v>
      </c>
      <c r="Q360" s="5">
        <f t="shared" si="11"/>
        <v>0.29600261587509197</v>
      </c>
    </row>
    <row r="361" spans="1:17" x14ac:dyDescent="0.3">
      <c r="A361" t="s">
        <v>533</v>
      </c>
      <c r="B361" t="s">
        <v>26</v>
      </c>
      <c r="C361" t="s">
        <v>361</v>
      </c>
      <c r="D361" t="s">
        <v>147</v>
      </c>
      <c r="E361" t="s">
        <v>98</v>
      </c>
      <c r="F361" t="s">
        <v>59</v>
      </c>
      <c r="G361">
        <v>41</v>
      </c>
      <c r="H361" s="4">
        <v>43.19</v>
      </c>
      <c r="I361">
        <v>1770.79</v>
      </c>
      <c r="J361">
        <v>83.28</v>
      </c>
      <c r="K361">
        <v>539.51</v>
      </c>
      <c r="L361" t="s">
        <v>30</v>
      </c>
      <c r="M361" t="s">
        <v>23</v>
      </c>
      <c r="N361" t="s">
        <v>148</v>
      </c>
      <c r="O361">
        <f>_xlfn.XLOOKUP(E361,Product_Master!$B$2:$B$11,Product_Master!$F$2:$F$11)</f>
        <v>28</v>
      </c>
      <c r="P361">
        <f t="shared" si="10"/>
        <v>1148</v>
      </c>
      <c r="Q361" s="5">
        <f t="shared" si="11"/>
        <v>0.30467192608948551</v>
      </c>
    </row>
    <row r="362" spans="1:17" x14ac:dyDescent="0.3">
      <c r="A362" t="s">
        <v>534</v>
      </c>
      <c r="B362" t="s">
        <v>86</v>
      </c>
      <c r="C362" t="s">
        <v>76</v>
      </c>
      <c r="D362" t="s">
        <v>63</v>
      </c>
      <c r="E362" t="s">
        <v>98</v>
      </c>
      <c r="F362" t="s">
        <v>59</v>
      </c>
      <c r="G362">
        <v>40</v>
      </c>
      <c r="H362" s="4">
        <v>42.31</v>
      </c>
      <c r="I362">
        <v>1692.4</v>
      </c>
      <c r="J362">
        <v>118.59</v>
      </c>
      <c r="K362">
        <v>453.81</v>
      </c>
      <c r="L362" t="s">
        <v>30</v>
      </c>
      <c r="M362" t="s">
        <v>37</v>
      </c>
      <c r="N362" t="s">
        <v>66</v>
      </c>
      <c r="O362">
        <f>_xlfn.XLOOKUP(E362,Product_Master!$B$2:$B$11,Product_Master!$F$2:$F$11)</f>
        <v>28</v>
      </c>
      <c r="P362">
        <f t="shared" si="10"/>
        <v>1120</v>
      </c>
      <c r="Q362" s="5">
        <f t="shared" si="11"/>
        <v>0.26814582840935947</v>
      </c>
    </row>
    <row r="363" spans="1:17" x14ac:dyDescent="0.3">
      <c r="A363" t="s">
        <v>535</v>
      </c>
      <c r="B363" t="s">
        <v>61</v>
      </c>
      <c r="C363" t="s">
        <v>295</v>
      </c>
      <c r="D363" t="s">
        <v>196</v>
      </c>
      <c r="E363" t="s">
        <v>42</v>
      </c>
      <c r="F363" t="s">
        <v>43</v>
      </c>
      <c r="G363">
        <v>1</v>
      </c>
      <c r="H363" s="4">
        <v>57.15</v>
      </c>
      <c r="I363">
        <v>57.15</v>
      </c>
      <c r="J363">
        <v>4.1100000000000003</v>
      </c>
      <c r="K363">
        <v>21.04</v>
      </c>
      <c r="L363" t="s">
        <v>30</v>
      </c>
      <c r="M363" t="s">
        <v>23</v>
      </c>
      <c r="N363" t="s">
        <v>66</v>
      </c>
      <c r="O363">
        <f>_xlfn.XLOOKUP(E363,Product_Master!$B$2:$B$11,Product_Master!$F$2:$F$11)</f>
        <v>32</v>
      </c>
      <c r="P363">
        <f t="shared" si="10"/>
        <v>32</v>
      </c>
      <c r="Q363" s="5">
        <f t="shared" si="11"/>
        <v>0.36815398075240596</v>
      </c>
    </row>
    <row r="364" spans="1:17" x14ac:dyDescent="0.3">
      <c r="A364" t="s">
        <v>536</v>
      </c>
      <c r="B364" t="s">
        <v>107</v>
      </c>
      <c r="C364" t="s">
        <v>187</v>
      </c>
      <c r="D364" t="s">
        <v>48</v>
      </c>
      <c r="E364" t="s">
        <v>54</v>
      </c>
      <c r="F364" t="s">
        <v>43</v>
      </c>
      <c r="G364">
        <v>15</v>
      </c>
      <c r="H364" s="4">
        <v>30.03</v>
      </c>
      <c r="I364">
        <v>450.45</v>
      </c>
      <c r="J364">
        <v>29.99</v>
      </c>
      <c r="K364">
        <v>120.46</v>
      </c>
      <c r="L364" t="s">
        <v>44</v>
      </c>
      <c r="M364" t="s">
        <v>31</v>
      </c>
      <c r="N364" t="s">
        <v>24</v>
      </c>
      <c r="O364">
        <f>_xlfn.XLOOKUP(E364,Product_Master!$B$2:$B$11,Product_Master!$F$2:$F$11)</f>
        <v>20</v>
      </c>
      <c r="P364">
        <f t="shared" si="10"/>
        <v>300</v>
      </c>
      <c r="Q364" s="5">
        <f t="shared" si="11"/>
        <v>0.26742146742146744</v>
      </c>
    </row>
    <row r="365" spans="1:17" x14ac:dyDescent="0.3">
      <c r="A365" t="s">
        <v>537</v>
      </c>
      <c r="B365" t="s">
        <v>107</v>
      </c>
      <c r="C365" t="s">
        <v>180</v>
      </c>
      <c r="D365" t="s">
        <v>41</v>
      </c>
      <c r="E365" t="s">
        <v>54</v>
      </c>
      <c r="F365" t="s">
        <v>43</v>
      </c>
      <c r="G365">
        <v>48</v>
      </c>
      <c r="H365" s="4">
        <v>30.91</v>
      </c>
      <c r="I365">
        <v>1483.68</v>
      </c>
      <c r="J365">
        <v>85.5</v>
      </c>
      <c r="K365">
        <v>438.18</v>
      </c>
      <c r="L365" t="s">
        <v>22</v>
      </c>
      <c r="M365" t="s">
        <v>31</v>
      </c>
      <c r="N365" t="s">
        <v>45</v>
      </c>
      <c r="O365">
        <f>_xlfn.XLOOKUP(E365,Product_Master!$B$2:$B$11,Product_Master!$F$2:$F$11)</f>
        <v>20</v>
      </c>
      <c r="P365">
        <f t="shared" si="10"/>
        <v>960</v>
      </c>
      <c r="Q365" s="5">
        <f t="shared" si="11"/>
        <v>0.29533322549336782</v>
      </c>
    </row>
    <row r="366" spans="1:17" x14ac:dyDescent="0.3">
      <c r="A366" t="s">
        <v>538</v>
      </c>
      <c r="B366" t="s">
        <v>157</v>
      </c>
      <c r="C366" t="s">
        <v>342</v>
      </c>
      <c r="D366" t="s">
        <v>53</v>
      </c>
      <c r="E366" t="s">
        <v>58</v>
      </c>
      <c r="F366" t="s">
        <v>59</v>
      </c>
      <c r="G366">
        <v>8</v>
      </c>
      <c r="H366" s="4">
        <v>32.19</v>
      </c>
      <c r="I366">
        <v>257.52</v>
      </c>
      <c r="J366">
        <v>11.85</v>
      </c>
      <c r="K366">
        <v>65.67</v>
      </c>
      <c r="L366" t="s">
        <v>22</v>
      </c>
      <c r="M366" t="s">
        <v>23</v>
      </c>
      <c r="N366" t="s">
        <v>24</v>
      </c>
      <c r="O366">
        <f>_xlfn.XLOOKUP(E366,Product_Master!$B$2:$B$11,Product_Master!$F$2:$F$11)</f>
        <v>22.5</v>
      </c>
      <c r="P366">
        <f t="shared" si="10"/>
        <v>180</v>
      </c>
      <c r="Q366" s="5">
        <f t="shared" si="11"/>
        <v>0.25500931966449208</v>
      </c>
    </row>
    <row r="367" spans="1:17" x14ac:dyDescent="0.3">
      <c r="A367" t="s">
        <v>539</v>
      </c>
      <c r="B367" t="s">
        <v>71</v>
      </c>
      <c r="C367" t="s">
        <v>166</v>
      </c>
      <c r="D367" t="s">
        <v>88</v>
      </c>
      <c r="E367" t="s">
        <v>49</v>
      </c>
      <c r="F367" t="s">
        <v>50</v>
      </c>
      <c r="G367">
        <v>22</v>
      </c>
      <c r="H367" s="4">
        <v>60.75</v>
      </c>
      <c r="I367">
        <v>1336.5</v>
      </c>
      <c r="J367">
        <v>38.340000000000003</v>
      </c>
      <c r="K367">
        <v>418.16</v>
      </c>
      <c r="L367" t="s">
        <v>22</v>
      </c>
      <c r="M367" t="s">
        <v>31</v>
      </c>
      <c r="N367" t="s">
        <v>66</v>
      </c>
      <c r="O367">
        <f>_xlfn.XLOOKUP(E367,Product_Master!$B$2:$B$11,Product_Master!$F$2:$F$11)</f>
        <v>40</v>
      </c>
      <c r="P367">
        <f t="shared" si="10"/>
        <v>880</v>
      </c>
      <c r="Q367" s="5">
        <f t="shared" si="11"/>
        <v>0.3128769173213618</v>
      </c>
    </row>
    <row r="368" spans="1:17" x14ac:dyDescent="0.3">
      <c r="A368" t="s">
        <v>540</v>
      </c>
      <c r="B368" t="s">
        <v>104</v>
      </c>
      <c r="C368" t="s">
        <v>137</v>
      </c>
      <c r="D368" t="s">
        <v>36</v>
      </c>
      <c r="E368" t="s">
        <v>49</v>
      </c>
      <c r="F368" t="s">
        <v>50</v>
      </c>
      <c r="G368">
        <v>38</v>
      </c>
      <c r="H368" s="4">
        <v>66.06</v>
      </c>
      <c r="I368">
        <v>2510.2800000000002</v>
      </c>
      <c r="J368">
        <v>50.37</v>
      </c>
      <c r="K368">
        <v>939.91</v>
      </c>
      <c r="L368" t="s">
        <v>22</v>
      </c>
      <c r="M368" t="s">
        <v>23</v>
      </c>
      <c r="N368" t="s">
        <v>32</v>
      </c>
      <c r="O368">
        <f>_xlfn.XLOOKUP(E368,Product_Master!$B$2:$B$11,Product_Master!$F$2:$F$11)</f>
        <v>40</v>
      </c>
      <c r="P368">
        <f t="shared" si="10"/>
        <v>1520</v>
      </c>
      <c r="Q368" s="5">
        <f t="shared" si="11"/>
        <v>0.37442436700288412</v>
      </c>
    </row>
    <row r="369" spans="1:17" x14ac:dyDescent="0.3">
      <c r="A369" t="s">
        <v>541</v>
      </c>
      <c r="B369" t="s">
        <v>68</v>
      </c>
      <c r="C369" t="s">
        <v>114</v>
      </c>
      <c r="D369" t="s">
        <v>19</v>
      </c>
      <c r="E369" t="s">
        <v>20</v>
      </c>
      <c r="F369" t="s">
        <v>21</v>
      </c>
      <c r="G369">
        <v>33</v>
      </c>
      <c r="H369" s="4">
        <v>50.88</v>
      </c>
      <c r="I369">
        <v>1679.04</v>
      </c>
      <c r="J369">
        <v>61.48</v>
      </c>
      <c r="K369">
        <v>462.56</v>
      </c>
      <c r="L369" t="s">
        <v>22</v>
      </c>
      <c r="M369" t="s">
        <v>31</v>
      </c>
      <c r="N369" t="s">
        <v>24</v>
      </c>
      <c r="O369">
        <f>_xlfn.XLOOKUP(E369,Product_Master!$B$2:$B$11,Product_Master!$F$2:$F$11)</f>
        <v>35</v>
      </c>
      <c r="P369">
        <f t="shared" si="10"/>
        <v>1155</v>
      </c>
      <c r="Q369" s="5">
        <f t="shared" si="11"/>
        <v>0.27549075662283212</v>
      </c>
    </row>
    <row r="370" spans="1:17" x14ac:dyDescent="0.3">
      <c r="A370" t="s">
        <v>542</v>
      </c>
      <c r="B370" t="s">
        <v>95</v>
      </c>
      <c r="C370" t="s">
        <v>280</v>
      </c>
      <c r="D370" t="s">
        <v>63</v>
      </c>
      <c r="E370" t="s">
        <v>98</v>
      </c>
      <c r="F370" t="s">
        <v>59</v>
      </c>
      <c r="G370">
        <v>49</v>
      </c>
      <c r="H370" s="4">
        <v>34.479999999999997</v>
      </c>
      <c r="I370">
        <v>1689.52</v>
      </c>
      <c r="J370">
        <v>53.06</v>
      </c>
      <c r="K370">
        <v>264.45999999999998</v>
      </c>
      <c r="L370" t="s">
        <v>44</v>
      </c>
      <c r="M370" t="s">
        <v>37</v>
      </c>
      <c r="N370" t="s">
        <v>66</v>
      </c>
      <c r="O370">
        <f>_xlfn.XLOOKUP(E370,Product_Master!$B$2:$B$11,Product_Master!$F$2:$F$11)</f>
        <v>28</v>
      </c>
      <c r="P370">
        <f t="shared" si="10"/>
        <v>1372</v>
      </c>
      <c r="Q370" s="5">
        <f t="shared" si="11"/>
        <v>0.15652966523036127</v>
      </c>
    </row>
    <row r="371" spans="1:17" x14ac:dyDescent="0.3">
      <c r="A371" t="s">
        <v>543</v>
      </c>
      <c r="B371" t="s">
        <v>157</v>
      </c>
      <c r="C371" t="s">
        <v>187</v>
      </c>
      <c r="D371" t="s">
        <v>91</v>
      </c>
      <c r="E371" t="s">
        <v>54</v>
      </c>
      <c r="F371" t="s">
        <v>43</v>
      </c>
      <c r="G371">
        <v>31</v>
      </c>
      <c r="H371" s="4">
        <v>25.43</v>
      </c>
      <c r="I371">
        <v>788.33</v>
      </c>
      <c r="J371">
        <v>57.81</v>
      </c>
      <c r="K371">
        <v>110.52</v>
      </c>
      <c r="L371" t="s">
        <v>22</v>
      </c>
      <c r="M371" t="s">
        <v>31</v>
      </c>
      <c r="N371" t="s">
        <v>66</v>
      </c>
      <c r="O371">
        <f>_xlfn.XLOOKUP(E371,Product_Master!$B$2:$B$11,Product_Master!$F$2:$F$11)</f>
        <v>20</v>
      </c>
      <c r="P371">
        <f t="shared" si="10"/>
        <v>620</v>
      </c>
      <c r="Q371" s="5">
        <f t="shared" si="11"/>
        <v>0.14019509596235077</v>
      </c>
    </row>
    <row r="372" spans="1:17" x14ac:dyDescent="0.3">
      <c r="A372" t="s">
        <v>544</v>
      </c>
      <c r="B372" t="s">
        <v>83</v>
      </c>
      <c r="C372" t="s">
        <v>245</v>
      </c>
      <c r="D372" t="s">
        <v>170</v>
      </c>
      <c r="E372" t="s">
        <v>54</v>
      </c>
      <c r="F372" t="s">
        <v>43</v>
      </c>
      <c r="G372">
        <v>29</v>
      </c>
      <c r="H372" s="4">
        <v>31.68</v>
      </c>
      <c r="I372">
        <v>918.72</v>
      </c>
      <c r="J372">
        <v>22.22</v>
      </c>
      <c r="K372">
        <v>316.5</v>
      </c>
      <c r="L372" t="s">
        <v>44</v>
      </c>
      <c r="M372" t="s">
        <v>23</v>
      </c>
      <c r="N372" t="s">
        <v>32</v>
      </c>
      <c r="O372">
        <f>_xlfn.XLOOKUP(E372,Product_Master!$B$2:$B$11,Product_Master!$F$2:$F$11)</f>
        <v>20</v>
      </c>
      <c r="P372">
        <f t="shared" si="10"/>
        <v>580</v>
      </c>
      <c r="Q372" s="5">
        <f t="shared" si="11"/>
        <v>0.34450104493207939</v>
      </c>
    </row>
    <row r="373" spans="1:17" x14ac:dyDescent="0.3">
      <c r="A373" t="s">
        <v>545</v>
      </c>
      <c r="B373" t="s">
        <v>104</v>
      </c>
      <c r="C373" t="s">
        <v>373</v>
      </c>
      <c r="D373" t="s">
        <v>81</v>
      </c>
      <c r="E373" t="s">
        <v>98</v>
      </c>
      <c r="F373" t="s">
        <v>59</v>
      </c>
      <c r="G373">
        <v>42</v>
      </c>
      <c r="H373" s="4">
        <v>33.89</v>
      </c>
      <c r="I373">
        <v>1423.38</v>
      </c>
      <c r="J373">
        <v>85.4</v>
      </c>
      <c r="K373">
        <v>161.97999999999999</v>
      </c>
      <c r="L373" t="s">
        <v>44</v>
      </c>
      <c r="M373" t="s">
        <v>23</v>
      </c>
      <c r="N373" t="s">
        <v>66</v>
      </c>
      <c r="O373">
        <f>_xlfn.XLOOKUP(E373,Product_Master!$B$2:$B$11,Product_Master!$F$2:$F$11)</f>
        <v>28</v>
      </c>
      <c r="P373">
        <f t="shared" si="10"/>
        <v>1176</v>
      </c>
      <c r="Q373" s="5">
        <f t="shared" si="11"/>
        <v>0.11379954755581782</v>
      </c>
    </row>
    <row r="374" spans="1:17" x14ac:dyDescent="0.3">
      <c r="A374" t="s">
        <v>546</v>
      </c>
      <c r="B374" t="s">
        <v>68</v>
      </c>
      <c r="C374" t="s">
        <v>57</v>
      </c>
      <c r="D374" t="s">
        <v>81</v>
      </c>
      <c r="E374" t="s">
        <v>29</v>
      </c>
      <c r="F374" t="s">
        <v>21</v>
      </c>
      <c r="G374">
        <v>13</v>
      </c>
      <c r="H374" s="4">
        <v>21.75</v>
      </c>
      <c r="I374">
        <v>282.75</v>
      </c>
      <c r="J374">
        <v>12.5</v>
      </c>
      <c r="K374">
        <v>36.25</v>
      </c>
      <c r="L374" t="s">
        <v>44</v>
      </c>
      <c r="M374" t="s">
        <v>31</v>
      </c>
      <c r="N374" t="s">
        <v>66</v>
      </c>
      <c r="O374">
        <f>_xlfn.XLOOKUP(E374,Product_Master!$B$2:$B$11,Product_Master!$F$2:$F$11)</f>
        <v>18</v>
      </c>
      <c r="P374">
        <f t="shared" si="10"/>
        <v>234</v>
      </c>
      <c r="Q374" s="5">
        <f t="shared" si="11"/>
        <v>0.12820512820512819</v>
      </c>
    </row>
    <row r="375" spans="1:17" x14ac:dyDescent="0.3">
      <c r="A375" t="s">
        <v>547</v>
      </c>
      <c r="B375" t="s">
        <v>86</v>
      </c>
      <c r="C375" t="s">
        <v>117</v>
      </c>
      <c r="D375" t="s">
        <v>91</v>
      </c>
      <c r="E375" t="s">
        <v>58</v>
      </c>
      <c r="F375" t="s">
        <v>59</v>
      </c>
      <c r="G375">
        <v>25</v>
      </c>
      <c r="H375" s="4">
        <v>37.58</v>
      </c>
      <c r="I375">
        <v>939.5</v>
      </c>
      <c r="J375">
        <v>48.44</v>
      </c>
      <c r="K375">
        <v>328.56</v>
      </c>
      <c r="L375" t="s">
        <v>44</v>
      </c>
      <c r="M375" t="s">
        <v>37</v>
      </c>
      <c r="N375" t="s">
        <v>66</v>
      </c>
      <c r="O375">
        <f>_xlfn.XLOOKUP(E375,Product_Master!$B$2:$B$11,Product_Master!$F$2:$F$11)</f>
        <v>22.5</v>
      </c>
      <c r="P375">
        <f t="shared" si="10"/>
        <v>562.5</v>
      </c>
      <c r="Q375" s="5">
        <f t="shared" si="11"/>
        <v>0.34971793507184673</v>
      </c>
    </row>
    <row r="376" spans="1:17" x14ac:dyDescent="0.3">
      <c r="A376" t="s">
        <v>548</v>
      </c>
      <c r="B376" t="s">
        <v>26</v>
      </c>
      <c r="C376" t="s">
        <v>322</v>
      </c>
      <c r="D376" t="s">
        <v>170</v>
      </c>
      <c r="E376" t="s">
        <v>54</v>
      </c>
      <c r="F376" t="s">
        <v>43</v>
      </c>
      <c r="G376">
        <v>16</v>
      </c>
      <c r="H376" s="4">
        <v>25.25</v>
      </c>
      <c r="I376">
        <v>404</v>
      </c>
      <c r="J376">
        <v>18.75</v>
      </c>
      <c r="K376">
        <v>65.25</v>
      </c>
      <c r="L376" t="s">
        <v>30</v>
      </c>
      <c r="M376" t="s">
        <v>37</v>
      </c>
      <c r="N376" t="s">
        <v>32</v>
      </c>
      <c r="O376">
        <f>_xlfn.XLOOKUP(E376,Product_Master!$B$2:$B$11,Product_Master!$F$2:$F$11)</f>
        <v>20</v>
      </c>
      <c r="P376">
        <f t="shared" si="10"/>
        <v>320</v>
      </c>
      <c r="Q376" s="5">
        <f t="shared" si="11"/>
        <v>0.16150990099009901</v>
      </c>
    </row>
    <row r="377" spans="1:17" x14ac:dyDescent="0.3">
      <c r="A377" t="s">
        <v>549</v>
      </c>
      <c r="B377" t="s">
        <v>68</v>
      </c>
      <c r="C377" t="s">
        <v>259</v>
      </c>
      <c r="D377" t="s">
        <v>91</v>
      </c>
      <c r="E377" t="s">
        <v>69</v>
      </c>
      <c r="F377" t="s">
        <v>59</v>
      </c>
      <c r="G377">
        <v>37</v>
      </c>
      <c r="H377" s="4">
        <v>25.85</v>
      </c>
      <c r="I377">
        <v>956.45</v>
      </c>
      <c r="J377">
        <v>31.7</v>
      </c>
      <c r="K377">
        <v>351.25</v>
      </c>
      <c r="L377" t="s">
        <v>44</v>
      </c>
      <c r="M377" t="s">
        <v>37</v>
      </c>
      <c r="N377" t="s">
        <v>66</v>
      </c>
      <c r="O377">
        <f>_xlfn.XLOOKUP(E377,Product_Master!$B$2:$B$11,Product_Master!$F$2:$F$11)</f>
        <v>15.5</v>
      </c>
      <c r="P377">
        <f t="shared" si="10"/>
        <v>573.5</v>
      </c>
      <c r="Q377" s="5">
        <f t="shared" si="11"/>
        <v>0.3672434523498353</v>
      </c>
    </row>
    <row r="378" spans="1:17" x14ac:dyDescent="0.3">
      <c r="A378" t="s">
        <v>550</v>
      </c>
      <c r="B378" t="s">
        <v>17</v>
      </c>
      <c r="C378" t="s">
        <v>62</v>
      </c>
      <c r="D378" t="s">
        <v>81</v>
      </c>
      <c r="E378" t="s">
        <v>54</v>
      </c>
      <c r="F378" t="s">
        <v>43</v>
      </c>
      <c r="G378">
        <v>1</v>
      </c>
      <c r="H378" s="4">
        <v>25.72</v>
      </c>
      <c r="I378">
        <v>25.72</v>
      </c>
      <c r="J378">
        <v>2.04</v>
      </c>
      <c r="K378">
        <v>3.68</v>
      </c>
      <c r="L378" t="s">
        <v>44</v>
      </c>
      <c r="M378" t="s">
        <v>37</v>
      </c>
      <c r="N378" t="s">
        <v>66</v>
      </c>
      <c r="O378">
        <f>_xlfn.XLOOKUP(E378,Product_Master!$B$2:$B$11,Product_Master!$F$2:$F$11)</f>
        <v>20</v>
      </c>
      <c r="P378">
        <f t="shared" si="10"/>
        <v>20</v>
      </c>
      <c r="Q378" s="5">
        <f t="shared" si="11"/>
        <v>0.14307931570762053</v>
      </c>
    </row>
    <row r="379" spans="1:17" x14ac:dyDescent="0.3">
      <c r="A379" t="s">
        <v>551</v>
      </c>
      <c r="B379" t="s">
        <v>132</v>
      </c>
      <c r="C379" t="s">
        <v>361</v>
      </c>
      <c r="D379" t="s">
        <v>81</v>
      </c>
      <c r="E379" t="s">
        <v>98</v>
      </c>
      <c r="F379" t="s">
        <v>59</v>
      </c>
      <c r="G379">
        <v>48</v>
      </c>
      <c r="H379" s="4">
        <v>47.05</v>
      </c>
      <c r="I379">
        <v>2258.4</v>
      </c>
      <c r="J379">
        <v>179.44</v>
      </c>
      <c r="K379">
        <v>734.96</v>
      </c>
      <c r="L379" t="s">
        <v>30</v>
      </c>
      <c r="M379" t="s">
        <v>31</v>
      </c>
      <c r="N379" t="s">
        <v>66</v>
      </c>
      <c r="O379">
        <f>_xlfn.XLOOKUP(E379,Product_Master!$B$2:$B$11,Product_Master!$F$2:$F$11)</f>
        <v>28</v>
      </c>
      <c r="P379">
        <f t="shared" si="10"/>
        <v>1344</v>
      </c>
      <c r="Q379" s="5">
        <f t="shared" si="11"/>
        <v>0.32543393552957844</v>
      </c>
    </row>
    <row r="380" spans="1:17" x14ac:dyDescent="0.3">
      <c r="A380" t="s">
        <v>552</v>
      </c>
      <c r="B380" t="s">
        <v>86</v>
      </c>
      <c r="C380" t="s">
        <v>141</v>
      </c>
      <c r="D380" t="s">
        <v>41</v>
      </c>
      <c r="E380" t="s">
        <v>54</v>
      </c>
      <c r="F380" t="s">
        <v>43</v>
      </c>
      <c r="G380">
        <v>48</v>
      </c>
      <c r="H380" s="4">
        <v>29.94</v>
      </c>
      <c r="I380">
        <v>1437.12</v>
      </c>
      <c r="J380">
        <v>30.14</v>
      </c>
      <c r="K380">
        <v>446.98</v>
      </c>
      <c r="L380" t="s">
        <v>30</v>
      </c>
      <c r="M380" t="s">
        <v>31</v>
      </c>
      <c r="N380" t="s">
        <v>45</v>
      </c>
      <c r="O380">
        <f>_xlfn.XLOOKUP(E380,Product_Master!$B$2:$B$11,Product_Master!$F$2:$F$11)</f>
        <v>20</v>
      </c>
      <c r="P380">
        <f t="shared" si="10"/>
        <v>960</v>
      </c>
      <c r="Q380" s="5">
        <f t="shared" si="11"/>
        <v>0.31102482743264309</v>
      </c>
    </row>
    <row r="381" spans="1:17" x14ac:dyDescent="0.3">
      <c r="A381" t="s">
        <v>553</v>
      </c>
      <c r="B381" t="s">
        <v>71</v>
      </c>
      <c r="C381" t="s">
        <v>390</v>
      </c>
      <c r="D381" t="s">
        <v>36</v>
      </c>
      <c r="E381" t="s">
        <v>58</v>
      </c>
      <c r="F381" t="s">
        <v>59</v>
      </c>
      <c r="G381">
        <v>12</v>
      </c>
      <c r="H381" s="4">
        <v>35.68</v>
      </c>
      <c r="I381">
        <v>428.16</v>
      </c>
      <c r="J381">
        <v>13.07</v>
      </c>
      <c r="K381">
        <v>145.09</v>
      </c>
      <c r="L381" t="s">
        <v>30</v>
      </c>
      <c r="M381" t="s">
        <v>37</v>
      </c>
      <c r="N381" t="s">
        <v>32</v>
      </c>
      <c r="O381">
        <f>_xlfn.XLOOKUP(E381,Product_Master!$B$2:$B$11,Product_Master!$F$2:$F$11)</f>
        <v>22.5</v>
      </c>
      <c r="P381">
        <f t="shared" si="10"/>
        <v>270</v>
      </c>
      <c r="Q381" s="5">
        <f t="shared" si="11"/>
        <v>0.33886864723467863</v>
      </c>
    </row>
    <row r="382" spans="1:17" x14ac:dyDescent="0.3">
      <c r="A382" t="s">
        <v>554</v>
      </c>
      <c r="B382" t="s">
        <v>68</v>
      </c>
      <c r="C382" t="s">
        <v>305</v>
      </c>
      <c r="D382" t="s">
        <v>19</v>
      </c>
      <c r="E382" t="s">
        <v>42</v>
      </c>
      <c r="F382" t="s">
        <v>43</v>
      </c>
      <c r="G382">
        <v>30</v>
      </c>
      <c r="H382" s="4">
        <v>49.32</v>
      </c>
      <c r="I382">
        <v>1479.6</v>
      </c>
      <c r="J382">
        <v>105.97</v>
      </c>
      <c r="K382">
        <v>413.63</v>
      </c>
      <c r="L382" t="s">
        <v>30</v>
      </c>
      <c r="M382" t="s">
        <v>31</v>
      </c>
      <c r="N382" t="s">
        <v>24</v>
      </c>
      <c r="O382">
        <f>_xlfn.XLOOKUP(E382,Product_Master!$B$2:$B$11,Product_Master!$F$2:$F$11)</f>
        <v>32</v>
      </c>
      <c r="P382">
        <f t="shared" si="10"/>
        <v>960</v>
      </c>
      <c r="Q382" s="5">
        <f t="shared" si="11"/>
        <v>0.27955528521221951</v>
      </c>
    </row>
    <row r="383" spans="1:17" x14ac:dyDescent="0.3">
      <c r="A383" t="s">
        <v>555</v>
      </c>
      <c r="B383" t="s">
        <v>157</v>
      </c>
      <c r="C383" t="s">
        <v>319</v>
      </c>
      <c r="D383" t="s">
        <v>123</v>
      </c>
      <c r="E383" t="s">
        <v>98</v>
      </c>
      <c r="F383" t="s">
        <v>59</v>
      </c>
      <c r="G383">
        <v>27</v>
      </c>
      <c r="H383" s="4">
        <v>37.68</v>
      </c>
      <c r="I383">
        <v>1017.36</v>
      </c>
      <c r="J383">
        <v>80.739999999999995</v>
      </c>
      <c r="K383">
        <v>180.62</v>
      </c>
      <c r="L383" t="s">
        <v>44</v>
      </c>
      <c r="M383" t="s">
        <v>23</v>
      </c>
      <c r="N383" t="s">
        <v>32</v>
      </c>
      <c r="O383">
        <f>_xlfn.XLOOKUP(E383,Product_Master!$B$2:$B$11,Product_Master!$F$2:$F$11)</f>
        <v>28</v>
      </c>
      <c r="P383">
        <f t="shared" si="10"/>
        <v>756</v>
      </c>
      <c r="Q383" s="5">
        <f t="shared" si="11"/>
        <v>0.17753794133836598</v>
      </c>
    </row>
    <row r="384" spans="1:17" x14ac:dyDescent="0.3">
      <c r="A384" t="s">
        <v>556</v>
      </c>
      <c r="B384" t="s">
        <v>104</v>
      </c>
      <c r="C384" t="s">
        <v>192</v>
      </c>
      <c r="D384" t="s">
        <v>36</v>
      </c>
      <c r="E384" t="s">
        <v>64</v>
      </c>
      <c r="F384" t="s">
        <v>65</v>
      </c>
      <c r="G384">
        <v>39</v>
      </c>
      <c r="H384" s="4">
        <v>36.340000000000003</v>
      </c>
      <c r="I384">
        <v>1417.26</v>
      </c>
      <c r="J384">
        <v>67</v>
      </c>
      <c r="K384">
        <v>375.26</v>
      </c>
      <c r="L384" t="s">
        <v>44</v>
      </c>
      <c r="M384" t="s">
        <v>31</v>
      </c>
      <c r="N384" t="s">
        <v>32</v>
      </c>
      <c r="O384">
        <f>_xlfn.XLOOKUP(E384,Product_Master!$B$2:$B$11,Product_Master!$F$2:$F$11)</f>
        <v>25</v>
      </c>
      <c r="P384">
        <f t="shared" si="10"/>
        <v>975</v>
      </c>
      <c r="Q384" s="5">
        <f t="shared" si="11"/>
        <v>0.26477851629200005</v>
      </c>
    </row>
    <row r="385" spans="1:17" x14ac:dyDescent="0.3">
      <c r="A385" t="s">
        <v>557</v>
      </c>
      <c r="B385" t="s">
        <v>107</v>
      </c>
      <c r="C385" t="s">
        <v>62</v>
      </c>
      <c r="D385" t="s">
        <v>63</v>
      </c>
      <c r="E385" t="s">
        <v>69</v>
      </c>
      <c r="F385" t="s">
        <v>59</v>
      </c>
      <c r="G385">
        <v>16</v>
      </c>
      <c r="H385" s="4">
        <v>24.33</v>
      </c>
      <c r="I385">
        <v>389.28</v>
      </c>
      <c r="J385">
        <v>22.33</v>
      </c>
      <c r="K385">
        <v>118.95</v>
      </c>
      <c r="L385" t="s">
        <v>22</v>
      </c>
      <c r="M385" t="s">
        <v>37</v>
      </c>
      <c r="N385" t="s">
        <v>66</v>
      </c>
      <c r="O385">
        <f>_xlfn.XLOOKUP(E385,Product_Master!$B$2:$B$11,Product_Master!$F$2:$F$11)</f>
        <v>15.5</v>
      </c>
      <c r="P385">
        <f t="shared" si="10"/>
        <v>248</v>
      </c>
      <c r="Q385" s="5">
        <f t="shared" si="11"/>
        <v>0.30556411837237979</v>
      </c>
    </row>
    <row r="386" spans="1:17" x14ac:dyDescent="0.3">
      <c r="A386" t="s">
        <v>558</v>
      </c>
      <c r="B386" t="s">
        <v>17</v>
      </c>
      <c r="C386" t="s">
        <v>319</v>
      </c>
      <c r="D386" t="s">
        <v>88</v>
      </c>
      <c r="E386" t="s">
        <v>69</v>
      </c>
      <c r="F386" t="s">
        <v>59</v>
      </c>
      <c r="G386">
        <v>40</v>
      </c>
      <c r="H386" s="4">
        <v>22.28</v>
      </c>
      <c r="I386">
        <v>891.2</v>
      </c>
      <c r="J386">
        <v>32.729999999999997</v>
      </c>
      <c r="K386">
        <v>238.47</v>
      </c>
      <c r="L386" t="s">
        <v>22</v>
      </c>
      <c r="M386" t="s">
        <v>31</v>
      </c>
      <c r="N386" t="s">
        <v>66</v>
      </c>
      <c r="O386">
        <f>_xlfn.XLOOKUP(E386,Product_Master!$B$2:$B$11,Product_Master!$F$2:$F$11)</f>
        <v>15.5</v>
      </c>
      <c r="P386">
        <f t="shared" si="10"/>
        <v>620</v>
      </c>
      <c r="Q386" s="5">
        <f t="shared" si="11"/>
        <v>0.26758303411131057</v>
      </c>
    </row>
    <row r="387" spans="1:17" x14ac:dyDescent="0.3">
      <c r="A387" t="s">
        <v>559</v>
      </c>
      <c r="B387" t="s">
        <v>71</v>
      </c>
      <c r="C387" t="s">
        <v>122</v>
      </c>
      <c r="D387" t="s">
        <v>91</v>
      </c>
      <c r="E387" t="s">
        <v>73</v>
      </c>
      <c r="F387" t="s">
        <v>43</v>
      </c>
      <c r="G387">
        <v>45</v>
      </c>
      <c r="H387" s="4">
        <v>21.71</v>
      </c>
      <c r="I387">
        <v>976.95</v>
      </c>
      <c r="J387">
        <v>51.6</v>
      </c>
      <c r="K387">
        <v>351.6</v>
      </c>
      <c r="L387" t="s">
        <v>22</v>
      </c>
      <c r="M387" t="s">
        <v>23</v>
      </c>
      <c r="N387" t="s">
        <v>66</v>
      </c>
      <c r="O387">
        <f>_xlfn.XLOOKUP(E387,Product_Master!$B$2:$B$11,Product_Master!$F$2:$F$11)</f>
        <v>12.75</v>
      </c>
      <c r="P387">
        <f t="shared" ref="P387:P450" si="12">G387*O387</f>
        <v>573.75</v>
      </c>
      <c r="Q387" s="5">
        <f t="shared" ref="Q387:Q450" si="13">K387/I387</f>
        <v>0.35989559342852756</v>
      </c>
    </row>
    <row r="388" spans="1:17" x14ac:dyDescent="0.3">
      <c r="A388" t="s">
        <v>560</v>
      </c>
      <c r="B388" t="s">
        <v>71</v>
      </c>
      <c r="C388" t="s">
        <v>200</v>
      </c>
      <c r="D388" t="s">
        <v>170</v>
      </c>
      <c r="E388" t="s">
        <v>64</v>
      </c>
      <c r="F388" t="s">
        <v>65</v>
      </c>
      <c r="G388">
        <v>8</v>
      </c>
      <c r="H388" s="4">
        <v>31.07</v>
      </c>
      <c r="I388">
        <v>248.56</v>
      </c>
      <c r="J388">
        <v>10.97</v>
      </c>
      <c r="K388">
        <v>37.590000000000003</v>
      </c>
      <c r="L388" t="s">
        <v>22</v>
      </c>
      <c r="M388" t="s">
        <v>31</v>
      </c>
      <c r="N388" t="s">
        <v>32</v>
      </c>
      <c r="O388">
        <f>_xlfn.XLOOKUP(E388,Product_Master!$B$2:$B$11,Product_Master!$F$2:$F$11)</f>
        <v>25</v>
      </c>
      <c r="P388">
        <f t="shared" si="12"/>
        <v>200</v>
      </c>
      <c r="Q388" s="5">
        <f t="shared" si="13"/>
        <v>0.15123109108464758</v>
      </c>
    </row>
    <row r="389" spans="1:17" x14ac:dyDescent="0.3">
      <c r="A389" t="s">
        <v>561</v>
      </c>
      <c r="B389" t="s">
        <v>83</v>
      </c>
      <c r="C389" t="s">
        <v>250</v>
      </c>
      <c r="D389" t="s">
        <v>123</v>
      </c>
      <c r="E389" t="s">
        <v>73</v>
      </c>
      <c r="F389" t="s">
        <v>43</v>
      </c>
      <c r="G389">
        <v>47</v>
      </c>
      <c r="H389" s="4">
        <v>21.93</v>
      </c>
      <c r="I389">
        <v>1030.71</v>
      </c>
      <c r="J389">
        <v>70.989999999999995</v>
      </c>
      <c r="K389">
        <v>360.47</v>
      </c>
      <c r="L389" t="s">
        <v>44</v>
      </c>
      <c r="M389" t="s">
        <v>23</v>
      </c>
      <c r="N389" t="s">
        <v>32</v>
      </c>
      <c r="O389">
        <f>_xlfn.XLOOKUP(E389,Product_Master!$B$2:$B$11,Product_Master!$F$2:$F$11)</f>
        <v>12.75</v>
      </c>
      <c r="P389">
        <f t="shared" si="12"/>
        <v>599.25</v>
      </c>
      <c r="Q389" s="5">
        <f t="shared" si="13"/>
        <v>0.3497297979062976</v>
      </c>
    </row>
    <row r="390" spans="1:17" x14ac:dyDescent="0.3">
      <c r="A390" t="s">
        <v>562</v>
      </c>
      <c r="B390" t="s">
        <v>95</v>
      </c>
      <c r="C390" t="s">
        <v>119</v>
      </c>
      <c r="D390" t="s">
        <v>123</v>
      </c>
      <c r="E390" t="s">
        <v>73</v>
      </c>
      <c r="F390" t="s">
        <v>43</v>
      </c>
      <c r="G390">
        <v>46</v>
      </c>
      <c r="H390" s="4">
        <v>21.46</v>
      </c>
      <c r="I390">
        <v>987.16</v>
      </c>
      <c r="J390">
        <v>21.64</v>
      </c>
      <c r="K390">
        <v>379.02</v>
      </c>
      <c r="L390" t="s">
        <v>30</v>
      </c>
      <c r="M390" t="s">
        <v>23</v>
      </c>
      <c r="N390" t="s">
        <v>32</v>
      </c>
      <c r="O390">
        <f>_xlfn.XLOOKUP(E390,Product_Master!$B$2:$B$11,Product_Master!$F$2:$F$11)</f>
        <v>12.75</v>
      </c>
      <c r="P390">
        <f t="shared" si="12"/>
        <v>586.5</v>
      </c>
      <c r="Q390" s="5">
        <f t="shared" si="13"/>
        <v>0.38394991693342517</v>
      </c>
    </row>
    <row r="391" spans="1:17" x14ac:dyDescent="0.3">
      <c r="A391" t="s">
        <v>563</v>
      </c>
      <c r="B391" t="s">
        <v>26</v>
      </c>
      <c r="C391" t="s">
        <v>90</v>
      </c>
      <c r="D391" t="s">
        <v>19</v>
      </c>
      <c r="E391" t="s">
        <v>98</v>
      </c>
      <c r="F391" t="s">
        <v>59</v>
      </c>
      <c r="G391">
        <v>45</v>
      </c>
      <c r="H391" s="4">
        <v>47.1</v>
      </c>
      <c r="I391">
        <v>2119.5</v>
      </c>
      <c r="J391">
        <v>120.16</v>
      </c>
      <c r="K391">
        <v>739.34</v>
      </c>
      <c r="L391" t="s">
        <v>30</v>
      </c>
      <c r="M391" t="s">
        <v>31</v>
      </c>
      <c r="N391" t="s">
        <v>24</v>
      </c>
      <c r="O391">
        <f>_xlfn.XLOOKUP(E391,Product_Master!$B$2:$B$11,Product_Master!$F$2:$F$11)</f>
        <v>28</v>
      </c>
      <c r="P391">
        <f t="shared" si="12"/>
        <v>1260</v>
      </c>
      <c r="Q391" s="5">
        <f t="shared" si="13"/>
        <v>0.34882755366831802</v>
      </c>
    </row>
    <row r="392" spans="1:17" x14ac:dyDescent="0.3">
      <c r="A392" t="s">
        <v>564</v>
      </c>
      <c r="B392" t="s">
        <v>104</v>
      </c>
      <c r="C392" t="s">
        <v>18</v>
      </c>
      <c r="D392" t="s">
        <v>196</v>
      </c>
      <c r="E392" t="s">
        <v>20</v>
      </c>
      <c r="F392" t="s">
        <v>21</v>
      </c>
      <c r="G392">
        <v>2</v>
      </c>
      <c r="H392" s="4">
        <v>58.32</v>
      </c>
      <c r="I392">
        <v>116.64</v>
      </c>
      <c r="J392">
        <v>8.99</v>
      </c>
      <c r="K392">
        <v>37.65</v>
      </c>
      <c r="L392" t="s">
        <v>22</v>
      </c>
      <c r="M392" t="s">
        <v>31</v>
      </c>
      <c r="N392" t="s">
        <v>66</v>
      </c>
      <c r="O392">
        <f>_xlfn.XLOOKUP(E392,Product_Master!$B$2:$B$11,Product_Master!$F$2:$F$11)</f>
        <v>35</v>
      </c>
      <c r="P392">
        <f t="shared" si="12"/>
        <v>70</v>
      </c>
      <c r="Q392" s="5">
        <f t="shared" si="13"/>
        <v>0.32278806584362141</v>
      </c>
    </row>
    <row r="393" spans="1:17" x14ac:dyDescent="0.3">
      <c r="A393" t="s">
        <v>565</v>
      </c>
      <c r="B393" t="s">
        <v>83</v>
      </c>
      <c r="C393" t="s">
        <v>319</v>
      </c>
      <c r="D393" t="s">
        <v>123</v>
      </c>
      <c r="E393" t="s">
        <v>20</v>
      </c>
      <c r="F393" t="s">
        <v>21</v>
      </c>
      <c r="G393">
        <v>31</v>
      </c>
      <c r="H393" s="4">
        <v>61.34</v>
      </c>
      <c r="I393">
        <v>1901.54</v>
      </c>
      <c r="J393">
        <v>147.43</v>
      </c>
      <c r="K393">
        <v>669.11</v>
      </c>
      <c r="L393" t="s">
        <v>30</v>
      </c>
      <c r="M393" t="s">
        <v>23</v>
      </c>
      <c r="N393" t="s">
        <v>32</v>
      </c>
      <c r="O393">
        <f>_xlfn.XLOOKUP(E393,Product_Master!$B$2:$B$11,Product_Master!$F$2:$F$11)</f>
        <v>35</v>
      </c>
      <c r="P393">
        <f t="shared" si="12"/>
        <v>1085</v>
      </c>
      <c r="Q393" s="5">
        <f t="shared" si="13"/>
        <v>0.35187795155505541</v>
      </c>
    </row>
    <row r="394" spans="1:17" x14ac:dyDescent="0.3">
      <c r="A394" t="s">
        <v>566</v>
      </c>
      <c r="B394" t="s">
        <v>86</v>
      </c>
      <c r="C394" t="s">
        <v>185</v>
      </c>
      <c r="D394" t="s">
        <v>48</v>
      </c>
      <c r="E394" t="s">
        <v>64</v>
      </c>
      <c r="F394" t="s">
        <v>65</v>
      </c>
      <c r="G394">
        <v>15</v>
      </c>
      <c r="H394" s="4">
        <v>43.9</v>
      </c>
      <c r="I394">
        <v>658.5</v>
      </c>
      <c r="J394">
        <v>36.479999999999997</v>
      </c>
      <c r="K394">
        <v>247.02</v>
      </c>
      <c r="L394" t="s">
        <v>44</v>
      </c>
      <c r="M394" t="s">
        <v>31</v>
      </c>
      <c r="N394" t="s">
        <v>24</v>
      </c>
      <c r="O394">
        <f>_xlfn.XLOOKUP(E394,Product_Master!$B$2:$B$11,Product_Master!$F$2:$F$11)</f>
        <v>25</v>
      </c>
      <c r="P394">
        <f t="shared" si="12"/>
        <v>375</v>
      </c>
      <c r="Q394" s="5">
        <f t="shared" si="13"/>
        <v>0.37512528473804102</v>
      </c>
    </row>
    <row r="395" spans="1:17" x14ac:dyDescent="0.3">
      <c r="A395" t="s">
        <v>567</v>
      </c>
      <c r="B395" t="s">
        <v>132</v>
      </c>
      <c r="C395" t="s">
        <v>185</v>
      </c>
      <c r="D395" t="s">
        <v>36</v>
      </c>
      <c r="E395" t="s">
        <v>73</v>
      </c>
      <c r="F395" t="s">
        <v>43</v>
      </c>
      <c r="G395">
        <v>4</v>
      </c>
      <c r="H395" s="4">
        <v>20.53</v>
      </c>
      <c r="I395">
        <v>82.12</v>
      </c>
      <c r="J395">
        <v>4.05</v>
      </c>
      <c r="K395">
        <v>27.07</v>
      </c>
      <c r="L395" t="s">
        <v>22</v>
      </c>
      <c r="M395" t="s">
        <v>37</v>
      </c>
      <c r="N395" t="s">
        <v>32</v>
      </c>
      <c r="O395">
        <f>_xlfn.XLOOKUP(E395,Product_Master!$B$2:$B$11,Product_Master!$F$2:$F$11)</f>
        <v>12.75</v>
      </c>
      <c r="P395">
        <f t="shared" si="12"/>
        <v>51</v>
      </c>
      <c r="Q395" s="5">
        <f t="shared" si="13"/>
        <v>0.32963955187530442</v>
      </c>
    </row>
    <row r="396" spans="1:17" x14ac:dyDescent="0.3">
      <c r="A396" t="s">
        <v>568</v>
      </c>
      <c r="B396" t="s">
        <v>95</v>
      </c>
      <c r="C396" t="s">
        <v>168</v>
      </c>
      <c r="D396" t="s">
        <v>147</v>
      </c>
      <c r="E396" t="s">
        <v>54</v>
      </c>
      <c r="F396" t="s">
        <v>43</v>
      </c>
      <c r="G396">
        <v>6</v>
      </c>
      <c r="H396" s="4">
        <v>24.7</v>
      </c>
      <c r="I396">
        <v>148.19999999999999</v>
      </c>
      <c r="J396">
        <v>3.76</v>
      </c>
      <c r="K396">
        <v>24.44</v>
      </c>
      <c r="L396" t="s">
        <v>44</v>
      </c>
      <c r="M396" t="s">
        <v>23</v>
      </c>
      <c r="N396" t="s">
        <v>148</v>
      </c>
      <c r="O396">
        <f>_xlfn.XLOOKUP(E396,Product_Master!$B$2:$B$11,Product_Master!$F$2:$F$11)</f>
        <v>20</v>
      </c>
      <c r="P396">
        <f t="shared" si="12"/>
        <v>120</v>
      </c>
      <c r="Q396" s="5">
        <f t="shared" si="13"/>
        <v>0.1649122807017544</v>
      </c>
    </row>
    <row r="397" spans="1:17" x14ac:dyDescent="0.3">
      <c r="A397" t="s">
        <v>569</v>
      </c>
      <c r="B397" t="s">
        <v>78</v>
      </c>
      <c r="C397" t="s">
        <v>349</v>
      </c>
      <c r="D397" t="s">
        <v>41</v>
      </c>
      <c r="E397" t="s">
        <v>73</v>
      </c>
      <c r="F397" t="s">
        <v>43</v>
      </c>
      <c r="G397">
        <v>19</v>
      </c>
      <c r="H397" s="4">
        <v>19.170000000000002</v>
      </c>
      <c r="I397">
        <v>364.23</v>
      </c>
      <c r="J397">
        <v>15.16</v>
      </c>
      <c r="K397">
        <v>106.82</v>
      </c>
      <c r="L397" t="s">
        <v>30</v>
      </c>
      <c r="M397" t="s">
        <v>31</v>
      </c>
      <c r="N397" t="s">
        <v>45</v>
      </c>
      <c r="O397">
        <f>_xlfn.XLOOKUP(E397,Product_Master!$B$2:$B$11,Product_Master!$F$2:$F$11)</f>
        <v>12.75</v>
      </c>
      <c r="P397">
        <f t="shared" si="12"/>
        <v>242.25</v>
      </c>
      <c r="Q397" s="5">
        <f t="shared" si="13"/>
        <v>0.29327622656014052</v>
      </c>
    </row>
    <row r="398" spans="1:17" x14ac:dyDescent="0.3">
      <c r="A398" t="s">
        <v>570</v>
      </c>
      <c r="B398" t="s">
        <v>107</v>
      </c>
      <c r="C398" t="s">
        <v>418</v>
      </c>
      <c r="D398" t="s">
        <v>63</v>
      </c>
      <c r="E398" t="s">
        <v>49</v>
      </c>
      <c r="F398" t="s">
        <v>50</v>
      </c>
      <c r="G398">
        <v>2</v>
      </c>
      <c r="H398" s="4">
        <v>55.28</v>
      </c>
      <c r="I398">
        <v>110.56</v>
      </c>
      <c r="J398">
        <v>5.37</v>
      </c>
      <c r="K398">
        <v>25.19</v>
      </c>
      <c r="L398" t="s">
        <v>44</v>
      </c>
      <c r="M398" t="s">
        <v>31</v>
      </c>
      <c r="N398" t="s">
        <v>66</v>
      </c>
      <c r="O398">
        <f>_xlfn.XLOOKUP(E398,Product_Master!$B$2:$B$11,Product_Master!$F$2:$F$11)</f>
        <v>40</v>
      </c>
      <c r="P398">
        <f t="shared" si="12"/>
        <v>80</v>
      </c>
      <c r="Q398" s="5">
        <f t="shared" si="13"/>
        <v>0.22784008683068019</v>
      </c>
    </row>
    <row r="399" spans="1:17" x14ac:dyDescent="0.3">
      <c r="A399" t="s">
        <v>571</v>
      </c>
      <c r="B399" t="s">
        <v>56</v>
      </c>
      <c r="C399" t="s">
        <v>230</v>
      </c>
      <c r="D399" t="s">
        <v>41</v>
      </c>
      <c r="E399" t="s">
        <v>64</v>
      </c>
      <c r="F399" t="s">
        <v>65</v>
      </c>
      <c r="G399">
        <v>49</v>
      </c>
      <c r="H399" s="4">
        <v>43.91</v>
      </c>
      <c r="I399">
        <v>2151.59</v>
      </c>
      <c r="J399">
        <v>63.55</v>
      </c>
      <c r="K399">
        <v>863.04</v>
      </c>
      <c r="L399" t="s">
        <v>22</v>
      </c>
      <c r="M399" t="s">
        <v>31</v>
      </c>
      <c r="N399" t="s">
        <v>45</v>
      </c>
      <c r="O399">
        <f>_xlfn.XLOOKUP(E399,Product_Master!$B$2:$B$11,Product_Master!$F$2:$F$11)</f>
        <v>25</v>
      </c>
      <c r="P399">
        <f t="shared" si="12"/>
        <v>1225</v>
      </c>
      <c r="Q399" s="5">
        <f t="shared" si="13"/>
        <v>0.40111731324276462</v>
      </c>
    </row>
    <row r="400" spans="1:17" x14ac:dyDescent="0.3">
      <c r="A400" t="s">
        <v>572</v>
      </c>
      <c r="B400" t="s">
        <v>34</v>
      </c>
      <c r="C400" t="s">
        <v>212</v>
      </c>
      <c r="D400" t="s">
        <v>41</v>
      </c>
      <c r="E400" t="s">
        <v>64</v>
      </c>
      <c r="F400" t="s">
        <v>65</v>
      </c>
      <c r="G400">
        <v>29</v>
      </c>
      <c r="H400" s="4">
        <v>41.84</v>
      </c>
      <c r="I400">
        <v>1213.3599999999999</v>
      </c>
      <c r="J400">
        <v>56.83</v>
      </c>
      <c r="K400">
        <v>431.53</v>
      </c>
      <c r="L400" t="s">
        <v>44</v>
      </c>
      <c r="M400" t="s">
        <v>37</v>
      </c>
      <c r="N400" t="s">
        <v>45</v>
      </c>
      <c r="O400">
        <f>_xlfn.XLOOKUP(E400,Product_Master!$B$2:$B$11,Product_Master!$F$2:$F$11)</f>
        <v>25</v>
      </c>
      <c r="P400">
        <f t="shared" si="12"/>
        <v>725</v>
      </c>
      <c r="Q400" s="5">
        <f t="shared" si="13"/>
        <v>0.35564877694995717</v>
      </c>
    </row>
    <row r="401" spans="1:17" x14ac:dyDescent="0.3">
      <c r="A401" t="s">
        <v>573</v>
      </c>
      <c r="B401" t="s">
        <v>56</v>
      </c>
      <c r="C401" t="s">
        <v>195</v>
      </c>
      <c r="D401" t="s">
        <v>101</v>
      </c>
      <c r="E401" t="s">
        <v>69</v>
      </c>
      <c r="F401" t="s">
        <v>59</v>
      </c>
      <c r="G401">
        <v>43</v>
      </c>
      <c r="H401" s="4">
        <v>27.41</v>
      </c>
      <c r="I401">
        <v>1178.6300000000001</v>
      </c>
      <c r="J401">
        <v>55.82</v>
      </c>
      <c r="K401">
        <v>456.31</v>
      </c>
      <c r="L401" t="s">
        <v>44</v>
      </c>
      <c r="M401" t="s">
        <v>31</v>
      </c>
      <c r="N401" t="s">
        <v>102</v>
      </c>
      <c r="O401">
        <f>_xlfn.XLOOKUP(E401,Product_Master!$B$2:$B$11,Product_Master!$F$2:$F$11)</f>
        <v>15.5</v>
      </c>
      <c r="P401">
        <f t="shared" si="12"/>
        <v>666.5</v>
      </c>
      <c r="Q401" s="5">
        <f t="shared" si="13"/>
        <v>0.38715288088713162</v>
      </c>
    </row>
    <row r="402" spans="1:17" x14ac:dyDescent="0.3">
      <c r="A402" t="s">
        <v>574</v>
      </c>
      <c r="B402" t="s">
        <v>71</v>
      </c>
      <c r="C402" t="s">
        <v>492</v>
      </c>
      <c r="D402" t="s">
        <v>53</v>
      </c>
      <c r="E402" t="s">
        <v>54</v>
      </c>
      <c r="F402" t="s">
        <v>43</v>
      </c>
      <c r="G402">
        <v>28</v>
      </c>
      <c r="H402" s="4">
        <v>31.84</v>
      </c>
      <c r="I402">
        <v>891.52</v>
      </c>
      <c r="J402">
        <v>54.24</v>
      </c>
      <c r="K402">
        <v>277.27999999999997</v>
      </c>
      <c r="L402" t="s">
        <v>22</v>
      </c>
      <c r="M402" t="s">
        <v>31</v>
      </c>
      <c r="N402" t="s">
        <v>24</v>
      </c>
      <c r="O402">
        <f>_xlfn.XLOOKUP(E402,Product_Master!$B$2:$B$11,Product_Master!$F$2:$F$11)</f>
        <v>20</v>
      </c>
      <c r="P402">
        <f t="shared" si="12"/>
        <v>560</v>
      </c>
      <c r="Q402" s="5">
        <f t="shared" si="13"/>
        <v>0.31101938262742279</v>
      </c>
    </row>
    <row r="403" spans="1:17" x14ac:dyDescent="0.3">
      <c r="A403" t="s">
        <v>575</v>
      </c>
      <c r="B403" t="s">
        <v>78</v>
      </c>
      <c r="C403" t="s">
        <v>310</v>
      </c>
      <c r="D403" t="s">
        <v>63</v>
      </c>
      <c r="E403" t="s">
        <v>64</v>
      </c>
      <c r="F403" t="s">
        <v>65</v>
      </c>
      <c r="G403">
        <v>42</v>
      </c>
      <c r="H403" s="4">
        <v>35.840000000000003</v>
      </c>
      <c r="I403">
        <v>1505.28</v>
      </c>
      <c r="J403">
        <v>60.65</v>
      </c>
      <c r="K403">
        <v>394.63</v>
      </c>
      <c r="L403" t="s">
        <v>44</v>
      </c>
      <c r="M403" t="s">
        <v>31</v>
      </c>
      <c r="N403" t="s">
        <v>66</v>
      </c>
      <c r="O403">
        <f>_xlfn.XLOOKUP(E403,Product_Master!$B$2:$B$11,Product_Master!$F$2:$F$11)</f>
        <v>25</v>
      </c>
      <c r="P403">
        <f t="shared" si="12"/>
        <v>1050</v>
      </c>
      <c r="Q403" s="5">
        <f t="shared" si="13"/>
        <v>0.262163849914966</v>
      </c>
    </row>
    <row r="404" spans="1:17" x14ac:dyDescent="0.3">
      <c r="A404" t="s">
        <v>576</v>
      </c>
      <c r="B404" t="s">
        <v>68</v>
      </c>
      <c r="C404" t="s">
        <v>72</v>
      </c>
      <c r="D404" t="s">
        <v>81</v>
      </c>
      <c r="E404" t="s">
        <v>58</v>
      </c>
      <c r="F404" t="s">
        <v>59</v>
      </c>
      <c r="G404">
        <v>22</v>
      </c>
      <c r="H404" s="4">
        <v>30.55</v>
      </c>
      <c r="I404">
        <v>672.1</v>
      </c>
      <c r="J404">
        <v>46.8</v>
      </c>
      <c r="K404">
        <v>130.30000000000001</v>
      </c>
      <c r="L404" t="s">
        <v>30</v>
      </c>
      <c r="M404" t="s">
        <v>37</v>
      </c>
      <c r="N404" t="s">
        <v>66</v>
      </c>
      <c r="O404">
        <f>_xlfn.XLOOKUP(E404,Product_Master!$B$2:$B$11,Product_Master!$F$2:$F$11)</f>
        <v>22.5</v>
      </c>
      <c r="P404">
        <f t="shared" si="12"/>
        <v>495</v>
      </c>
      <c r="Q404" s="5">
        <f t="shared" si="13"/>
        <v>0.19386995982740665</v>
      </c>
    </row>
    <row r="405" spans="1:17" x14ac:dyDescent="0.3">
      <c r="A405" t="s">
        <v>577</v>
      </c>
      <c r="B405" t="s">
        <v>75</v>
      </c>
      <c r="C405" t="s">
        <v>240</v>
      </c>
      <c r="D405" t="s">
        <v>91</v>
      </c>
      <c r="E405" t="s">
        <v>98</v>
      </c>
      <c r="F405" t="s">
        <v>59</v>
      </c>
      <c r="G405">
        <v>13</v>
      </c>
      <c r="H405" s="4">
        <v>45.16</v>
      </c>
      <c r="I405">
        <v>587.08000000000004</v>
      </c>
      <c r="J405">
        <v>29.68</v>
      </c>
      <c r="K405">
        <v>193.4</v>
      </c>
      <c r="L405" t="s">
        <v>30</v>
      </c>
      <c r="M405" t="s">
        <v>31</v>
      </c>
      <c r="N405" t="s">
        <v>66</v>
      </c>
      <c r="O405">
        <f>_xlfn.XLOOKUP(E405,Product_Master!$B$2:$B$11,Product_Master!$F$2:$F$11)</f>
        <v>28</v>
      </c>
      <c r="P405">
        <f t="shared" si="12"/>
        <v>364</v>
      </c>
      <c r="Q405" s="5">
        <f t="shared" si="13"/>
        <v>0.32942699461742864</v>
      </c>
    </row>
    <row r="406" spans="1:17" x14ac:dyDescent="0.3">
      <c r="A406" t="s">
        <v>578</v>
      </c>
      <c r="B406" t="s">
        <v>56</v>
      </c>
      <c r="C406" t="s">
        <v>161</v>
      </c>
      <c r="D406" t="s">
        <v>147</v>
      </c>
      <c r="E406" t="s">
        <v>20</v>
      </c>
      <c r="F406" t="s">
        <v>21</v>
      </c>
      <c r="G406">
        <v>40</v>
      </c>
      <c r="H406" s="4">
        <v>45.23</v>
      </c>
      <c r="I406">
        <v>1809.2</v>
      </c>
      <c r="J406">
        <v>136.25</v>
      </c>
      <c r="K406">
        <v>272.95</v>
      </c>
      <c r="L406" t="s">
        <v>44</v>
      </c>
      <c r="M406" t="s">
        <v>37</v>
      </c>
      <c r="N406" t="s">
        <v>148</v>
      </c>
      <c r="O406">
        <f>_xlfn.XLOOKUP(E406,Product_Master!$B$2:$B$11,Product_Master!$F$2:$F$11)</f>
        <v>35</v>
      </c>
      <c r="P406">
        <f t="shared" si="12"/>
        <v>1400</v>
      </c>
      <c r="Q406" s="5">
        <f t="shared" si="13"/>
        <v>0.15086778686712357</v>
      </c>
    </row>
    <row r="407" spans="1:17" x14ac:dyDescent="0.3">
      <c r="A407" t="s">
        <v>579</v>
      </c>
      <c r="B407" t="s">
        <v>157</v>
      </c>
      <c r="C407" t="s">
        <v>276</v>
      </c>
      <c r="D407" t="s">
        <v>91</v>
      </c>
      <c r="E407" t="s">
        <v>29</v>
      </c>
      <c r="F407" t="s">
        <v>21</v>
      </c>
      <c r="G407">
        <v>41</v>
      </c>
      <c r="H407" s="4">
        <v>22.78</v>
      </c>
      <c r="I407">
        <v>933.98</v>
      </c>
      <c r="J407">
        <v>38.369999999999997</v>
      </c>
      <c r="K407">
        <v>157.61000000000001</v>
      </c>
      <c r="L407" t="s">
        <v>30</v>
      </c>
      <c r="M407" t="s">
        <v>23</v>
      </c>
      <c r="N407" t="s">
        <v>66</v>
      </c>
      <c r="O407">
        <f>_xlfn.XLOOKUP(E407,Product_Master!$B$2:$B$11,Product_Master!$F$2:$F$11)</f>
        <v>18</v>
      </c>
      <c r="P407">
        <f t="shared" si="12"/>
        <v>738</v>
      </c>
      <c r="Q407" s="5">
        <f t="shared" si="13"/>
        <v>0.16875093685089618</v>
      </c>
    </row>
    <row r="408" spans="1:17" x14ac:dyDescent="0.3">
      <c r="A408" t="s">
        <v>580</v>
      </c>
      <c r="B408" t="s">
        <v>95</v>
      </c>
      <c r="C408" t="s">
        <v>119</v>
      </c>
      <c r="D408" t="s">
        <v>123</v>
      </c>
      <c r="E408" t="s">
        <v>69</v>
      </c>
      <c r="F408" t="s">
        <v>59</v>
      </c>
      <c r="G408">
        <v>34</v>
      </c>
      <c r="H408" s="4">
        <v>24.21</v>
      </c>
      <c r="I408">
        <v>823.14</v>
      </c>
      <c r="J408">
        <v>58.25</v>
      </c>
      <c r="K408">
        <v>237.89</v>
      </c>
      <c r="L408" t="s">
        <v>22</v>
      </c>
      <c r="M408" t="s">
        <v>23</v>
      </c>
      <c r="N408" t="s">
        <v>32</v>
      </c>
      <c r="O408">
        <f>_xlfn.XLOOKUP(E408,Product_Master!$B$2:$B$11,Product_Master!$F$2:$F$11)</f>
        <v>15.5</v>
      </c>
      <c r="P408">
        <f t="shared" si="12"/>
        <v>527</v>
      </c>
      <c r="Q408" s="5">
        <f t="shared" si="13"/>
        <v>0.28900308574483075</v>
      </c>
    </row>
    <row r="409" spans="1:17" x14ac:dyDescent="0.3">
      <c r="A409" t="s">
        <v>581</v>
      </c>
      <c r="B409" t="s">
        <v>75</v>
      </c>
      <c r="C409" t="s">
        <v>133</v>
      </c>
      <c r="D409" t="s">
        <v>28</v>
      </c>
      <c r="E409" t="s">
        <v>54</v>
      </c>
      <c r="F409" t="s">
        <v>43</v>
      </c>
      <c r="G409">
        <v>46</v>
      </c>
      <c r="H409" s="4">
        <v>34.64</v>
      </c>
      <c r="I409">
        <v>1593.44</v>
      </c>
      <c r="J409">
        <v>45.93</v>
      </c>
      <c r="K409">
        <v>627.51</v>
      </c>
      <c r="L409" t="s">
        <v>44</v>
      </c>
      <c r="M409" t="s">
        <v>23</v>
      </c>
      <c r="N409" t="s">
        <v>32</v>
      </c>
      <c r="O409">
        <f>_xlfn.XLOOKUP(E409,Product_Master!$B$2:$B$11,Product_Master!$F$2:$F$11)</f>
        <v>20</v>
      </c>
      <c r="P409">
        <f t="shared" si="12"/>
        <v>920</v>
      </c>
      <c r="Q409" s="5">
        <f t="shared" si="13"/>
        <v>0.39380836429360377</v>
      </c>
    </row>
    <row r="410" spans="1:17" x14ac:dyDescent="0.3">
      <c r="A410" t="s">
        <v>582</v>
      </c>
      <c r="B410" t="s">
        <v>157</v>
      </c>
      <c r="C410" t="s">
        <v>161</v>
      </c>
      <c r="D410" t="s">
        <v>48</v>
      </c>
      <c r="E410" t="s">
        <v>54</v>
      </c>
      <c r="F410" t="s">
        <v>43</v>
      </c>
      <c r="G410">
        <v>10</v>
      </c>
      <c r="H410" s="4">
        <v>27.06</v>
      </c>
      <c r="I410">
        <v>270.60000000000002</v>
      </c>
      <c r="J410">
        <v>15.35</v>
      </c>
      <c r="K410">
        <v>55.25</v>
      </c>
      <c r="L410" t="s">
        <v>22</v>
      </c>
      <c r="M410" t="s">
        <v>37</v>
      </c>
      <c r="N410" t="s">
        <v>24</v>
      </c>
      <c r="O410">
        <f>_xlfn.XLOOKUP(E410,Product_Master!$B$2:$B$11,Product_Master!$F$2:$F$11)</f>
        <v>20</v>
      </c>
      <c r="P410">
        <f t="shared" si="12"/>
        <v>200</v>
      </c>
      <c r="Q410" s="5">
        <f t="shared" si="13"/>
        <v>0.20417590539541758</v>
      </c>
    </row>
    <row r="411" spans="1:17" x14ac:dyDescent="0.3">
      <c r="A411" t="s">
        <v>583</v>
      </c>
      <c r="B411" t="s">
        <v>39</v>
      </c>
      <c r="C411" t="s">
        <v>158</v>
      </c>
      <c r="D411" t="s">
        <v>28</v>
      </c>
      <c r="E411" t="s">
        <v>29</v>
      </c>
      <c r="F411" t="s">
        <v>21</v>
      </c>
      <c r="G411">
        <v>11</v>
      </c>
      <c r="H411" s="4">
        <v>27.74</v>
      </c>
      <c r="I411">
        <v>305.14</v>
      </c>
      <c r="J411">
        <v>10.81</v>
      </c>
      <c r="K411">
        <v>96.33</v>
      </c>
      <c r="L411" t="s">
        <v>30</v>
      </c>
      <c r="M411" t="s">
        <v>37</v>
      </c>
      <c r="N411" t="s">
        <v>32</v>
      </c>
      <c r="O411">
        <f>_xlfn.XLOOKUP(E411,Product_Master!$B$2:$B$11,Product_Master!$F$2:$F$11)</f>
        <v>18</v>
      </c>
      <c r="P411">
        <f t="shared" si="12"/>
        <v>198</v>
      </c>
      <c r="Q411" s="5">
        <f t="shared" si="13"/>
        <v>0.31569115815691157</v>
      </c>
    </row>
    <row r="412" spans="1:17" x14ac:dyDescent="0.3">
      <c r="A412" t="s">
        <v>584</v>
      </c>
      <c r="B412" t="s">
        <v>157</v>
      </c>
      <c r="C412" t="s">
        <v>114</v>
      </c>
      <c r="D412" t="s">
        <v>48</v>
      </c>
      <c r="E412" t="s">
        <v>98</v>
      </c>
      <c r="F412" t="s">
        <v>59</v>
      </c>
      <c r="G412">
        <v>29</v>
      </c>
      <c r="H412" s="4">
        <v>38.08</v>
      </c>
      <c r="I412">
        <v>1104.32</v>
      </c>
      <c r="J412">
        <v>25.63</v>
      </c>
      <c r="K412">
        <v>266.69</v>
      </c>
      <c r="L412" t="s">
        <v>30</v>
      </c>
      <c r="M412" t="s">
        <v>37</v>
      </c>
      <c r="N412" t="s">
        <v>24</v>
      </c>
      <c r="O412">
        <f>_xlfn.XLOOKUP(E412,Product_Master!$B$2:$B$11,Product_Master!$F$2:$F$11)</f>
        <v>28</v>
      </c>
      <c r="P412">
        <f t="shared" si="12"/>
        <v>812</v>
      </c>
      <c r="Q412" s="5">
        <f t="shared" si="13"/>
        <v>0.24149702984642135</v>
      </c>
    </row>
    <row r="413" spans="1:17" x14ac:dyDescent="0.3">
      <c r="A413" t="s">
        <v>585</v>
      </c>
      <c r="B413" t="s">
        <v>75</v>
      </c>
      <c r="C413" t="s">
        <v>137</v>
      </c>
      <c r="D413" t="s">
        <v>48</v>
      </c>
      <c r="E413" t="s">
        <v>98</v>
      </c>
      <c r="F413" t="s">
        <v>59</v>
      </c>
      <c r="G413">
        <v>18</v>
      </c>
      <c r="H413" s="4">
        <v>43.65</v>
      </c>
      <c r="I413">
        <v>785.7</v>
      </c>
      <c r="J413">
        <v>54.52</v>
      </c>
      <c r="K413">
        <v>227.18</v>
      </c>
      <c r="L413" t="s">
        <v>30</v>
      </c>
      <c r="M413" t="s">
        <v>23</v>
      </c>
      <c r="N413" t="s">
        <v>24</v>
      </c>
      <c r="O413">
        <f>_xlfn.XLOOKUP(E413,Product_Master!$B$2:$B$11,Product_Master!$F$2:$F$11)</f>
        <v>28</v>
      </c>
      <c r="P413">
        <f t="shared" si="12"/>
        <v>504</v>
      </c>
      <c r="Q413" s="5">
        <f t="shared" si="13"/>
        <v>0.28914343897161765</v>
      </c>
    </row>
    <row r="414" spans="1:17" x14ac:dyDescent="0.3">
      <c r="A414" t="s">
        <v>586</v>
      </c>
      <c r="B414" t="s">
        <v>83</v>
      </c>
      <c r="C414" t="s">
        <v>373</v>
      </c>
      <c r="D414" t="s">
        <v>123</v>
      </c>
      <c r="E414" t="s">
        <v>20</v>
      </c>
      <c r="F414" t="s">
        <v>21</v>
      </c>
      <c r="G414">
        <v>49</v>
      </c>
      <c r="H414" s="4">
        <v>51.97</v>
      </c>
      <c r="I414">
        <v>2546.5300000000002</v>
      </c>
      <c r="J414">
        <v>112.26</v>
      </c>
      <c r="K414">
        <v>719.27</v>
      </c>
      <c r="L414" t="s">
        <v>30</v>
      </c>
      <c r="M414" t="s">
        <v>31</v>
      </c>
      <c r="N414" t="s">
        <v>32</v>
      </c>
      <c r="O414">
        <f>_xlfn.XLOOKUP(E414,Product_Master!$B$2:$B$11,Product_Master!$F$2:$F$11)</f>
        <v>35</v>
      </c>
      <c r="P414">
        <f t="shared" si="12"/>
        <v>1715</v>
      </c>
      <c r="Q414" s="5">
        <f t="shared" si="13"/>
        <v>0.28245102158623692</v>
      </c>
    </row>
    <row r="415" spans="1:17" x14ac:dyDescent="0.3">
      <c r="A415" t="s">
        <v>587</v>
      </c>
      <c r="B415" t="s">
        <v>17</v>
      </c>
      <c r="C415" t="s">
        <v>141</v>
      </c>
      <c r="D415" t="s">
        <v>81</v>
      </c>
      <c r="E415" t="s">
        <v>64</v>
      </c>
      <c r="F415" t="s">
        <v>65</v>
      </c>
      <c r="G415">
        <v>13</v>
      </c>
      <c r="H415" s="4">
        <v>36.85</v>
      </c>
      <c r="I415">
        <v>479.05</v>
      </c>
      <c r="J415">
        <v>10.15</v>
      </c>
      <c r="K415">
        <v>143.9</v>
      </c>
      <c r="L415" t="s">
        <v>22</v>
      </c>
      <c r="M415" t="s">
        <v>37</v>
      </c>
      <c r="N415" t="s">
        <v>66</v>
      </c>
      <c r="O415">
        <f>_xlfn.XLOOKUP(E415,Product_Master!$B$2:$B$11,Product_Master!$F$2:$F$11)</f>
        <v>25</v>
      </c>
      <c r="P415">
        <f t="shared" si="12"/>
        <v>325</v>
      </c>
      <c r="Q415" s="5">
        <f t="shared" si="13"/>
        <v>0.30038618098319592</v>
      </c>
    </row>
    <row r="416" spans="1:17" x14ac:dyDescent="0.3">
      <c r="A416" t="s">
        <v>588</v>
      </c>
      <c r="B416" t="s">
        <v>107</v>
      </c>
      <c r="C416" t="s">
        <v>87</v>
      </c>
      <c r="D416" t="s">
        <v>48</v>
      </c>
      <c r="E416" t="s">
        <v>42</v>
      </c>
      <c r="F416" t="s">
        <v>43</v>
      </c>
      <c r="G416">
        <v>33</v>
      </c>
      <c r="H416" s="4">
        <v>38.520000000000003</v>
      </c>
      <c r="I416">
        <v>1271.1600000000001</v>
      </c>
      <c r="J416">
        <v>81.459999999999994</v>
      </c>
      <c r="K416">
        <v>133.69999999999999</v>
      </c>
      <c r="L416" t="s">
        <v>22</v>
      </c>
      <c r="M416" t="s">
        <v>23</v>
      </c>
      <c r="N416" t="s">
        <v>24</v>
      </c>
      <c r="O416">
        <f>_xlfn.XLOOKUP(E416,Product_Master!$B$2:$B$11,Product_Master!$F$2:$F$11)</f>
        <v>32</v>
      </c>
      <c r="P416">
        <f t="shared" si="12"/>
        <v>1056</v>
      </c>
      <c r="Q416" s="5">
        <f t="shared" si="13"/>
        <v>0.10517952106737152</v>
      </c>
    </row>
    <row r="417" spans="1:17" x14ac:dyDescent="0.3">
      <c r="A417" t="s">
        <v>589</v>
      </c>
      <c r="B417" t="s">
        <v>75</v>
      </c>
      <c r="C417" t="s">
        <v>259</v>
      </c>
      <c r="D417" t="s">
        <v>63</v>
      </c>
      <c r="E417" t="s">
        <v>69</v>
      </c>
      <c r="F417" t="s">
        <v>59</v>
      </c>
      <c r="G417">
        <v>41</v>
      </c>
      <c r="H417" s="4">
        <v>26.98</v>
      </c>
      <c r="I417">
        <v>1106.18</v>
      </c>
      <c r="J417">
        <v>51.77</v>
      </c>
      <c r="K417">
        <v>418.91</v>
      </c>
      <c r="L417" t="s">
        <v>44</v>
      </c>
      <c r="M417" t="s">
        <v>31</v>
      </c>
      <c r="N417" t="s">
        <v>66</v>
      </c>
      <c r="O417">
        <f>_xlfn.XLOOKUP(E417,Product_Master!$B$2:$B$11,Product_Master!$F$2:$F$11)</f>
        <v>15.5</v>
      </c>
      <c r="P417">
        <f t="shared" si="12"/>
        <v>635.5</v>
      </c>
      <c r="Q417" s="5">
        <f t="shared" si="13"/>
        <v>0.37869966913160608</v>
      </c>
    </row>
    <row r="418" spans="1:17" x14ac:dyDescent="0.3">
      <c r="A418" t="s">
        <v>590</v>
      </c>
      <c r="B418" t="s">
        <v>83</v>
      </c>
      <c r="C418" t="s">
        <v>114</v>
      </c>
      <c r="D418" t="s">
        <v>123</v>
      </c>
      <c r="E418" t="s">
        <v>69</v>
      </c>
      <c r="F418" t="s">
        <v>59</v>
      </c>
      <c r="G418">
        <v>4</v>
      </c>
      <c r="H418" s="4">
        <v>23.56</v>
      </c>
      <c r="I418">
        <v>94.24</v>
      </c>
      <c r="J418">
        <v>7.03</v>
      </c>
      <c r="K418">
        <v>25.21</v>
      </c>
      <c r="L418" t="s">
        <v>44</v>
      </c>
      <c r="M418" t="s">
        <v>37</v>
      </c>
      <c r="N418" t="s">
        <v>32</v>
      </c>
      <c r="O418">
        <f>_xlfn.XLOOKUP(E418,Product_Master!$B$2:$B$11,Product_Master!$F$2:$F$11)</f>
        <v>15.5</v>
      </c>
      <c r="P418">
        <f t="shared" si="12"/>
        <v>62</v>
      </c>
      <c r="Q418" s="5">
        <f t="shared" si="13"/>
        <v>0.26750848896434637</v>
      </c>
    </row>
    <row r="419" spans="1:17" x14ac:dyDescent="0.3">
      <c r="A419" t="s">
        <v>591</v>
      </c>
      <c r="B419" t="s">
        <v>95</v>
      </c>
      <c r="C419" t="s">
        <v>316</v>
      </c>
      <c r="D419" t="s">
        <v>196</v>
      </c>
      <c r="E419" t="s">
        <v>42</v>
      </c>
      <c r="F419" t="s">
        <v>43</v>
      </c>
      <c r="G419">
        <v>17</v>
      </c>
      <c r="H419" s="4">
        <v>57.14</v>
      </c>
      <c r="I419">
        <v>971.38</v>
      </c>
      <c r="J419">
        <v>70.010000000000005</v>
      </c>
      <c r="K419">
        <v>357.37</v>
      </c>
      <c r="L419" t="s">
        <v>44</v>
      </c>
      <c r="M419" t="s">
        <v>31</v>
      </c>
      <c r="N419" t="s">
        <v>66</v>
      </c>
      <c r="O419">
        <f>_xlfn.XLOOKUP(E419,Product_Master!$B$2:$B$11,Product_Master!$F$2:$F$11)</f>
        <v>32</v>
      </c>
      <c r="P419">
        <f t="shared" si="12"/>
        <v>544</v>
      </c>
      <c r="Q419" s="5">
        <f t="shared" si="13"/>
        <v>0.36789927731680705</v>
      </c>
    </row>
    <row r="420" spans="1:17" x14ac:dyDescent="0.3">
      <c r="A420" t="s">
        <v>592</v>
      </c>
      <c r="B420" t="s">
        <v>26</v>
      </c>
      <c r="C420" t="s">
        <v>130</v>
      </c>
      <c r="D420" t="s">
        <v>147</v>
      </c>
      <c r="E420" t="s">
        <v>64</v>
      </c>
      <c r="F420" t="s">
        <v>65</v>
      </c>
      <c r="G420">
        <v>44</v>
      </c>
      <c r="H420" s="4">
        <v>38.14</v>
      </c>
      <c r="I420">
        <v>1678.16</v>
      </c>
      <c r="J420">
        <v>124.49</v>
      </c>
      <c r="K420">
        <v>453.67</v>
      </c>
      <c r="L420" t="s">
        <v>44</v>
      </c>
      <c r="M420" t="s">
        <v>23</v>
      </c>
      <c r="N420" t="s">
        <v>148</v>
      </c>
      <c r="O420">
        <f>_xlfn.XLOOKUP(E420,Product_Master!$B$2:$B$11,Product_Master!$F$2:$F$11)</f>
        <v>25</v>
      </c>
      <c r="P420">
        <f t="shared" si="12"/>
        <v>1100</v>
      </c>
      <c r="Q420" s="5">
        <f t="shared" si="13"/>
        <v>0.27033775087000045</v>
      </c>
    </row>
    <row r="421" spans="1:17" x14ac:dyDescent="0.3">
      <c r="A421" t="s">
        <v>593</v>
      </c>
      <c r="B421" t="s">
        <v>95</v>
      </c>
      <c r="C421" t="s">
        <v>119</v>
      </c>
      <c r="D421" t="s">
        <v>101</v>
      </c>
      <c r="E421" t="s">
        <v>29</v>
      </c>
      <c r="F421" t="s">
        <v>21</v>
      </c>
      <c r="G421">
        <v>14</v>
      </c>
      <c r="H421" s="4">
        <v>24</v>
      </c>
      <c r="I421">
        <v>336</v>
      </c>
      <c r="J421">
        <v>22.88</v>
      </c>
      <c r="K421">
        <v>61.12</v>
      </c>
      <c r="L421" t="s">
        <v>30</v>
      </c>
      <c r="M421" t="s">
        <v>31</v>
      </c>
      <c r="N421" t="s">
        <v>102</v>
      </c>
      <c r="O421">
        <f>_xlfn.XLOOKUP(E421,Product_Master!$B$2:$B$11,Product_Master!$F$2:$F$11)</f>
        <v>18</v>
      </c>
      <c r="P421">
        <f t="shared" si="12"/>
        <v>252</v>
      </c>
      <c r="Q421" s="5">
        <f t="shared" si="13"/>
        <v>0.1819047619047619</v>
      </c>
    </row>
    <row r="422" spans="1:17" x14ac:dyDescent="0.3">
      <c r="A422" t="s">
        <v>594</v>
      </c>
      <c r="B422" t="s">
        <v>83</v>
      </c>
      <c r="C422" t="s">
        <v>90</v>
      </c>
      <c r="D422" t="s">
        <v>63</v>
      </c>
      <c r="E422" t="s">
        <v>69</v>
      </c>
      <c r="F422" t="s">
        <v>59</v>
      </c>
      <c r="G422">
        <v>50</v>
      </c>
      <c r="H422" s="4">
        <v>26.91</v>
      </c>
      <c r="I422">
        <v>1345.5</v>
      </c>
      <c r="J422">
        <v>91.7</v>
      </c>
      <c r="K422">
        <v>478.8</v>
      </c>
      <c r="L422" t="s">
        <v>44</v>
      </c>
      <c r="M422" t="s">
        <v>23</v>
      </c>
      <c r="N422" t="s">
        <v>66</v>
      </c>
      <c r="O422">
        <f>_xlfn.XLOOKUP(E422,Product_Master!$B$2:$B$11,Product_Master!$F$2:$F$11)</f>
        <v>15.5</v>
      </c>
      <c r="P422">
        <f t="shared" si="12"/>
        <v>775</v>
      </c>
      <c r="Q422" s="5">
        <f t="shared" si="13"/>
        <v>0.35585284280936458</v>
      </c>
    </row>
    <row r="423" spans="1:17" x14ac:dyDescent="0.3">
      <c r="A423" t="s">
        <v>595</v>
      </c>
      <c r="B423" t="s">
        <v>61</v>
      </c>
      <c r="C423" t="s">
        <v>305</v>
      </c>
      <c r="D423" t="s">
        <v>36</v>
      </c>
      <c r="E423" t="s">
        <v>49</v>
      </c>
      <c r="F423" t="s">
        <v>50</v>
      </c>
      <c r="G423">
        <v>7</v>
      </c>
      <c r="H423" s="4">
        <v>59.41</v>
      </c>
      <c r="I423">
        <v>415.87</v>
      </c>
      <c r="J423">
        <v>25.51</v>
      </c>
      <c r="K423">
        <v>110.36</v>
      </c>
      <c r="L423" t="s">
        <v>22</v>
      </c>
      <c r="M423" t="s">
        <v>37</v>
      </c>
      <c r="N423" t="s">
        <v>32</v>
      </c>
      <c r="O423">
        <f>_xlfn.XLOOKUP(E423,Product_Master!$B$2:$B$11,Product_Master!$F$2:$F$11)</f>
        <v>40</v>
      </c>
      <c r="P423">
        <f t="shared" si="12"/>
        <v>280</v>
      </c>
      <c r="Q423" s="5">
        <f t="shared" si="13"/>
        <v>0.26537139009786714</v>
      </c>
    </row>
    <row r="424" spans="1:17" x14ac:dyDescent="0.3">
      <c r="A424" t="s">
        <v>596</v>
      </c>
      <c r="B424" t="s">
        <v>157</v>
      </c>
      <c r="C424" t="s">
        <v>268</v>
      </c>
      <c r="D424" t="s">
        <v>91</v>
      </c>
      <c r="E424" t="s">
        <v>64</v>
      </c>
      <c r="F424" t="s">
        <v>65</v>
      </c>
      <c r="G424">
        <v>48</v>
      </c>
      <c r="H424" s="4">
        <v>37.31</v>
      </c>
      <c r="I424">
        <v>1790.88</v>
      </c>
      <c r="J424">
        <v>67.45</v>
      </c>
      <c r="K424">
        <v>523.42999999999995</v>
      </c>
      <c r="L424" t="s">
        <v>22</v>
      </c>
      <c r="M424" t="s">
        <v>31</v>
      </c>
      <c r="N424" t="s">
        <v>66</v>
      </c>
      <c r="O424">
        <f>_xlfn.XLOOKUP(E424,Product_Master!$B$2:$B$11,Product_Master!$F$2:$F$11)</f>
        <v>25</v>
      </c>
      <c r="P424">
        <f t="shared" si="12"/>
        <v>1200</v>
      </c>
      <c r="Q424" s="5">
        <f t="shared" si="13"/>
        <v>0.29227530599481816</v>
      </c>
    </row>
    <row r="425" spans="1:17" x14ac:dyDescent="0.3">
      <c r="A425" t="s">
        <v>597</v>
      </c>
      <c r="B425" t="s">
        <v>95</v>
      </c>
      <c r="C425" t="s">
        <v>198</v>
      </c>
      <c r="D425" t="s">
        <v>88</v>
      </c>
      <c r="E425" t="s">
        <v>49</v>
      </c>
      <c r="F425" t="s">
        <v>50</v>
      </c>
      <c r="G425">
        <v>38</v>
      </c>
      <c r="H425" s="4">
        <v>52.91</v>
      </c>
      <c r="I425">
        <v>2010.58</v>
      </c>
      <c r="J425">
        <v>94.22</v>
      </c>
      <c r="K425">
        <v>396.36</v>
      </c>
      <c r="L425" t="s">
        <v>22</v>
      </c>
      <c r="M425" t="s">
        <v>23</v>
      </c>
      <c r="N425" t="s">
        <v>66</v>
      </c>
      <c r="O425">
        <f>_xlfn.XLOOKUP(E425,Product_Master!$B$2:$B$11,Product_Master!$F$2:$F$11)</f>
        <v>40</v>
      </c>
      <c r="P425">
        <f t="shared" si="12"/>
        <v>1520</v>
      </c>
      <c r="Q425" s="5">
        <f t="shared" si="13"/>
        <v>0.19713714450556558</v>
      </c>
    </row>
    <row r="426" spans="1:17" x14ac:dyDescent="0.3">
      <c r="A426" t="s">
        <v>598</v>
      </c>
      <c r="B426" t="s">
        <v>61</v>
      </c>
      <c r="C426" t="s">
        <v>79</v>
      </c>
      <c r="D426" t="s">
        <v>28</v>
      </c>
      <c r="E426" t="s">
        <v>29</v>
      </c>
      <c r="F426" t="s">
        <v>21</v>
      </c>
      <c r="G426">
        <v>14</v>
      </c>
      <c r="H426" s="4">
        <v>27.09</v>
      </c>
      <c r="I426">
        <v>379.26</v>
      </c>
      <c r="J426">
        <v>14.42</v>
      </c>
      <c r="K426">
        <v>112.84</v>
      </c>
      <c r="L426" t="s">
        <v>44</v>
      </c>
      <c r="M426" t="s">
        <v>37</v>
      </c>
      <c r="N426" t="s">
        <v>32</v>
      </c>
      <c r="O426">
        <f>_xlfn.XLOOKUP(E426,Product_Master!$B$2:$B$11,Product_Master!$F$2:$F$11)</f>
        <v>18</v>
      </c>
      <c r="P426">
        <f t="shared" si="12"/>
        <v>252</v>
      </c>
      <c r="Q426" s="5">
        <f t="shared" si="13"/>
        <v>0.29752676264304173</v>
      </c>
    </row>
    <row r="427" spans="1:17" x14ac:dyDescent="0.3">
      <c r="A427" t="s">
        <v>599</v>
      </c>
      <c r="B427" t="s">
        <v>83</v>
      </c>
      <c r="C427" t="s">
        <v>130</v>
      </c>
      <c r="D427" t="s">
        <v>91</v>
      </c>
      <c r="E427" t="s">
        <v>58</v>
      </c>
      <c r="F427" t="s">
        <v>59</v>
      </c>
      <c r="G427">
        <v>41</v>
      </c>
      <c r="H427" s="4">
        <v>30.52</v>
      </c>
      <c r="I427">
        <v>1251.32</v>
      </c>
      <c r="J427">
        <v>56.88</v>
      </c>
      <c r="K427">
        <v>271.94</v>
      </c>
      <c r="L427" t="s">
        <v>22</v>
      </c>
      <c r="M427" t="s">
        <v>37</v>
      </c>
      <c r="N427" t="s">
        <v>66</v>
      </c>
      <c r="O427">
        <f>_xlfn.XLOOKUP(E427,Product_Master!$B$2:$B$11,Product_Master!$F$2:$F$11)</f>
        <v>22.5</v>
      </c>
      <c r="P427">
        <f t="shared" si="12"/>
        <v>922.5</v>
      </c>
      <c r="Q427" s="5">
        <f t="shared" si="13"/>
        <v>0.21732250743215165</v>
      </c>
    </row>
    <row r="428" spans="1:17" x14ac:dyDescent="0.3">
      <c r="A428" t="s">
        <v>600</v>
      </c>
      <c r="B428" t="s">
        <v>107</v>
      </c>
      <c r="C428" t="s">
        <v>250</v>
      </c>
      <c r="D428" t="s">
        <v>48</v>
      </c>
      <c r="E428" t="s">
        <v>98</v>
      </c>
      <c r="F428" t="s">
        <v>59</v>
      </c>
      <c r="G428">
        <v>23</v>
      </c>
      <c r="H428" s="4">
        <v>40.94</v>
      </c>
      <c r="I428">
        <v>941.62</v>
      </c>
      <c r="J428">
        <v>71.66</v>
      </c>
      <c r="K428">
        <v>225.96</v>
      </c>
      <c r="L428" t="s">
        <v>30</v>
      </c>
      <c r="M428" t="s">
        <v>37</v>
      </c>
      <c r="N428" t="s">
        <v>24</v>
      </c>
      <c r="O428">
        <f>_xlfn.XLOOKUP(E428,Product_Master!$B$2:$B$11,Product_Master!$F$2:$F$11)</f>
        <v>28</v>
      </c>
      <c r="P428">
        <f t="shared" si="12"/>
        <v>644</v>
      </c>
      <c r="Q428" s="5">
        <f t="shared" si="13"/>
        <v>0.23996941441345768</v>
      </c>
    </row>
    <row r="429" spans="1:17" x14ac:dyDescent="0.3">
      <c r="A429" t="s">
        <v>601</v>
      </c>
      <c r="B429" t="s">
        <v>56</v>
      </c>
      <c r="C429" t="s">
        <v>316</v>
      </c>
      <c r="D429" t="s">
        <v>170</v>
      </c>
      <c r="E429" t="s">
        <v>98</v>
      </c>
      <c r="F429" t="s">
        <v>59</v>
      </c>
      <c r="G429">
        <v>34</v>
      </c>
      <c r="H429" s="4">
        <v>41.77</v>
      </c>
      <c r="I429">
        <v>1420.18</v>
      </c>
      <c r="J429">
        <v>112.45</v>
      </c>
      <c r="K429">
        <v>355.73</v>
      </c>
      <c r="L429" t="s">
        <v>30</v>
      </c>
      <c r="M429" t="s">
        <v>37</v>
      </c>
      <c r="N429" t="s">
        <v>32</v>
      </c>
      <c r="O429">
        <f>_xlfn.XLOOKUP(E429,Product_Master!$B$2:$B$11,Product_Master!$F$2:$F$11)</f>
        <v>28</v>
      </c>
      <c r="P429">
        <f t="shared" si="12"/>
        <v>952</v>
      </c>
      <c r="Q429" s="5">
        <f t="shared" si="13"/>
        <v>0.25048233322536578</v>
      </c>
    </row>
    <row r="430" spans="1:17" x14ac:dyDescent="0.3">
      <c r="A430" t="s">
        <v>602</v>
      </c>
      <c r="B430" t="s">
        <v>71</v>
      </c>
      <c r="C430" t="s">
        <v>119</v>
      </c>
      <c r="D430" t="s">
        <v>196</v>
      </c>
      <c r="E430" t="s">
        <v>49</v>
      </c>
      <c r="F430" t="s">
        <v>50</v>
      </c>
      <c r="G430">
        <v>32</v>
      </c>
      <c r="H430" s="4">
        <v>69.98</v>
      </c>
      <c r="I430">
        <v>2239.36</v>
      </c>
      <c r="J430">
        <v>133.51</v>
      </c>
      <c r="K430">
        <v>825.85</v>
      </c>
      <c r="L430" t="s">
        <v>44</v>
      </c>
      <c r="M430" t="s">
        <v>23</v>
      </c>
      <c r="N430" t="s">
        <v>66</v>
      </c>
      <c r="O430">
        <f>_xlfn.XLOOKUP(E430,Product_Master!$B$2:$B$11,Product_Master!$F$2:$F$11)</f>
        <v>40</v>
      </c>
      <c r="P430">
        <f t="shared" si="12"/>
        <v>1280</v>
      </c>
      <c r="Q430" s="5">
        <f t="shared" si="13"/>
        <v>0.3687884038296656</v>
      </c>
    </row>
    <row r="431" spans="1:17" x14ac:dyDescent="0.3">
      <c r="A431" t="s">
        <v>603</v>
      </c>
      <c r="B431" t="s">
        <v>157</v>
      </c>
      <c r="C431" t="s">
        <v>185</v>
      </c>
      <c r="D431" t="s">
        <v>28</v>
      </c>
      <c r="E431" t="s">
        <v>20</v>
      </c>
      <c r="F431" t="s">
        <v>21</v>
      </c>
      <c r="G431">
        <v>25</v>
      </c>
      <c r="H431" s="4">
        <v>42.91</v>
      </c>
      <c r="I431">
        <v>1072.75</v>
      </c>
      <c r="J431">
        <v>80.02</v>
      </c>
      <c r="K431">
        <v>117.73</v>
      </c>
      <c r="L431" t="s">
        <v>30</v>
      </c>
      <c r="M431" t="s">
        <v>31</v>
      </c>
      <c r="N431" t="s">
        <v>32</v>
      </c>
      <c r="O431">
        <f>_xlfn.XLOOKUP(E431,Product_Master!$B$2:$B$11,Product_Master!$F$2:$F$11)</f>
        <v>35</v>
      </c>
      <c r="P431">
        <f t="shared" si="12"/>
        <v>875</v>
      </c>
      <c r="Q431" s="5">
        <f t="shared" si="13"/>
        <v>0.10974597995805174</v>
      </c>
    </row>
    <row r="432" spans="1:17" x14ac:dyDescent="0.3">
      <c r="A432" t="s">
        <v>604</v>
      </c>
      <c r="B432" t="s">
        <v>78</v>
      </c>
      <c r="C432" t="s">
        <v>427</v>
      </c>
      <c r="D432" t="s">
        <v>48</v>
      </c>
      <c r="E432" t="s">
        <v>73</v>
      </c>
      <c r="F432" t="s">
        <v>43</v>
      </c>
      <c r="G432">
        <v>7</v>
      </c>
      <c r="H432" s="4">
        <v>22.6</v>
      </c>
      <c r="I432">
        <v>158.19999999999999</v>
      </c>
      <c r="J432">
        <v>7.04</v>
      </c>
      <c r="K432">
        <v>61.91</v>
      </c>
      <c r="L432" t="s">
        <v>44</v>
      </c>
      <c r="M432" t="s">
        <v>23</v>
      </c>
      <c r="N432" t="s">
        <v>24</v>
      </c>
      <c r="O432">
        <f>_xlfn.XLOOKUP(E432,Product_Master!$B$2:$B$11,Product_Master!$F$2:$F$11)</f>
        <v>12.75</v>
      </c>
      <c r="P432">
        <f t="shared" si="12"/>
        <v>89.25</v>
      </c>
      <c r="Q432" s="5">
        <f t="shared" si="13"/>
        <v>0.39134007585335018</v>
      </c>
    </row>
    <row r="433" spans="1:17" x14ac:dyDescent="0.3">
      <c r="A433" t="s">
        <v>605</v>
      </c>
      <c r="B433" t="s">
        <v>56</v>
      </c>
      <c r="C433" t="s">
        <v>105</v>
      </c>
      <c r="D433" t="s">
        <v>19</v>
      </c>
      <c r="E433" t="s">
        <v>73</v>
      </c>
      <c r="F433" t="s">
        <v>43</v>
      </c>
      <c r="G433">
        <v>48</v>
      </c>
      <c r="H433" s="4">
        <v>19.5</v>
      </c>
      <c r="I433">
        <v>936</v>
      </c>
      <c r="J433">
        <v>70.069999999999993</v>
      </c>
      <c r="K433">
        <v>253.93</v>
      </c>
      <c r="L433" t="s">
        <v>22</v>
      </c>
      <c r="M433" t="s">
        <v>31</v>
      </c>
      <c r="N433" t="s">
        <v>24</v>
      </c>
      <c r="O433">
        <f>_xlfn.XLOOKUP(E433,Product_Master!$B$2:$B$11,Product_Master!$F$2:$F$11)</f>
        <v>12.75</v>
      </c>
      <c r="P433">
        <f t="shared" si="12"/>
        <v>612</v>
      </c>
      <c r="Q433" s="5">
        <f t="shared" si="13"/>
        <v>0.27129273504273504</v>
      </c>
    </row>
    <row r="434" spans="1:17" x14ac:dyDescent="0.3">
      <c r="A434" t="s">
        <v>606</v>
      </c>
      <c r="B434" t="s">
        <v>68</v>
      </c>
      <c r="C434" t="s">
        <v>35</v>
      </c>
      <c r="D434" t="s">
        <v>147</v>
      </c>
      <c r="E434" t="s">
        <v>49</v>
      </c>
      <c r="F434" t="s">
        <v>50</v>
      </c>
      <c r="G434">
        <v>32</v>
      </c>
      <c r="H434" s="4">
        <v>49.97</v>
      </c>
      <c r="I434">
        <v>1599.04</v>
      </c>
      <c r="J434">
        <v>43.1</v>
      </c>
      <c r="K434">
        <v>275.94</v>
      </c>
      <c r="L434" t="s">
        <v>30</v>
      </c>
      <c r="M434" t="s">
        <v>37</v>
      </c>
      <c r="N434" t="s">
        <v>148</v>
      </c>
      <c r="O434">
        <f>_xlfn.XLOOKUP(E434,Product_Master!$B$2:$B$11,Product_Master!$F$2:$F$11)</f>
        <v>40</v>
      </c>
      <c r="P434">
        <f t="shared" si="12"/>
        <v>1280</v>
      </c>
      <c r="Q434" s="5">
        <f t="shared" si="13"/>
        <v>0.17256603962377426</v>
      </c>
    </row>
    <row r="435" spans="1:17" x14ac:dyDescent="0.3">
      <c r="A435" t="s">
        <v>607</v>
      </c>
      <c r="B435" t="s">
        <v>17</v>
      </c>
      <c r="C435" t="s">
        <v>18</v>
      </c>
      <c r="D435" t="s">
        <v>123</v>
      </c>
      <c r="E435" t="s">
        <v>69</v>
      </c>
      <c r="F435" t="s">
        <v>59</v>
      </c>
      <c r="G435">
        <v>41</v>
      </c>
      <c r="H435" s="4">
        <v>25.62</v>
      </c>
      <c r="I435">
        <v>1050.42</v>
      </c>
      <c r="J435">
        <v>79.2</v>
      </c>
      <c r="K435">
        <v>335.72</v>
      </c>
      <c r="L435" t="s">
        <v>22</v>
      </c>
      <c r="M435" t="s">
        <v>31</v>
      </c>
      <c r="N435" t="s">
        <v>32</v>
      </c>
      <c r="O435">
        <f>_xlfn.XLOOKUP(E435,Product_Master!$B$2:$B$11,Product_Master!$F$2:$F$11)</f>
        <v>15.5</v>
      </c>
      <c r="P435">
        <f t="shared" si="12"/>
        <v>635.5</v>
      </c>
      <c r="Q435" s="5">
        <f t="shared" si="13"/>
        <v>0.31960549113687858</v>
      </c>
    </row>
    <row r="436" spans="1:17" x14ac:dyDescent="0.3">
      <c r="A436" t="s">
        <v>608</v>
      </c>
      <c r="B436" t="s">
        <v>83</v>
      </c>
      <c r="C436" t="s">
        <v>312</v>
      </c>
      <c r="D436" t="s">
        <v>19</v>
      </c>
      <c r="E436" t="s">
        <v>73</v>
      </c>
      <c r="F436" t="s">
        <v>43</v>
      </c>
      <c r="G436">
        <v>46</v>
      </c>
      <c r="H436" s="4">
        <v>16.78</v>
      </c>
      <c r="I436">
        <v>771.88</v>
      </c>
      <c r="J436">
        <v>18.04</v>
      </c>
      <c r="K436">
        <v>167.34</v>
      </c>
      <c r="L436" t="s">
        <v>44</v>
      </c>
      <c r="M436" t="s">
        <v>37</v>
      </c>
      <c r="N436" t="s">
        <v>24</v>
      </c>
      <c r="O436">
        <f>_xlfn.XLOOKUP(E436,Product_Master!$B$2:$B$11,Product_Master!$F$2:$F$11)</f>
        <v>12.75</v>
      </c>
      <c r="P436">
        <f t="shared" si="12"/>
        <v>586.5</v>
      </c>
      <c r="Q436" s="5">
        <f t="shared" si="13"/>
        <v>0.21679535679121106</v>
      </c>
    </row>
    <row r="437" spans="1:17" x14ac:dyDescent="0.3">
      <c r="A437" t="s">
        <v>609</v>
      </c>
      <c r="B437" t="s">
        <v>83</v>
      </c>
      <c r="C437" t="s">
        <v>338</v>
      </c>
      <c r="D437" t="s">
        <v>36</v>
      </c>
      <c r="E437" t="s">
        <v>42</v>
      </c>
      <c r="F437" t="s">
        <v>43</v>
      </c>
      <c r="G437">
        <v>16</v>
      </c>
      <c r="H437" s="4">
        <v>42.18</v>
      </c>
      <c r="I437">
        <v>674.88</v>
      </c>
      <c r="J437">
        <v>19.100000000000001</v>
      </c>
      <c r="K437">
        <v>143.78</v>
      </c>
      <c r="L437" t="s">
        <v>22</v>
      </c>
      <c r="M437" t="s">
        <v>37</v>
      </c>
      <c r="N437" t="s">
        <v>32</v>
      </c>
      <c r="O437">
        <f>_xlfn.XLOOKUP(E437,Product_Master!$B$2:$B$11,Product_Master!$F$2:$F$11)</f>
        <v>32</v>
      </c>
      <c r="P437">
        <f t="shared" si="12"/>
        <v>512</v>
      </c>
      <c r="Q437" s="5">
        <f t="shared" si="13"/>
        <v>0.21304528212422949</v>
      </c>
    </row>
    <row r="438" spans="1:17" x14ac:dyDescent="0.3">
      <c r="A438" t="s">
        <v>610</v>
      </c>
      <c r="B438" t="s">
        <v>71</v>
      </c>
      <c r="C438" t="s">
        <v>79</v>
      </c>
      <c r="D438" t="s">
        <v>123</v>
      </c>
      <c r="E438" t="s">
        <v>64</v>
      </c>
      <c r="F438" t="s">
        <v>65</v>
      </c>
      <c r="G438">
        <v>12</v>
      </c>
      <c r="H438" s="4">
        <v>34.97</v>
      </c>
      <c r="I438">
        <v>419.64</v>
      </c>
      <c r="J438">
        <v>28.48</v>
      </c>
      <c r="K438">
        <v>91.16</v>
      </c>
      <c r="L438" t="s">
        <v>22</v>
      </c>
      <c r="M438" t="s">
        <v>23</v>
      </c>
      <c r="N438" t="s">
        <v>32</v>
      </c>
      <c r="O438">
        <f>_xlfn.XLOOKUP(E438,Product_Master!$B$2:$B$11,Product_Master!$F$2:$F$11)</f>
        <v>25</v>
      </c>
      <c r="P438">
        <f t="shared" si="12"/>
        <v>300</v>
      </c>
      <c r="Q438" s="5">
        <f t="shared" si="13"/>
        <v>0.21723381946430273</v>
      </c>
    </row>
    <row r="439" spans="1:17" x14ac:dyDescent="0.3">
      <c r="A439" t="s">
        <v>611</v>
      </c>
      <c r="B439" t="s">
        <v>78</v>
      </c>
      <c r="C439" t="s">
        <v>155</v>
      </c>
      <c r="D439" t="s">
        <v>41</v>
      </c>
      <c r="E439" t="s">
        <v>54</v>
      </c>
      <c r="F439" t="s">
        <v>43</v>
      </c>
      <c r="G439">
        <v>31</v>
      </c>
      <c r="H439" s="4">
        <v>33.619999999999997</v>
      </c>
      <c r="I439">
        <v>1042.22</v>
      </c>
      <c r="J439">
        <v>26.33</v>
      </c>
      <c r="K439">
        <v>395.89</v>
      </c>
      <c r="L439" t="s">
        <v>44</v>
      </c>
      <c r="M439" t="s">
        <v>37</v>
      </c>
      <c r="N439" t="s">
        <v>45</v>
      </c>
      <c r="O439">
        <f>_xlfn.XLOOKUP(E439,Product_Master!$B$2:$B$11,Product_Master!$F$2:$F$11)</f>
        <v>20</v>
      </c>
      <c r="P439">
        <f t="shared" si="12"/>
        <v>620</v>
      </c>
      <c r="Q439" s="5">
        <f t="shared" si="13"/>
        <v>0.37985262228704109</v>
      </c>
    </row>
    <row r="440" spans="1:17" x14ac:dyDescent="0.3">
      <c r="A440" t="s">
        <v>612</v>
      </c>
      <c r="B440" t="s">
        <v>132</v>
      </c>
      <c r="C440" t="s">
        <v>440</v>
      </c>
      <c r="D440" t="s">
        <v>88</v>
      </c>
      <c r="E440" t="s">
        <v>58</v>
      </c>
      <c r="F440" t="s">
        <v>59</v>
      </c>
      <c r="G440">
        <v>40</v>
      </c>
      <c r="H440" s="4">
        <v>30.56</v>
      </c>
      <c r="I440">
        <v>1222.4000000000001</v>
      </c>
      <c r="J440">
        <v>26.42</v>
      </c>
      <c r="K440">
        <v>295.98</v>
      </c>
      <c r="L440" t="s">
        <v>22</v>
      </c>
      <c r="M440" t="s">
        <v>23</v>
      </c>
      <c r="N440" t="s">
        <v>66</v>
      </c>
      <c r="O440">
        <f>_xlfn.XLOOKUP(E440,Product_Master!$B$2:$B$11,Product_Master!$F$2:$F$11)</f>
        <v>22.5</v>
      </c>
      <c r="P440">
        <f t="shared" si="12"/>
        <v>900</v>
      </c>
      <c r="Q440" s="5">
        <f t="shared" si="13"/>
        <v>0.24213023560209423</v>
      </c>
    </row>
    <row r="441" spans="1:17" x14ac:dyDescent="0.3">
      <c r="A441" t="s">
        <v>613</v>
      </c>
      <c r="B441" t="s">
        <v>17</v>
      </c>
      <c r="C441" t="s">
        <v>161</v>
      </c>
      <c r="D441" t="s">
        <v>170</v>
      </c>
      <c r="E441" t="s">
        <v>20</v>
      </c>
      <c r="F441" t="s">
        <v>21</v>
      </c>
      <c r="G441">
        <v>15</v>
      </c>
      <c r="H441" s="4">
        <v>61.93</v>
      </c>
      <c r="I441">
        <v>928.95</v>
      </c>
      <c r="J441">
        <v>25.68</v>
      </c>
      <c r="K441">
        <v>378.27</v>
      </c>
      <c r="L441" t="s">
        <v>30</v>
      </c>
      <c r="M441" t="s">
        <v>37</v>
      </c>
      <c r="N441" t="s">
        <v>32</v>
      </c>
      <c r="O441">
        <f>_xlfn.XLOOKUP(E441,Product_Master!$B$2:$B$11,Product_Master!$F$2:$F$11)</f>
        <v>35</v>
      </c>
      <c r="P441">
        <f t="shared" si="12"/>
        <v>525</v>
      </c>
      <c r="Q441" s="5">
        <f t="shared" si="13"/>
        <v>0.407201679315356</v>
      </c>
    </row>
    <row r="442" spans="1:17" x14ac:dyDescent="0.3">
      <c r="A442" t="s">
        <v>614</v>
      </c>
      <c r="B442" t="s">
        <v>157</v>
      </c>
      <c r="C442" t="s">
        <v>139</v>
      </c>
      <c r="D442" t="s">
        <v>63</v>
      </c>
      <c r="E442" t="s">
        <v>54</v>
      </c>
      <c r="F442" t="s">
        <v>43</v>
      </c>
      <c r="G442">
        <v>20</v>
      </c>
      <c r="H442" s="4">
        <v>35.770000000000003</v>
      </c>
      <c r="I442">
        <v>715.4</v>
      </c>
      <c r="J442">
        <v>39.229999999999997</v>
      </c>
      <c r="K442">
        <v>276.17</v>
      </c>
      <c r="L442" t="s">
        <v>22</v>
      </c>
      <c r="M442" t="s">
        <v>23</v>
      </c>
      <c r="N442" t="s">
        <v>66</v>
      </c>
      <c r="O442">
        <f>_xlfn.XLOOKUP(E442,Product_Master!$B$2:$B$11,Product_Master!$F$2:$F$11)</f>
        <v>20</v>
      </c>
      <c r="P442">
        <f t="shared" si="12"/>
        <v>400</v>
      </c>
      <c r="Q442" s="5">
        <f t="shared" si="13"/>
        <v>0.38603578417668438</v>
      </c>
    </row>
    <row r="443" spans="1:17" x14ac:dyDescent="0.3">
      <c r="A443" t="s">
        <v>615</v>
      </c>
      <c r="B443" t="s">
        <v>56</v>
      </c>
      <c r="C443" t="s">
        <v>265</v>
      </c>
      <c r="D443" t="s">
        <v>28</v>
      </c>
      <c r="E443" t="s">
        <v>73</v>
      </c>
      <c r="F443" t="s">
        <v>43</v>
      </c>
      <c r="G443">
        <v>21</v>
      </c>
      <c r="H443" s="4">
        <v>22.48</v>
      </c>
      <c r="I443">
        <v>472.08</v>
      </c>
      <c r="J443">
        <v>12.96</v>
      </c>
      <c r="K443">
        <v>191.37</v>
      </c>
      <c r="L443" t="s">
        <v>30</v>
      </c>
      <c r="M443" t="s">
        <v>23</v>
      </c>
      <c r="N443" t="s">
        <v>32</v>
      </c>
      <c r="O443">
        <f>_xlfn.XLOOKUP(E443,Product_Master!$B$2:$B$11,Product_Master!$F$2:$F$11)</f>
        <v>12.75</v>
      </c>
      <c r="P443">
        <f t="shared" si="12"/>
        <v>267.75</v>
      </c>
      <c r="Q443" s="5">
        <f t="shared" si="13"/>
        <v>0.40537620742247077</v>
      </c>
    </row>
    <row r="444" spans="1:17" x14ac:dyDescent="0.3">
      <c r="A444" t="s">
        <v>616</v>
      </c>
      <c r="B444" t="s">
        <v>17</v>
      </c>
      <c r="C444" t="s">
        <v>293</v>
      </c>
      <c r="D444" t="s">
        <v>63</v>
      </c>
      <c r="E444" t="s">
        <v>29</v>
      </c>
      <c r="F444" t="s">
        <v>21</v>
      </c>
      <c r="G444">
        <v>8</v>
      </c>
      <c r="H444" s="4">
        <v>27.53</v>
      </c>
      <c r="I444">
        <v>220.24</v>
      </c>
      <c r="J444">
        <v>12.66</v>
      </c>
      <c r="K444">
        <v>63.58</v>
      </c>
      <c r="L444" t="s">
        <v>30</v>
      </c>
      <c r="M444" t="s">
        <v>31</v>
      </c>
      <c r="N444" t="s">
        <v>66</v>
      </c>
      <c r="O444">
        <f>_xlfn.XLOOKUP(E444,Product_Master!$B$2:$B$11,Product_Master!$F$2:$F$11)</f>
        <v>18</v>
      </c>
      <c r="P444">
        <f t="shared" si="12"/>
        <v>144</v>
      </c>
      <c r="Q444" s="5">
        <f t="shared" si="13"/>
        <v>0.28868507083181982</v>
      </c>
    </row>
    <row r="445" spans="1:17" x14ac:dyDescent="0.3">
      <c r="A445" t="s">
        <v>617</v>
      </c>
      <c r="B445" t="s">
        <v>68</v>
      </c>
      <c r="C445" t="s">
        <v>245</v>
      </c>
      <c r="D445" t="s">
        <v>196</v>
      </c>
      <c r="E445" t="s">
        <v>58</v>
      </c>
      <c r="F445" t="s">
        <v>59</v>
      </c>
      <c r="G445">
        <v>35</v>
      </c>
      <c r="H445" s="4">
        <v>39.65</v>
      </c>
      <c r="I445">
        <v>1387.75</v>
      </c>
      <c r="J445">
        <v>60.95</v>
      </c>
      <c r="K445">
        <v>539.29999999999995</v>
      </c>
      <c r="L445" t="s">
        <v>44</v>
      </c>
      <c r="M445" t="s">
        <v>31</v>
      </c>
      <c r="N445" t="s">
        <v>66</v>
      </c>
      <c r="O445">
        <f>_xlfn.XLOOKUP(E445,Product_Master!$B$2:$B$11,Product_Master!$F$2:$F$11)</f>
        <v>22.5</v>
      </c>
      <c r="P445">
        <f t="shared" si="12"/>
        <v>787.5</v>
      </c>
      <c r="Q445" s="5">
        <f t="shared" si="13"/>
        <v>0.38861466402450007</v>
      </c>
    </row>
    <row r="446" spans="1:17" x14ac:dyDescent="0.3">
      <c r="A446" t="s">
        <v>618</v>
      </c>
      <c r="B446" t="s">
        <v>83</v>
      </c>
      <c r="C446" t="s">
        <v>200</v>
      </c>
      <c r="D446" t="s">
        <v>101</v>
      </c>
      <c r="E446" t="s">
        <v>69</v>
      </c>
      <c r="F446" t="s">
        <v>59</v>
      </c>
      <c r="G446">
        <v>50</v>
      </c>
      <c r="H446" s="4">
        <v>23.68</v>
      </c>
      <c r="I446">
        <v>1184</v>
      </c>
      <c r="J446">
        <v>46.62</v>
      </c>
      <c r="K446">
        <v>362.38</v>
      </c>
      <c r="L446" t="s">
        <v>30</v>
      </c>
      <c r="M446" t="s">
        <v>31</v>
      </c>
      <c r="N446" t="s">
        <v>102</v>
      </c>
      <c r="O446">
        <f>_xlfn.XLOOKUP(E446,Product_Master!$B$2:$B$11,Product_Master!$F$2:$F$11)</f>
        <v>15.5</v>
      </c>
      <c r="P446">
        <f t="shared" si="12"/>
        <v>775</v>
      </c>
      <c r="Q446" s="5">
        <f t="shared" si="13"/>
        <v>0.30606418918918921</v>
      </c>
    </row>
    <row r="447" spans="1:17" x14ac:dyDescent="0.3">
      <c r="A447" t="s">
        <v>619</v>
      </c>
      <c r="B447" t="s">
        <v>26</v>
      </c>
      <c r="C447" t="s">
        <v>202</v>
      </c>
      <c r="D447" t="s">
        <v>88</v>
      </c>
      <c r="E447" t="s">
        <v>73</v>
      </c>
      <c r="F447" t="s">
        <v>43</v>
      </c>
      <c r="G447">
        <v>5</v>
      </c>
      <c r="H447" s="4">
        <v>19.809999999999999</v>
      </c>
      <c r="I447">
        <v>99.05</v>
      </c>
      <c r="J447">
        <v>5.91</v>
      </c>
      <c r="K447">
        <v>29.39</v>
      </c>
      <c r="L447" t="s">
        <v>30</v>
      </c>
      <c r="M447" t="s">
        <v>37</v>
      </c>
      <c r="N447" t="s">
        <v>66</v>
      </c>
      <c r="O447">
        <f>_xlfn.XLOOKUP(E447,Product_Master!$B$2:$B$11,Product_Master!$F$2:$F$11)</f>
        <v>12.75</v>
      </c>
      <c r="P447">
        <f t="shared" si="12"/>
        <v>63.75</v>
      </c>
      <c r="Q447" s="5">
        <f t="shared" si="13"/>
        <v>0.2967188288743059</v>
      </c>
    </row>
    <row r="448" spans="1:17" x14ac:dyDescent="0.3">
      <c r="A448" t="s">
        <v>620</v>
      </c>
      <c r="B448" t="s">
        <v>107</v>
      </c>
      <c r="C448" t="s">
        <v>90</v>
      </c>
      <c r="D448" t="s">
        <v>41</v>
      </c>
      <c r="E448" t="s">
        <v>73</v>
      </c>
      <c r="F448" t="s">
        <v>43</v>
      </c>
      <c r="G448">
        <v>27</v>
      </c>
      <c r="H448" s="4">
        <v>18.03</v>
      </c>
      <c r="I448">
        <v>486.81</v>
      </c>
      <c r="J448">
        <v>36.630000000000003</v>
      </c>
      <c r="K448">
        <v>105.93</v>
      </c>
      <c r="L448" t="s">
        <v>22</v>
      </c>
      <c r="M448" t="s">
        <v>37</v>
      </c>
      <c r="N448" t="s">
        <v>45</v>
      </c>
      <c r="O448">
        <f>_xlfn.XLOOKUP(E448,Product_Master!$B$2:$B$11,Product_Master!$F$2:$F$11)</f>
        <v>12.75</v>
      </c>
      <c r="P448">
        <f t="shared" si="12"/>
        <v>344.25</v>
      </c>
      <c r="Q448" s="5">
        <f t="shared" si="13"/>
        <v>0.21760029580329082</v>
      </c>
    </row>
    <row r="449" spans="1:17" x14ac:dyDescent="0.3">
      <c r="A449" t="s">
        <v>621</v>
      </c>
      <c r="B449" t="s">
        <v>34</v>
      </c>
      <c r="C449" t="s">
        <v>280</v>
      </c>
      <c r="D449" t="s">
        <v>101</v>
      </c>
      <c r="E449" t="s">
        <v>29</v>
      </c>
      <c r="F449" t="s">
        <v>21</v>
      </c>
      <c r="G449">
        <v>45</v>
      </c>
      <c r="H449" s="4">
        <v>26.93</v>
      </c>
      <c r="I449">
        <v>1211.8499999999999</v>
      </c>
      <c r="J449">
        <v>62.85</v>
      </c>
      <c r="K449">
        <v>339</v>
      </c>
      <c r="L449" t="s">
        <v>30</v>
      </c>
      <c r="M449" t="s">
        <v>31</v>
      </c>
      <c r="N449" t="s">
        <v>102</v>
      </c>
      <c r="O449">
        <f>_xlfn.XLOOKUP(E449,Product_Master!$B$2:$B$11,Product_Master!$F$2:$F$11)</f>
        <v>18</v>
      </c>
      <c r="P449">
        <f t="shared" si="12"/>
        <v>810</v>
      </c>
      <c r="Q449" s="5">
        <f t="shared" si="13"/>
        <v>0.2797375912860503</v>
      </c>
    </row>
    <row r="450" spans="1:17" x14ac:dyDescent="0.3">
      <c r="A450" t="s">
        <v>622</v>
      </c>
      <c r="B450" t="s">
        <v>56</v>
      </c>
      <c r="C450" t="s">
        <v>338</v>
      </c>
      <c r="D450" t="s">
        <v>36</v>
      </c>
      <c r="E450" t="s">
        <v>54</v>
      </c>
      <c r="F450" t="s">
        <v>43</v>
      </c>
      <c r="G450">
        <v>40</v>
      </c>
      <c r="H450" s="4">
        <v>32.54</v>
      </c>
      <c r="I450">
        <v>1301.5999999999999</v>
      </c>
      <c r="J450">
        <v>47.06</v>
      </c>
      <c r="K450">
        <v>454.54</v>
      </c>
      <c r="L450" t="s">
        <v>22</v>
      </c>
      <c r="M450" t="s">
        <v>31</v>
      </c>
      <c r="N450" t="s">
        <v>32</v>
      </c>
      <c r="O450">
        <f>_xlfn.XLOOKUP(E450,Product_Master!$B$2:$B$11,Product_Master!$F$2:$F$11)</f>
        <v>20</v>
      </c>
      <c r="P450">
        <f t="shared" si="12"/>
        <v>800</v>
      </c>
      <c r="Q450" s="5">
        <f t="shared" si="13"/>
        <v>0.34921634910878924</v>
      </c>
    </row>
    <row r="451" spans="1:17" x14ac:dyDescent="0.3">
      <c r="A451" t="s">
        <v>623</v>
      </c>
      <c r="B451" t="s">
        <v>61</v>
      </c>
      <c r="C451" t="s">
        <v>100</v>
      </c>
      <c r="D451" t="s">
        <v>196</v>
      </c>
      <c r="E451" t="s">
        <v>58</v>
      </c>
      <c r="F451" t="s">
        <v>59</v>
      </c>
      <c r="G451">
        <v>26</v>
      </c>
      <c r="H451" s="4">
        <v>35.32</v>
      </c>
      <c r="I451">
        <v>918.32</v>
      </c>
      <c r="J451">
        <v>60.02</v>
      </c>
      <c r="K451">
        <v>273.3</v>
      </c>
      <c r="L451" t="s">
        <v>44</v>
      </c>
      <c r="M451" t="s">
        <v>23</v>
      </c>
      <c r="N451" t="s">
        <v>66</v>
      </c>
      <c r="O451">
        <f>_xlfn.XLOOKUP(E451,Product_Master!$B$2:$B$11,Product_Master!$F$2:$F$11)</f>
        <v>22.5</v>
      </c>
      <c r="P451">
        <f t="shared" ref="P451:P501" si="14">G451*O451</f>
        <v>585</v>
      </c>
      <c r="Q451" s="5">
        <f t="shared" ref="Q451:Q501" si="15">K451/I451</f>
        <v>0.29760867671399949</v>
      </c>
    </row>
    <row r="452" spans="1:17" x14ac:dyDescent="0.3">
      <c r="A452" t="s">
        <v>624</v>
      </c>
      <c r="B452" t="s">
        <v>17</v>
      </c>
      <c r="C452" t="s">
        <v>110</v>
      </c>
      <c r="D452" t="s">
        <v>41</v>
      </c>
      <c r="E452" t="s">
        <v>73</v>
      </c>
      <c r="F452" t="s">
        <v>43</v>
      </c>
      <c r="G452">
        <v>16</v>
      </c>
      <c r="H452" s="4">
        <v>16.440000000000001</v>
      </c>
      <c r="I452">
        <v>263.04000000000002</v>
      </c>
      <c r="J452">
        <v>17.64</v>
      </c>
      <c r="K452">
        <v>41.4</v>
      </c>
      <c r="L452" t="s">
        <v>22</v>
      </c>
      <c r="M452" t="s">
        <v>23</v>
      </c>
      <c r="N452" t="s">
        <v>45</v>
      </c>
      <c r="O452">
        <f>_xlfn.XLOOKUP(E452,Product_Master!$B$2:$B$11,Product_Master!$F$2:$F$11)</f>
        <v>12.75</v>
      </c>
      <c r="P452">
        <f t="shared" si="14"/>
        <v>204</v>
      </c>
      <c r="Q452" s="5">
        <f t="shared" si="15"/>
        <v>0.1573905109489051</v>
      </c>
    </row>
    <row r="453" spans="1:17" x14ac:dyDescent="0.3">
      <c r="A453" t="s">
        <v>625</v>
      </c>
      <c r="B453" t="s">
        <v>104</v>
      </c>
      <c r="C453" t="s">
        <v>245</v>
      </c>
      <c r="D453" t="s">
        <v>123</v>
      </c>
      <c r="E453" t="s">
        <v>98</v>
      </c>
      <c r="F453" t="s">
        <v>59</v>
      </c>
      <c r="G453">
        <v>39</v>
      </c>
      <c r="H453" s="4">
        <v>46.27</v>
      </c>
      <c r="I453">
        <v>1804.53</v>
      </c>
      <c r="J453">
        <v>38.57</v>
      </c>
      <c r="K453">
        <v>673.96</v>
      </c>
      <c r="L453" t="s">
        <v>44</v>
      </c>
      <c r="M453" t="s">
        <v>37</v>
      </c>
      <c r="N453" t="s">
        <v>32</v>
      </c>
      <c r="O453">
        <f>_xlfn.XLOOKUP(E453,Product_Master!$B$2:$B$11,Product_Master!$F$2:$F$11)</f>
        <v>28</v>
      </c>
      <c r="P453">
        <f t="shared" si="14"/>
        <v>1092</v>
      </c>
      <c r="Q453" s="5">
        <f t="shared" si="15"/>
        <v>0.37348229178788939</v>
      </c>
    </row>
    <row r="454" spans="1:17" x14ac:dyDescent="0.3">
      <c r="A454" t="s">
        <v>626</v>
      </c>
      <c r="B454" t="s">
        <v>39</v>
      </c>
      <c r="C454" t="s">
        <v>173</v>
      </c>
      <c r="D454" t="s">
        <v>28</v>
      </c>
      <c r="E454" t="s">
        <v>64</v>
      </c>
      <c r="F454" t="s">
        <v>65</v>
      </c>
      <c r="G454">
        <v>15</v>
      </c>
      <c r="H454" s="4">
        <v>33.22</v>
      </c>
      <c r="I454">
        <v>498.3</v>
      </c>
      <c r="J454">
        <v>36.85</v>
      </c>
      <c r="K454">
        <v>86.45</v>
      </c>
      <c r="L454" t="s">
        <v>44</v>
      </c>
      <c r="M454" t="s">
        <v>37</v>
      </c>
      <c r="N454" t="s">
        <v>32</v>
      </c>
      <c r="O454">
        <f>_xlfn.XLOOKUP(E454,Product_Master!$B$2:$B$11,Product_Master!$F$2:$F$11)</f>
        <v>25</v>
      </c>
      <c r="P454">
        <f t="shared" si="14"/>
        <v>375</v>
      </c>
      <c r="Q454" s="5">
        <f t="shared" si="15"/>
        <v>0.17348986554284568</v>
      </c>
    </row>
    <row r="455" spans="1:17" x14ac:dyDescent="0.3">
      <c r="A455" t="s">
        <v>627</v>
      </c>
      <c r="B455" t="s">
        <v>56</v>
      </c>
      <c r="C455" t="s">
        <v>226</v>
      </c>
      <c r="D455" t="s">
        <v>101</v>
      </c>
      <c r="E455" t="s">
        <v>49</v>
      </c>
      <c r="F455" t="s">
        <v>50</v>
      </c>
      <c r="G455">
        <v>35</v>
      </c>
      <c r="H455" s="4">
        <v>71.02</v>
      </c>
      <c r="I455">
        <v>2485.6999999999998</v>
      </c>
      <c r="J455">
        <v>137.22</v>
      </c>
      <c r="K455">
        <v>948.48</v>
      </c>
      <c r="L455" t="s">
        <v>30</v>
      </c>
      <c r="M455" t="s">
        <v>31</v>
      </c>
      <c r="N455" t="s">
        <v>102</v>
      </c>
      <c r="O455">
        <f>_xlfn.XLOOKUP(E455,Product_Master!$B$2:$B$11,Product_Master!$F$2:$F$11)</f>
        <v>40</v>
      </c>
      <c r="P455">
        <f t="shared" si="14"/>
        <v>1400</v>
      </c>
      <c r="Q455" s="5">
        <f t="shared" si="15"/>
        <v>0.38157460675061355</v>
      </c>
    </row>
    <row r="456" spans="1:17" x14ac:dyDescent="0.3">
      <c r="A456" t="s">
        <v>628</v>
      </c>
      <c r="B456" t="s">
        <v>68</v>
      </c>
      <c r="C456" t="s">
        <v>119</v>
      </c>
      <c r="D456" t="s">
        <v>88</v>
      </c>
      <c r="E456" t="s">
        <v>98</v>
      </c>
      <c r="F456" t="s">
        <v>59</v>
      </c>
      <c r="G456">
        <v>2</v>
      </c>
      <c r="H456" s="4">
        <v>42.31</v>
      </c>
      <c r="I456">
        <v>84.62</v>
      </c>
      <c r="J456">
        <v>4.28</v>
      </c>
      <c r="K456">
        <v>24.34</v>
      </c>
      <c r="L456" t="s">
        <v>30</v>
      </c>
      <c r="M456" t="s">
        <v>31</v>
      </c>
      <c r="N456" t="s">
        <v>66</v>
      </c>
      <c r="O456">
        <f>_xlfn.XLOOKUP(E456,Product_Master!$B$2:$B$11,Product_Master!$F$2:$F$11)</f>
        <v>28</v>
      </c>
      <c r="P456">
        <f t="shared" si="14"/>
        <v>56</v>
      </c>
      <c r="Q456" s="5">
        <f t="shared" si="15"/>
        <v>0.28763885606239659</v>
      </c>
    </row>
    <row r="457" spans="1:17" x14ac:dyDescent="0.3">
      <c r="A457" t="s">
        <v>629</v>
      </c>
      <c r="B457" t="s">
        <v>75</v>
      </c>
      <c r="C457" t="s">
        <v>108</v>
      </c>
      <c r="D457" t="s">
        <v>81</v>
      </c>
      <c r="E457" t="s">
        <v>64</v>
      </c>
      <c r="F457" t="s">
        <v>65</v>
      </c>
      <c r="G457">
        <v>8</v>
      </c>
      <c r="H457" s="4">
        <v>41.36</v>
      </c>
      <c r="I457">
        <v>330.88</v>
      </c>
      <c r="J457">
        <v>11.78</v>
      </c>
      <c r="K457">
        <v>119.1</v>
      </c>
      <c r="L457" t="s">
        <v>22</v>
      </c>
      <c r="M457" t="s">
        <v>23</v>
      </c>
      <c r="N457" t="s">
        <v>66</v>
      </c>
      <c r="O457">
        <f>_xlfn.XLOOKUP(E457,Product_Master!$B$2:$B$11,Product_Master!$F$2:$F$11)</f>
        <v>25</v>
      </c>
      <c r="P457">
        <f t="shared" si="14"/>
        <v>200</v>
      </c>
      <c r="Q457" s="5">
        <f t="shared" si="15"/>
        <v>0.35994922630560927</v>
      </c>
    </row>
    <row r="458" spans="1:17" x14ac:dyDescent="0.3">
      <c r="A458" t="s">
        <v>630</v>
      </c>
      <c r="B458" t="s">
        <v>68</v>
      </c>
      <c r="C458" t="s">
        <v>139</v>
      </c>
      <c r="D458" t="s">
        <v>48</v>
      </c>
      <c r="E458" t="s">
        <v>29</v>
      </c>
      <c r="F458" t="s">
        <v>21</v>
      </c>
      <c r="G458">
        <v>3</v>
      </c>
      <c r="H458" s="4">
        <v>31.39</v>
      </c>
      <c r="I458">
        <v>94.17</v>
      </c>
      <c r="J458">
        <v>2.52</v>
      </c>
      <c r="K458">
        <v>37.65</v>
      </c>
      <c r="L458" t="s">
        <v>44</v>
      </c>
      <c r="M458" t="s">
        <v>37</v>
      </c>
      <c r="N458" t="s">
        <v>24</v>
      </c>
      <c r="O458">
        <f>_xlfn.XLOOKUP(E458,Product_Master!$B$2:$B$11,Product_Master!$F$2:$F$11)</f>
        <v>18</v>
      </c>
      <c r="P458">
        <f t="shared" si="14"/>
        <v>54</v>
      </c>
      <c r="Q458" s="5">
        <f t="shared" si="15"/>
        <v>0.39980885632366991</v>
      </c>
    </row>
    <row r="459" spans="1:17" x14ac:dyDescent="0.3">
      <c r="A459" t="s">
        <v>631</v>
      </c>
      <c r="B459" t="s">
        <v>17</v>
      </c>
      <c r="C459" t="s">
        <v>164</v>
      </c>
      <c r="D459" t="s">
        <v>123</v>
      </c>
      <c r="E459" t="s">
        <v>58</v>
      </c>
      <c r="F459" t="s">
        <v>59</v>
      </c>
      <c r="G459">
        <v>48</v>
      </c>
      <c r="H459" s="4">
        <v>33.61</v>
      </c>
      <c r="I459">
        <v>1613.28</v>
      </c>
      <c r="J459">
        <v>109.92</v>
      </c>
      <c r="K459">
        <v>423.36</v>
      </c>
      <c r="L459" t="s">
        <v>22</v>
      </c>
      <c r="M459" t="s">
        <v>37</v>
      </c>
      <c r="N459" t="s">
        <v>32</v>
      </c>
      <c r="O459">
        <f>_xlfn.XLOOKUP(E459,Product_Master!$B$2:$B$11,Product_Master!$F$2:$F$11)</f>
        <v>22.5</v>
      </c>
      <c r="P459">
        <f t="shared" si="14"/>
        <v>1080</v>
      </c>
      <c r="Q459" s="5">
        <f t="shared" si="15"/>
        <v>0.26242189824457007</v>
      </c>
    </row>
    <row r="460" spans="1:17" x14ac:dyDescent="0.3">
      <c r="A460" t="s">
        <v>632</v>
      </c>
      <c r="B460" t="s">
        <v>83</v>
      </c>
      <c r="C460" t="s">
        <v>192</v>
      </c>
      <c r="D460" t="s">
        <v>170</v>
      </c>
      <c r="E460" t="s">
        <v>42</v>
      </c>
      <c r="F460" t="s">
        <v>43</v>
      </c>
      <c r="G460">
        <v>9</v>
      </c>
      <c r="H460" s="4">
        <v>50.29</v>
      </c>
      <c r="I460">
        <v>452.61</v>
      </c>
      <c r="J460">
        <v>32.93</v>
      </c>
      <c r="K460">
        <v>131.68</v>
      </c>
      <c r="L460" t="s">
        <v>30</v>
      </c>
      <c r="M460" t="s">
        <v>37</v>
      </c>
      <c r="N460" t="s">
        <v>32</v>
      </c>
      <c r="O460">
        <f>_xlfn.XLOOKUP(E460,Product_Master!$B$2:$B$11,Product_Master!$F$2:$F$11)</f>
        <v>32</v>
      </c>
      <c r="P460">
        <f t="shared" si="14"/>
        <v>288</v>
      </c>
      <c r="Q460" s="5">
        <f t="shared" si="15"/>
        <v>0.29093480038001812</v>
      </c>
    </row>
    <row r="461" spans="1:17" x14ac:dyDescent="0.3">
      <c r="A461" t="s">
        <v>633</v>
      </c>
      <c r="B461" t="s">
        <v>39</v>
      </c>
      <c r="C461" t="s">
        <v>164</v>
      </c>
      <c r="D461" t="s">
        <v>19</v>
      </c>
      <c r="E461" t="s">
        <v>58</v>
      </c>
      <c r="F461" t="s">
        <v>59</v>
      </c>
      <c r="G461">
        <v>12</v>
      </c>
      <c r="H461" s="4">
        <v>34.96</v>
      </c>
      <c r="I461">
        <v>419.52</v>
      </c>
      <c r="J461">
        <v>15.43</v>
      </c>
      <c r="K461">
        <v>134.09</v>
      </c>
      <c r="L461" t="s">
        <v>30</v>
      </c>
      <c r="M461" t="s">
        <v>37</v>
      </c>
      <c r="N461" t="s">
        <v>24</v>
      </c>
      <c r="O461">
        <f>_xlfn.XLOOKUP(E461,Product_Master!$B$2:$B$11,Product_Master!$F$2:$F$11)</f>
        <v>22.5</v>
      </c>
      <c r="P461">
        <f t="shared" si="14"/>
        <v>270</v>
      </c>
      <c r="Q461" s="5">
        <f t="shared" si="15"/>
        <v>0.31962719298245618</v>
      </c>
    </row>
    <row r="462" spans="1:17" x14ac:dyDescent="0.3">
      <c r="A462" t="s">
        <v>634</v>
      </c>
      <c r="B462" t="s">
        <v>26</v>
      </c>
      <c r="C462" t="s">
        <v>390</v>
      </c>
      <c r="D462" t="s">
        <v>147</v>
      </c>
      <c r="E462" t="s">
        <v>20</v>
      </c>
      <c r="F462" t="s">
        <v>21</v>
      </c>
      <c r="G462">
        <v>29</v>
      </c>
      <c r="H462" s="4">
        <v>52.72</v>
      </c>
      <c r="I462">
        <v>1528.88</v>
      </c>
      <c r="J462">
        <v>96.91</v>
      </c>
      <c r="K462">
        <v>416.97</v>
      </c>
      <c r="L462" t="s">
        <v>30</v>
      </c>
      <c r="M462" t="s">
        <v>37</v>
      </c>
      <c r="N462" t="s">
        <v>148</v>
      </c>
      <c r="O462">
        <f>_xlfn.XLOOKUP(E462,Product_Master!$B$2:$B$11,Product_Master!$F$2:$F$11)</f>
        <v>35</v>
      </c>
      <c r="P462">
        <f t="shared" si="14"/>
        <v>1015</v>
      </c>
      <c r="Q462" s="5">
        <f t="shared" si="15"/>
        <v>0.27272905656428237</v>
      </c>
    </row>
    <row r="463" spans="1:17" x14ac:dyDescent="0.3">
      <c r="A463" t="s">
        <v>635</v>
      </c>
      <c r="B463" t="s">
        <v>26</v>
      </c>
      <c r="C463" t="s">
        <v>349</v>
      </c>
      <c r="D463" t="s">
        <v>48</v>
      </c>
      <c r="E463" t="s">
        <v>69</v>
      </c>
      <c r="F463" t="s">
        <v>59</v>
      </c>
      <c r="G463">
        <v>39</v>
      </c>
      <c r="H463" s="4">
        <v>22.18</v>
      </c>
      <c r="I463">
        <v>865.02</v>
      </c>
      <c r="J463">
        <v>26.23</v>
      </c>
      <c r="K463">
        <v>234.29</v>
      </c>
      <c r="L463" t="s">
        <v>22</v>
      </c>
      <c r="M463" t="s">
        <v>37</v>
      </c>
      <c r="N463" t="s">
        <v>24</v>
      </c>
      <c r="O463">
        <f>_xlfn.XLOOKUP(E463,Product_Master!$B$2:$B$11,Product_Master!$F$2:$F$11)</f>
        <v>15.5</v>
      </c>
      <c r="P463">
        <f t="shared" si="14"/>
        <v>604.5</v>
      </c>
      <c r="Q463" s="5">
        <f t="shared" si="15"/>
        <v>0.27084922891956253</v>
      </c>
    </row>
    <row r="464" spans="1:17" x14ac:dyDescent="0.3">
      <c r="A464" t="s">
        <v>636</v>
      </c>
      <c r="B464" t="s">
        <v>26</v>
      </c>
      <c r="C464" t="s">
        <v>342</v>
      </c>
      <c r="D464" t="s">
        <v>81</v>
      </c>
      <c r="E464" t="s">
        <v>69</v>
      </c>
      <c r="F464" t="s">
        <v>59</v>
      </c>
      <c r="G464">
        <v>11</v>
      </c>
      <c r="H464" s="4">
        <v>21.4</v>
      </c>
      <c r="I464">
        <v>235.4</v>
      </c>
      <c r="J464">
        <v>11.64</v>
      </c>
      <c r="K464">
        <v>53.26</v>
      </c>
      <c r="L464" t="s">
        <v>22</v>
      </c>
      <c r="M464" t="s">
        <v>37</v>
      </c>
      <c r="N464" t="s">
        <v>66</v>
      </c>
      <c r="O464">
        <f>_xlfn.XLOOKUP(E464,Product_Master!$B$2:$B$11,Product_Master!$F$2:$F$11)</f>
        <v>15.5</v>
      </c>
      <c r="P464">
        <f t="shared" si="14"/>
        <v>170.5</v>
      </c>
      <c r="Q464" s="5">
        <f t="shared" si="15"/>
        <v>0.22625318606627015</v>
      </c>
    </row>
    <row r="465" spans="1:17" x14ac:dyDescent="0.3">
      <c r="A465" t="s">
        <v>637</v>
      </c>
      <c r="B465" t="s">
        <v>34</v>
      </c>
      <c r="C465" t="s">
        <v>310</v>
      </c>
      <c r="D465" t="s">
        <v>81</v>
      </c>
      <c r="E465" t="s">
        <v>64</v>
      </c>
      <c r="F465" t="s">
        <v>65</v>
      </c>
      <c r="G465">
        <v>21</v>
      </c>
      <c r="H465" s="4">
        <v>36.26</v>
      </c>
      <c r="I465">
        <v>761.46</v>
      </c>
      <c r="J465">
        <v>56.99</v>
      </c>
      <c r="K465">
        <v>179.47</v>
      </c>
      <c r="L465" t="s">
        <v>30</v>
      </c>
      <c r="M465" t="s">
        <v>23</v>
      </c>
      <c r="N465" t="s">
        <v>66</v>
      </c>
      <c r="O465">
        <f>_xlfn.XLOOKUP(E465,Product_Master!$B$2:$B$11,Product_Master!$F$2:$F$11)</f>
        <v>25</v>
      </c>
      <c r="P465">
        <f t="shared" si="14"/>
        <v>525</v>
      </c>
      <c r="Q465" s="5">
        <f t="shared" si="15"/>
        <v>0.23569196018175609</v>
      </c>
    </row>
    <row r="466" spans="1:17" x14ac:dyDescent="0.3">
      <c r="A466" t="s">
        <v>638</v>
      </c>
      <c r="B466" t="s">
        <v>39</v>
      </c>
      <c r="C466" t="s">
        <v>226</v>
      </c>
      <c r="D466" t="s">
        <v>63</v>
      </c>
      <c r="E466" t="s">
        <v>58</v>
      </c>
      <c r="F466" t="s">
        <v>59</v>
      </c>
      <c r="G466">
        <v>39</v>
      </c>
      <c r="H466" s="4">
        <v>35.409999999999997</v>
      </c>
      <c r="I466">
        <v>1380.99</v>
      </c>
      <c r="J466">
        <v>84.56</v>
      </c>
      <c r="K466">
        <v>418.93</v>
      </c>
      <c r="L466" t="s">
        <v>30</v>
      </c>
      <c r="M466" t="s">
        <v>23</v>
      </c>
      <c r="N466" t="s">
        <v>66</v>
      </c>
      <c r="O466">
        <f>_xlfn.XLOOKUP(E466,Product_Master!$B$2:$B$11,Product_Master!$F$2:$F$11)</f>
        <v>22.5</v>
      </c>
      <c r="P466">
        <f t="shared" si="14"/>
        <v>877.5</v>
      </c>
      <c r="Q466" s="5">
        <f t="shared" si="15"/>
        <v>0.30335483964402349</v>
      </c>
    </row>
    <row r="467" spans="1:17" x14ac:dyDescent="0.3">
      <c r="A467" t="s">
        <v>639</v>
      </c>
      <c r="B467" t="s">
        <v>34</v>
      </c>
      <c r="C467" t="s">
        <v>127</v>
      </c>
      <c r="D467" t="s">
        <v>63</v>
      </c>
      <c r="E467" t="s">
        <v>29</v>
      </c>
      <c r="F467" t="s">
        <v>21</v>
      </c>
      <c r="G467">
        <v>13</v>
      </c>
      <c r="H467" s="4">
        <v>27.35</v>
      </c>
      <c r="I467">
        <v>355.55</v>
      </c>
      <c r="J467">
        <v>26.23</v>
      </c>
      <c r="K467">
        <v>95.32</v>
      </c>
      <c r="L467" t="s">
        <v>30</v>
      </c>
      <c r="M467" t="s">
        <v>37</v>
      </c>
      <c r="N467" t="s">
        <v>66</v>
      </c>
      <c r="O467">
        <f>_xlfn.XLOOKUP(E467,Product_Master!$B$2:$B$11,Product_Master!$F$2:$F$11)</f>
        <v>18</v>
      </c>
      <c r="P467">
        <f t="shared" si="14"/>
        <v>234</v>
      </c>
      <c r="Q467" s="5">
        <f t="shared" si="15"/>
        <v>0.26809168893263957</v>
      </c>
    </row>
    <row r="468" spans="1:17" x14ac:dyDescent="0.3">
      <c r="A468" t="s">
        <v>640</v>
      </c>
      <c r="B468" t="s">
        <v>157</v>
      </c>
      <c r="C468" t="s">
        <v>108</v>
      </c>
      <c r="D468" t="s">
        <v>41</v>
      </c>
      <c r="E468" t="s">
        <v>73</v>
      </c>
      <c r="F468" t="s">
        <v>43</v>
      </c>
      <c r="G468">
        <v>40</v>
      </c>
      <c r="H468" s="4">
        <v>21.08</v>
      </c>
      <c r="I468">
        <v>843.2</v>
      </c>
      <c r="J468">
        <v>66.81</v>
      </c>
      <c r="K468">
        <v>266.39</v>
      </c>
      <c r="L468" t="s">
        <v>44</v>
      </c>
      <c r="M468" t="s">
        <v>31</v>
      </c>
      <c r="N468" t="s">
        <v>45</v>
      </c>
      <c r="O468">
        <f>_xlfn.XLOOKUP(E468,Product_Master!$B$2:$B$11,Product_Master!$F$2:$F$11)</f>
        <v>12.75</v>
      </c>
      <c r="P468">
        <f t="shared" si="14"/>
        <v>510</v>
      </c>
      <c r="Q468" s="5">
        <f t="shared" si="15"/>
        <v>0.3159274193548387</v>
      </c>
    </row>
    <row r="469" spans="1:17" x14ac:dyDescent="0.3">
      <c r="A469" t="s">
        <v>641</v>
      </c>
      <c r="B469" t="s">
        <v>39</v>
      </c>
      <c r="C469" t="s">
        <v>390</v>
      </c>
      <c r="D469" t="s">
        <v>53</v>
      </c>
      <c r="E469" t="s">
        <v>69</v>
      </c>
      <c r="F469" t="s">
        <v>59</v>
      </c>
      <c r="G469">
        <v>47</v>
      </c>
      <c r="H469" s="4">
        <v>27.54</v>
      </c>
      <c r="I469">
        <v>1294.3800000000001</v>
      </c>
      <c r="J469">
        <v>62.78</v>
      </c>
      <c r="K469">
        <v>503.1</v>
      </c>
      <c r="L469" t="s">
        <v>22</v>
      </c>
      <c r="M469" t="s">
        <v>23</v>
      </c>
      <c r="N469" t="s">
        <v>24</v>
      </c>
      <c r="O469">
        <f>_xlfn.XLOOKUP(E469,Product_Master!$B$2:$B$11,Product_Master!$F$2:$F$11)</f>
        <v>15.5</v>
      </c>
      <c r="P469">
        <f t="shared" si="14"/>
        <v>728.5</v>
      </c>
      <c r="Q469" s="5">
        <f t="shared" si="15"/>
        <v>0.38868029481296062</v>
      </c>
    </row>
    <row r="470" spans="1:17" x14ac:dyDescent="0.3">
      <c r="A470" t="s">
        <v>642</v>
      </c>
      <c r="B470" t="s">
        <v>86</v>
      </c>
      <c r="C470" t="s">
        <v>40</v>
      </c>
      <c r="D470" t="s">
        <v>196</v>
      </c>
      <c r="E470" t="s">
        <v>42</v>
      </c>
      <c r="F470" t="s">
        <v>43</v>
      </c>
      <c r="G470">
        <v>16</v>
      </c>
      <c r="H470" s="4">
        <v>45.08</v>
      </c>
      <c r="I470">
        <v>721.28</v>
      </c>
      <c r="J470">
        <v>21.61</v>
      </c>
      <c r="K470">
        <v>187.67</v>
      </c>
      <c r="L470" t="s">
        <v>30</v>
      </c>
      <c r="M470" t="s">
        <v>37</v>
      </c>
      <c r="N470" t="s">
        <v>66</v>
      </c>
      <c r="O470">
        <f>_xlfn.XLOOKUP(E470,Product_Master!$B$2:$B$11,Product_Master!$F$2:$F$11)</f>
        <v>32</v>
      </c>
      <c r="P470">
        <f t="shared" si="14"/>
        <v>512</v>
      </c>
      <c r="Q470" s="5">
        <f t="shared" si="15"/>
        <v>0.26019021739130432</v>
      </c>
    </row>
    <row r="471" spans="1:17" x14ac:dyDescent="0.3">
      <c r="A471" t="s">
        <v>643</v>
      </c>
      <c r="B471" t="s">
        <v>75</v>
      </c>
      <c r="C471" t="s">
        <v>141</v>
      </c>
      <c r="D471" t="s">
        <v>88</v>
      </c>
      <c r="E471" t="s">
        <v>58</v>
      </c>
      <c r="F471" t="s">
        <v>59</v>
      </c>
      <c r="G471">
        <v>37</v>
      </c>
      <c r="H471" s="4">
        <v>33.200000000000003</v>
      </c>
      <c r="I471">
        <v>1228.4000000000001</v>
      </c>
      <c r="J471">
        <v>41.34</v>
      </c>
      <c r="K471">
        <v>354.56</v>
      </c>
      <c r="L471" t="s">
        <v>44</v>
      </c>
      <c r="M471" t="s">
        <v>31</v>
      </c>
      <c r="N471" t="s">
        <v>66</v>
      </c>
      <c r="O471">
        <f>_xlfn.XLOOKUP(E471,Product_Master!$B$2:$B$11,Product_Master!$F$2:$F$11)</f>
        <v>22.5</v>
      </c>
      <c r="P471">
        <f t="shared" si="14"/>
        <v>832.5</v>
      </c>
      <c r="Q471" s="5">
        <f t="shared" si="15"/>
        <v>0.28863562357538258</v>
      </c>
    </row>
    <row r="472" spans="1:17" x14ac:dyDescent="0.3">
      <c r="A472" t="s">
        <v>644</v>
      </c>
      <c r="B472" t="s">
        <v>78</v>
      </c>
      <c r="C472" t="s">
        <v>18</v>
      </c>
      <c r="D472" t="s">
        <v>88</v>
      </c>
      <c r="E472" t="s">
        <v>29</v>
      </c>
      <c r="F472" t="s">
        <v>21</v>
      </c>
      <c r="G472">
        <v>8</v>
      </c>
      <c r="H472" s="4">
        <v>27.31</v>
      </c>
      <c r="I472">
        <v>218.48</v>
      </c>
      <c r="J472">
        <v>9.51</v>
      </c>
      <c r="K472">
        <v>64.97</v>
      </c>
      <c r="L472" t="s">
        <v>44</v>
      </c>
      <c r="M472" t="s">
        <v>23</v>
      </c>
      <c r="N472" t="s">
        <v>66</v>
      </c>
      <c r="O472">
        <f>_xlfn.XLOOKUP(E472,Product_Master!$B$2:$B$11,Product_Master!$F$2:$F$11)</f>
        <v>18</v>
      </c>
      <c r="P472">
        <f t="shared" si="14"/>
        <v>144</v>
      </c>
      <c r="Q472" s="5">
        <f t="shared" si="15"/>
        <v>0.29737275723178325</v>
      </c>
    </row>
    <row r="473" spans="1:17" x14ac:dyDescent="0.3">
      <c r="A473" t="s">
        <v>645</v>
      </c>
      <c r="B473" t="s">
        <v>34</v>
      </c>
      <c r="C473" t="s">
        <v>114</v>
      </c>
      <c r="D473" t="s">
        <v>101</v>
      </c>
      <c r="E473" t="s">
        <v>29</v>
      </c>
      <c r="F473" t="s">
        <v>21</v>
      </c>
      <c r="G473">
        <v>19</v>
      </c>
      <c r="H473" s="4">
        <v>29.14</v>
      </c>
      <c r="I473">
        <v>553.66</v>
      </c>
      <c r="J473">
        <v>19.7</v>
      </c>
      <c r="K473">
        <v>191.96</v>
      </c>
      <c r="L473" t="s">
        <v>22</v>
      </c>
      <c r="M473" t="s">
        <v>31</v>
      </c>
      <c r="N473" t="s">
        <v>102</v>
      </c>
      <c r="O473">
        <f>_xlfn.XLOOKUP(E473,Product_Master!$B$2:$B$11,Product_Master!$F$2:$F$11)</f>
        <v>18</v>
      </c>
      <c r="P473">
        <f t="shared" si="14"/>
        <v>342</v>
      </c>
      <c r="Q473" s="5">
        <f t="shared" si="15"/>
        <v>0.34671097785644622</v>
      </c>
    </row>
    <row r="474" spans="1:17" x14ac:dyDescent="0.3">
      <c r="A474" t="s">
        <v>646</v>
      </c>
      <c r="B474" t="s">
        <v>68</v>
      </c>
      <c r="C474" t="s">
        <v>228</v>
      </c>
      <c r="D474" t="s">
        <v>81</v>
      </c>
      <c r="E474" t="s">
        <v>20</v>
      </c>
      <c r="F474" t="s">
        <v>21</v>
      </c>
      <c r="G474">
        <v>6</v>
      </c>
      <c r="H474" s="4">
        <v>55.41</v>
      </c>
      <c r="I474">
        <v>332.46</v>
      </c>
      <c r="J474">
        <v>15.57</v>
      </c>
      <c r="K474">
        <v>106.89</v>
      </c>
      <c r="L474" t="s">
        <v>22</v>
      </c>
      <c r="M474" t="s">
        <v>23</v>
      </c>
      <c r="N474" t="s">
        <v>66</v>
      </c>
      <c r="O474">
        <f>_xlfn.XLOOKUP(E474,Product_Master!$B$2:$B$11,Product_Master!$F$2:$F$11)</f>
        <v>35</v>
      </c>
      <c r="P474">
        <f t="shared" si="14"/>
        <v>210</v>
      </c>
      <c r="Q474" s="5">
        <f t="shared" si="15"/>
        <v>0.3215123623894604</v>
      </c>
    </row>
    <row r="475" spans="1:17" x14ac:dyDescent="0.3">
      <c r="A475" t="s">
        <v>647</v>
      </c>
      <c r="B475" t="s">
        <v>75</v>
      </c>
      <c r="C475" t="s">
        <v>212</v>
      </c>
      <c r="D475" t="s">
        <v>88</v>
      </c>
      <c r="E475" t="s">
        <v>29</v>
      </c>
      <c r="F475" t="s">
        <v>21</v>
      </c>
      <c r="G475">
        <v>48</v>
      </c>
      <c r="H475" s="4">
        <v>29.07</v>
      </c>
      <c r="I475">
        <v>1395.36</v>
      </c>
      <c r="J475">
        <v>70.38</v>
      </c>
      <c r="K475">
        <v>460.98</v>
      </c>
      <c r="L475" t="s">
        <v>30</v>
      </c>
      <c r="M475" t="s">
        <v>37</v>
      </c>
      <c r="N475" t="s">
        <v>66</v>
      </c>
      <c r="O475">
        <f>_xlfn.XLOOKUP(E475,Product_Master!$B$2:$B$11,Product_Master!$F$2:$F$11)</f>
        <v>18</v>
      </c>
      <c r="P475">
        <f t="shared" si="14"/>
        <v>864</v>
      </c>
      <c r="Q475" s="5">
        <f t="shared" si="15"/>
        <v>0.33036635706914347</v>
      </c>
    </row>
    <row r="476" spans="1:17" x14ac:dyDescent="0.3">
      <c r="A476" t="s">
        <v>648</v>
      </c>
      <c r="B476" t="s">
        <v>107</v>
      </c>
      <c r="C476" t="s">
        <v>305</v>
      </c>
      <c r="D476" t="s">
        <v>41</v>
      </c>
      <c r="E476" t="s">
        <v>58</v>
      </c>
      <c r="F476" t="s">
        <v>59</v>
      </c>
      <c r="G476">
        <v>26</v>
      </c>
      <c r="H476" s="4">
        <v>27.17</v>
      </c>
      <c r="I476">
        <v>706.42</v>
      </c>
      <c r="J476">
        <v>33.94</v>
      </c>
      <c r="K476">
        <v>87.48</v>
      </c>
      <c r="L476" t="s">
        <v>44</v>
      </c>
      <c r="M476" t="s">
        <v>31</v>
      </c>
      <c r="N476" t="s">
        <v>45</v>
      </c>
      <c r="O476">
        <f>_xlfn.XLOOKUP(E476,Product_Master!$B$2:$B$11,Product_Master!$F$2:$F$11)</f>
        <v>22.5</v>
      </c>
      <c r="P476">
        <f t="shared" si="14"/>
        <v>585</v>
      </c>
      <c r="Q476" s="5">
        <f t="shared" si="15"/>
        <v>0.12383567849154895</v>
      </c>
    </row>
    <row r="477" spans="1:17" x14ac:dyDescent="0.3">
      <c r="A477" t="s">
        <v>649</v>
      </c>
      <c r="B477" t="s">
        <v>650</v>
      </c>
      <c r="C477" t="s">
        <v>122</v>
      </c>
      <c r="D477" t="s">
        <v>91</v>
      </c>
      <c r="E477" t="s">
        <v>20</v>
      </c>
      <c r="F477" t="s">
        <v>21</v>
      </c>
      <c r="G477">
        <v>9</v>
      </c>
      <c r="H477" s="4">
        <v>48.76</v>
      </c>
      <c r="I477">
        <v>438.84</v>
      </c>
      <c r="J477">
        <v>16.91</v>
      </c>
      <c r="K477">
        <v>106.93</v>
      </c>
      <c r="L477" t="s">
        <v>44</v>
      </c>
      <c r="M477" t="s">
        <v>23</v>
      </c>
      <c r="N477" t="s">
        <v>66</v>
      </c>
      <c r="O477">
        <f>_xlfn.XLOOKUP(E477,Product_Master!$B$2:$B$11,Product_Master!$F$2:$F$11)</f>
        <v>35</v>
      </c>
      <c r="P477">
        <f t="shared" si="14"/>
        <v>315</v>
      </c>
      <c r="Q477" s="5">
        <f t="shared" si="15"/>
        <v>0.24366511712697114</v>
      </c>
    </row>
    <row r="478" spans="1:17" x14ac:dyDescent="0.3">
      <c r="A478" t="s">
        <v>651</v>
      </c>
      <c r="B478" t="s">
        <v>652</v>
      </c>
      <c r="C478" t="s">
        <v>245</v>
      </c>
      <c r="D478" t="s">
        <v>28</v>
      </c>
      <c r="E478" t="s">
        <v>58</v>
      </c>
      <c r="F478" t="s">
        <v>59</v>
      </c>
      <c r="G478">
        <v>37</v>
      </c>
      <c r="H478" s="4">
        <v>33.21</v>
      </c>
      <c r="I478">
        <v>1228.77</v>
      </c>
      <c r="J478">
        <v>96.12</v>
      </c>
      <c r="K478">
        <v>300.14999999999998</v>
      </c>
      <c r="L478" t="s">
        <v>44</v>
      </c>
      <c r="M478" t="s">
        <v>31</v>
      </c>
      <c r="N478" t="s">
        <v>32</v>
      </c>
      <c r="O478">
        <f>_xlfn.XLOOKUP(E478,Product_Master!$B$2:$B$11,Product_Master!$F$2:$F$11)</f>
        <v>22.5</v>
      </c>
      <c r="P478">
        <f t="shared" si="14"/>
        <v>832.5</v>
      </c>
      <c r="Q478" s="5">
        <f t="shared" si="15"/>
        <v>0.24426865890280522</v>
      </c>
    </row>
    <row r="479" spans="1:17" x14ac:dyDescent="0.3">
      <c r="A479" t="s">
        <v>653</v>
      </c>
      <c r="B479" t="s">
        <v>654</v>
      </c>
      <c r="C479" t="s">
        <v>122</v>
      </c>
      <c r="D479" t="s">
        <v>41</v>
      </c>
      <c r="E479" t="s">
        <v>73</v>
      </c>
      <c r="F479" t="s">
        <v>43</v>
      </c>
      <c r="G479">
        <v>29</v>
      </c>
      <c r="H479" s="4">
        <v>16.54</v>
      </c>
      <c r="I479">
        <v>479.66</v>
      </c>
      <c r="J479">
        <v>30.23</v>
      </c>
      <c r="K479">
        <v>79.680000000000007</v>
      </c>
      <c r="L479" t="s">
        <v>30</v>
      </c>
      <c r="M479" t="s">
        <v>37</v>
      </c>
      <c r="N479" t="s">
        <v>45</v>
      </c>
      <c r="O479">
        <f>_xlfn.XLOOKUP(E479,Product_Master!$B$2:$B$11,Product_Master!$F$2:$F$11)</f>
        <v>12.75</v>
      </c>
      <c r="P479">
        <f t="shared" si="14"/>
        <v>369.75</v>
      </c>
      <c r="Q479" s="5">
        <f t="shared" si="15"/>
        <v>0.16611766668056541</v>
      </c>
    </row>
    <row r="480" spans="1:17" x14ac:dyDescent="0.3">
      <c r="A480" t="s">
        <v>655</v>
      </c>
      <c r="B480" t="s">
        <v>656</v>
      </c>
      <c r="C480" t="s">
        <v>90</v>
      </c>
      <c r="D480" t="s">
        <v>147</v>
      </c>
      <c r="E480" t="s">
        <v>64</v>
      </c>
      <c r="F480" t="s">
        <v>65</v>
      </c>
      <c r="G480">
        <v>11</v>
      </c>
      <c r="H480" s="4">
        <v>44.56</v>
      </c>
      <c r="I480">
        <v>490.16</v>
      </c>
      <c r="J480">
        <v>23.97</v>
      </c>
      <c r="K480">
        <v>191.19</v>
      </c>
      <c r="L480" t="s">
        <v>30</v>
      </c>
      <c r="M480" t="s">
        <v>37</v>
      </c>
      <c r="N480" t="s">
        <v>148</v>
      </c>
      <c r="O480">
        <f>_xlfn.XLOOKUP(E480,Product_Master!$B$2:$B$11,Product_Master!$F$2:$F$11)</f>
        <v>25</v>
      </c>
      <c r="P480">
        <f t="shared" si="14"/>
        <v>275</v>
      </c>
      <c r="Q480" s="5">
        <f t="shared" si="15"/>
        <v>0.39005630814427938</v>
      </c>
    </row>
    <row r="481" spans="1:17" x14ac:dyDescent="0.3">
      <c r="A481" t="s">
        <v>657</v>
      </c>
      <c r="B481" t="s">
        <v>658</v>
      </c>
      <c r="C481" t="s">
        <v>57</v>
      </c>
      <c r="D481" t="s">
        <v>53</v>
      </c>
      <c r="E481" t="s">
        <v>42</v>
      </c>
      <c r="F481" t="s">
        <v>43</v>
      </c>
      <c r="G481">
        <v>50</v>
      </c>
      <c r="H481" s="4">
        <v>44.78</v>
      </c>
      <c r="I481">
        <v>2239</v>
      </c>
      <c r="J481">
        <v>169.97</v>
      </c>
      <c r="K481">
        <v>469.03</v>
      </c>
      <c r="L481" t="s">
        <v>22</v>
      </c>
      <c r="M481" t="s">
        <v>37</v>
      </c>
      <c r="N481" t="s">
        <v>24</v>
      </c>
      <c r="O481">
        <f>_xlfn.XLOOKUP(E481,Product_Master!$B$2:$B$11,Product_Master!$F$2:$F$11)</f>
        <v>32</v>
      </c>
      <c r="P481">
        <f t="shared" si="14"/>
        <v>1600</v>
      </c>
      <c r="Q481" s="5">
        <f t="shared" si="15"/>
        <v>0.20948191156766413</v>
      </c>
    </row>
    <row r="482" spans="1:17" x14ac:dyDescent="0.3">
      <c r="A482" t="s">
        <v>659</v>
      </c>
      <c r="B482" t="s">
        <v>660</v>
      </c>
      <c r="C482" t="s">
        <v>87</v>
      </c>
      <c r="D482" t="s">
        <v>19</v>
      </c>
      <c r="E482" t="s">
        <v>29</v>
      </c>
      <c r="F482" t="s">
        <v>21</v>
      </c>
      <c r="G482">
        <v>30</v>
      </c>
      <c r="H482" s="4">
        <v>22.51</v>
      </c>
      <c r="I482">
        <v>675.3</v>
      </c>
      <c r="J482">
        <v>26.26</v>
      </c>
      <c r="K482">
        <v>109.04</v>
      </c>
      <c r="L482" t="s">
        <v>22</v>
      </c>
      <c r="M482" t="s">
        <v>23</v>
      </c>
      <c r="N482" t="s">
        <v>24</v>
      </c>
      <c r="O482">
        <f>_xlfn.XLOOKUP(E482,Product_Master!$B$2:$B$11,Product_Master!$F$2:$F$11)</f>
        <v>18</v>
      </c>
      <c r="P482">
        <f t="shared" si="14"/>
        <v>540</v>
      </c>
      <c r="Q482" s="5">
        <f t="shared" si="15"/>
        <v>0.16146897675107361</v>
      </c>
    </row>
    <row r="483" spans="1:17" x14ac:dyDescent="0.3">
      <c r="A483" t="s">
        <v>661</v>
      </c>
      <c r="B483" t="s">
        <v>662</v>
      </c>
      <c r="C483" t="s">
        <v>265</v>
      </c>
      <c r="D483" t="s">
        <v>147</v>
      </c>
      <c r="E483" t="s">
        <v>69</v>
      </c>
      <c r="F483" t="s">
        <v>59</v>
      </c>
      <c r="G483">
        <v>50</v>
      </c>
      <c r="H483" s="4">
        <v>27.18</v>
      </c>
      <c r="I483">
        <v>1359</v>
      </c>
      <c r="J483">
        <v>45.67</v>
      </c>
      <c r="K483">
        <v>538.33000000000004</v>
      </c>
      <c r="L483" t="s">
        <v>22</v>
      </c>
      <c r="M483" t="s">
        <v>37</v>
      </c>
      <c r="N483" t="s">
        <v>148</v>
      </c>
      <c r="O483">
        <f>_xlfn.XLOOKUP(E483,Product_Master!$B$2:$B$11,Product_Master!$F$2:$F$11)</f>
        <v>15.5</v>
      </c>
      <c r="P483">
        <f t="shared" si="14"/>
        <v>775</v>
      </c>
      <c r="Q483" s="5">
        <f t="shared" si="15"/>
        <v>0.39612214863870499</v>
      </c>
    </row>
    <row r="484" spans="1:17" x14ac:dyDescent="0.3">
      <c r="A484" t="s">
        <v>663</v>
      </c>
      <c r="B484" t="s">
        <v>664</v>
      </c>
      <c r="C484" t="s">
        <v>153</v>
      </c>
      <c r="D484" t="s">
        <v>36</v>
      </c>
      <c r="E484" t="s">
        <v>98</v>
      </c>
      <c r="F484" t="s">
        <v>59</v>
      </c>
      <c r="G484">
        <v>28</v>
      </c>
      <c r="H484" s="4">
        <v>37.51</v>
      </c>
      <c r="I484">
        <v>1050.28</v>
      </c>
      <c r="J484">
        <v>45.83</v>
      </c>
      <c r="K484">
        <v>220.45</v>
      </c>
      <c r="L484" t="s">
        <v>44</v>
      </c>
      <c r="M484" t="s">
        <v>31</v>
      </c>
      <c r="N484" t="s">
        <v>32</v>
      </c>
      <c r="O484">
        <f>_xlfn.XLOOKUP(E484,Product_Master!$B$2:$B$11,Product_Master!$F$2:$F$11)</f>
        <v>28</v>
      </c>
      <c r="P484">
        <f t="shared" si="14"/>
        <v>784</v>
      </c>
      <c r="Q484" s="5">
        <f t="shared" si="15"/>
        <v>0.20989640857676048</v>
      </c>
    </row>
    <row r="485" spans="1:17" x14ac:dyDescent="0.3">
      <c r="A485" t="s">
        <v>665</v>
      </c>
      <c r="B485" t="s">
        <v>666</v>
      </c>
      <c r="C485" t="s">
        <v>79</v>
      </c>
      <c r="D485" t="s">
        <v>147</v>
      </c>
      <c r="E485" t="s">
        <v>49</v>
      </c>
      <c r="F485" t="s">
        <v>50</v>
      </c>
      <c r="G485">
        <v>50</v>
      </c>
      <c r="H485" s="4">
        <v>53.71</v>
      </c>
      <c r="I485">
        <v>2685.5</v>
      </c>
      <c r="J485">
        <v>197.89</v>
      </c>
      <c r="K485">
        <v>487.61</v>
      </c>
      <c r="L485" t="s">
        <v>30</v>
      </c>
      <c r="M485" t="s">
        <v>37</v>
      </c>
      <c r="N485" t="s">
        <v>148</v>
      </c>
      <c r="O485">
        <f>_xlfn.XLOOKUP(E485,Product_Master!$B$2:$B$11,Product_Master!$F$2:$F$11)</f>
        <v>40</v>
      </c>
      <c r="P485">
        <f t="shared" si="14"/>
        <v>2000</v>
      </c>
      <c r="Q485" s="5">
        <f t="shared" si="15"/>
        <v>0.18157140197356172</v>
      </c>
    </row>
    <row r="486" spans="1:17" x14ac:dyDescent="0.3">
      <c r="A486" t="s">
        <v>667</v>
      </c>
      <c r="B486" t="s">
        <v>668</v>
      </c>
      <c r="C486" t="s">
        <v>418</v>
      </c>
      <c r="D486" t="s">
        <v>101</v>
      </c>
      <c r="E486" t="s">
        <v>69</v>
      </c>
      <c r="F486" t="s">
        <v>59</v>
      </c>
      <c r="G486">
        <v>24</v>
      </c>
      <c r="H486" s="4">
        <v>18.62</v>
      </c>
      <c r="I486">
        <v>446.88</v>
      </c>
      <c r="J486">
        <v>26.91</v>
      </c>
      <c r="K486">
        <v>47.97</v>
      </c>
      <c r="L486" t="s">
        <v>30</v>
      </c>
      <c r="M486" t="s">
        <v>31</v>
      </c>
      <c r="N486" t="s">
        <v>102</v>
      </c>
      <c r="O486">
        <f>_xlfn.XLOOKUP(E486,Product_Master!$B$2:$B$11,Product_Master!$F$2:$F$11)</f>
        <v>15.5</v>
      </c>
      <c r="P486">
        <f t="shared" si="14"/>
        <v>372</v>
      </c>
      <c r="Q486" s="5">
        <f t="shared" si="15"/>
        <v>0.10734425349087003</v>
      </c>
    </row>
    <row r="487" spans="1:17" x14ac:dyDescent="0.3">
      <c r="A487" t="s">
        <v>669</v>
      </c>
      <c r="B487" t="s">
        <v>670</v>
      </c>
      <c r="C487" t="s">
        <v>202</v>
      </c>
      <c r="D487" t="s">
        <v>81</v>
      </c>
      <c r="E487" t="s">
        <v>49</v>
      </c>
      <c r="F487" t="s">
        <v>50</v>
      </c>
      <c r="G487">
        <v>10</v>
      </c>
      <c r="H487" s="4">
        <v>49.15</v>
      </c>
      <c r="I487">
        <v>491.5</v>
      </c>
      <c r="J487">
        <v>13.3</v>
      </c>
      <c r="K487">
        <v>78.2</v>
      </c>
      <c r="L487" t="s">
        <v>44</v>
      </c>
      <c r="M487" t="s">
        <v>37</v>
      </c>
      <c r="N487" t="s">
        <v>66</v>
      </c>
      <c r="O487">
        <f>_xlfn.XLOOKUP(E487,Product_Master!$B$2:$B$11,Product_Master!$F$2:$F$11)</f>
        <v>40</v>
      </c>
      <c r="P487">
        <f t="shared" si="14"/>
        <v>400</v>
      </c>
      <c r="Q487" s="5">
        <f t="shared" si="15"/>
        <v>0.15910478128179045</v>
      </c>
    </row>
    <row r="488" spans="1:17" x14ac:dyDescent="0.3">
      <c r="A488" t="s">
        <v>671</v>
      </c>
      <c r="B488" t="s">
        <v>672</v>
      </c>
      <c r="C488" t="s">
        <v>226</v>
      </c>
      <c r="D488" t="s">
        <v>63</v>
      </c>
      <c r="E488" t="s">
        <v>49</v>
      </c>
      <c r="F488" t="s">
        <v>50</v>
      </c>
      <c r="G488">
        <v>42</v>
      </c>
      <c r="H488" s="4">
        <v>50.96</v>
      </c>
      <c r="I488">
        <v>2140.3200000000002</v>
      </c>
      <c r="J488">
        <v>127.85</v>
      </c>
      <c r="K488">
        <v>332.47</v>
      </c>
      <c r="L488" t="s">
        <v>22</v>
      </c>
      <c r="M488" t="s">
        <v>31</v>
      </c>
      <c r="N488" t="s">
        <v>66</v>
      </c>
      <c r="O488">
        <f>_xlfn.XLOOKUP(E488,Product_Master!$B$2:$B$11,Product_Master!$F$2:$F$11)</f>
        <v>40</v>
      </c>
      <c r="P488">
        <f t="shared" si="14"/>
        <v>1680</v>
      </c>
      <c r="Q488" s="5">
        <f t="shared" si="15"/>
        <v>0.15533658518352397</v>
      </c>
    </row>
    <row r="489" spans="1:17" x14ac:dyDescent="0.3">
      <c r="A489" t="s">
        <v>673</v>
      </c>
      <c r="B489" t="s">
        <v>674</v>
      </c>
      <c r="C489" t="s">
        <v>223</v>
      </c>
      <c r="D489" t="s">
        <v>63</v>
      </c>
      <c r="E489" t="s">
        <v>64</v>
      </c>
      <c r="F489" t="s">
        <v>65</v>
      </c>
      <c r="G489">
        <v>39</v>
      </c>
      <c r="H489" s="4">
        <v>37.46</v>
      </c>
      <c r="I489">
        <v>1460.94</v>
      </c>
      <c r="J489">
        <v>82.25</v>
      </c>
      <c r="K489">
        <v>403.69</v>
      </c>
      <c r="L489" t="s">
        <v>44</v>
      </c>
      <c r="M489" t="s">
        <v>23</v>
      </c>
      <c r="N489" t="s">
        <v>66</v>
      </c>
      <c r="O489">
        <f>_xlfn.XLOOKUP(E489,Product_Master!$B$2:$B$11,Product_Master!$F$2:$F$11)</f>
        <v>25</v>
      </c>
      <c r="P489">
        <f t="shared" si="14"/>
        <v>975</v>
      </c>
      <c r="Q489" s="5">
        <f t="shared" si="15"/>
        <v>0.27632209399427765</v>
      </c>
    </row>
    <row r="490" spans="1:17" x14ac:dyDescent="0.3">
      <c r="A490" t="s">
        <v>675</v>
      </c>
      <c r="B490" t="s">
        <v>676</v>
      </c>
      <c r="C490" t="s">
        <v>125</v>
      </c>
      <c r="D490" t="s">
        <v>123</v>
      </c>
      <c r="E490" t="s">
        <v>73</v>
      </c>
      <c r="F490" t="s">
        <v>43</v>
      </c>
      <c r="G490">
        <v>7</v>
      </c>
      <c r="H490" s="4">
        <v>20.2</v>
      </c>
      <c r="I490">
        <v>141.4</v>
      </c>
      <c r="J490">
        <v>4.3499999999999996</v>
      </c>
      <c r="K490">
        <v>47.8</v>
      </c>
      <c r="L490" t="s">
        <v>30</v>
      </c>
      <c r="M490" t="s">
        <v>37</v>
      </c>
      <c r="N490" t="s">
        <v>32</v>
      </c>
      <c r="O490">
        <f>_xlfn.XLOOKUP(E490,Product_Master!$B$2:$B$11,Product_Master!$F$2:$F$11)</f>
        <v>12.75</v>
      </c>
      <c r="P490">
        <f t="shared" si="14"/>
        <v>89.25</v>
      </c>
      <c r="Q490" s="5">
        <f t="shared" si="15"/>
        <v>0.33804809052333801</v>
      </c>
    </row>
    <row r="491" spans="1:17" x14ac:dyDescent="0.3">
      <c r="A491" t="s">
        <v>677</v>
      </c>
      <c r="B491" t="s">
        <v>678</v>
      </c>
      <c r="C491" t="s">
        <v>141</v>
      </c>
      <c r="D491" t="s">
        <v>48</v>
      </c>
      <c r="E491" t="s">
        <v>73</v>
      </c>
      <c r="F491" t="s">
        <v>43</v>
      </c>
      <c r="G491">
        <v>18</v>
      </c>
      <c r="H491" s="4">
        <v>18.63</v>
      </c>
      <c r="I491">
        <v>335.34</v>
      </c>
      <c r="J491">
        <v>26.18</v>
      </c>
      <c r="K491">
        <v>79.66</v>
      </c>
      <c r="L491" t="s">
        <v>30</v>
      </c>
      <c r="M491" t="s">
        <v>23</v>
      </c>
      <c r="N491" t="s">
        <v>24</v>
      </c>
      <c r="O491">
        <f>_xlfn.XLOOKUP(E491,Product_Master!$B$2:$B$11,Product_Master!$F$2:$F$11)</f>
        <v>12.75</v>
      </c>
      <c r="P491">
        <f t="shared" si="14"/>
        <v>229.5</v>
      </c>
      <c r="Q491" s="5">
        <f t="shared" si="15"/>
        <v>0.23754994930518281</v>
      </c>
    </row>
    <row r="492" spans="1:17" x14ac:dyDescent="0.3">
      <c r="A492" t="s">
        <v>679</v>
      </c>
      <c r="B492" t="s">
        <v>680</v>
      </c>
      <c r="C492" t="s">
        <v>310</v>
      </c>
      <c r="D492" t="s">
        <v>147</v>
      </c>
      <c r="E492" t="s">
        <v>58</v>
      </c>
      <c r="F492" t="s">
        <v>59</v>
      </c>
      <c r="G492">
        <v>12</v>
      </c>
      <c r="H492" s="4">
        <v>27.08</v>
      </c>
      <c r="I492">
        <v>324.95999999999998</v>
      </c>
      <c r="J492">
        <v>15.59</v>
      </c>
      <c r="K492">
        <v>39.369999999999997</v>
      </c>
      <c r="L492" t="s">
        <v>30</v>
      </c>
      <c r="M492" t="s">
        <v>37</v>
      </c>
      <c r="N492" t="s">
        <v>148</v>
      </c>
      <c r="O492">
        <f>_xlfn.XLOOKUP(E492,Product_Master!$B$2:$B$11,Product_Master!$F$2:$F$11)</f>
        <v>22.5</v>
      </c>
      <c r="P492">
        <f t="shared" si="14"/>
        <v>270</v>
      </c>
      <c r="Q492" s="5">
        <f t="shared" si="15"/>
        <v>0.12115337272279665</v>
      </c>
    </row>
    <row r="493" spans="1:17" x14ac:dyDescent="0.3">
      <c r="A493" t="s">
        <v>681</v>
      </c>
      <c r="B493" t="s">
        <v>682</v>
      </c>
      <c r="C493" t="s">
        <v>334</v>
      </c>
      <c r="D493" t="s">
        <v>123</v>
      </c>
      <c r="E493" t="s">
        <v>64</v>
      </c>
      <c r="F493" t="s">
        <v>65</v>
      </c>
      <c r="G493">
        <v>50</v>
      </c>
      <c r="H493" s="4">
        <v>32.21</v>
      </c>
      <c r="I493">
        <v>1610.5</v>
      </c>
      <c r="J493">
        <v>32.68</v>
      </c>
      <c r="K493">
        <v>327.82</v>
      </c>
      <c r="L493" t="s">
        <v>30</v>
      </c>
      <c r="M493" t="s">
        <v>37</v>
      </c>
      <c r="N493" t="s">
        <v>32</v>
      </c>
      <c r="O493">
        <f>_xlfn.XLOOKUP(E493,Product_Master!$B$2:$B$11,Product_Master!$F$2:$F$11)</f>
        <v>25</v>
      </c>
      <c r="P493">
        <f t="shared" si="14"/>
        <v>1250</v>
      </c>
      <c r="Q493" s="5">
        <f t="shared" si="15"/>
        <v>0.20355169202111145</v>
      </c>
    </row>
    <row r="494" spans="1:17" x14ac:dyDescent="0.3">
      <c r="A494" t="s">
        <v>683</v>
      </c>
      <c r="B494" t="s">
        <v>684</v>
      </c>
      <c r="C494" t="s">
        <v>429</v>
      </c>
      <c r="D494" t="s">
        <v>101</v>
      </c>
      <c r="E494" t="s">
        <v>73</v>
      </c>
      <c r="F494" t="s">
        <v>43</v>
      </c>
      <c r="G494">
        <v>49</v>
      </c>
      <c r="H494" s="4">
        <v>20.59</v>
      </c>
      <c r="I494">
        <v>1008.91</v>
      </c>
      <c r="J494">
        <v>78.03</v>
      </c>
      <c r="K494">
        <v>306.13</v>
      </c>
      <c r="L494" t="s">
        <v>30</v>
      </c>
      <c r="M494" t="s">
        <v>37</v>
      </c>
      <c r="N494" t="s">
        <v>102</v>
      </c>
      <c r="O494">
        <f>_xlfn.XLOOKUP(E494,Product_Master!$B$2:$B$11,Product_Master!$F$2:$F$11)</f>
        <v>12.75</v>
      </c>
      <c r="P494">
        <f t="shared" si="14"/>
        <v>624.75</v>
      </c>
      <c r="Q494" s="5">
        <f t="shared" si="15"/>
        <v>0.30342647015095497</v>
      </c>
    </row>
    <row r="495" spans="1:17" x14ac:dyDescent="0.3">
      <c r="A495" t="s">
        <v>685</v>
      </c>
      <c r="B495" t="s">
        <v>686</v>
      </c>
      <c r="C495" t="s">
        <v>100</v>
      </c>
      <c r="D495" t="s">
        <v>36</v>
      </c>
      <c r="E495" t="s">
        <v>54</v>
      </c>
      <c r="F495" t="s">
        <v>43</v>
      </c>
      <c r="G495">
        <v>22</v>
      </c>
      <c r="H495" s="4">
        <v>28.63</v>
      </c>
      <c r="I495">
        <v>629.86</v>
      </c>
      <c r="J495">
        <v>29.08</v>
      </c>
      <c r="K495">
        <v>160.78</v>
      </c>
      <c r="L495" t="s">
        <v>30</v>
      </c>
      <c r="M495" t="s">
        <v>31</v>
      </c>
      <c r="N495" t="s">
        <v>32</v>
      </c>
      <c r="O495">
        <f>_xlfn.XLOOKUP(E495,Product_Master!$B$2:$B$11,Product_Master!$F$2:$F$11)</f>
        <v>20</v>
      </c>
      <c r="P495">
        <f t="shared" si="14"/>
        <v>440</v>
      </c>
      <c r="Q495" s="5">
        <f t="shared" si="15"/>
        <v>0.25526307433397899</v>
      </c>
    </row>
    <row r="496" spans="1:17" x14ac:dyDescent="0.3">
      <c r="A496" t="s">
        <v>687</v>
      </c>
      <c r="B496" t="s">
        <v>688</v>
      </c>
      <c r="C496" t="s">
        <v>202</v>
      </c>
      <c r="D496" t="s">
        <v>63</v>
      </c>
      <c r="E496" t="s">
        <v>49</v>
      </c>
      <c r="F496" t="s">
        <v>50</v>
      </c>
      <c r="G496">
        <v>11</v>
      </c>
      <c r="H496" s="4">
        <v>56.12</v>
      </c>
      <c r="I496">
        <v>617.32000000000005</v>
      </c>
      <c r="J496">
        <v>38.26</v>
      </c>
      <c r="K496">
        <v>139.06</v>
      </c>
      <c r="L496" t="s">
        <v>30</v>
      </c>
      <c r="M496" t="s">
        <v>31</v>
      </c>
      <c r="N496" t="s">
        <v>66</v>
      </c>
      <c r="O496">
        <f>_xlfn.XLOOKUP(E496,Product_Master!$B$2:$B$11,Product_Master!$F$2:$F$11)</f>
        <v>40</v>
      </c>
      <c r="P496">
        <f t="shared" si="14"/>
        <v>440</v>
      </c>
      <c r="Q496" s="5">
        <f t="shared" si="15"/>
        <v>0.22526404457979651</v>
      </c>
    </row>
    <row r="497" spans="1:17" x14ac:dyDescent="0.3">
      <c r="A497" t="s">
        <v>689</v>
      </c>
      <c r="B497" t="s">
        <v>690</v>
      </c>
      <c r="C497" t="s">
        <v>47</v>
      </c>
      <c r="D497" t="s">
        <v>19</v>
      </c>
      <c r="E497" t="s">
        <v>64</v>
      </c>
      <c r="F497" t="s">
        <v>65</v>
      </c>
      <c r="G497">
        <v>2</v>
      </c>
      <c r="H497" s="4">
        <v>30.88</v>
      </c>
      <c r="I497">
        <v>61.76</v>
      </c>
      <c r="J497">
        <v>4.42</v>
      </c>
      <c r="K497">
        <v>7.34</v>
      </c>
      <c r="L497" t="s">
        <v>44</v>
      </c>
      <c r="M497" t="s">
        <v>31</v>
      </c>
      <c r="N497" t="s">
        <v>24</v>
      </c>
      <c r="O497">
        <f>_xlfn.XLOOKUP(E497,Product_Master!$B$2:$B$11,Product_Master!$F$2:$F$11)</f>
        <v>25</v>
      </c>
      <c r="P497">
        <f t="shared" si="14"/>
        <v>50</v>
      </c>
      <c r="Q497" s="5">
        <f t="shared" si="15"/>
        <v>0.11884715025906736</v>
      </c>
    </row>
    <row r="498" spans="1:17" x14ac:dyDescent="0.3">
      <c r="A498" t="s">
        <v>691</v>
      </c>
      <c r="B498" t="s">
        <v>692</v>
      </c>
      <c r="C498" t="s">
        <v>316</v>
      </c>
      <c r="D498" t="s">
        <v>147</v>
      </c>
      <c r="E498" t="s">
        <v>49</v>
      </c>
      <c r="F498" t="s">
        <v>50</v>
      </c>
      <c r="G498">
        <v>34</v>
      </c>
      <c r="H498" s="4">
        <v>63.8</v>
      </c>
      <c r="I498">
        <v>2169.1999999999998</v>
      </c>
      <c r="J498">
        <v>69.650000000000006</v>
      </c>
      <c r="K498">
        <v>739.55</v>
      </c>
      <c r="L498" t="s">
        <v>30</v>
      </c>
      <c r="M498" t="s">
        <v>37</v>
      </c>
      <c r="N498" t="s">
        <v>148</v>
      </c>
      <c r="O498">
        <f>_xlfn.XLOOKUP(E498,Product_Master!$B$2:$B$11,Product_Master!$F$2:$F$11)</f>
        <v>40</v>
      </c>
      <c r="P498">
        <f t="shared" si="14"/>
        <v>1360</v>
      </c>
      <c r="Q498" s="5">
        <f t="shared" si="15"/>
        <v>0.34093214088143092</v>
      </c>
    </row>
    <row r="499" spans="1:17" x14ac:dyDescent="0.3">
      <c r="A499" t="s">
        <v>693</v>
      </c>
      <c r="B499" t="s">
        <v>694</v>
      </c>
      <c r="C499" t="s">
        <v>195</v>
      </c>
      <c r="D499" t="s">
        <v>53</v>
      </c>
      <c r="E499" t="s">
        <v>98</v>
      </c>
      <c r="F499" t="s">
        <v>59</v>
      </c>
      <c r="G499">
        <v>50</v>
      </c>
      <c r="H499" s="4">
        <v>44.61</v>
      </c>
      <c r="I499">
        <v>2230.5</v>
      </c>
      <c r="J499">
        <v>91.32</v>
      </c>
      <c r="K499">
        <v>739.18</v>
      </c>
      <c r="L499" t="s">
        <v>44</v>
      </c>
      <c r="M499" t="s">
        <v>23</v>
      </c>
      <c r="N499" t="s">
        <v>24</v>
      </c>
      <c r="O499">
        <f>_xlfn.XLOOKUP(E499,Product_Master!$B$2:$B$11,Product_Master!$F$2:$F$11)</f>
        <v>28</v>
      </c>
      <c r="P499">
        <f t="shared" si="14"/>
        <v>1400</v>
      </c>
      <c r="Q499" s="5">
        <f t="shared" si="15"/>
        <v>0.33139654785922434</v>
      </c>
    </row>
    <row r="500" spans="1:17" x14ac:dyDescent="0.3">
      <c r="A500" t="s">
        <v>695</v>
      </c>
      <c r="B500" t="s">
        <v>696</v>
      </c>
      <c r="C500" t="s">
        <v>84</v>
      </c>
      <c r="D500" t="s">
        <v>88</v>
      </c>
      <c r="E500" t="s">
        <v>73</v>
      </c>
      <c r="F500" t="s">
        <v>43</v>
      </c>
      <c r="G500">
        <v>14</v>
      </c>
      <c r="H500" s="4">
        <v>18.61</v>
      </c>
      <c r="I500">
        <v>260.54000000000002</v>
      </c>
      <c r="J500">
        <v>5.39</v>
      </c>
      <c r="K500">
        <v>76.650000000000006</v>
      </c>
      <c r="L500" t="s">
        <v>30</v>
      </c>
      <c r="M500" t="s">
        <v>37</v>
      </c>
      <c r="N500" t="s">
        <v>66</v>
      </c>
      <c r="O500">
        <f>_xlfn.XLOOKUP(E500,Product_Master!$B$2:$B$11,Product_Master!$F$2:$F$11)</f>
        <v>12.75</v>
      </c>
      <c r="P500">
        <f t="shared" si="14"/>
        <v>178.5</v>
      </c>
      <c r="Q500" s="5">
        <f t="shared" si="15"/>
        <v>0.29419666845781839</v>
      </c>
    </row>
    <row r="501" spans="1:17" x14ac:dyDescent="0.3">
      <c r="A501" t="s">
        <v>697</v>
      </c>
      <c r="B501" t="s">
        <v>698</v>
      </c>
      <c r="C501" t="s">
        <v>305</v>
      </c>
      <c r="D501" t="s">
        <v>28</v>
      </c>
      <c r="E501" t="s">
        <v>69</v>
      </c>
      <c r="F501" t="s">
        <v>59</v>
      </c>
      <c r="G501">
        <v>7</v>
      </c>
      <c r="H501" s="4">
        <v>24.61</v>
      </c>
      <c r="I501">
        <v>172.27</v>
      </c>
      <c r="J501">
        <v>9.64</v>
      </c>
      <c r="K501">
        <v>54.13</v>
      </c>
      <c r="L501" t="s">
        <v>44</v>
      </c>
      <c r="M501" t="s">
        <v>37</v>
      </c>
      <c r="N501" t="s">
        <v>32</v>
      </c>
      <c r="O501">
        <f>_xlfn.XLOOKUP(E501,Product_Master!$B$2:$B$11,Product_Master!$F$2:$F$11)</f>
        <v>15.5</v>
      </c>
      <c r="P501">
        <f t="shared" si="14"/>
        <v>108.5</v>
      </c>
      <c r="Q501" s="5">
        <f t="shared" si="15"/>
        <v>0.31421605619086318</v>
      </c>
    </row>
  </sheetData>
  <conditionalFormatting sqref="K1:K501">
    <cfRule type="cellIs" dxfId="6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5C911-CB2F-4B68-898F-FCEBC4D6B08F}">
  <dimension ref="A1:E501"/>
  <sheetViews>
    <sheetView workbookViewId="0">
      <selection activeCell="I16" sqref="I16"/>
    </sheetView>
  </sheetViews>
  <sheetFormatPr defaultRowHeight="14.4" x14ac:dyDescent="0.3"/>
  <cols>
    <col min="1" max="1" width="10.6640625" bestFit="1" customWidth="1"/>
    <col min="2" max="2" width="10.88671875" bestFit="1" customWidth="1"/>
    <col min="3" max="3" width="9.6640625" bestFit="1" customWidth="1"/>
    <col min="4" max="4" width="10.44140625" bestFit="1" customWidth="1"/>
    <col min="5" max="5" width="8" bestFit="1" customWidth="1"/>
  </cols>
  <sheetData>
    <row r="1" spans="1:5" x14ac:dyDescent="0.3">
      <c r="A1" s="1" t="s">
        <v>1</v>
      </c>
      <c r="B1" s="1" t="s">
        <v>3</v>
      </c>
      <c r="C1" s="1" t="s">
        <v>7</v>
      </c>
      <c r="D1" s="7" t="s">
        <v>8</v>
      </c>
      <c r="E1" s="1" t="s">
        <v>10</v>
      </c>
    </row>
    <row r="2" spans="1:5" x14ac:dyDescent="0.3">
      <c r="A2" s="3" t="s">
        <v>17</v>
      </c>
      <c r="B2" t="s">
        <v>19</v>
      </c>
      <c r="C2" s="4">
        <v>55.22</v>
      </c>
      <c r="D2" s="8">
        <v>1104.4000000000001</v>
      </c>
      <c r="E2">
        <v>355.04</v>
      </c>
    </row>
    <row r="3" spans="1:5" x14ac:dyDescent="0.3">
      <c r="A3" t="s">
        <v>26</v>
      </c>
      <c r="B3" t="s">
        <v>28</v>
      </c>
      <c r="C3" s="4">
        <v>32.03</v>
      </c>
      <c r="D3" s="8">
        <v>1056.99</v>
      </c>
      <c r="E3">
        <v>403.4</v>
      </c>
    </row>
    <row r="4" spans="1:5" x14ac:dyDescent="0.3">
      <c r="A4" t="s">
        <v>34</v>
      </c>
      <c r="B4" t="s">
        <v>36</v>
      </c>
      <c r="C4" s="4">
        <v>28.48</v>
      </c>
      <c r="D4" s="8">
        <v>968.32</v>
      </c>
      <c r="E4">
        <v>282.37</v>
      </c>
    </row>
    <row r="5" spans="1:5" x14ac:dyDescent="0.3">
      <c r="A5" t="s">
        <v>39</v>
      </c>
      <c r="B5" t="s">
        <v>41</v>
      </c>
      <c r="C5" s="4">
        <v>56.36</v>
      </c>
      <c r="D5" s="8">
        <v>338.16</v>
      </c>
      <c r="E5">
        <v>134.77000000000001</v>
      </c>
    </row>
    <row r="6" spans="1:5" x14ac:dyDescent="0.3">
      <c r="A6" t="s">
        <v>26</v>
      </c>
      <c r="B6" t="s">
        <v>48</v>
      </c>
      <c r="C6" s="4">
        <v>69.22</v>
      </c>
      <c r="D6" s="8">
        <v>1176.74</v>
      </c>
      <c r="E6">
        <v>430.8</v>
      </c>
    </row>
    <row r="7" spans="1:5" x14ac:dyDescent="0.3">
      <c r="A7" t="s">
        <v>26</v>
      </c>
      <c r="B7" t="s">
        <v>53</v>
      </c>
      <c r="C7" s="4">
        <v>27.94</v>
      </c>
      <c r="D7" s="8">
        <v>363.22</v>
      </c>
      <c r="E7">
        <v>87.86</v>
      </c>
    </row>
    <row r="8" spans="1:5" x14ac:dyDescent="0.3">
      <c r="A8" t="s">
        <v>56</v>
      </c>
      <c r="B8" t="s">
        <v>28</v>
      </c>
      <c r="C8" s="4">
        <v>31.52</v>
      </c>
      <c r="D8" s="8">
        <v>94.56</v>
      </c>
      <c r="E8">
        <v>20.079999999999998</v>
      </c>
    </row>
    <row r="9" spans="1:5" x14ac:dyDescent="0.3">
      <c r="A9" t="s">
        <v>61</v>
      </c>
      <c r="B9" t="s">
        <v>63</v>
      </c>
      <c r="C9" s="4">
        <v>30.71</v>
      </c>
      <c r="D9" s="8">
        <v>429.94</v>
      </c>
      <c r="E9">
        <v>66.91</v>
      </c>
    </row>
    <row r="10" spans="1:5" x14ac:dyDescent="0.3">
      <c r="A10" t="s">
        <v>68</v>
      </c>
      <c r="B10" t="s">
        <v>19</v>
      </c>
      <c r="C10" s="4">
        <v>24.47</v>
      </c>
      <c r="D10" s="8">
        <v>1150.0899999999999</v>
      </c>
      <c r="E10">
        <v>360.29</v>
      </c>
    </row>
    <row r="11" spans="1:5" x14ac:dyDescent="0.3">
      <c r="A11" t="s">
        <v>71</v>
      </c>
      <c r="B11" t="s">
        <v>36</v>
      </c>
      <c r="C11" s="4">
        <v>18.98</v>
      </c>
      <c r="D11" s="8">
        <v>512.46</v>
      </c>
      <c r="E11">
        <v>139.32</v>
      </c>
    </row>
    <row r="12" spans="1:5" x14ac:dyDescent="0.3">
      <c r="A12" t="s">
        <v>75</v>
      </c>
      <c r="B12" t="s">
        <v>63</v>
      </c>
      <c r="C12" s="4">
        <v>57.84</v>
      </c>
      <c r="D12" s="8">
        <v>1850.88</v>
      </c>
      <c r="E12">
        <v>675.73</v>
      </c>
    </row>
    <row r="13" spans="1:5" x14ac:dyDescent="0.3">
      <c r="A13" t="s">
        <v>78</v>
      </c>
      <c r="B13" t="s">
        <v>48</v>
      </c>
      <c r="C13" s="4">
        <v>58.77</v>
      </c>
      <c r="D13" s="8">
        <v>2879.73</v>
      </c>
      <c r="E13">
        <v>779.44</v>
      </c>
    </row>
    <row r="14" spans="1:5" x14ac:dyDescent="0.3">
      <c r="A14" t="s">
        <v>68</v>
      </c>
      <c r="B14" t="s">
        <v>81</v>
      </c>
      <c r="C14" s="4">
        <v>56.92</v>
      </c>
      <c r="D14" s="8">
        <v>2447.56</v>
      </c>
      <c r="E14">
        <v>802.16</v>
      </c>
    </row>
    <row r="15" spans="1:5" x14ac:dyDescent="0.3">
      <c r="A15" t="s">
        <v>83</v>
      </c>
      <c r="B15" t="s">
        <v>36</v>
      </c>
      <c r="C15" s="4">
        <v>43.45</v>
      </c>
      <c r="D15" s="8">
        <v>1390.4</v>
      </c>
      <c r="E15">
        <v>560.36</v>
      </c>
    </row>
    <row r="16" spans="1:5" x14ac:dyDescent="0.3">
      <c r="A16" t="s">
        <v>86</v>
      </c>
      <c r="B16" t="s">
        <v>88</v>
      </c>
      <c r="C16" s="4">
        <v>42.59</v>
      </c>
      <c r="D16" s="8">
        <v>936.98</v>
      </c>
      <c r="E16">
        <v>357.11</v>
      </c>
    </row>
    <row r="17" spans="1:5" x14ac:dyDescent="0.3">
      <c r="A17" t="s">
        <v>68</v>
      </c>
      <c r="B17" t="s">
        <v>91</v>
      </c>
      <c r="C17" s="4">
        <v>25.36</v>
      </c>
      <c r="D17" s="8">
        <v>1217.28</v>
      </c>
      <c r="E17">
        <v>207.6</v>
      </c>
    </row>
    <row r="18" spans="1:5" x14ac:dyDescent="0.3">
      <c r="A18" t="s">
        <v>71</v>
      </c>
      <c r="B18" t="s">
        <v>88</v>
      </c>
      <c r="C18" s="4">
        <v>30.07</v>
      </c>
      <c r="D18" s="8">
        <v>1443.36</v>
      </c>
      <c r="E18">
        <v>477.05</v>
      </c>
    </row>
    <row r="19" spans="1:5" x14ac:dyDescent="0.3">
      <c r="A19" t="s">
        <v>68</v>
      </c>
      <c r="B19" t="s">
        <v>88</v>
      </c>
      <c r="C19" s="4">
        <v>32.17</v>
      </c>
      <c r="D19" s="8">
        <v>193.02</v>
      </c>
      <c r="E19">
        <v>58.57</v>
      </c>
    </row>
    <row r="20" spans="1:5" x14ac:dyDescent="0.3">
      <c r="A20" t="s">
        <v>95</v>
      </c>
      <c r="B20" t="s">
        <v>81</v>
      </c>
      <c r="C20" s="4">
        <v>24.14</v>
      </c>
      <c r="D20" s="8">
        <v>893.18</v>
      </c>
      <c r="E20">
        <v>195.79</v>
      </c>
    </row>
    <row r="21" spans="1:5" x14ac:dyDescent="0.3">
      <c r="A21" t="s">
        <v>75</v>
      </c>
      <c r="B21" t="s">
        <v>28</v>
      </c>
      <c r="C21" s="4">
        <v>37.840000000000003</v>
      </c>
      <c r="D21" s="8">
        <v>1475.76</v>
      </c>
      <c r="E21">
        <v>310.36</v>
      </c>
    </row>
    <row r="22" spans="1:5" x14ac:dyDescent="0.3">
      <c r="A22" t="s">
        <v>26</v>
      </c>
      <c r="B22" t="s">
        <v>101</v>
      </c>
      <c r="C22" s="4">
        <v>68.77</v>
      </c>
      <c r="D22" s="8">
        <v>412.62</v>
      </c>
      <c r="E22">
        <v>155.44</v>
      </c>
    </row>
    <row r="23" spans="1:5" x14ac:dyDescent="0.3">
      <c r="A23" t="s">
        <v>104</v>
      </c>
      <c r="B23" t="s">
        <v>48</v>
      </c>
      <c r="C23" s="4">
        <v>18.5</v>
      </c>
      <c r="D23" s="8">
        <v>111</v>
      </c>
      <c r="E23">
        <v>29.24</v>
      </c>
    </row>
    <row r="24" spans="1:5" x14ac:dyDescent="0.3">
      <c r="A24" t="s">
        <v>107</v>
      </c>
      <c r="B24" t="s">
        <v>36</v>
      </c>
      <c r="C24" s="4">
        <v>28.96</v>
      </c>
      <c r="D24" s="8">
        <v>955.68</v>
      </c>
      <c r="E24">
        <v>164.11</v>
      </c>
    </row>
    <row r="25" spans="1:5" x14ac:dyDescent="0.3">
      <c r="A25" t="s">
        <v>83</v>
      </c>
      <c r="B25" t="s">
        <v>48</v>
      </c>
      <c r="C25" s="4">
        <v>35.020000000000003</v>
      </c>
      <c r="D25" s="8">
        <v>1085.6199999999999</v>
      </c>
      <c r="E25">
        <v>313.47000000000003</v>
      </c>
    </row>
    <row r="26" spans="1:5" x14ac:dyDescent="0.3">
      <c r="A26" t="s">
        <v>75</v>
      </c>
      <c r="B26" t="s">
        <v>48</v>
      </c>
      <c r="C26" s="4">
        <v>31.57</v>
      </c>
      <c r="D26" s="8">
        <v>789.25</v>
      </c>
      <c r="E26">
        <v>232.78</v>
      </c>
    </row>
    <row r="27" spans="1:5" x14ac:dyDescent="0.3">
      <c r="A27" t="s">
        <v>78</v>
      </c>
      <c r="B27" t="s">
        <v>36</v>
      </c>
      <c r="C27" s="4">
        <v>27.08</v>
      </c>
      <c r="D27" s="8">
        <v>379.12</v>
      </c>
      <c r="E27">
        <v>151</v>
      </c>
    </row>
    <row r="28" spans="1:5" x14ac:dyDescent="0.3">
      <c r="A28" t="s">
        <v>56</v>
      </c>
      <c r="B28" t="s">
        <v>36</v>
      </c>
      <c r="C28" s="4">
        <v>35.32</v>
      </c>
      <c r="D28" s="8">
        <v>1377.48</v>
      </c>
      <c r="E28">
        <v>221.76</v>
      </c>
    </row>
    <row r="29" spans="1:5" x14ac:dyDescent="0.3">
      <c r="A29" t="s">
        <v>71</v>
      </c>
      <c r="B29" t="s">
        <v>63</v>
      </c>
      <c r="C29" s="4">
        <v>39.630000000000003</v>
      </c>
      <c r="D29" s="8">
        <v>237.78</v>
      </c>
      <c r="E29">
        <v>94.7</v>
      </c>
    </row>
    <row r="30" spans="1:5" x14ac:dyDescent="0.3">
      <c r="A30" t="s">
        <v>17</v>
      </c>
      <c r="B30" t="s">
        <v>101</v>
      </c>
      <c r="C30" s="4">
        <v>68.400000000000006</v>
      </c>
      <c r="D30" s="8">
        <v>2462.4</v>
      </c>
      <c r="E30">
        <v>871.57</v>
      </c>
    </row>
    <row r="31" spans="1:5" x14ac:dyDescent="0.3">
      <c r="A31" t="s">
        <v>95</v>
      </c>
      <c r="B31" t="s">
        <v>36</v>
      </c>
      <c r="C31" s="4">
        <v>44.98</v>
      </c>
      <c r="D31" s="8">
        <v>44.98</v>
      </c>
      <c r="E31">
        <v>17.170000000000002</v>
      </c>
    </row>
    <row r="32" spans="1:5" x14ac:dyDescent="0.3">
      <c r="A32" t="s">
        <v>75</v>
      </c>
      <c r="B32" t="s">
        <v>123</v>
      </c>
      <c r="C32" s="4">
        <v>37.74</v>
      </c>
      <c r="D32" s="8">
        <v>113.22</v>
      </c>
      <c r="E32">
        <v>25.18</v>
      </c>
    </row>
    <row r="33" spans="1:5" x14ac:dyDescent="0.3">
      <c r="A33" t="s">
        <v>107</v>
      </c>
      <c r="B33" t="s">
        <v>123</v>
      </c>
      <c r="C33" s="4">
        <v>39.799999999999997</v>
      </c>
      <c r="D33" s="8">
        <v>477.6</v>
      </c>
      <c r="E33">
        <v>157.06</v>
      </c>
    </row>
    <row r="34" spans="1:5" x14ac:dyDescent="0.3">
      <c r="A34" t="s">
        <v>34</v>
      </c>
      <c r="B34" t="s">
        <v>63</v>
      </c>
      <c r="C34" s="4">
        <v>43.23</v>
      </c>
      <c r="D34" s="8">
        <v>1123.98</v>
      </c>
      <c r="E34">
        <v>234.78</v>
      </c>
    </row>
    <row r="35" spans="1:5" x14ac:dyDescent="0.3">
      <c r="A35" t="s">
        <v>17</v>
      </c>
      <c r="B35" t="s">
        <v>36</v>
      </c>
      <c r="C35" s="4">
        <v>66.34</v>
      </c>
      <c r="D35" s="8">
        <v>1127.78</v>
      </c>
      <c r="E35">
        <v>366.63</v>
      </c>
    </row>
    <row r="36" spans="1:5" x14ac:dyDescent="0.3">
      <c r="A36" t="s">
        <v>39</v>
      </c>
      <c r="B36" t="s">
        <v>81</v>
      </c>
      <c r="C36" s="4">
        <v>33.869999999999997</v>
      </c>
      <c r="D36" s="8">
        <v>135.47999999999999</v>
      </c>
      <c r="E36">
        <v>28.89</v>
      </c>
    </row>
    <row r="37" spans="1:5" x14ac:dyDescent="0.3">
      <c r="A37" t="s">
        <v>132</v>
      </c>
      <c r="B37" t="s">
        <v>36</v>
      </c>
      <c r="C37" s="4">
        <v>64.650000000000006</v>
      </c>
      <c r="D37" s="8">
        <v>646.5</v>
      </c>
      <c r="E37">
        <v>228.61</v>
      </c>
    </row>
    <row r="38" spans="1:5" x14ac:dyDescent="0.3">
      <c r="A38" t="s">
        <v>78</v>
      </c>
      <c r="B38" t="s">
        <v>101</v>
      </c>
      <c r="C38" s="4">
        <v>29.56</v>
      </c>
      <c r="D38" s="8">
        <v>354.72</v>
      </c>
      <c r="E38">
        <v>63.32</v>
      </c>
    </row>
    <row r="39" spans="1:5" x14ac:dyDescent="0.3">
      <c r="A39" t="s">
        <v>107</v>
      </c>
      <c r="B39" t="s">
        <v>19</v>
      </c>
      <c r="C39" s="4">
        <v>35.36</v>
      </c>
      <c r="D39" s="8">
        <v>141.44</v>
      </c>
      <c r="E39">
        <v>32.78</v>
      </c>
    </row>
    <row r="40" spans="1:5" x14ac:dyDescent="0.3">
      <c r="A40" t="s">
        <v>17</v>
      </c>
      <c r="B40" t="s">
        <v>36</v>
      </c>
      <c r="C40" s="4">
        <v>31.42</v>
      </c>
      <c r="D40" s="8">
        <v>879.76</v>
      </c>
      <c r="E40">
        <v>250.44</v>
      </c>
    </row>
    <row r="41" spans="1:5" x14ac:dyDescent="0.3">
      <c r="A41" t="s">
        <v>107</v>
      </c>
      <c r="B41" t="s">
        <v>19</v>
      </c>
      <c r="C41" s="4">
        <v>55.12</v>
      </c>
      <c r="D41" s="8">
        <v>1929.2</v>
      </c>
      <c r="E41">
        <v>645.98</v>
      </c>
    </row>
    <row r="42" spans="1:5" x14ac:dyDescent="0.3">
      <c r="A42" t="s">
        <v>75</v>
      </c>
      <c r="B42" t="s">
        <v>88</v>
      </c>
      <c r="C42" s="4">
        <v>33.94</v>
      </c>
      <c r="D42" s="8">
        <v>1391.54</v>
      </c>
      <c r="E42">
        <v>435.78</v>
      </c>
    </row>
    <row r="43" spans="1:5" x14ac:dyDescent="0.3">
      <c r="A43" t="s">
        <v>71</v>
      </c>
      <c r="B43" t="s">
        <v>81</v>
      </c>
      <c r="C43" s="4">
        <v>38.43</v>
      </c>
      <c r="D43" s="8">
        <v>768.6</v>
      </c>
      <c r="E43">
        <v>258.52999999999997</v>
      </c>
    </row>
    <row r="44" spans="1:5" x14ac:dyDescent="0.3">
      <c r="A44" t="s">
        <v>107</v>
      </c>
      <c r="B44" t="s">
        <v>41</v>
      </c>
      <c r="C44" s="4">
        <v>35.07</v>
      </c>
      <c r="D44" s="8">
        <v>806.61</v>
      </c>
      <c r="E44">
        <v>210.38</v>
      </c>
    </row>
    <row r="45" spans="1:5" x14ac:dyDescent="0.3">
      <c r="A45" t="s">
        <v>104</v>
      </c>
      <c r="B45" t="s">
        <v>147</v>
      </c>
      <c r="C45" s="4">
        <v>71.44</v>
      </c>
      <c r="D45" s="8">
        <v>2500.4</v>
      </c>
      <c r="E45">
        <v>933.59</v>
      </c>
    </row>
    <row r="46" spans="1:5" x14ac:dyDescent="0.3">
      <c r="A46" t="s">
        <v>78</v>
      </c>
      <c r="B46" t="s">
        <v>48</v>
      </c>
      <c r="C46" s="4">
        <v>26.05</v>
      </c>
      <c r="D46" s="8">
        <v>286.55</v>
      </c>
      <c r="E46">
        <v>75.16</v>
      </c>
    </row>
    <row r="47" spans="1:5" x14ac:dyDescent="0.3">
      <c r="A47" t="s">
        <v>83</v>
      </c>
      <c r="B47" t="s">
        <v>28</v>
      </c>
      <c r="C47" s="4">
        <v>26.67</v>
      </c>
      <c r="D47" s="8">
        <v>1226.82</v>
      </c>
      <c r="E47">
        <v>430.27</v>
      </c>
    </row>
    <row r="48" spans="1:5" x14ac:dyDescent="0.3">
      <c r="A48" t="s">
        <v>132</v>
      </c>
      <c r="B48" t="s">
        <v>28</v>
      </c>
      <c r="C48" s="4">
        <v>42.84</v>
      </c>
      <c r="D48" s="8">
        <v>514.08000000000004</v>
      </c>
      <c r="E48">
        <v>155.34</v>
      </c>
    </row>
    <row r="49" spans="1:5" x14ac:dyDescent="0.3">
      <c r="A49" t="s">
        <v>95</v>
      </c>
      <c r="B49" t="s">
        <v>81</v>
      </c>
      <c r="C49" s="4">
        <v>30.89</v>
      </c>
      <c r="D49" s="8">
        <v>556.02</v>
      </c>
      <c r="E49">
        <v>220.02</v>
      </c>
    </row>
    <row r="50" spans="1:5" x14ac:dyDescent="0.3">
      <c r="A50" t="s">
        <v>78</v>
      </c>
      <c r="B50" t="s">
        <v>48</v>
      </c>
      <c r="C50" s="4">
        <v>52.41</v>
      </c>
      <c r="D50" s="8">
        <v>1100.6099999999999</v>
      </c>
      <c r="E50">
        <v>284.51</v>
      </c>
    </row>
    <row r="51" spans="1:5" x14ac:dyDescent="0.3">
      <c r="A51" t="s">
        <v>157</v>
      </c>
      <c r="B51" t="s">
        <v>147</v>
      </c>
      <c r="C51" s="4">
        <v>38.64</v>
      </c>
      <c r="D51" s="8">
        <v>656.88</v>
      </c>
      <c r="E51">
        <v>167.02</v>
      </c>
    </row>
    <row r="52" spans="1:5" x14ac:dyDescent="0.3">
      <c r="A52" t="s">
        <v>75</v>
      </c>
      <c r="B52" t="s">
        <v>91</v>
      </c>
      <c r="C52" s="4">
        <v>25.79</v>
      </c>
      <c r="D52" s="8">
        <v>1057.3900000000001</v>
      </c>
      <c r="E52">
        <v>248.17</v>
      </c>
    </row>
    <row r="53" spans="1:5" x14ac:dyDescent="0.3">
      <c r="A53" t="s">
        <v>95</v>
      </c>
      <c r="B53" t="s">
        <v>91</v>
      </c>
      <c r="C53" s="4">
        <v>41.13</v>
      </c>
      <c r="D53" s="8">
        <v>1686.33</v>
      </c>
      <c r="E53">
        <v>458.21</v>
      </c>
    </row>
    <row r="54" spans="1:5" x14ac:dyDescent="0.3">
      <c r="A54" t="s">
        <v>132</v>
      </c>
      <c r="B54" t="s">
        <v>63</v>
      </c>
      <c r="C54" s="4">
        <v>55.67</v>
      </c>
      <c r="D54" s="8">
        <v>1837.11</v>
      </c>
      <c r="E54">
        <v>372.79</v>
      </c>
    </row>
    <row r="55" spans="1:5" x14ac:dyDescent="0.3">
      <c r="A55" t="s">
        <v>132</v>
      </c>
      <c r="B55" t="s">
        <v>91</v>
      </c>
      <c r="C55" s="4">
        <v>50.87</v>
      </c>
      <c r="D55" s="8">
        <v>915.66</v>
      </c>
      <c r="E55">
        <v>145.72999999999999</v>
      </c>
    </row>
    <row r="56" spans="1:5" x14ac:dyDescent="0.3">
      <c r="A56" t="s">
        <v>75</v>
      </c>
      <c r="B56" t="s">
        <v>101</v>
      </c>
      <c r="C56" s="4">
        <v>26.7</v>
      </c>
      <c r="D56" s="8">
        <v>373.8</v>
      </c>
      <c r="E56">
        <v>144.96</v>
      </c>
    </row>
    <row r="57" spans="1:5" x14ac:dyDescent="0.3">
      <c r="A57" t="s">
        <v>68</v>
      </c>
      <c r="B57" t="s">
        <v>19</v>
      </c>
      <c r="C57" s="4">
        <v>28.96</v>
      </c>
      <c r="D57" s="8">
        <v>463.36</v>
      </c>
      <c r="E57">
        <v>139.71</v>
      </c>
    </row>
    <row r="58" spans="1:5" x14ac:dyDescent="0.3">
      <c r="A58" t="s">
        <v>107</v>
      </c>
      <c r="B58" t="s">
        <v>170</v>
      </c>
      <c r="C58" s="4">
        <v>23.03</v>
      </c>
      <c r="D58" s="8">
        <v>1082.4100000000001</v>
      </c>
      <c r="E58">
        <v>186.29</v>
      </c>
    </row>
    <row r="59" spans="1:5" x14ac:dyDescent="0.3">
      <c r="A59" t="s">
        <v>107</v>
      </c>
      <c r="B59" t="s">
        <v>147</v>
      </c>
      <c r="C59" s="4">
        <v>50.03</v>
      </c>
      <c r="D59" s="8">
        <v>900.54</v>
      </c>
      <c r="E59">
        <v>202.1</v>
      </c>
    </row>
    <row r="60" spans="1:5" x14ac:dyDescent="0.3">
      <c r="A60" t="s">
        <v>95</v>
      </c>
      <c r="B60" t="s">
        <v>28</v>
      </c>
      <c r="C60" s="4">
        <v>32.07</v>
      </c>
      <c r="D60" s="8">
        <v>1218.6600000000001</v>
      </c>
      <c r="E60">
        <v>214.17</v>
      </c>
    </row>
    <row r="61" spans="1:5" x14ac:dyDescent="0.3">
      <c r="A61" t="s">
        <v>75</v>
      </c>
      <c r="B61" t="s">
        <v>41</v>
      </c>
      <c r="C61" s="4">
        <v>50.96</v>
      </c>
      <c r="D61" s="8">
        <v>1172.08</v>
      </c>
      <c r="E61">
        <v>375.08</v>
      </c>
    </row>
    <row r="62" spans="1:5" x14ac:dyDescent="0.3">
      <c r="A62" t="s">
        <v>104</v>
      </c>
      <c r="B62" t="s">
        <v>91</v>
      </c>
      <c r="C62" s="4">
        <v>70.599999999999994</v>
      </c>
      <c r="D62" s="8">
        <v>3247.6</v>
      </c>
      <c r="E62">
        <v>1240.69</v>
      </c>
    </row>
    <row r="63" spans="1:5" x14ac:dyDescent="0.3">
      <c r="A63" t="s">
        <v>71</v>
      </c>
      <c r="B63" t="s">
        <v>91</v>
      </c>
      <c r="C63" s="4">
        <v>53.36</v>
      </c>
      <c r="D63" s="8">
        <v>800.4</v>
      </c>
      <c r="E63">
        <v>144.11000000000001</v>
      </c>
    </row>
    <row r="64" spans="1:5" x14ac:dyDescent="0.3">
      <c r="A64" t="s">
        <v>86</v>
      </c>
      <c r="B64" t="s">
        <v>147</v>
      </c>
      <c r="C64" s="4">
        <v>39.840000000000003</v>
      </c>
      <c r="D64" s="8">
        <v>1673.28</v>
      </c>
      <c r="E64">
        <v>196.54</v>
      </c>
    </row>
    <row r="65" spans="1:5" x14ac:dyDescent="0.3">
      <c r="A65" t="s">
        <v>75</v>
      </c>
      <c r="B65" t="s">
        <v>91</v>
      </c>
      <c r="C65" s="4">
        <v>38.26</v>
      </c>
      <c r="D65" s="8">
        <v>1186.06</v>
      </c>
      <c r="E65">
        <v>341.73</v>
      </c>
    </row>
    <row r="66" spans="1:5" x14ac:dyDescent="0.3">
      <c r="A66" t="s">
        <v>39</v>
      </c>
      <c r="B66" t="s">
        <v>123</v>
      </c>
      <c r="C66" s="4">
        <v>23.09</v>
      </c>
      <c r="D66" s="8">
        <v>46.18</v>
      </c>
      <c r="E66">
        <v>12.66</v>
      </c>
    </row>
    <row r="67" spans="1:5" x14ac:dyDescent="0.3">
      <c r="A67" t="s">
        <v>78</v>
      </c>
      <c r="B67" t="s">
        <v>88</v>
      </c>
      <c r="C67" s="4">
        <v>46.81</v>
      </c>
      <c r="D67" s="8">
        <v>1872.4</v>
      </c>
      <c r="E67">
        <v>549.39</v>
      </c>
    </row>
    <row r="68" spans="1:5" x14ac:dyDescent="0.3">
      <c r="A68" t="s">
        <v>104</v>
      </c>
      <c r="B68" t="s">
        <v>63</v>
      </c>
      <c r="C68" s="4">
        <v>57.01</v>
      </c>
      <c r="D68" s="8">
        <v>2451.4299999999998</v>
      </c>
      <c r="E68">
        <v>960.39</v>
      </c>
    </row>
    <row r="69" spans="1:5" x14ac:dyDescent="0.3">
      <c r="A69" t="s">
        <v>86</v>
      </c>
      <c r="B69" t="s">
        <v>53</v>
      </c>
      <c r="C69" s="4">
        <v>22.23</v>
      </c>
      <c r="D69" s="8">
        <v>333.45</v>
      </c>
      <c r="E69">
        <v>125.31</v>
      </c>
    </row>
    <row r="70" spans="1:5" x14ac:dyDescent="0.3">
      <c r="A70" t="s">
        <v>71</v>
      </c>
      <c r="B70" t="s">
        <v>123</v>
      </c>
      <c r="C70" s="4">
        <v>19.23</v>
      </c>
      <c r="D70" s="8">
        <v>288.45</v>
      </c>
      <c r="E70">
        <v>35.729999999999997</v>
      </c>
    </row>
    <row r="71" spans="1:5" x14ac:dyDescent="0.3">
      <c r="A71" t="s">
        <v>56</v>
      </c>
      <c r="B71" t="s">
        <v>36</v>
      </c>
      <c r="C71" s="4">
        <v>45.54</v>
      </c>
      <c r="D71" s="8">
        <v>1548.36</v>
      </c>
      <c r="E71">
        <v>559.6</v>
      </c>
    </row>
    <row r="72" spans="1:5" x14ac:dyDescent="0.3">
      <c r="A72" t="s">
        <v>71</v>
      </c>
      <c r="B72" t="s">
        <v>123</v>
      </c>
      <c r="C72" s="4">
        <v>63.88</v>
      </c>
      <c r="D72" s="8">
        <v>2108.04</v>
      </c>
      <c r="E72">
        <v>676.34</v>
      </c>
    </row>
    <row r="73" spans="1:5" x14ac:dyDescent="0.3">
      <c r="A73" t="s">
        <v>56</v>
      </c>
      <c r="B73" t="s">
        <v>170</v>
      </c>
      <c r="C73" s="4">
        <v>25.38</v>
      </c>
      <c r="D73" s="8">
        <v>989.82</v>
      </c>
      <c r="E73">
        <v>237</v>
      </c>
    </row>
    <row r="74" spans="1:5" x14ac:dyDescent="0.3">
      <c r="A74" t="s">
        <v>56</v>
      </c>
      <c r="B74" t="s">
        <v>196</v>
      </c>
      <c r="C74" s="4">
        <v>38.979999999999997</v>
      </c>
      <c r="D74" s="8">
        <v>350.82</v>
      </c>
      <c r="E74">
        <v>100.26</v>
      </c>
    </row>
    <row r="75" spans="1:5" x14ac:dyDescent="0.3">
      <c r="A75" t="s">
        <v>39</v>
      </c>
      <c r="B75" t="s">
        <v>101</v>
      </c>
      <c r="C75" s="4">
        <v>35.86</v>
      </c>
      <c r="D75" s="8">
        <v>502.04</v>
      </c>
      <c r="E75">
        <v>181.91</v>
      </c>
    </row>
    <row r="76" spans="1:5" x14ac:dyDescent="0.3">
      <c r="A76" t="s">
        <v>157</v>
      </c>
      <c r="B76" t="s">
        <v>91</v>
      </c>
      <c r="C76" s="4">
        <v>21.37</v>
      </c>
      <c r="D76" s="8">
        <v>1047.1300000000001</v>
      </c>
      <c r="E76">
        <v>221.65</v>
      </c>
    </row>
    <row r="77" spans="1:5" x14ac:dyDescent="0.3">
      <c r="A77" t="s">
        <v>104</v>
      </c>
      <c r="B77" t="s">
        <v>53</v>
      </c>
      <c r="C77" s="4">
        <v>24.57</v>
      </c>
      <c r="D77" s="8">
        <v>1031.94</v>
      </c>
      <c r="E77">
        <v>219.49</v>
      </c>
    </row>
    <row r="78" spans="1:5" x14ac:dyDescent="0.3">
      <c r="A78" t="s">
        <v>132</v>
      </c>
      <c r="B78" t="s">
        <v>81</v>
      </c>
      <c r="C78" s="4">
        <v>26.39</v>
      </c>
      <c r="D78" s="8">
        <v>1108.3800000000001</v>
      </c>
      <c r="E78">
        <v>307.82</v>
      </c>
    </row>
    <row r="79" spans="1:5" x14ac:dyDescent="0.3">
      <c r="A79" t="s">
        <v>132</v>
      </c>
      <c r="B79" t="s">
        <v>48</v>
      </c>
      <c r="C79" s="4">
        <v>29.73</v>
      </c>
      <c r="D79" s="8">
        <v>1486.5</v>
      </c>
      <c r="E79">
        <v>389.73</v>
      </c>
    </row>
    <row r="80" spans="1:5" x14ac:dyDescent="0.3">
      <c r="A80" t="s">
        <v>104</v>
      </c>
      <c r="B80" t="s">
        <v>63</v>
      </c>
      <c r="C80" s="4">
        <v>20.56</v>
      </c>
      <c r="D80" s="8">
        <v>801.84</v>
      </c>
      <c r="E80">
        <v>153.79</v>
      </c>
    </row>
    <row r="81" spans="1:5" x14ac:dyDescent="0.3">
      <c r="A81" t="s">
        <v>157</v>
      </c>
      <c r="B81" t="s">
        <v>63</v>
      </c>
      <c r="C81" s="4">
        <v>24.36</v>
      </c>
      <c r="D81" s="8">
        <v>1169.28</v>
      </c>
      <c r="E81">
        <v>343.68</v>
      </c>
    </row>
    <row r="82" spans="1:5" x14ac:dyDescent="0.3">
      <c r="A82" t="s">
        <v>68</v>
      </c>
      <c r="B82" t="s">
        <v>170</v>
      </c>
      <c r="C82" s="4">
        <v>27.95</v>
      </c>
      <c r="D82" s="8">
        <v>1118</v>
      </c>
      <c r="E82">
        <v>180.41</v>
      </c>
    </row>
    <row r="83" spans="1:5" x14ac:dyDescent="0.3">
      <c r="A83" t="s">
        <v>26</v>
      </c>
      <c r="B83" t="s">
        <v>196</v>
      </c>
      <c r="C83" s="4">
        <v>40.19</v>
      </c>
      <c r="D83" s="8">
        <v>843.99</v>
      </c>
      <c r="E83">
        <v>223.59</v>
      </c>
    </row>
    <row r="84" spans="1:5" x14ac:dyDescent="0.3">
      <c r="A84" t="s">
        <v>56</v>
      </c>
      <c r="B84" t="s">
        <v>81</v>
      </c>
      <c r="C84" s="4">
        <v>16.670000000000002</v>
      </c>
      <c r="D84" s="8">
        <v>433.42</v>
      </c>
      <c r="E84">
        <v>69.13</v>
      </c>
    </row>
    <row r="85" spans="1:5" x14ac:dyDescent="0.3">
      <c r="A85" t="s">
        <v>132</v>
      </c>
      <c r="B85" t="s">
        <v>41</v>
      </c>
      <c r="C85" s="4">
        <v>39.85</v>
      </c>
      <c r="D85" s="8">
        <v>1115.8</v>
      </c>
      <c r="E85">
        <v>175.93</v>
      </c>
    </row>
    <row r="86" spans="1:5" x14ac:dyDescent="0.3">
      <c r="A86" t="s">
        <v>132</v>
      </c>
      <c r="B86" t="s">
        <v>53</v>
      </c>
      <c r="C86" s="4">
        <v>15.97</v>
      </c>
      <c r="D86" s="8">
        <v>750.59</v>
      </c>
      <c r="E86">
        <v>102.79</v>
      </c>
    </row>
    <row r="87" spans="1:5" x14ac:dyDescent="0.3">
      <c r="A87" t="s">
        <v>132</v>
      </c>
      <c r="B87" t="s">
        <v>63</v>
      </c>
      <c r="C87" s="4">
        <v>53.6</v>
      </c>
      <c r="D87" s="8">
        <v>1500.8</v>
      </c>
      <c r="E87">
        <v>312.25</v>
      </c>
    </row>
    <row r="88" spans="1:5" x14ac:dyDescent="0.3">
      <c r="A88" t="s">
        <v>78</v>
      </c>
      <c r="B88" t="s">
        <v>196</v>
      </c>
      <c r="C88" s="4">
        <v>40.049999999999997</v>
      </c>
      <c r="D88" s="8">
        <v>1481.85</v>
      </c>
      <c r="E88">
        <v>400.25</v>
      </c>
    </row>
    <row r="89" spans="1:5" x14ac:dyDescent="0.3">
      <c r="A89" t="s">
        <v>26</v>
      </c>
      <c r="B89" t="s">
        <v>36</v>
      </c>
      <c r="C89" s="4">
        <v>43.74</v>
      </c>
      <c r="D89" s="8">
        <v>1968.3</v>
      </c>
      <c r="E89">
        <v>312.75</v>
      </c>
    </row>
    <row r="90" spans="1:5" x14ac:dyDescent="0.3">
      <c r="A90" t="s">
        <v>104</v>
      </c>
      <c r="B90" t="s">
        <v>28</v>
      </c>
      <c r="C90" s="4">
        <v>24.63</v>
      </c>
      <c r="D90" s="8">
        <v>221.67</v>
      </c>
      <c r="E90">
        <v>68.64</v>
      </c>
    </row>
    <row r="91" spans="1:5" x14ac:dyDescent="0.3">
      <c r="A91" t="s">
        <v>104</v>
      </c>
      <c r="B91" t="s">
        <v>101</v>
      </c>
      <c r="C91" s="4">
        <v>21.79</v>
      </c>
      <c r="D91" s="8">
        <v>130.74</v>
      </c>
      <c r="E91">
        <v>29.99</v>
      </c>
    </row>
    <row r="92" spans="1:5" x14ac:dyDescent="0.3">
      <c r="A92" t="s">
        <v>95</v>
      </c>
      <c r="B92" t="s">
        <v>123</v>
      </c>
      <c r="C92" s="4">
        <v>58.43</v>
      </c>
      <c r="D92" s="8">
        <v>1343.89</v>
      </c>
      <c r="E92">
        <v>500.16</v>
      </c>
    </row>
    <row r="93" spans="1:5" x14ac:dyDescent="0.3">
      <c r="A93" t="s">
        <v>68</v>
      </c>
      <c r="B93" t="s">
        <v>81</v>
      </c>
      <c r="C93" s="4">
        <v>67.06</v>
      </c>
      <c r="D93" s="8">
        <v>1274.1400000000001</v>
      </c>
      <c r="E93">
        <v>428.41</v>
      </c>
    </row>
    <row r="94" spans="1:5" x14ac:dyDescent="0.3">
      <c r="A94" t="s">
        <v>95</v>
      </c>
      <c r="B94" t="s">
        <v>36</v>
      </c>
      <c r="C94" s="4">
        <v>25.13</v>
      </c>
      <c r="D94" s="8">
        <v>100.52</v>
      </c>
      <c r="E94">
        <v>22.92</v>
      </c>
    </row>
    <row r="95" spans="1:5" x14ac:dyDescent="0.3">
      <c r="A95" t="s">
        <v>75</v>
      </c>
      <c r="B95" t="s">
        <v>36</v>
      </c>
      <c r="C95" s="4">
        <v>19.34</v>
      </c>
      <c r="D95" s="8">
        <v>502.84</v>
      </c>
      <c r="E95">
        <v>73.33</v>
      </c>
    </row>
    <row r="96" spans="1:5" x14ac:dyDescent="0.3">
      <c r="A96" t="s">
        <v>68</v>
      </c>
      <c r="B96" t="s">
        <v>101</v>
      </c>
      <c r="C96" s="4">
        <v>35.81</v>
      </c>
      <c r="D96" s="8">
        <v>931.06</v>
      </c>
      <c r="E96">
        <v>350</v>
      </c>
    </row>
    <row r="97" spans="1:5" x14ac:dyDescent="0.3">
      <c r="A97" t="s">
        <v>104</v>
      </c>
      <c r="B97" t="s">
        <v>81</v>
      </c>
      <c r="C97" s="4">
        <v>39.950000000000003</v>
      </c>
      <c r="D97" s="8">
        <v>1677.9</v>
      </c>
      <c r="E97">
        <v>638.95000000000005</v>
      </c>
    </row>
    <row r="98" spans="1:5" x14ac:dyDescent="0.3">
      <c r="A98" t="s">
        <v>95</v>
      </c>
      <c r="B98" t="s">
        <v>88</v>
      </c>
      <c r="C98" s="4">
        <v>49.98</v>
      </c>
      <c r="D98" s="8">
        <v>1899.24</v>
      </c>
      <c r="E98">
        <v>456.33</v>
      </c>
    </row>
    <row r="99" spans="1:5" x14ac:dyDescent="0.3">
      <c r="A99" t="s">
        <v>71</v>
      </c>
      <c r="B99" t="s">
        <v>91</v>
      </c>
      <c r="C99" s="4">
        <v>45.84</v>
      </c>
      <c r="D99" s="8">
        <v>45.84</v>
      </c>
      <c r="E99">
        <v>16.579999999999998</v>
      </c>
    </row>
    <row r="100" spans="1:5" x14ac:dyDescent="0.3">
      <c r="A100" t="s">
        <v>75</v>
      </c>
      <c r="B100" t="s">
        <v>147</v>
      </c>
      <c r="C100" s="4">
        <v>26.34</v>
      </c>
      <c r="D100" s="8">
        <v>1000.92</v>
      </c>
      <c r="E100">
        <v>269.04000000000002</v>
      </c>
    </row>
    <row r="101" spans="1:5" x14ac:dyDescent="0.3">
      <c r="A101" t="s">
        <v>39</v>
      </c>
      <c r="B101" t="s">
        <v>123</v>
      </c>
      <c r="C101" s="4">
        <v>36.43</v>
      </c>
      <c r="D101" s="8">
        <v>1092.9000000000001</v>
      </c>
      <c r="E101">
        <v>280.93</v>
      </c>
    </row>
    <row r="102" spans="1:5" x14ac:dyDescent="0.3">
      <c r="A102" t="s">
        <v>56</v>
      </c>
      <c r="B102" t="s">
        <v>36</v>
      </c>
      <c r="C102" s="4">
        <v>22.27</v>
      </c>
      <c r="D102" s="8">
        <v>200.43</v>
      </c>
      <c r="E102">
        <v>72.47</v>
      </c>
    </row>
    <row r="103" spans="1:5" x14ac:dyDescent="0.3">
      <c r="A103" t="s">
        <v>68</v>
      </c>
      <c r="B103" t="s">
        <v>147</v>
      </c>
      <c r="C103" s="4">
        <v>27.65</v>
      </c>
      <c r="D103" s="8">
        <v>718.9</v>
      </c>
      <c r="E103">
        <v>269.64999999999998</v>
      </c>
    </row>
    <row r="104" spans="1:5" x14ac:dyDescent="0.3">
      <c r="A104" t="s">
        <v>95</v>
      </c>
      <c r="B104" t="s">
        <v>28</v>
      </c>
      <c r="C104" s="4">
        <v>22.45</v>
      </c>
      <c r="D104" s="8">
        <v>516.35</v>
      </c>
      <c r="E104">
        <v>144.16999999999999</v>
      </c>
    </row>
    <row r="105" spans="1:5" x14ac:dyDescent="0.3">
      <c r="A105" t="s">
        <v>71</v>
      </c>
      <c r="B105" t="s">
        <v>28</v>
      </c>
      <c r="C105" s="4">
        <v>21.93</v>
      </c>
      <c r="D105" s="8">
        <v>657.9</v>
      </c>
      <c r="E105">
        <v>168.24</v>
      </c>
    </row>
    <row r="106" spans="1:5" x14ac:dyDescent="0.3">
      <c r="A106" t="s">
        <v>68</v>
      </c>
      <c r="B106" t="s">
        <v>81</v>
      </c>
      <c r="C106" s="4">
        <v>21.92</v>
      </c>
      <c r="D106" s="8">
        <v>942.56</v>
      </c>
      <c r="E106">
        <v>343.16</v>
      </c>
    </row>
    <row r="107" spans="1:5" x14ac:dyDescent="0.3">
      <c r="A107" t="s">
        <v>26</v>
      </c>
      <c r="B107" t="s">
        <v>41</v>
      </c>
      <c r="C107" s="4">
        <v>56.21</v>
      </c>
      <c r="D107" s="8">
        <v>168.63</v>
      </c>
      <c r="E107">
        <v>41.07</v>
      </c>
    </row>
    <row r="108" spans="1:5" x14ac:dyDescent="0.3">
      <c r="A108" t="s">
        <v>34</v>
      </c>
      <c r="B108" t="s">
        <v>36</v>
      </c>
      <c r="C108" s="4">
        <v>15.44</v>
      </c>
      <c r="D108" s="8">
        <v>509.52</v>
      </c>
      <c r="E108">
        <v>69.069999999999993</v>
      </c>
    </row>
    <row r="109" spans="1:5" x14ac:dyDescent="0.3">
      <c r="A109" t="s">
        <v>68</v>
      </c>
      <c r="B109" t="s">
        <v>101</v>
      </c>
      <c r="C109" s="4">
        <v>23.02</v>
      </c>
      <c r="D109" s="8">
        <v>1151</v>
      </c>
      <c r="E109">
        <v>306.7</v>
      </c>
    </row>
    <row r="110" spans="1:5" x14ac:dyDescent="0.3">
      <c r="A110" t="s">
        <v>86</v>
      </c>
      <c r="B110" t="s">
        <v>41</v>
      </c>
      <c r="C110" s="4">
        <v>17.010000000000002</v>
      </c>
      <c r="D110" s="8">
        <v>136.08000000000001</v>
      </c>
      <c r="E110">
        <v>25.24</v>
      </c>
    </row>
    <row r="111" spans="1:5" x14ac:dyDescent="0.3">
      <c r="A111" t="s">
        <v>39</v>
      </c>
      <c r="B111" t="s">
        <v>123</v>
      </c>
      <c r="C111" s="4">
        <v>26.47</v>
      </c>
      <c r="D111" s="8">
        <v>423.52</v>
      </c>
      <c r="E111">
        <v>119.65</v>
      </c>
    </row>
    <row r="112" spans="1:5" x14ac:dyDescent="0.3">
      <c r="A112" t="s">
        <v>68</v>
      </c>
      <c r="B112" t="s">
        <v>41</v>
      </c>
      <c r="C112" s="4">
        <v>43.18</v>
      </c>
      <c r="D112" s="8">
        <v>1381.76</v>
      </c>
      <c r="E112">
        <v>269.22000000000003</v>
      </c>
    </row>
    <row r="113" spans="1:5" x14ac:dyDescent="0.3">
      <c r="A113" t="s">
        <v>56</v>
      </c>
      <c r="B113" t="s">
        <v>147</v>
      </c>
      <c r="C113" s="4">
        <v>18.850000000000001</v>
      </c>
      <c r="D113" s="8">
        <v>546.65</v>
      </c>
      <c r="E113">
        <v>83.93</v>
      </c>
    </row>
    <row r="114" spans="1:5" x14ac:dyDescent="0.3">
      <c r="A114" t="s">
        <v>17</v>
      </c>
      <c r="B114" t="s">
        <v>123</v>
      </c>
      <c r="C114" s="4">
        <v>64.400000000000006</v>
      </c>
      <c r="D114" s="8">
        <v>1030.4000000000001</v>
      </c>
      <c r="E114">
        <v>328.68</v>
      </c>
    </row>
    <row r="115" spans="1:5" x14ac:dyDescent="0.3">
      <c r="A115" t="s">
        <v>132</v>
      </c>
      <c r="B115" t="s">
        <v>81</v>
      </c>
      <c r="C115" s="4">
        <v>19.53</v>
      </c>
      <c r="D115" s="8">
        <v>292.95</v>
      </c>
      <c r="E115">
        <v>53.3</v>
      </c>
    </row>
    <row r="116" spans="1:5" x14ac:dyDescent="0.3">
      <c r="A116" t="s">
        <v>95</v>
      </c>
      <c r="B116" t="s">
        <v>170</v>
      </c>
      <c r="C116" s="4">
        <v>26.05</v>
      </c>
      <c r="D116" s="8">
        <v>937.8</v>
      </c>
      <c r="E116">
        <v>185</v>
      </c>
    </row>
    <row r="117" spans="1:5" x14ac:dyDescent="0.3">
      <c r="A117" t="s">
        <v>83</v>
      </c>
      <c r="B117" t="s">
        <v>101</v>
      </c>
      <c r="C117" s="4">
        <v>47.52</v>
      </c>
      <c r="D117" s="8">
        <v>1235.52</v>
      </c>
      <c r="E117">
        <v>372.11</v>
      </c>
    </row>
    <row r="118" spans="1:5" x14ac:dyDescent="0.3">
      <c r="A118" t="s">
        <v>68</v>
      </c>
      <c r="B118" t="s">
        <v>123</v>
      </c>
      <c r="C118" s="4">
        <v>26.38</v>
      </c>
      <c r="D118" s="8">
        <v>1002.44</v>
      </c>
      <c r="E118">
        <v>285.39</v>
      </c>
    </row>
    <row r="119" spans="1:5" x14ac:dyDescent="0.3">
      <c r="A119" t="s">
        <v>75</v>
      </c>
      <c r="B119" t="s">
        <v>91</v>
      </c>
      <c r="C119" s="4">
        <v>17.66</v>
      </c>
      <c r="D119" s="8">
        <v>123.62</v>
      </c>
      <c r="E119">
        <v>27.42</v>
      </c>
    </row>
    <row r="120" spans="1:5" x14ac:dyDescent="0.3">
      <c r="A120" t="s">
        <v>132</v>
      </c>
      <c r="B120" t="s">
        <v>147</v>
      </c>
      <c r="C120" s="4">
        <v>51.5</v>
      </c>
      <c r="D120" s="8">
        <v>1339</v>
      </c>
      <c r="E120">
        <v>336.91</v>
      </c>
    </row>
    <row r="121" spans="1:5" x14ac:dyDescent="0.3">
      <c r="A121" t="s">
        <v>75</v>
      </c>
      <c r="B121" t="s">
        <v>19</v>
      </c>
      <c r="C121" s="4">
        <v>25</v>
      </c>
      <c r="D121" s="8">
        <v>675</v>
      </c>
      <c r="E121">
        <v>241.01</v>
      </c>
    </row>
    <row r="122" spans="1:5" x14ac:dyDescent="0.3">
      <c r="A122" t="s">
        <v>95</v>
      </c>
      <c r="B122" t="s">
        <v>101</v>
      </c>
      <c r="C122" s="4">
        <v>19</v>
      </c>
      <c r="D122" s="8">
        <v>76</v>
      </c>
      <c r="E122">
        <v>21.22</v>
      </c>
    </row>
    <row r="123" spans="1:5" x14ac:dyDescent="0.3">
      <c r="A123" t="s">
        <v>107</v>
      </c>
      <c r="B123" t="s">
        <v>48</v>
      </c>
      <c r="C123" s="4">
        <v>26.63</v>
      </c>
      <c r="D123" s="8">
        <v>639.12</v>
      </c>
      <c r="E123">
        <v>235.2</v>
      </c>
    </row>
    <row r="124" spans="1:5" x14ac:dyDescent="0.3">
      <c r="A124" t="s">
        <v>17</v>
      </c>
      <c r="B124" t="s">
        <v>81</v>
      </c>
      <c r="C124" s="4">
        <v>43.14</v>
      </c>
      <c r="D124" s="8">
        <v>1121.6400000000001</v>
      </c>
      <c r="E124">
        <v>423.56</v>
      </c>
    </row>
    <row r="125" spans="1:5" x14ac:dyDescent="0.3">
      <c r="A125" t="s">
        <v>78</v>
      </c>
      <c r="B125" t="s">
        <v>48</v>
      </c>
      <c r="C125" s="4">
        <v>30.01</v>
      </c>
      <c r="D125" s="8">
        <v>1170.3900000000001</v>
      </c>
      <c r="E125">
        <v>134.96</v>
      </c>
    </row>
    <row r="126" spans="1:5" x14ac:dyDescent="0.3">
      <c r="A126" t="s">
        <v>78</v>
      </c>
      <c r="B126" t="s">
        <v>170</v>
      </c>
      <c r="C126" s="4">
        <v>31.31</v>
      </c>
      <c r="D126" s="8">
        <v>156.55000000000001</v>
      </c>
      <c r="E126">
        <v>40.01</v>
      </c>
    </row>
    <row r="127" spans="1:5" x14ac:dyDescent="0.3">
      <c r="A127" t="s">
        <v>71</v>
      </c>
      <c r="B127" t="s">
        <v>19</v>
      </c>
      <c r="C127" s="4">
        <v>36.950000000000003</v>
      </c>
      <c r="D127" s="8">
        <v>1551.9</v>
      </c>
      <c r="E127">
        <v>301.64</v>
      </c>
    </row>
    <row r="128" spans="1:5" x14ac:dyDescent="0.3">
      <c r="A128" t="s">
        <v>17</v>
      </c>
      <c r="B128" t="s">
        <v>81</v>
      </c>
      <c r="C128" s="4">
        <v>57.37</v>
      </c>
      <c r="D128" s="8">
        <v>2065.3200000000002</v>
      </c>
      <c r="E128">
        <v>530.98</v>
      </c>
    </row>
    <row r="129" spans="1:5" x14ac:dyDescent="0.3">
      <c r="A129" t="s">
        <v>132</v>
      </c>
      <c r="B129" t="s">
        <v>88</v>
      </c>
      <c r="C129" s="4">
        <v>40.18</v>
      </c>
      <c r="D129" s="8">
        <v>522.34</v>
      </c>
      <c r="E129">
        <v>120.97</v>
      </c>
    </row>
    <row r="130" spans="1:5" x14ac:dyDescent="0.3">
      <c r="A130" t="s">
        <v>75</v>
      </c>
      <c r="B130" t="s">
        <v>91</v>
      </c>
      <c r="C130" s="4">
        <v>39.299999999999997</v>
      </c>
      <c r="D130" s="8">
        <v>1454.1</v>
      </c>
      <c r="E130">
        <v>203.02</v>
      </c>
    </row>
    <row r="131" spans="1:5" x14ac:dyDescent="0.3">
      <c r="A131" t="s">
        <v>75</v>
      </c>
      <c r="B131" t="s">
        <v>48</v>
      </c>
      <c r="C131" s="4">
        <v>43.28</v>
      </c>
      <c r="D131" s="8">
        <v>735.76</v>
      </c>
      <c r="E131">
        <v>140.80000000000001</v>
      </c>
    </row>
    <row r="132" spans="1:5" x14ac:dyDescent="0.3">
      <c r="A132" t="s">
        <v>39</v>
      </c>
      <c r="B132" t="s">
        <v>88</v>
      </c>
      <c r="C132" s="4">
        <v>62.79</v>
      </c>
      <c r="D132" s="8">
        <v>1381.38</v>
      </c>
      <c r="E132">
        <v>535.54</v>
      </c>
    </row>
    <row r="133" spans="1:5" x14ac:dyDescent="0.3">
      <c r="A133" t="s">
        <v>75</v>
      </c>
      <c r="B133" t="s">
        <v>170</v>
      </c>
      <c r="C133" s="4">
        <v>56.76</v>
      </c>
      <c r="D133" s="8">
        <v>1305.48</v>
      </c>
      <c r="E133">
        <v>322.55</v>
      </c>
    </row>
    <row r="134" spans="1:5" x14ac:dyDescent="0.3">
      <c r="A134" t="s">
        <v>95</v>
      </c>
      <c r="B134" t="s">
        <v>28</v>
      </c>
      <c r="C134" s="4">
        <v>60.13</v>
      </c>
      <c r="D134" s="8">
        <v>1322.86</v>
      </c>
      <c r="E134">
        <v>388.8</v>
      </c>
    </row>
    <row r="135" spans="1:5" x14ac:dyDescent="0.3">
      <c r="A135" t="s">
        <v>17</v>
      </c>
      <c r="B135" t="s">
        <v>81</v>
      </c>
      <c r="C135" s="4">
        <v>40.98</v>
      </c>
      <c r="D135" s="8">
        <v>860.58</v>
      </c>
      <c r="E135">
        <v>298.57</v>
      </c>
    </row>
    <row r="136" spans="1:5" x14ac:dyDescent="0.3">
      <c r="A136" t="s">
        <v>78</v>
      </c>
      <c r="B136" t="s">
        <v>41</v>
      </c>
      <c r="C136" s="4">
        <v>54.6</v>
      </c>
      <c r="D136" s="8">
        <v>1965.6</v>
      </c>
      <c r="E136">
        <v>375.26</v>
      </c>
    </row>
    <row r="137" spans="1:5" x14ac:dyDescent="0.3">
      <c r="A137" t="s">
        <v>95</v>
      </c>
      <c r="B137" t="s">
        <v>36</v>
      </c>
      <c r="C137" s="4">
        <v>27.49</v>
      </c>
      <c r="D137" s="8">
        <v>27.49</v>
      </c>
      <c r="E137">
        <v>11.36</v>
      </c>
    </row>
    <row r="138" spans="1:5" x14ac:dyDescent="0.3">
      <c r="A138" t="s">
        <v>157</v>
      </c>
      <c r="B138" t="s">
        <v>81</v>
      </c>
      <c r="C138" s="4">
        <v>41.11</v>
      </c>
      <c r="D138" s="8">
        <v>2055.5</v>
      </c>
      <c r="E138">
        <v>359.89</v>
      </c>
    </row>
    <row r="139" spans="1:5" x14ac:dyDescent="0.3">
      <c r="A139" t="s">
        <v>78</v>
      </c>
      <c r="B139" t="s">
        <v>63</v>
      </c>
      <c r="C139" s="4">
        <v>25.54</v>
      </c>
      <c r="D139" s="8">
        <v>459.72</v>
      </c>
      <c r="E139">
        <v>153.69999999999999</v>
      </c>
    </row>
    <row r="140" spans="1:5" x14ac:dyDescent="0.3">
      <c r="A140" t="s">
        <v>17</v>
      </c>
      <c r="B140" t="s">
        <v>91</v>
      </c>
      <c r="C140" s="4">
        <v>47.52</v>
      </c>
      <c r="D140" s="8">
        <v>190.08</v>
      </c>
      <c r="E140">
        <v>67.849999999999994</v>
      </c>
    </row>
    <row r="141" spans="1:5" x14ac:dyDescent="0.3">
      <c r="A141" t="s">
        <v>71</v>
      </c>
      <c r="B141" t="s">
        <v>36</v>
      </c>
      <c r="C141" s="4">
        <v>30.48</v>
      </c>
      <c r="D141" s="8">
        <v>883.92</v>
      </c>
      <c r="E141">
        <v>125.77</v>
      </c>
    </row>
    <row r="142" spans="1:5" x14ac:dyDescent="0.3">
      <c r="A142" t="s">
        <v>86</v>
      </c>
      <c r="B142" t="s">
        <v>101</v>
      </c>
      <c r="C142" s="4">
        <v>50.39</v>
      </c>
      <c r="D142" s="8">
        <v>1360.53</v>
      </c>
      <c r="E142">
        <v>174.13</v>
      </c>
    </row>
    <row r="143" spans="1:5" x14ac:dyDescent="0.3">
      <c r="A143" t="s">
        <v>17</v>
      </c>
      <c r="B143" t="s">
        <v>170</v>
      </c>
      <c r="C143" s="4">
        <v>37.68</v>
      </c>
      <c r="D143" s="8">
        <v>1281.1199999999999</v>
      </c>
      <c r="E143">
        <v>376.26</v>
      </c>
    </row>
    <row r="144" spans="1:5" x14ac:dyDescent="0.3">
      <c r="A144" t="s">
        <v>75</v>
      </c>
      <c r="B144" t="s">
        <v>91</v>
      </c>
      <c r="C144" s="4">
        <v>39.32</v>
      </c>
      <c r="D144" s="8">
        <v>117.96</v>
      </c>
      <c r="E144">
        <v>35.99</v>
      </c>
    </row>
    <row r="145" spans="1:5" x14ac:dyDescent="0.3">
      <c r="A145" t="s">
        <v>78</v>
      </c>
      <c r="B145" t="s">
        <v>48</v>
      </c>
      <c r="C145" s="4">
        <v>18</v>
      </c>
      <c r="D145" s="8">
        <v>432</v>
      </c>
      <c r="E145">
        <v>103.32</v>
      </c>
    </row>
    <row r="146" spans="1:5" x14ac:dyDescent="0.3">
      <c r="A146" t="s">
        <v>78</v>
      </c>
      <c r="B146" t="s">
        <v>28</v>
      </c>
      <c r="C146" s="4">
        <v>36.43</v>
      </c>
      <c r="D146" s="8">
        <v>182.15</v>
      </c>
      <c r="E146">
        <v>61.83</v>
      </c>
    </row>
    <row r="147" spans="1:5" x14ac:dyDescent="0.3">
      <c r="A147" t="s">
        <v>95</v>
      </c>
      <c r="B147" t="s">
        <v>63</v>
      </c>
      <c r="C147" s="4">
        <v>38.39</v>
      </c>
      <c r="D147" s="8">
        <v>1036.53</v>
      </c>
      <c r="E147">
        <v>400.43</v>
      </c>
    </row>
    <row r="148" spans="1:5" x14ac:dyDescent="0.3">
      <c r="A148" t="s">
        <v>107</v>
      </c>
      <c r="B148" t="s">
        <v>41</v>
      </c>
      <c r="C148" s="4">
        <v>47.5</v>
      </c>
      <c r="D148" s="8">
        <v>475</v>
      </c>
      <c r="E148">
        <v>179.05</v>
      </c>
    </row>
    <row r="149" spans="1:5" x14ac:dyDescent="0.3">
      <c r="A149" t="s">
        <v>56</v>
      </c>
      <c r="B149" t="s">
        <v>88</v>
      </c>
      <c r="C149" s="4">
        <v>50.13</v>
      </c>
      <c r="D149" s="8">
        <v>2356.11</v>
      </c>
      <c r="E149">
        <v>685.89</v>
      </c>
    </row>
    <row r="150" spans="1:5" x14ac:dyDescent="0.3">
      <c r="A150" t="s">
        <v>39</v>
      </c>
      <c r="B150" t="s">
        <v>53</v>
      </c>
      <c r="C150" s="4">
        <v>42.25</v>
      </c>
      <c r="D150" s="8">
        <v>1985.75</v>
      </c>
      <c r="E150">
        <v>553</v>
      </c>
    </row>
    <row r="151" spans="1:5" x14ac:dyDescent="0.3">
      <c r="A151" t="s">
        <v>86</v>
      </c>
      <c r="B151" t="s">
        <v>63</v>
      </c>
      <c r="C151" s="4">
        <v>38.26</v>
      </c>
      <c r="D151" s="8">
        <v>688.68</v>
      </c>
      <c r="E151">
        <v>219.9</v>
      </c>
    </row>
    <row r="152" spans="1:5" x14ac:dyDescent="0.3">
      <c r="A152" t="s">
        <v>83</v>
      </c>
      <c r="B152" t="s">
        <v>81</v>
      </c>
      <c r="C152" s="4">
        <v>46.66</v>
      </c>
      <c r="D152" s="8">
        <v>1446.46</v>
      </c>
      <c r="E152">
        <v>469.22</v>
      </c>
    </row>
    <row r="153" spans="1:5" x14ac:dyDescent="0.3">
      <c r="A153" t="s">
        <v>86</v>
      </c>
      <c r="B153" t="s">
        <v>101</v>
      </c>
      <c r="C153" s="4">
        <v>52.65</v>
      </c>
      <c r="D153" s="8">
        <v>2158.65</v>
      </c>
      <c r="E153">
        <v>736.55</v>
      </c>
    </row>
    <row r="154" spans="1:5" x14ac:dyDescent="0.3">
      <c r="A154" t="s">
        <v>86</v>
      </c>
      <c r="B154" t="s">
        <v>91</v>
      </c>
      <c r="C154" s="4">
        <v>22.66</v>
      </c>
      <c r="D154" s="8">
        <v>634.48</v>
      </c>
      <c r="E154">
        <v>114.93</v>
      </c>
    </row>
    <row r="155" spans="1:5" x14ac:dyDescent="0.3">
      <c r="A155" t="s">
        <v>26</v>
      </c>
      <c r="B155" t="s">
        <v>53</v>
      </c>
      <c r="C155" s="4">
        <v>25.07</v>
      </c>
      <c r="D155" s="8">
        <v>1203.3599999999999</v>
      </c>
      <c r="E155">
        <v>429.43</v>
      </c>
    </row>
    <row r="156" spans="1:5" x14ac:dyDescent="0.3">
      <c r="A156" t="s">
        <v>107</v>
      </c>
      <c r="B156" t="s">
        <v>41</v>
      </c>
      <c r="C156" s="4">
        <v>30.53</v>
      </c>
      <c r="D156" s="8">
        <v>946.43</v>
      </c>
      <c r="E156">
        <v>316.27999999999997</v>
      </c>
    </row>
    <row r="157" spans="1:5" x14ac:dyDescent="0.3">
      <c r="A157" t="s">
        <v>78</v>
      </c>
      <c r="B157" t="s">
        <v>101</v>
      </c>
      <c r="C157" s="4">
        <v>31</v>
      </c>
      <c r="D157" s="8">
        <v>1023</v>
      </c>
      <c r="E157">
        <v>216.56</v>
      </c>
    </row>
    <row r="158" spans="1:5" x14ac:dyDescent="0.3">
      <c r="A158" t="s">
        <v>39</v>
      </c>
      <c r="B158" t="s">
        <v>28</v>
      </c>
      <c r="C158" s="4">
        <v>20.86</v>
      </c>
      <c r="D158" s="8">
        <v>667.52</v>
      </c>
      <c r="E158">
        <v>149.9</v>
      </c>
    </row>
    <row r="159" spans="1:5" x14ac:dyDescent="0.3">
      <c r="A159" t="s">
        <v>68</v>
      </c>
      <c r="B159" t="s">
        <v>170</v>
      </c>
      <c r="C159" s="4">
        <v>24.61</v>
      </c>
      <c r="D159" s="8">
        <v>442.98</v>
      </c>
      <c r="E159">
        <v>55.99</v>
      </c>
    </row>
    <row r="160" spans="1:5" x14ac:dyDescent="0.3">
      <c r="A160" t="s">
        <v>39</v>
      </c>
      <c r="B160" t="s">
        <v>81</v>
      </c>
      <c r="C160" s="4">
        <v>64.83</v>
      </c>
      <c r="D160" s="8">
        <v>1166.94</v>
      </c>
      <c r="E160">
        <v>412.66</v>
      </c>
    </row>
    <row r="161" spans="1:5" x14ac:dyDescent="0.3">
      <c r="A161" t="s">
        <v>95</v>
      </c>
      <c r="B161" t="s">
        <v>53</v>
      </c>
      <c r="C161" s="4">
        <v>29.52</v>
      </c>
      <c r="D161" s="8">
        <v>1446.48</v>
      </c>
      <c r="E161">
        <v>361.78</v>
      </c>
    </row>
    <row r="162" spans="1:5" x14ac:dyDescent="0.3">
      <c r="A162" t="s">
        <v>95</v>
      </c>
      <c r="B162" t="s">
        <v>101</v>
      </c>
      <c r="C162" s="4">
        <v>26.73</v>
      </c>
      <c r="D162" s="8">
        <v>267.3</v>
      </c>
      <c r="E162">
        <v>57.09</v>
      </c>
    </row>
    <row r="163" spans="1:5" x14ac:dyDescent="0.3">
      <c r="A163" t="s">
        <v>83</v>
      </c>
      <c r="B163" t="s">
        <v>28</v>
      </c>
      <c r="C163" s="4">
        <v>54.45</v>
      </c>
      <c r="D163" s="8">
        <v>544.5</v>
      </c>
      <c r="E163">
        <v>207.91</v>
      </c>
    </row>
    <row r="164" spans="1:5" x14ac:dyDescent="0.3">
      <c r="A164" t="s">
        <v>56</v>
      </c>
      <c r="B164" t="s">
        <v>196</v>
      </c>
      <c r="C164" s="4">
        <v>30.06</v>
      </c>
      <c r="D164" s="8">
        <v>1382.76</v>
      </c>
      <c r="E164">
        <v>477.59</v>
      </c>
    </row>
    <row r="165" spans="1:5" x14ac:dyDescent="0.3">
      <c r="A165" t="s">
        <v>83</v>
      </c>
      <c r="B165" t="s">
        <v>53</v>
      </c>
      <c r="C165" s="4">
        <v>21.52</v>
      </c>
      <c r="D165" s="8">
        <v>538</v>
      </c>
      <c r="E165">
        <v>123.77</v>
      </c>
    </row>
    <row r="166" spans="1:5" x14ac:dyDescent="0.3">
      <c r="A166" t="s">
        <v>83</v>
      </c>
      <c r="B166" t="s">
        <v>196</v>
      </c>
      <c r="C166" s="4">
        <v>26.25</v>
      </c>
      <c r="D166" s="8">
        <v>131.25</v>
      </c>
      <c r="E166">
        <v>37.9</v>
      </c>
    </row>
    <row r="167" spans="1:5" x14ac:dyDescent="0.3">
      <c r="A167" t="s">
        <v>56</v>
      </c>
      <c r="B167" t="s">
        <v>28</v>
      </c>
      <c r="C167" s="4">
        <v>31.48</v>
      </c>
      <c r="D167" s="8">
        <v>314.8</v>
      </c>
      <c r="E167">
        <v>54.57</v>
      </c>
    </row>
    <row r="168" spans="1:5" x14ac:dyDescent="0.3">
      <c r="A168" t="s">
        <v>71</v>
      </c>
      <c r="B168" t="s">
        <v>41</v>
      </c>
      <c r="C168" s="4">
        <v>30.91</v>
      </c>
      <c r="D168" s="8">
        <v>649.11</v>
      </c>
      <c r="E168">
        <v>190.69</v>
      </c>
    </row>
    <row r="169" spans="1:5" x14ac:dyDescent="0.3">
      <c r="A169" t="s">
        <v>61</v>
      </c>
      <c r="B169" t="s">
        <v>81</v>
      </c>
      <c r="C169" s="4">
        <v>18.47</v>
      </c>
      <c r="D169" s="8">
        <v>535.63</v>
      </c>
      <c r="E169">
        <v>152.66999999999999</v>
      </c>
    </row>
    <row r="170" spans="1:5" x14ac:dyDescent="0.3">
      <c r="A170" t="s">
        <v>132</v>
      </c>
      <c r="B170" t="s">
        <v>53</v>
      </c>
      <c r="C170" s="4">
        <v>44.79</v>
      </c>
      <c r="D170" s="8">
        <v>1612.44</v>
      </c>
      <c r="E170">
        <v>283.83999999999997</v>
      </c>
    </row>
    <row r="171" spans="1:5" x14ac:dyDescent="0.3">
      <c r="A171" t="s">
        <v>34</v>
      </c>
      <c r="B171" t="s">
        <v>41</v>
      </c>
      <c r="C171" s="4">
        <v>18.86</v>
      </c>
      <c r="D171" s="8">
        <v>56.58</v>
      </c>
      <c r="E171">
        <v>7.47</v>
      </c>
    </row>
    <row r="172" spans="1:5" x14ac:dyDescent="0.3">
      <c r="A172" t="s">
        <v>132</v>
      </c>
      <c r="B172" t="s">
        <v>63</v>
      </c>
      <c r="C172" s="4">
        <v>45.86</v>
      </c>
      <c r="D172" s="8">
        <v>458.6</v>
      </c>
      <c r="E172">
        <v>164.2</v>
      </c>
    </row>
    <row r="173" spans="1:5" x14ac:dyDescent="0.3">
      <c r="A173" t="s">
        <v>83</v>
      </c>
      <c r="B173" t="s">
        <v>36</v>
      </c>
      <c r="C173" s="4">
        <v>24.64</v>
      </c>
      <c r="D173" s="8">
        <v>24.64</v>
      </c>
      <c r="E173">
        <v>5.99</v>
      </c>
    </row>
    <row r="174" spans="1:5" x14ac:dyDescent="0.3">
      <c r="A174" t="s">
        <v>95</v>
      </c>
      <c r="B174" t="s">
        <v>36</v>
      </c>
      <c r="C174" s="4">
        <v>22.8</v>
      </c>
      <c r="D174" s="8">
        <v>1117.2</v>
      </c>
      <c r="E174">
        <v>306.64</v>
      </c>
    </row>
    <row r="175" spans="1:5" x14ac:dyDescent="0.3">
      <c r="A175" t="s">
        <v>39</v>
      </c>
      <c r="B175" t="s">
        <v>53</v>
      </c>
      <c r="C175" s="4">
        <v>44.5</v>
      </c>
      <c r="D175" s="8">
        <v>1424</v>
      </c>
      <c r="E175">
        <v>260.08</v>
      </c>
    </row>
    <row r="176" spans="1:5" x14ac:dyDescent="0.3">
      <c r="A176" t="s">
        <v>71</v>
      </c>
      <c r="B176" t="s">
        <v>41</v>
      </c>
      <c r="C176" s="4">
        <v>55.74</v>
      </c>
      <c r="D176" s="8">
        <v>2396.8200000000002</v>
      </c>
      <c r="E176">
        <v>827.97</v>
      </c>
    </row>
    <row r="177" spans="1:5" x14ac:dyDescent="0.3">
      <c r="A177" t="s">
        <v>39</v>
      </c>
      <c r="B177" t="s">
        <v>81</v>
      </c>
      <c r="C177" s="4">
        <v>25.78</v>
      </c>
      <c r="D177" s="8">
        <v>489.82</v>
      </c>
      <c r="E177">
        <v>166.92</v>
      </c>
    </row>
    <row r="178" spans="1:5" x14ac:dyDescent="0.3">
      <c r="A178" t="s">
        <v>83</v>
      </c>
      <c r="B178" t="s">
        <v>53</v>
      </c>
      <c r="C178" s="4">
        <v>30.43</v>
      </c>
      <c r="D178" s="8">
        <v>1308.49</v>
      </c>
      <c r="E178">
        <v>499.15</v>
      </c>
    </row>
    <row r="179" spans="1:5" x14ac:dyDescent="0.3">
      <c r="A179" t="s">
        <v>78</v>
      </c>
      <c r="B179" t="s">
        <v>123</v>
      </c>
      <c r="C179" s="4">
        <v>18.71</v>
      </c>
      <c r="D179" s="8">
        <v>318.07</v>
      </c>
      <c r="E179">
        <v>32.54</v>
      </c>
    </row>
    <row r="180" spans="1:5" x14ac:dyDescent="0.3">
      <c r="A180" t="s">
        <v>86</v>
      </c>
      <c r="B180" t="s">
        <v>63</v>
      </c>
      <c r="C180" s="4">
        <v>23.87</v>
      </c>
      <c r="D180" s="8">
        <v>1050.28</v>
      </c>
      <c r="E180">
        <v>334.77</v>
      </c>
    </row>
    <row r="181" spans="1:5" x14ac:dyDescent="0.3">
      <c r="A181" t="s">
        <v>68</v>
      </c>
      <c r="B181" t="s">
        <v>147</v>
      </c>
      <c r="C181" s="4">
        <v>42.91</v>
      </c>
      <c r="D181" s="8">
        <v>514.91999999999996</v>
      </c>
      <c r="E181">
        <v>115.74</v>
      </c>
    </row>
    <row r="182" spans="1:5" x14ac:dyDescent="0.3">
      <c r="A182" t="s">
        <v>132</v>
      </c>
      <c r="B182" t="s">
        <v>196</v>
      </c>
      <c r="C182" s="4">
        <v>50.49</v>
      </c>
      <c r="D182" s="8">
        <v>1060.29</v>
      </c>
      <c r="E182">
        <v>187.95</v>
      </c>
    </row>
    <row r="183" spans="1:5" x14ac:dyDescent="0.3">
      <c r="A183" t="s">
        <v>78</v>
      </c>
      <c r="B183" t="s">
        <v>36</v>
      </c>
      <c r="C183" s="4">
        <v>43.18</v>
      </c>
      <c r="D183" s="8">
        <v>1770.38</v>
      </c>
      <c r="E183">
        <v>206.98</v>
      </c>
    </row>
    <row r="184" spans="1:5" x14ac:dyDescent="0.3">
      <c r="A184" t="s">
        <v>86</v>
      </c>
      <c r="B184" t="s">
        <v>147</v>
      </c>
      <c r="C184" s="4">
        <v>19.8</v>
      </c>
      <c r="D184" s="8">
        <v>732.6</v>
      </c>
      <c r="E184">
        <v>206.17</v>
      </c>
    </row>
    <row r="185" spans="1:5" x14ac:dyDescent="0.3">
      <c r="A185" t="s">
        <v>86</v>
      </c>
      <c r="B185" t="s">
        <v>53</v>
      </c>
      <c r="C185" s="4">
        <v>18.059999999999999</v>
      </c>
      <c r="D185" s="8">
        <v>72.239999999999995</v>
      </c>
      <c r="E185">
        <v>16.579999999999998</v>
      </c>
    </row>
    <row r="186" spans="1:5" x14ac:dyDescent="0.3">
      <c r="A186" t="s">
        <v>78</v>
      </c>
      <c r="B186" t="s">
        <v>19</v>
      </c>
      <c r="C186" s="4">
        <v>55.59</v>
      </c>
      <c r="D186" s="8">
        <v>2223.6</v>
      </c>
      <c r="E186">
        <v>749.03</v>
      </c>
    </row>
    <row r="187" spans="1:5" x14ac:dyDescent="0.3">
      <c r="A187" t="s">
        <v>75</v>
      </c>
      <c r="B187" t="s">
        <v>91</v>
      </c>
      <c r="C187" s="4">
        <v>31.58</v>
      </c>
      <c r="D187" s="8">
        <v>157.9</v>
      </c>
      <c r="E187">
        <v>29.17</v>
      </c>
    </row>
    <row r="188" spans="1:5" x14ac:dyDescent="0.3">
      <c r="A188" t="s">
        <v>34</v>
      </c>
      <c r="B188" t="s">
        <v>48</v>
      </c>
      <c r="C188" s="4">
        <v>26.67</v>
      </c>
      <c r="D188" s="8">
        <v>1333.5</v>
      </c>
      <c r="E188">
        <v>353.35</v>
      </c>
    </row>
    <row r="189" spans="1:5" x14ac:dyDescent="0.3">
      <c r="A189" t="s">
        <v>86</v>
      </c>
      <c r="B189" t="s">
        <v>81</v>
      </c>
      <c r="C189" s="4">
        <v>20.68</v>
      </c>
      <c r="D189" s="8">
        <v>351.56</v>
      </c>
      <c r="E189">
        <v>69.59</v>
      </c>
    </row>
    <row r="190" spans="1:5" x14ac:dyDescent="0.3">
      <c r="A190" t="s">
        <v>75</v>
      </c>
      <c r="B190" t="s">
        <v>101</v>
      </c>
      <c r="C190" s="4">
        <v>55.19</v>
      </c>
      <c r="D190" s="8">
        <v>1600.51</v>
      </c>
      <c r="E190">
        <v>482.45</v>
      </c>
    </row>
    <row r="191" spans="1:5" x14ac:dyDescent="0.3">
      <c r="A191" t="s">
        <v>34</v>
      </c>
      <c r="B191" t="s">
        <v>81</v>
      </c>
      <c r="C191" s="4">
        <v>61.62</v>
      </c>
      <c r="D191" s="8">
        <v>2095.08</v>
      </c>
      <c r="E191">
        <v>824.95</v>
      </c>
    </row>
    <row r="192" spans="1:5" x14ac:dyDescent="0.3">
      <c r="A192" t="s">
        <v>132</v>
      </c>
      <c r="B192" t="s">
        <v>53</v>
      </c>
      <c r="C192" s="4">
        <v>40.03</v>
      </c>
      <c r="D192" s="8">
        <v>400.3</v>
      </c>
      <c r="E192">
        <v>149.5</v>
      </c>
    </row>
    <row r="193" spans="1:5" x14ac:dyDescent="0.3">
      <c r="A193" t="s">
        <v>104</v>
      </c>
      <c r="B193" t="s">
        <v>88</v>
      </c>
      <c r="C193" s="4">
        <v>31.3</v>
      </c>
      <c r="D193" s="8">
        <v>719.9</v>
      </c>
      <c r="E193">
        <v>212.02</v>
      </c>
    </row>
    <row r="194" spans="1:5" x14ac:dyDescent="0.3">
      <c r="A194" t="s">
        <v>61</v>
      </c>
      <c r="B194" t="s">
        <v>53</v>
      </c>
      <c r="C194" s="4">
        <v>50.39</v>
      </c>
      <c r="D194" s="8">
        <v>1864.43</v>
      </c>
      <c r="E194">
        <v>509.37</v>
      </c>
    </row>
    <row r="195" spans="1:5" x14ac:dyDescent="0.3">
      <c r="A195" t="s">
        <v>78</v>
      </c>
      <c r="B195" t="s">
        <v>19</v>
      </c>
      <c r="C195" s="4">
        <v>16.97</v>
      </c>
      <c r="D195" s="8">
        <v>644.86</v>
      </c>
      <c r="E195">
        <v>120.36</v>
      </c>
    </row>
    <row r="196" spans="1:5" x14ac:dyDescent="0.3">
      <c r="A196" t="s">
        <v>95</v>
      </c>
      <c r="B196" t="s">
        <v>101</v>
      </c>
      <c r="C196" s="4">
        <v>35.92</v>
      </c>
      <c r="D196" s="8">
        <v>71.84</v>
      </c>
      <c r="E196">
        <v>29.5</v>
      </c>
    </row>
    <row r="197" spans="1:5" x14ac:dyDescent="0.3">
      <c r="A197" t="s">
        <v>107</v>
      </c>
      <c r="B197" t="s">
        <v>41</v>
      </c>
      <c r="C197" s="4">
        <v>31.87</v>
      </c>
      <c r="D197" s="8">
        <v>1529.76</v>
      </c>
      <c r="E197">
        <v>479.91</v>
      </c>
    </row>
    <row r="198" spans="1:5" x14ac:dyDescent="0.3">
      <c r="A198" t="s">
        <v>78</v>
      </c>
      <c r="B198" t="s">
        <v>147</v>
      </c>
      <c r="C198" s="4">
        <v>70</v>
      </c>
      <c r="D198" s="8">
        <v>3220</v>
      </c>
      <c r="E198">
        <v>1219.8900000000001</v>
      </c>
    </row>
    <row r="199" spans="1:5" x14ac:dyDescent="0.3">
      <c r="A199" t="s">
        <v>75</v>
      </c>
      <c r="B199" t="s">
        <v>81</v>
      </c>
      <c r="C199" s="4">
        <v>57.7</v>
      </c>
      <c r="D199" s="8">
        <v>2596.5</v>
      </c>
      <c r="E199">
        <v>918.98</v>
      </c>
    </row>
    <row r="200" spans="1:5" x14ac:dyDescent="0.3">
      <c r="A200" t="s">
        <v>61</v>
      </c>
      <c r="B200" t="s">
        <v>91</v>
      </c>
      <c r="C200" s="4">
        <v>20.23</v>
      </c>
      <c r="D200" s="8">
        <v>465.29</v>
      </c>
      <c r="E200">
        <v>154.75</v>
      </c>
    </row>
    <row r="201" spans="1:5" x14ac:dyDescent="0.3">
      <c r="A201" t="s">
        <v>75</v>
      </c>
      <c r="B201" t="s">
        <v>36</v>
      </c>
      <c r="C201" s="4">
        <v>22.96</v>
      </c>
      <c r="D201" s="8">
        <v>229.6</v>
      </c>
      <c r="E201">
        <v>31.34</v>
      </c>
    </row>
    <row r="202" spans="1:5" x14ac:dyDescent="0.3">
      <c r="A202" t="s">
        <v>71</v>
      </c>
      <c r="B202" t="s">
        <v>41</v>
      </c>
      <c r="C202" s="4">
        <v>54.84</v>
      </c>
      <c r="D202" s="8">
        <v>2193.6</v>
      </c>
      <c r="E202">
        <v>704.34</v>
      </c>
    </row>
    <row r="203" spans="1:5" x14ac:dyDescent="0.3">
      <c r="A203" t="s">
        <v>34</v>
      </c>
      <c r="B203" t="s">
        <v>81</v>
      </c>
      <c r="C203" s="4">
        <v>36.43</v>
      </c>
      <c r="D203" s="8">
        <v>255.01</v>
      </c>
      <c r="E203">
        <v>73.709999999999994</v>
      </c>
    </row>
    <row r="204" spans="1:5" x14ac:dyDescent="0.3">
      <c r="A204" t="s">
        <v>104</v>
      </c>
      <c r="B204" t="s">
        <v>53</v>
      </c>
      <c r="C204" s="4">
        <v>19.48</v>
      </c>
      <c r="D204" s="8">
        <v>759.72</v>
      </c>
      <c r="E204">
        <v>222.38</v>
      </c>
    </row>
    <row r="205" spans="1:5" x14ac:dyDescent="0.3">
      <c r="A205" t="s">
        <v>83</v>
      </c>
      <c r="B205" t="s">
        <v>101</v>
      </c>
      <c r="C205" s="4">
        <v>38.83</v>
      </c>
      <c r="D205" s="8">
        <v>1359.05</v>
      </c>
      <c r="E205">
        <v>477.63</v>
      </c>
    </row>
    <row r="206" spans="1:5" x14ac:dyDescent="0.3">
      <c r="A206" t="s">
        <v>39</v>
      </c>
      <c r="B206" t="s">
        <v>63</v>
      </c>
      <c r="C206" s="4">
        <v>32.76</v>
      </c>
      <c r="D206" s="8">
        <v>1277.6400000000001</v>
      </c>
      <c r="E206">
        <v>461.83</v>
      </c>
    </row>
    <row r="207" spans="1:5" x14ac:dyDescent="0.3">
      <c r="A207" t="s">
        <v>17</v>
      </c>
      <c r="B207" t="s">
        <v>19</v>
      </c>
      <c r="C207" s="4">
        <v>39.869999999999997</v>
      </c>
      <c r="D207" s="8">
        <v>318.95999999999998</v>
      </c>
      <c r="E207">
        <v>47.01</v>
      </c>
    </row>
    <row r="208" spans="1:5" x14ac:dyDescent="0.3">
      <c r="A208" t="s">
        <v>75</v>
      </c>
      <c r="B208" t="s">
        <v>88</v>
      </c>
      <c r="C208" s="4">
        <v>63.1</v>
      </c>
      <c r="D208" s="8">
        <v>631</v>
      </c>
      <c r="E208">
        <v>204.07</v>
      </c>
    </row>
    <row r="209" spans="1:5" x14ac:dyDescent="0.3">
      <c r="A209" t="s">
        <v>107</v>
      </c>
      <c r="B209" t="s">
        <v>170</v>
      </c>
      <c r="C209" s="4">
        <v>55.1</v>
      </c>
      <c r="D209" s="8">
        <v>165.3</v>
      </c>
      <c r="E209">
        <v>60.13</v>
      </c>
    </row>
    <row r="210" spans="1:5" x14ac:dyDescent="0.3">
      <c r="A210" t="s">
        <v>83</v>
      </c>
      <c r="B210" t="s">
        <v>196</v>
      </c>
      <c r="C210" s="4">
        <v>19.809999999999999</v>
      </c>
      <c r="D210" s="8">
        <v>515.05999999999995</v>
      </c>
      <c r="E210">
        <v>101.76</v>
      </c>
    </row>
    <row r="211" spans="1:5" x14ac:dyDescent="0.3">
      <c r="A211" t="s">
        <v>75</v>
      </c>
      <c r="B211" t="s">
        <v>88</v>
      </c>
      <c r="C211" s="4">
        <v>53.34</v>
      </c>
      <c r="D211" s="8">
        <v>906.78</v>
      </c>
      <c r="E211">
        <v>196.18</v>
      </c>
    </row>
    <row r="212" spans="1:5" x14ac:dyDescent="0.3">
      <c r="A212" t="s">
        <v>95</v>
      </c>
      <c r="B212" t="s">
        <v>63</v>
      </c>
      <c r="C212" s="4">
        <v>28.23</v>
      </c>
      <c r="D212" s="8">
        <v>479.91</v>
      </c>
      <c r="E212">
        <v>108.03</v>
      </c>
    </row>
    <row r="213" spans="1:5" x14ac:dyDescent="0.3">
      <c r="A213" t="s">
        <v>86</v>
      </c>
      <c r="B213" t="s">
        <v>170</v>
      </c>
      <c r="C213" s="4">
        <v>25.26</v>
      </c>
      <c r="D213" s="8">
        <v>1060.92</v>
      </c>
      <c r="E213">
        <v>227.87</v>
      </c>
    </row>
    <row r="214" spans="1:5" x14ac:dyDescent="0.3">
      <c r="A214" t="s">
        <v>68</v>
      </c>
      <c r="B214" t="s">
        <v>196</v>
      </c>
      <c r="C214" s="4">
        <v>27.27</v>
      </c>
      <c r="D214" s="8">
        <v>54.54</v>
      </c>
      <c r="E214">
        <v>17.09</v>
      </c>
    </row>
    <row r="215" spans="1:5" x14ac:dyDescent="0.3">
      <c r="A215" t="s">
        <v>132</v>
      </c>
      <c r="B215" t="s">
        <v>88</v>
      </c>
      <c r="C215" s="4">
        <v>44.95</v>
      </c>
      <c r="D215" s="8">
        <v>2157.6</v>
      </c>
      <c r="E215">
        <v>665.19</v>
      </c>
    </row>
    <row r="216" spans="1:5" x14ac:dyDescent="0.3">
      <c r="A216" t="s">
        <v>75</v>
      </c>
      <c r="B216" t="s">
        <v>81</v>
      </c>
      <c r="C216" s="4">
        <v>28.6</v>
      </c>
      <c r="D216" s="8">
        <v>657.8</v>
      </c>
      <c r="E216">
        <v>184.44</v>
      </c>
    </row>
    <row r="217" spans="1:5" x14ac:dyDescent="0.3">
      <c r="A217" t="s">
        <v>132</v>
      </c>
      <c r="B217" t="s">
        <v>123</v>
      </c>
      <c r="C217" s="4">
        <v>26.1</v>
      </c>
      <c r="D217" s="8">
        <v>469.8</v>
      </c>
      <c r="E217">
        <v>171.28</v>
      </c>
    </row>
    <row r="218" spans="1:5" x14ac:dyDescent="0.3">
      <c r="A218" t="s">
        <v>39</v>
      </c>
      <c r="B218" t="s">
        <v>53</v>
      </c>
      <c r="C218" s="4">
        <v>37.450000000000003</v>
      </c>
      <c r="D218" s="8">
        <v>786.45</v>
      </c>
      <c r="E218">
        <v>136.05000000000001</v>
      </c>
    </row>
    <row r="219" spans="1:5" x14ac:dyDescent="0.3">
      <c r="A219" t="s">
        <v>78</v>
      </c>
      <c r="B219" t="s">
        <v>81</v>
      </c>
      <c r="C219" s="4">
        <v>28.54</v>
      </c>
      <c r="D219" s="8">
        <v>713.5</v>
      </c>
      <c r="E219">
        <v>163.12</v>
      </c>
    </row>
    <row r="220" spans="1:5" x14ac:dyDescent="0.3">
      <c r="A220" t="s">
        <v>26</v>
      </c>
      <c r="B220" t="s">
        <v>19</v>
      </c>
      <c r="C220" s="4">
        <v>38.07</v>
      </c>
      <c r="D220" s="8">
        <v>418.77</v>
      </c>
      <c r="E220">
        <v>114.75</v>
      </c>
    </row>
    <row r="221" spans="1:5" x14ac:dyDescent="0.3">
      <c r="A221" t="s">
        <v>39</v>
      </c>
      <c r="B221" t="s">
        <v>48</v>
      </c>
      <c r="C221" s="4">
        <v>19.32</v>
      </c>
      <c r="D221" s="8">
        <v>347.76</v>
      </c>
      <c r="E221">
        <v>47.42</v>
      </c>
    </row>
    <row r="222" spans="1:5" x14ac:dyDescent="0.3">
      <c r="A222" t="s">
        <v>56</v>
      </c>
      <c r="B222" t="s">
        <v>28</v>
      </c>
      <c r="C222" s="4">
        <v>50.02</v>
      </c>
      <c r="D222" s="8">
        <v>2100.84</v>
      </c>
      <c r="E222">
        <v>835.19</v>
      </c>
    </row>
    <row r="223" spans="1:5" x14ac:dyDescent="0.3">
      <c r="A223" t="s">
        <v>17</v>
      </c>
      <c r="B223" t="s">
        <v>147</v>
      </c>
      <c r="C223" s="4">
        <v>49.39</v>
      </c>
      <c r="D223" s="8">
        <v>642.07000000000005</v>
      </c>
      <c r="E223">
        <v>239.75</v>
      </c>
    </row>
    <row r="224" spans="1:5" x14ac:dyDescent="0.3">
      <c r="A224" t="s">
        <v>61</v>
      </c>
      <c r="B224" t="s">
        <v>28</v>
      </c>
      <c r="C224" s="4">
        <v>22.86</v>
      </c>
      <c r="D224" s="8">
        <v>342.9</v>
      </c>
      <c r="E224">
        <v>45.74</v>
      </c>
    </row>
    <row r="225" spans="1:5" x14ac:dyDescent="0.3">
      <c r="A225" t="s">
        <v>68</v>
      </c>
      <c r="B225" t="s">
        <v>196</v>
      </c>
      <c r="C225" s="4">
        <v>37.270000000000003</v>
      </c>
      <c r="D225" s="8">
        <v>1378.99</v>
      </c>
      <c r="E225">
        <v>361.07</v>
      </c>
    </row>
    <row r="226" spans="1:5" x14ac:dyDescent="0.3">
      <c r="A226" t="s">
        <v>86</v>
      </c>
      <c r="B226" t="s">
        <v>123</v>
      </c>
      <c r="C226" s="4">
        <v>54.05</v>
      </c>
      <c r="D226" s="8">
        <v>2648.45</v>
      </c>
      <c r="E226">
        <v>866.65</v>
      </c>
    </row>
    <row r="227" spans="1:5" x14ac:dyDescent="0.3">
      <c r="A227" t="s">
        <v>71</v>
      </c>
      <c r="B227" t="s">
        <v>28</v>
      </c>
      <c r="C227" s="4">
        <v>20.059999999999999</v>
      </c>
      <c r="D227" s="8">
        <v>661.98</v>
      </c>
      <c r="E227">
        <v>191.21</v>
      </c>
    </row>
    <row r="228" spans="1:5" x14ac:dyDescent="0.3">
      <c r="A228" t="s">
        <v>132</v>
      </c>
      <c r="B228" t="s">
        <v>170</v>
      </c>
      <c r="C228" s="4">
        <v>35.68</v>
      </c>
      <c r="D228" s="8">
        <v>1748.32</v>
      </c>
      <c r="E228">
        <v>251.85</v>
      </c>
    </row>
    <row r="229" spans="1:5" x14ac:dyDescent="0.3">
      <c r="A229" t="s">
        <v>104</v>
      </c>
      <c r="B229" t="s">
        <v>196</v>
      </c>
      <c r="C229" s="4">
        <v>30.89</v>
      </c>
      <c r="D229" s="8">
        <v>710.47</v>
      </c>
      <c r="E229">
        <v>116.73</v>
      </c>
    </row>
    <row r="230" spans="1:5" x14ac:dyDescent="0.3">
      <c r="A230" t="s">
        <v>39</v>
      </c>
      <c r="B230" t="s">
        <v>123</v>
      </c>
      <c r="C230" s="4">
        <v>59.6</v>
      </c>
      <c r="D230" s="8">
        <v>834.4</v>
      </c>
      <c r="E230">
        <v>325.29000000000002</v>
      </c>
    </row>
    <row r="231" spans="1:5" x14ac:dyDescent="0.3">
      <c r="A231" t="s">
        <v>26</v>
      </c>
      <c r="B231" t="s">
        <v>170</v>
      </c>
      <c r="C231" s="4">
        <v>28.36</v>
      </c>
      <c r="D231" s="8">
        <v>85.08</v>
      </c>
      <c r="E231">
        <v>13.12</v>
      </c>
    </row>
    <row r="232" spans="1:5" x14ac:dyDescent="0.3">
      <c r="A232" t="s">
        <v>132</v>
      </c>
      <c r="B232" t="s">
        <v>170</v>
      </c>
      <c r="C232" s="4">
        <v>22.13</v>
      </c>
      <c r="D232" s="8">
        <v>619.64</v>
      </c>
      <c r="E232">
        <v>245.44</v>
      </c>
    </row>
    <row r="233" spans="1:5" x14ac:dyDescent="0.3">
      <c r="A233" t="s">
        <v>78</v>
      </c>
      <c r="B233" t="s">
        <v>19</v>
      </c>
      <c r="C233" s="4">
        <v>27.62</v>
      </c>
      <c r="D233" s="8">
        <v>773.36</v>
      </c>
      <c r="E233">
        <v>239.48</v>
      </c>
    </row>
    <row r="234" spans="1:5" x14ac:dyDescent="0.3">
      <c r="A234" t="s">
        <v>104</v>
      </c>
      <c r="B234" t="s">
        <v>48</v>
      </c>
      <c r="C234" s="4">
        <v>34.229999999999997</v>
      </c>
      <c r="D234" s="8">
        <v>1369.2</v>
      </c>
      <c r="E234">
        <v>291.17</v>
      </c>
    </row>
    <row r="235" spans="1:5" x14ac:dyDescent="0.3">
      <c r="A235" t="s">
        <v>17</v>
      </c>
      <c r="B235" t="s">
        <v>91</v>
      </c>
      <c r="C235" s="4">
        <v>52.2</v>
      </c>
      <c r="D235" s="8">
        <v>469.8</v>
      </c>
      <c r="E235">
        <v>78.3</v>
      </c>
    </row>
    <row r="236" spans="1:5" x14ac:dyDescent="0.3">
      <c r="A236" t="s">
        <v>104</v>
      </c>
      <c r="B236" t="s">
        <v>123</v>
      </c>
      <c r="C236" s="4">
        <v>43.54</v>
      </c>
      <c r="D236" s="8">
        <v>1349.74</v>
      </c>
      <c r="E236">
        <v>474.88</v>
      </c>
    </row>
    <row r="237" spans="1:5" x14ac:dyDescent="0.3">
      <c r="A237" t="s">
        <v>61</v>
      </c>
      <c r="B237" t="s">
        <v>88</v>
      </c>
      <c r="C237" s="4">
        <v>18.63</v>
      </c>
      <c r="D237" s="8">
        <v>577.53</v>
      </c>
      <c r="E237">
        <v>60.38</v>
      </c>
    </row>
    <row r="238" spans="1:5" x14ac:dyDescent="0.3">
      <c r="A238" t="s">
        <v>83</v>
      </c>
      <c r="B238" t="s">
        <v>91</v>
      </c>
      <c r="C238" s="4">
        <v>27.28</v>
      </c>
      <c r="D238" s="8">
        <v>1036.6400000000001</v>
      </c>
      <c r="E238">
        <v>237.87</v>
      </c>
    </row>
    <row r="239" spans="1:5" x14ac:dyDescent="0.3">
      <c r="A239" t="s">
        <v>132</v>
      </c>
      <c r="B239" t="s">
        <v>41</v>
      </c>
      <c r="C239" s="4">
        <v>30.97</v>
      </c>
      <c r="D239" s="8">
        <v>1548.5</v>
      </c>
      <c r="E239">
        <v>566.41</v>
      </c>
    </row>
    <row r="240" spans="1:5" x14ac:dyDescent="0.3">
      <c r="A240" t="s">
        <v>83</v>
      </c>
      <c r="B240" t="s">
        <v>91</v>
      </c>
      <c r="C240" s="4">
        <v>60.91</v>
      </c>
      <c r="D240" s="8">
        <v>1035.47</v>
      </c>
      <c r="E240">
        <v>301.38</v>
      </c>
    </row>
    <row r="241" spans="1:5" x14ac:dyDescent="0.3">
      <c r="A241" t="s">
        <v>61</v>
      </c>
      <c r="B241" t="s">
        <v>63</v>
      </c>
      <c r="C241" s="4">
        <v>31.15</v>
      </c>
      <c r="D241" s="8">
        <v>778.75</v>
      </c>
      <c r="E241">
        <v>231.3</v>
      </c>
    </row>
    <row r="242" spans="1:5" x14ac:dyDescent="0.3">
      <c r="A242" t="s">
        <v>95</v>
      </c>
      <c r="B242" t="s">
        <v>123</v>
      </c>
      <c r="C242" s="4">
        <v>31.12</v>
      </c>
      <c r="D242" s="8">
        <v>933.6</v>
      </c>
      <c r="E242">
        <v>342.72</v>
      </c>
    </row>
    <row r="243" spans="1:5" x14ac:dyDescent="0.3">
      <c r="A243" t="s">
        <v>26</v>
      </c>
      <c r="B243" t="s">
        <v>53</v>
      </c>
      <c r="C243" s="4">
        <v>19.64</v>
      </c>
      <c r="D243" s="8">
        <v>333.88</v>
      </c>
      <c r="E243">
        <v>48.15</v>
      </c>
    </row>
    <row r="244" spans="1:5" x14ac:dyDescent="0.3">
      <c r="A244" t="s">
        <v>56</v>
      </c>
      <c r="B244" t="s">
        <v>19</v>
      </c>
      <c r="C244" s="4">
        <v>57.35</v>
      </c>
      <c r="D244" s="8">
        <v>2121.9499999999998</v>
      </c>
      <c r="E244">
        <v>790.56</v>
      </c>
    </row>
    <row r="245" spans="1:5" x14ac:dyDescent="0.3">
      <c r="A245" t="s">
        <v>26</v>
      </c>
      <c r="B245" t="s">
        <v>36</v>
      </c>
      <c r="C245" s="4">
        <v>42.6</v>
      </c>
      <c r="D245" s="8">
        <v>1917</v>
      </c>
      <c r="E245">
        <v>237.73</v>
      </c>
    </row>
    <row r="246" spans="1:5" x14ac:dyDescent="0.3">
      <c r="A246" t="s">
        <v>56</v>
      </c>
      <c r="B246" t="s">
        <v>28</v>
      </c>
      <c r="C246" s="4">
        <v>31.82</v>
      </c>
      <c r="D246" s="8">
        <v>795.5</v>
      </c>
      <c r="E246">
        <v>258.17</v>
      </c>
    </row>
    <row r="247" spans="1:5" x14ac:dyDescent="0.3">
      <c r="A247" t="s">
        <v>61</v>
      </c>
      <c r="B247" t="s">
        <v>196</v>
      </c>
      <c r="C247" s="4">
        <v>36.270000000000003</v>
      </c>
      <c r="D247" s="8">
        <v>616.59</v>
      </c>
      <c r="E247">
        <v>168.83</v>
      </c>
    </row>
    <row r="248" spans="1:5" x14ac:dyDescent="0.3">
      <c r="A248" t="s">
        <v>132</v>
      </c>
      <c r="B248" t="s">
        <v>88</v>
      </c>
      <c r="C248" s="4">
        <v>27.01</v>
      </c>
      <c r="D248" s="8">
        <v>108.04</v>
      </c>
      <c r="E248">
        <v>31.31</v>
      </c>
    </row>
    <row r="249" spans="1:5" x14ac:dyDescent="0.3">
      <c r="A249" t="s">
        <v>107</v>
      </c>
      <c r="B249" t="s">
        <v>53</v>
      </c>
      <c r="C249" s="4">
        <v>57.6</v>
      </c>
      <c r="D249" s="8">
        <v>1267.2</v>
      </c>
      <c r="E249">
        <v>461.88</v>
      </c>
    </row>
    <row r="250" spans="1:5" x14ac:dyDescent="0.3">
      <c r="A250" t="s">
        <v>157</v>
      </c>
      <c r="B250" t="s">
        <v>170</v>
      </c>
      <c r="C250" s="4">
        <v>43.34</v>
      </c>
      <c r="D250" s="8">
        <v>1040.1600000000001</v>
      </c>
      <c r="E250">
        <v>398.98</v>
      </c>
    </row>
    <row r="251" spans="1:5" x14ac:dyDescent="0.3">
      <c r="A251" t="s">
        <v>26</v>
      </c>
      <c r="B251" t="s">
        <v>53</v>
      </c>
      <c r="C251" s="4">
        <v>71.8</v>
      </c>
      <c r="D251" s="8">
        <v>2656.6</v>
      </c>
      <c r="E251">
        <v>1116.3</v>
      </c>
    </row>
    <row r="252" spans="1:5" x14ac:dyDescent="0.3">
      <c r="A252" t="s">
        <v>56</v>
      </c>
      <c r="B252" t="s">
        <v>88</v>
      </c>
      <c r="C252" s="4">
        <v>29.11</v>
      </c>
      <c r="D252" s="8">
        <v>698.64</v>
      </c>
      <c r="E252">
        <v>164.65</v>
      </c>
    </row>
    <row r="253" spans="1:5" x14ac:dyDescent="0.3">
      <c r="A253" t="s">
        <v>157</v>
      </c>
      <c r="B253" t="s">
        <v>91</v>
      </c>
      <c r="C253" s="4">
        <v>27.91</v>
      </c>
      <c r="D253" s="8">
        <v>167.46</v>
      </c>
      <c r="E253">
        <v>22.45</v>
      </c>
    </row>
    <row r="254" spans="1:5" x14ac:dyDescent="0.3">
      <c r="A254" t="s">
        <v>83</v>
      </c>
      <c r="B254" t="s">
        <v>63</v>
      </c>
      <c r="C254" s="4">
        <v>27.29</v>
      </c>
      <c r="D254" s="8">
        <v>764.12</v>
      </c>
      <c r="E254">
        <v>108.34</v>
      </c>
    </row>
    <row r="255" spans="1:5" x14ac:dyDescent="0.3">
      <c r="A255" t="s">
        <v>83</v>
      </c>
      <c r="B255" t="s">
        <v>53</v>
      </c>
      <c r="C255" s="4">
        <v>35.880000000000003</v>
      </c>
      <c r="D255" s="8">
        <v>1686.36</v>
      </c>
      <c r="E255">
        <v>558.55999999999995</v>
      </c>
    </row>
    <row r="256" spans="1:5" x14ac:dyDescent="0.3">
      <c r="A256" t="s">
        <v>56</v>
      </c>
      <c r="B256" t="s">
        <v>123</v>
      </c>
      <c r="C256" s="4">
        <v>27.47</v>
      </c>
      <c r="D256" s="8">
        <v>521.92999999999995</v>
      </c>
      <c r="E256">
        <v>196.14</v>
      </c>
    </row>
    <row r="257" spans="1:5" x14ac:dyDescent="0.3">
      <c r="A257" t="s">
        <v>132</v>
      </c>
      <c r="B257" t="s">
        <v>147</v>
      </c>
      <c r="C257" s="4">
        <v>29.26</v>
      </c>
      <c r="D257" s="8">
        <v>380.38</v>
      </c>
      <c r="E257">
        <v>110.91</v>
      </c>
    </row>
    <row r="258" spans="1:5" x14ac:dyDescent="0.3">
      <c r="A258" t="s">
        <v>17</v>
      </c>
      <c r="B258" t="s">
        <v>170</v>
      </c>
      <c r="C258" s="4">
        <v>26.17</v>
      </c>
      <c r="D258" s="8">
        <v>104.68</v>
      </c>
      <c r="E258">
        <v>26.35</v>
      </c>
    </row>
    <row r="259" spans="1:5" x14ac:dyDescent="0.3">
      <c r="A259" t="s">
        <v>157</v>
      </c>
      <c r="B259" t="s">
        <v>170</v>
      </c>
      <c r="C259" s="4">
        <v>37.32</v>
      </c>
      <c r="D259" s="8">
        <v>1604.76</v>
      </c>
      <c r="E259">
        <v>576.25</v>
      </c>
    </row>
    <row r="260" spans="1:5" x14ac:dyDescent="0.3">
      <c r="A260" t="s">
        <v>68</v>
      </c>
      <c r="B260" t="s">
        <v>101</v>
      </c>
      <c r="C260" s="4">
        <v>23.05</v>
      </c>
      <c r="D260" s="8">
        <v>622.35</v>
      </c>
      <c r="E260">
        <v>115.91</v>
      </c>
    </row>
    <row r="261" spans="1:5" x14ac:dyDescent="0.3">
      <c r="A261" t="s">
        <v>39</v>
      </c>
      <c r="B261" t="s">
        <v>91</v>
      </c>
      <c r="C261" s="4">
        <v>19.02</v>
      </c>
      <c r="D261" s="8">
        <v>722.76</v>
      </c>
      <c r="E261">
        <v>223.63</v>
      </c>
    </row>
    <row r="262" spans="1:5" x14ac:dyDescent="0.3">
      <c r="A262" t="s">
        <v>56</v>
      </c>
      <c r="B262" t="s">
        <v>48</v>
      </c>
      <c r="C262" s="4">
        <v>70.94</v>
      </c>
      <c r="D262" s="8">
        <v>709.4</v>
      </c>
      <c r="E262">
        <v>290.76</v>
      </c>
    </row>
    <row r="263" spans="1:5" x14ac:dyDescent="0.3">
      <c r="A263" t="s">
        <v>157</v>
      </c>
      <c r="B263" t="s">
        <v>81</v>
      </c>
      <c r="C263" s="4">
        <v>38.28</v>
      </c>
      <c r="D263" s="8">
        <v>650.76</v>
      </c>
      <c r="E263">
        <v>187.33</v>
      </c>
    </row>
    <row r="264" spans="1:5" x14ac:dyDescent="0.3">
      <c r="A264" t="s">
        <v>68</v>
      </c>
      <c r="B264" t="s">
        <v>19</v>
      </c>
      <c r="C264" s="4">
        <v>38.799999999999997</v>
      </c>
      <c r="D264" s="8">
        <v>388</v>
      </c>
      <c r="E264">
        <v>51.61</v>
      </c>
    </row>
    <row r="265" spans="1:5" x14ac:dyDescent="0.3">
      <c r="A265" t="s">
        <v>107</v>
      </c>
      <c r="B265" t="s">
        <v>63</v>
      </c>
      <c r="C265" s="4">
        <v>33.840000000000003</v>
      </c>
      <c r="D265" s="8">
        <v>101.52</v>
      </c>
      <c r="E265">
        <v>24.2</v>
      </c>
    </row>
    <row r="266" spans="1:5" x14ac:dyDescent="0.3">
      <c r="A266" t="s">
        <v>86</v>
      </c>
      <c r="B266" t="s">
        <v>170</v>
      </c>
      <c r="C266" s="4">
        <v>21.12</v>
      </c>
      <c r="D266" s="8">
        <v>422.4</v>
      </c>
      <c r="E266">
        <v>90.32</v>
      </c>
    </row>
    <row r="267" spans="1:5" x14ac:dyDescent="0.3">
      <c r="A267" t="s">
        <v>78</v>
      </c>
      <c r="B267" t="s">
        <v>101</v>
      </c>
      <c r="C267" s="4">
        <v>58.15</v>
      </c>
      <c r="D267" s="8">
        <v>58.15</v>
      </c>
      <c r="E267">
        <v>18.95</v>
      </c>
    </row>
    <row r="268" spans="1:5" x14ac:dyDescent="0.3">
      <c r="A268" t="s">
        <v>86</v>
      </c>
      <c r="B268" t="s">
        <v>41</v>
      </c>
      <c r="C268" s="4">
        <v>45.96</v>
      </c>
      <c r="D268" s="8">
        <v>1470.72</v>
      </c>
      <c r="E268">
        <v>363.95</v>
      </c>
    </row>
    <row r="269" spans="1:5" x14ac:dyDescent="0.3">
      <c r="A269" t="s">
        <v>75</v>
      </c>
      <c r="B269" t="s">
        <v>36</v>
      </c>
      <c r="C269" s="4">
        <v>16.82</v>
      </c>
      <c r="D269" s="8">
        <v>622.34</v>
      </c>
      <c r="E269">
        <v>117.69</v>
      </c>
    </row>
    <row r="270" spans="1:5" x14ac:dyDescent="0.3">
      <c r="A270" t="s">
        <v>34</v>
      </c>
      <c r="B270" t="s">
        <v>36</v>
      </c>
      <c r="C270" s="4">
        <v>54.62</v>
      </c>
      <c r="D270" s="8">
        <v>983.16</v>
      </c>
      <c r="E270">
        <v>384.55</v>
      </c>
    </row>
    <row r="271" spans="1:5" x14ac:dyDescent="0.3">
      <c r="A271" t="s">
        <v>104</v>
      </c>
      <c r="B271" t="s">
        <v>36</v>
      </c>
      <c r="C271" s="4">
        <v>22.83</v>
      </c>
      <c r="D271" s="8">
        <v>684.9</v>
      </c>
      <c r="E271">
        <v>270.08999999999997</v>
      </c>
    </row>
    <row r="272" spans="1:5" x14ac:dyDescent="0.3">
      <c r="A272" t="s">
        <v>78</v>
      </c>
      <c r="B272" t="s">
        <v>123</v>
      </c>
      <c r="C272" s="4">
        <v>47.02</v>
      </c>
      <c r="D272" s="8">
        <v>1833.78</v>
      </c>
      <c r="E272">
        <v>535.77</v>
      </c>
    </row>
    <row r="273" spans="1:5" x14ac:dyDescent="0.3">
      <c r="A273" t="s">
        <v>75</v>
      </c>
      <c r="B273" t="s">
        <v>19</v>
      </c>
      <c r="C273" s="4">
        <v>43.32</v>
      </c>
      <c r="D273" s="8">
        <v>953.04</v>
      </c>
      <c r="E273">
        <v>265.74</v>
      </c>
    </row>
    <row r="274" spans="1:5" x14ac:dyDescent="0.3">
      <c r="A274" t="s">
        <v>39</v>
      </c>
      <c r="B274" t="s">
        <v>91</v>
      </c>
      <c r="C274" s="4">
        <v>31.69</v>
      </c>
      <c r="D274" s="8">
        <v>190.14</v>
      </c>
      <c r="E274">
        <v>42.62</v>
      </c>
    </row>
    <row r="275" spans="1:5" x14ac:dyDescent="0.3">
      <c r="A275" t="s">
        <v>56</v>
      </c>
      <c r="B275" t="s">
        <v>170</v>
      </c>
      <c r="C275" s="4">
        <v>53.28</v>
      </c>
      <c r="D275" s="8">
        <v>1012.32</v>
      </c>
      <c r="E275">
        <v>320.08</v>
      </c>
    </row>
    <row r="276" spans="1:5" x14ac:dyDescent="0.3">
      <c r="A276" t="s">
        <v>107</v>
      </c>
      <c r="B276" t="s">
        <v>19</v>
      </c>
      <c r="C276" s="4">
        <v>47.53</v>
      </c>
      <c r="D276" s="8">
        <v>2233.91</v>
      </c>
      <c r="E276">
        <v>460</v>
      </c>
    </row>
    <row r="277" spans="1:5" x14ac:dyDescent="0.3">
      <c r="A277" t="s">
        <v>132</v>
      </c>
      <c r="B277" t="s">
        <v>81</v>
      </c>
      <c r="C277" s="4">
        <v>24.02</v>
      </c>
      <c r="D277" s="8">
        <v>288.24</v>
      </c>
      <c r="E277">
        <v>38.44</v>
      </c>
    </row>
    <row r="278" spans="1:5" x14ac:dyDescent="0.3">
      <c r="A278" t="s">
        <v>17</v>
      </c>
      <c r="B278" t="s">
        <v>81</v>
      </c>
      <c r="C278" s="4">
        <v>15.64</v>
      </c>
      <c r="D278" s="8">
        <v>500.48</v>
      </c>
      <c r="E278">
        <v>67.790000000000006</v>
      </c>
    </row>
    <row r="279" spans="1:5" x14ac:dyDescent="0.3">
      <c r="A279" t="s">
        <v>39</v>
      </c>
      <c r="B279" t="s">
        <v>147</v>
      </c>
      <c r="C279" s="4">
        <v>42.54</v>
      </c>
      <c r="D279" s="8">
        <v>935.88</v>
      </c>
      <c r="E279">
        <v>186.51</v>
      </c>
    </row>
    <row r="280" spans="1:5" x14ac:dyDescent="0.3">
      <c r="A280" t="s">
        <v>56</v>
      </c>
      <c r="B280" t="s">
        <v>196</v>
      </c>
      <c r="C280" s="4">
        <v>43.55</v>
      </c>
      <c r="D280" s="8">
        <v>1611.35</v>
      </c>
      <c r="E280">
        <v>618.57000000000005</v>
      </c>
    </row>
    <row r="281" spans="1:5" x14ac:dyDescent="0.3">
      <c r="A281" t="s">
        <v>71</v>
      </c>
      <c r="B281" t="s">
        <v>41</v>
      </c>
      <c r="C281" s="4">
        <v>20.260000000000002</v>
      </c>
      <c r="D281" s="8">
        <v>850.92</v>
      </c>
      <c r="E281">
        <v>177.49</v>
      </c>
    </row>
    <row r="282" spans="1:5" x14ac:dyDescent="0.3">
      <c r="A282" t="s">
        <v>61</v>
      </c>
      <c r="B282" t="s">
        <v>48</v>
      </c>
      <c r="C282" s="4">
        <v>24.08</v>
      </c>
      <c r="D282" s="8">
        <v>1035.44</v>
      </c>
      <c r="E282">
        <v>226.37</v>
      </c>
    </row>
    <row r="283" spans="1:5" x14ac:dyDescent="0.3">
      <c r="A283" t="s">
        <v>56</v>
      </c>
      <c r="B283" t="s">
        <v>170</v>
      </c>
      <c r="C283" s="4">
        <v>69.010000000000005</v>
      </c>
      <c r="D283" s="8">
        <v>966.14</v>
      </c>
      <c r="E283">
        <v>373.47</v>
      </c>
    </row>
    <row r="284" spans="1:5" x14ac:dyDescent="0.3">
      <c r="A284" t="s">
        <v>107</v>
      </c>
      <c r="B284" t="s">
        <v>147</v>
      </c>
      <c r="C284" s="4">
        <v>28.29</v>
      </c>
      <c r="D284" s="8">
        <v>820.41</v>
      </c>
      <c r="E284">
        <v>177.26</v>
      </c>
    </row>
    <row r="285" spans="1:5" x14ac:dyDescent="0.3">
      <c r="A285" t="s">
        <v>157</v>
      </c>
      <c r="B285" t="s">
        <v>53</v>
      </c>
      <c r="C285" s="4">
        <v>26.51</v>
      </c>
      <c r="D285" s="8">
        <v>768.79</v>
      </c>
      <c r="E285">
        <v>303.63</v>
      </c>
    </row>
    <row r="286" spans="1:5" x14ac:dyDescent="0.3">
      <c r="A286" t="s">
        <v>78</v>
      </c>
      <c r="B286" t="s">
        <v>48</v>
      </c>
      <c r="C286" s="4">
        <v>58.07</v>
      </c>
      <c r="D286" s="8">
        <v>638.77</v>
      </c>
      <c r="E286">
        <v>209.88</v>
      </c>
    </row>
    <row r="287" spans="1:5" x14ac:dyDescent="0.3">
      <c r="A287" t="s">
        <v>61</v>
      </c>
      <c r="B287" t="s">
        <v>28</v>
      </c>
      <c r="C287" s="4">
        <v>48.76</v>
      </c>
      <c r="D287" s="8">
        <v>146.28</v>
      </c>
      <c r="E287">
        <v>39.83</v>
      </c>
    </row>
    <row r="288" spans="1:5" x14ac:dyDescent="0.3">
      <c r="A288" t="s">
        <v>107</v>
      </c>
      <c r="B288" t="s">
        <v>196</v>
      </c>
      <c r="C288" s="4">
        <v>30.46</v>
      </c>
      <c r="D288" s="8">
        <v>1492.54</v>
      </c>
      <c r="E288">
        <v>460.72</v>
      </c>
    </row>
    <row r="289" spans="1:5" x14ac:dyDescent="0.3">
      <c r="A289" t="s">
        <v>68</v>
      </c>
      <c r="B289" t="s">
        <v>63</v>
      </c>
      <c r="C289" s="4">
        <v>35.21</v>
      </c>
      <c r="D289" s="8">
        <v>880.25</v>
      </c>
      <c r="E289">
        <v>140.44999999999999</v>
      </c>
    </row>
    <row r="290" spans="1:5" x14ac:dyDescent="0.3">
      <c r="A290" t="s">
        <v>157</v>
      </c>
      <c r="B290" t="s">
        <v>19</v>
      </c>
      <c r="C290" s="4">
        <v>44.82</v>
      </c>
      <c r="D290" s="8">
        <v>1658.34</v>
      </c>
      <c r="E290">
        <v>556.59</v>
      </c>
    </row>
    <row r="291" spans="1:5" x14ac:dyDescent="0.3">
      <c r="A291" t="s">
        <v>56</v>
      </c>
      <c r="B291" t="s">
        <v>170</v>
      </c>
      <c r="C291" s="4">
        <v>18.75</v>
      </c>
      <c r="D291" s="8">
        <v>206.25</v>
      </c>
      <c r="E291">
        <v>24.08</v>
      </c>
    </row>
    <row r="292" spans="1:5" x14ac:dyDescent="0.3">
      <c r="A292" t="s">
        <v>83</v>
      </c>
      <c r="B292" t="s">
        <v>41</v>
      </c>
      <c r="C292" s="4">
        <v>31.66</v>
      </c>
      <c r="D292" s="8">
        <v>1171.42</v>
      </c>
      <c r="E292">
        <v>372.47</v>
      </c>
    </row>
    <row r="293" spans="1:5" x14ac:dyDescent="0.3">
      <c r="A293" t="s">
        <v>95</v>
      </c>
      <c r="B293" t="s">
        <v>28</v>
      </c>
      <c r="C293" s="4">
        <v>32.74</v>
      </c>
      <c r="D293" s="8">
        <v>556.58000000000004</v>
      </c>
      <c r="E293">
        <v>201.9</v>
      </c>
    </row>
    <row r="294" spans="1:5" x14ac:dyDescent="0.3">
      <c r="A294" t="s">
        <v>34</v>
      </c>
      <c r="B294" t="s">
        <v>19</v>
      </c>
      <c r="C294" s="4">
        <v>46.64</v>
      </c>
      <c r="D294" s="8">
        <v>326.48</v>
      </c>
      <c r="E294">
        <v>105.29</v>
      </c>
    </row>
    <row r="295" spans="1:5" x14ac:dyDescent="0.3">
      <c r="A295" t="s">
        <v>26</v>
      </c>
      <c r="B295" t="s">
        <v>88</v>
      </c>
      <c r="C295" s="4">
        <v>24.77</v>
      </c>
      <c r="D295" s="8">
        <v>396.32</v>
      </c>
      <c r="E295">
        <v>92.72</v>
      </c>
    </row>
    <row r="296" spans="1:5" x14ac:dyDescent="0.3">
      <c r="A296" t="s">
        <v>75</v>
      </c>
      <c r="B296" t="s">
        <v>53</v>
      </c>
      <c r="C296" s="4">
        <v>56.5</v>
      </c>
      <c r="D296" s="8">
        <v>2203.5</v>
      </c>
      <c r="E296">
        <v>501.92</v>
      </c>
    </row>
    <row r="297" spans="1:5" x14ac:dyDescent="0.3">
      <c r="A297" t="s">
        <v>68</v>
      </c>
      <c r="B297" t="s">
        <v>196</v>
      </c>
      <c r="C297" s="4">
        <v>24.01</v>
      </c>
      <c r="D297" s="8">
        <v>24.01</v>
      </c>
      <c r="E297">
        <v>6.93</v>
      </c>
    </row>
    <row r="298" spans="1:5" x14ac:dyDescent="0.3">
      <c r="A298" t="s">
        <v>78</v>
      </c>
      <c r="B298" t="s">
        <v>196</v>
      </c>
      <c r="C298" s="4">
        <v>35.99</v>
      </c>
      <c r="D298" s="8">
        <v>1619.55</v>
      </c>
      <c r="E298">
        <v>444.6</v>
      </c>
    </row>
    <row r="299" spans="1:5" x14ac:dyDescent="0.3">
      <c r="A299" t="s">
        <v>26</v>
      </c>
      <c r="B299" t="s">
        <v>81</v>
      </c>
      <c r="C299" s="4">
        <v>25.45</v>
      </c>
      <c r="D299" s="8">
        <v>127.25</v>
      </c>
      <c r="E299">
        <v>20.03</v>
      </c>
    </row>
    <row r="300" spans="1:5" x14ac:dyDescent="0.3">
      <c r="A300" t="s">
        <v>17</v>
      </c>
      <c r="B300" t="s">
        <v>91</v>
      </c>
      <c r="C300" s="4">
        <v>19.53</v>
      </c>
      <c r="D300" s="8">
        <v>468.72</v>
      </c>
      <c r="E300">
        <v>82.6</v>
      </c>
    </row>
    <row r="301" spans="1:5" x14ac:dyDescent="0.3">
      <c r="A301" t="s">
        <v>17</v>
      </c>
      <c r="B301" t="s">
        <v>48</v>
      </c>
      <c r="C301" s="4">
        <v>22.33</v>
      </c>
      <c r="D301" s="8">
        <v>625.24</v>
      </c>
      <c r="E301">
        <v>224</v>
      </c>
    </row>
    <row r="302" spans="1:5" x14ac:dyDescent="0.3">
      <c r="A302" t="s">
        <v>132</v>
      </c>
      <c r="B302" t="s">
        <v>36</v>
      </c>
      <c r="C302" s="4">
        <v>39.31</v>
      </c>
      <c r="D302" s="8">
        <v>1926.19</v>
      </c>
      <c r="E302">
        <v>288.49</v>
      </c>
    </row>
    <row r="303" spans="1:5" x14ac:dyDescent="0.3">
      <c r="A303" t="s">
        <v>95</v>
      </c>
      <c r="B303" t="s">
        <v>196</v>
      </c>
      <c r="C303" s="4">
        <v>22.95</v>
      </c>
      <c r="D303" s="8">
        <v>137.69999999999999</v>
      </c>
      <c r="E303">
        <v>39.07</v>
      </c>
    </row>
    <row r="304" spans="1:5" x14ac:dyDescent="0.3">
      <c r="A304" t="s">
        <v>56</v>
      </c>
      <c r="B304" t="s">
        <v>53</v>
      </c>
      <c r="C304" s="4">
        <v>27.72</v>
      </c>
      <c r="D304" s="8">
        <v>970.2</v>
      </c>
      <c r="E304">
        <v>208.46</v>
      </c>
    </row>
    <row r="305" spans="1:5" x14ac:dyDescent="0.3">
      <c r="A305" t="s">
        <v>39</v>
      </c>
      <c r="B305" t="s">
        <v>63</v>
      </c>
      <c r="C305" s="4">
        <v>64.75</v>
      </c>
      <c r="D305" s="8">
        <v>2201.5</v>
      </c>
      <c r="E305">
        <v>773.45</v>
      </c>
    </row>
    <row r="306" spans="1:5" x14ac:dyDescent="0.3">
      <c r="A306" t="s">
        <v>75</v>
      </c>
      <c r="B306" t="s">
        <v>147</v>
      </c>
      <c r="C306" s="4">
        <v>26.02</v>
      </c>
      <c r="D306" s="8">
        <v>1274.98</v>
      </c>
      <c r="E306">
        <v>233.14</v>
      </c>
    </row>
    <row r="307" spans="1:5" x14ac:dyDescent="0.3">
      <c r="A307" t="s">
        <v>78</v>
      </c>
      <c r="B307" t="s">
        <v>41</v>
      </c>
      <c r="C307" s="4">
        <v>32.979999999999997</v>
      </c>
      <c r="D307" s="8">
        <v>32.979999999999997</v>
      </c>
      <c r="E307">
        <v>6.09</v>
      </c>
    </row>
    <row r="308" spans="1:5" x14ac:dyDescent="0.3">
      <c r="A308" t="s">
        <v>132</v>
      </c>
      <c r="B308" t="s">
        <v>41</v>
      </c>
      <c r="C308" s="4">
        <v>20.09</v>
      </c>
      <c r="D308" s="8">
        <v>361.62</v>
      </c>
      <c r="E308">
        <v>123.74</v>
      </c>
    </row>
    <row r="309" spans="1:5" x14ac:dyDescent="0.3">
      <c r="A309" t="s">
        <v>56</v>
      </c>
      <c r="B309" t="s">
        <v>196</v>
      </c>
      <c r="C309" s="4">
        <v>49.59</v>
      </c>
      <c r="D309" s="8">
        <v>1934.01</v>
      </c>
      <c r="E309">
        <v>506.22</v>
      </c>
    </row>
    <row r="310" spans="1:5" x14ac:dyDescent="0.3">
      <c r="A310" t="s">
        <v>75</v>
      </c>
      <c r="B310" t="s">
        <v>48</v>
      </c>
      <c r="C310" s="4">
        <v>41.99</v>
      </c>
      <c r="D310" s="8">
        <v>251.94</v>
      </c>
      <c r="E310">
        <v>49.18</v>
      </c>
    </row>
    <row r="311" spans="1:5" x14ac:dyDescent="0.3">
      <c r="A311" t="s">
        <v>107</v>
      </c>
      <c r="B311" t="s">
        <v>81</v>
      </c>
      <c r="C311" s="4">
        <v>47.4</v>
      </c>
      <c r="D311" s="8">
        <v>568.79999999999995</v>
      </c>
      <c r="E311">
        <v>125.49</v>
      </c>
    </row>
    <row r="312" spans="1:5" x14ac:dyDescent="0.3">
      <c r="A312" t="s">
        <v>95</v>
      </c>
      <c r="B312" t="s">
        <v>88</v>
      </c>
      <c r="C312" s="4">
        <v>34.28</v>
      </c>
      <c r="D312" s="8">
        <v>1714</v>
      </c>
      <c r="E312">
        <v>654.16</v>
      </c>
    </row>
    <row r="313" spans="1:5" x14ac:dyDescent="0.3">
      <c r="A313" t="s">
        <v>104</v>
      </c>
      <c r="B313" t="s">
        <v>101</v>
      </c>
      <c r="C313" s="4">
        <v>29.39</v>
      </c>
      <c r="D313" s="8">
        <v>1469.5</v>
      </c>
      <c r="E313">
        <v>467.99</v>
      </c>
    </row>
    <row r="314" spans="1:5" x14ac:dyDescent="0.3">
      <c r="A314" t="s">
        <v>71</v>
      </c>
      <c r="B314" t="s">
        <v>41</v>
      </c>
      <c r="C314" s="4">
        <v>30.34</v>
      </c>
      <c r="D314" s="8">
        <v>1395.64</v>
      </c>
      <c r="E314">
        <v>463.44</v>
      </c>
    </row>
    <row r="315" spans="1:5" x14ac:dyDescent="0.3">
      <c r="A315" t="s">
        <v>86</v>
      </c>
      <c r="B315" t="s">
        <v>81</v>
      </c>
      <c r="C315" s="4">
        <v>18.809999999999999</v>
      </c>
      <c r="D315" s="8">
        <v>940.5</v>
      </c>
      <c r="E315">
        <v>262.75</v>
      </c>
    </row>
    <row r="316" spans="1:5" x14ac:dyDescent="0.3">
      <c r="A316" t="s">
        <v>95</v>
      </c>
      <c r="B316" t="s">
        <v>147</v>
      </c>
      <c r="C316" s="4">
        <v>29.64</v>
      </c>
      <c r="D316" s="8">
        <v>59.28</v>
      </c>
      <c r="E316">
        <v>9.69</v>
      </c>
    </row>
    <row r="317" spans="1:5" x14ac:dyDescent="0.3">
      <c r="A317" t="s">
        <v>157</v>
      </c>
      <c r="B317" t="s">
        <v>81</v>
      </c>
      <c r="C317" s="4">
        <v>27.9</v>
      </c>
      <c r="D317" s="8">
        <v>1339.2</v>
      </c>
      <c r="E317">
        <v>192.89</v>
      </c>
    </row>
    <row r="318" spans="1:5" x14ac:dyDescent="0.3">
      <c r="A318" t="s">
        <v>78</v>
      </c>
      <c r="B318" t="s">
        <v>123</v>
      </c>
      <c r="C318" s="4">
        <v>38.520000000000003</v>
      </c>
      <c r="D318" s="8">
        <v>1078.56</v>
      </c>
      <c r="E318">
        <v>314.05</v>
      </c>
    </row>
    <row r="319" spans="1:5" x14ac:dyDescent="0.3">
      <c r="A319" t="s">
        <v>86</v>
      </c>
      <c r="B319" t="s">
        <v>28</v>
      </c>
      <c r="C319" s="4">
        <v>31.08</v>
      </c>
      <c r="D319" s="8">
        <v>341.88</v>
      </c>
      <c r="E319">
        <v>77.2</v>
      </c>
    </row>
    <row r="320" spans="1:5" x14ac:dyDescent="0.3">
      <c r="A320" t="s">
        <v>39</v>
      </c>
      <c r="B320" t="s">
        <v>53</v>
      </c>
      <c r="C320" s="4">
        <v>25.95</v>
      </c>
      <c r="D320" s="8">
        <v>1089.9000000000001</v>
      </c>
      <c r="E320">
        <v>222.4</v>
      </c>
    </row>
    <row r="321" spans="1:5" x14ac:dyDescent="0.3">
      <c r="A321" t="s">
        <v>71</v>
      </c>
      <c r="B321" t="s">
        <v>81</v>
      </c>
      <c r="C321" s="4">
        <v>30.16</v>
      </c>
      <c r="D321" s="8">
        <v>904.8</v>
      </c>
      <c r="E321">
        <v>84.67</v>
      </c>
    </row>
    <row r="322" spans="1:5" x14ac:dyDescent="0.3">
      <c r="A322" t="s">
        <v>95</v>
      </c>
      <c r="B322" t="s">
        <v>41</v>
      </c>
      <c r="C322" s="4">
        <v>30.03</v>
      </c>
      <c r="D322" s="8">
        <v>1201.2</v>
      </c>
      <c r="E322">
        <v>329.23</v>
      </c>
    </row>
    <row r="323" spans="1:5" x14ac:dyDescent="0.3">
      <c r="A323" t="s">
        <v>39</v>
      </c>
      <c r="B323" t="s">
        <v>101</v>
      </c>
      <c r="C323" s="4">
        <v>27.12</v>
      </c>
      <c r="D323" s="8">
        <v>406.8</v>
      </c>
      <c r="E323">
        <v>82.52</v>
      </c>
    </row>
    <row r="324" spans="1:5" x14ac:dyDescent="0.3">
      <c r="A324" t="s">
        <v>39</v>
      </c>
      <c r="B324" t="s">
        <v>123</v>
      </c>
      <c r="C324" s="4">
        <v>18.350000000000001</v>
      </c>
      <c r="D324" s="8">
        <v>642.25</v>
      </c>
      <c r="E324">
        <v>166.65</v>
      </c>
    </row>
    <row r="325" spans="1:5" x14ac:dyDescent="0.3">
      <c r="A325" t="s">
        <v>56</v>
      </c>
      <c r="B325" t="s">
        <v>101</v>
      </c>
      <c r="C325" s="4">
        <v>52.59</v>
      </c>
      <c r="D325" s="8">
        <v>1104.3900000000001</v>
      </c>
      <c r="E325">
        <v>312.33</v>
      </c>
    </row>
    <row r="326" spans="1:5" x14ac:dyDescent="0.3">
      <c r="A326" t="s">
        <v>68</v>
      </c>
      <c r="B326" t="s">
        <v>63</v>
      </c>
      <c r="C326" s="4">
        <v>44.2</v>
      </c>
      <c r="D326" s="8">
        <v>442</v>
      </c>
      <c r="E326">
        <v>143.55000000000001</v>
      </c>
    </row>
    <row r="327" spans="1:5" x14ac:dyDescent="0.3">
      <c r="A327" t="s">
        <v>78</v>
      </c>
      <c r="B327" t="s">
        <v>63</v>
      </c>
      <c r="C327" s="4">
        <v>60.9</v>
      </c>
      <c r="D327" s="8">
        <v>669.9</v>
      </c>
      <c r="E327">
        <v>258.62</v>
      </c>
    </row>
    <row r="328" spans="1:5" x14ac:dyDescent="0.3">
      <c r="A328" t="s">
        <v>68</v>
      </c>
      <c r="B328" t="s">
        <v>88</v>
      </c>
      <c r="C328" s="4">
        <v>22.32</v>
      </c>
      <c r="D328" s="8">
        <v>580.32000000000005</v>
      </c>
      <c r="E328">
        <v>203.74</v>
      </c>
    </row>
    <row r="329" spans="1:5" x14ac:dyDescent="0.3">
      <c r="A329" t="s">
        <v>17</v>
      </c>
      <c r="B329" t="s">
        <v>63</v>
      </c>
      <c r="C329" s="4">
        <v>41.89</v>
      </c>
      <c r="D329" s="8">
        <v>1926.94</v>
      </c>
      <c r="E329">
        <v>541.54999999999995</v>
      </c>
    </row>
    <row r="330" spans="1:5" x14ac:dyDescent="0.3">
      <c r="A330" t="s">
        <v>39</v>
      </c>
      <c r="B330" t="s">
        <v>28</v>
      </c>
      <c r="C330" s="4">
        <v>21.24</v>
      </c>
      <c r="D330" s="8">
        <v>913.32</v>
      </c>
      <c r="E330">
        <v>314.75</v>
      </c>
    </row>
    <row r="331" spans="1:5" x14ac:dyDescent="0.3">
      <c r="A331" t="s">
        <v>86</v>
      </c>
      <c r="B331" t="s">
        <v>170</v>
      </c>
      <c r="C331" s="4">
        <v>33.700000000000003</v>
      </c>
      <c r="D331" s="8">
        <v>943.6</v>
      </c>
      <c r="E331">
        <v>293.43</v>
      </c>
    </row>
    <row r="332" spans="1:5" x14ac:dyDescent="0.3">
      <c r="A332" t="s">
        <v>71</v>
      </c>
      <c r="B332" t="s">
        <v>196</v>
      </c>
      <c r="C332" s="4">
        <v>42.74</v>
      </c>
      <c r="D332" s="8">
        <v>1752.34</v>
      </c>
      <c r="E332">
        <v>225.25</v>
      </c>
    </row>
    <row r="333" spans="1:5" x14ac:dyDescent="0.3">
      <c r="A333" t="s">
        <v>68</v>
      </c>
      <c r="B333" t="s">
        <v>28</v>
      </c>
      <c r="C333" s="4">
        <v>30.18</v>
      </c>
      <c r="D333" s="8">
        <v>724.32</v>
      </c>
      <c r="E333">
        <v>199.35</v>
      </c>
    </row>
    <row r="334" spans="1:5" x14ac:dyDescent="0.3">
      <c r="A334" t="s">
        <v>26</v>
      </c>
      <c r="B334" t="s">
        <v>91</v>
      </c>
      <c r="C334" s="4">
        <v>20.02</v>
      </c>
      <c r="D334" s="8">
        <v>880.88</v>
      </c>
      <c r="E334">
        <v>138.61000000000001</v>
      </c>
    </row>
    <row r="335" spans="1:5" x14ac:dyDescent="0.3">
      <c r="A335" t="s">
        <v>71</v>
      </c>
      <c r="B335" t="s">
        <v>28</v>
      </c>
      <c r="C335" s="4">
        <v>27.45</v>
      </c>
      <c r="D335" s="8">
        <v>329.4</v>
      </c>
      <c r="E335">
        <v>76.180000000000007</v>
      </c>
    </row>
    <row r="336" spans="1:5" x14ac:dyDescent="0.3">
      <c r="A336" t="s">
        <v>132</v>
      </c>
      <c r="B336" t="s">
        <v>101</v>
      </c>
      <c r="C336" s="4">
        <v>30.57</v>
      </c>
      <c r="D336" s="8">
        <v>794.82</v>
      </c>
      <c r="E336">
        <v>255.37</v>
      </c>
    </row>
    <row r="337" spans="1:5" x14ac:dyDescent="0.3">
      <c r="A337" t="s">
        <v>68</v>
      </c>
      <c r="B337" t="s">
        <v>91</v>
      </c>
      <c r="C337" s="4">
        <v>32.19</v>
      </c>
      <c r="D337" s="8">
        <v>1480.74</v>
      </c>
      <c r="E337">
        <v>219.61</v>
      </c>
    </row>
    <row r="338" spans="1:5" x14ac:dyDescent="0.3">
      <c r="A338" t="s">
        <v>104</v>
      </c>
      <c r="B338" t="s">
        <v>81</v>
      </c>
      <c r="C338" s="4">
        <v>31.79</v>
      </c>
      <c r="D338" s="8">
        <v>635.79999999999995</v>
      </c>
      <c r="E338">
        <v>237.37</v>
      </c>
    </row>
    <row r="339" spans="1:5" x14ac:dyDescent="0.3">
      <c r="A339" t="s">
        <v>104</v>
      </c>
      <c r="B339" t="s">
        <v>147</v>
      </c>
      <c r="C339" s="4">
        <v>28.94</v>
      </c>
      <c r="D339" s="8">
        <v>231.52</v>
      </c>
      <c r="E339">
        <v>80.52</v>
      </c>
    </row>
    <row r="340" spans="1:5" x14ac:dyDescent="0.3">
      <c r="A340" t="s">
        <v>39</v>
      </c>
      <c r="B340" t="s">
        <v>123</v>
      </c>
      <c r="C340" s="4">
        <v>30.66</v>
      </c>
      <c r="D340" s="8">
        <v>1226.4000000000001</v>
      </c>
      <c r="E340">
        <v>421.16</v>
      </c>
    </row>
    <row r="341" spans="1:5" x14ac:dyDescent="0.3">
      <c r="A341" t="s">
        <v>104</v>
      </c>
      <c r="B341" t="s">
        <v>147</v>
      </c>
      <c r="C341" s="4">
        <v>54.09</v>
      </c>
      <c r="D341" s="8">
        <v>2379.96</v>
      </c>
      <c r="E341">
        <v>865.57</v>
      </c>
    </row>
    <row r="342" spans="1:5" x14ac:dyDescent="0.3">
      <c r="A342" t="s">
        <v>26</v>
      </c>
      <c r="B342" t="s">
        <v>81</v>
      </c>
      <c r="C342" s="4">
        <v>68.89</v>
      </c>
      <c r="D342" s="8">
        <v>2204.48</v>
      </c>
      <c r="E342">
        <v>772.43</v>
      </c>
    </row>
    <row r="343" spans="1:5" x14ac:dyDescent="0.3">
      <c r="A343" t="s">
        <v>107</v>
      </c>
      <c r="B343" t="s">
        <v>196</v>
      </c>
      <c r="C343" s="4">
        <v>43.35</v>
      </c>
      <c r="D343" s="8">
        <v>1907.4</v>
      </c>
      <c r="E343">
        <v>268.35000000000002</v>
      </c>
    </row>
    <row r="344" spans="1:5" x14ac:dyDescent="0.3">
      <c r="A344" t="s">
        <v>95</v>
      </c>
      <c r="B344" t="s">
        <v>53</v>
      </c>
      <c r="C344" s="4">
        <v>34</v>
      </c>
      <c r="D344" s="8">
        <v>816</v>
      </c>
      <c r="E344">
        <v>101.85</v>
      </c>
    </row>
    <row r="345" spans="1:5" x14ac:dyDescent="0.3">
      <c r="A345" t="s">
        <v>83</v>
      </c>
      <c r="B345" t="s">
        <v>63</v>
      </c>
      <c r="C345" s="4">
        <v>30.25</v>
      </c>
      <c r="D345" s="8">
        <v>1240.25</v>
      </c>
      <c r="E345">
        <v>409.39</v>
      </c>
    </row>
    <row r="346" spans="1:5" x14ac:dyDescent="0.3">
      <c r="A346" t="s">
        <v>104</v>
      </c>
      <c r="B346" t="s">
        <v>101</v>
      </c>
      <c r="C346" s="4">
        <v>23.71</v>
      </c>
      <c r="D346" s="8">
        <v>355.65</v>
      </c>
      <c r="E346">
        <v>115.93</v>
      </c>
    </row>
    <row r="347" spans="1:5" x14ac:dyDescent="0.3">
      <c r="A347" t="s">
        <v>71</v>
      </c>
      <c r="B347" t="s">
        <v>81</v>
      </c>
      <c r="C347" s="4">
        <v>48.64</v>
      </c>
      <c r="D347" s="8">
        <v>1605.12</v>
      </c>
      <c r="E347">
        <v>450.41</v>
      </c>
    </row>
    <row r="348" spans="1:5" x14ac:dyDescent="0.3">
      <c r="A348" t="s">
        <v>34</v>
      </c>
      <c r="B348" t="s">
        <v>170</v>
      </c>
      <c r="C348" s="4">
        <v>50.94</v>
      </c>
      <c r="D348" s="8">
        <v>356.58</v>
      </c>
      <c r="E348">
        <v>100.39</v>
      </c>
    </row>
    <row r="349" spans="1:5" x14ac:dyDescent="0.3">
      <c r="A349" t="s">
        <v>17</v>
      </c>
      <c r="B349" t="s">
        <v>147</v>
      </c>
      <c r="C349" s="4">
        <v>31.4</v>
      </c>
      <c r="D349" s="8">
        <v>31.4</v>
      </c>
      <c r="E349">
        <v>10.26</v>
      </c>
    </row>
    <row r="350" spans="1:5" x14ac:dyDescent="0.3">
      <c r="A350" t="s">
        <v>95</v>
      </c>
      <c r="B350" t="s">
        <v>36</v>
      </c>
      <c r="C350" s="4">
        <v>18.59</v>
      </c>
      <c r="D350" s="8">
        <v>520.52</v>
      </c>
      <c r="E350">
        <v>149.44</v>
      </c>
    </row>
    <row r="351" spans="1:5" x14ac:dyDescent="0.3">
      <c r="A351" t="s">
        <v>104</v>
      </c>
      <c r="B351" t="s">
        <v>123</v>
      </c>
      <c r="C351" s="4">
        <v>20.66</v>
      </c>
      <c r="D351" s="8">
        <v>1033</v>
      </c>
      <c r="E351">
        <v>223.87</v>
      </c>
    </row>
    <row r="352" spans="1:5" x14ac:dyDescent="0.3">
      <c r="A352" t="s">
        <v>17</v>
      </c>
      <c r="B352" t="s">
        <v>63</v>
      </c>
      <c r="C352" s="4">
        <v>46.62</v>
      </c>
      <c r="D352" s="8">
        <v>186.48</v>
      </c>
      <c r="E352">
        <v>33.19</v>
      </c>
    </row>
    <row r="353" spans="1:5" x14ac:dyDescent="0.3">
      <c r="A353" t="s">
        <v>17</v>
      </c>
      <c r="B353" t="s">
        <v>101</v>
      </c>
      <c r="C353" s="4">
        <v>21.81</v>
      </c>
      <c r="D353" s="8">
        <v>806.97</v>
      </c>
      <c r="E353">
        <v>213.84</v>
      </c>
    </row>
    <row r="354" spans="1:5" x14ac:dyDescent="0.3">
      <c r="A354" t="s">
        <v>34</v>
      </c>
      <c r="B354" t="s">
        <v>63</v>
      </c>
      <c r="C354" s="4">
        <v>26.68</v>
      </c>
      <c r="D354" s="8">
        <v>1280.6400000000001</v>
      </c>
      <c r="E354">
        <v>481.28</v>
      </c>
    </row>
    <row r="355" spans="1:5" x14ac:dyDescent="0.3">
      <c r="A355" t="s">
        <v>61</v>
      </c>
      <c r="B355" t="s">
        <v>41</v>
      </c>
      <c r="C355" s="4">
        <v>42.82</v>
      </c>
      <c r="D355" s="8">
        <v>1027.68</v>
      </c>
      <c r="E355">
        <v>357.73</v>
      </c>
    </row>
    <row r="356" spans="1:5" x14ac:dyDescent="0.3">
      <c r="A356" t="s">
        <v>17</v>
      </c>
      <c r="B356" t="s">
        <v>147</v>
      </c>
      <c r="C356" s="4">
        <v>34.4</v>
      </c>
      <c r="D356" s="8">
        <v>894.4</v>
      </c>
      <c r="E356">
        <v>268.98</v>
      </c>
    </row>
    <row r="357" spans="1:5" x14ac:dyDescent="0.3">
      <c r="A357" t="s">
        <v>56</v>
      </c>
      <c r="B357" t="s">
        <v>36</v>
      </c>
      <c r="C357" s="4">
        <v>44.89</v>
      </c>
      <c r="D357" s="8">
        <v>2109.83</v>
      </c>
      <c r="E357">
        <v>418.92</v>
      </c>
    </row>
    <row r="358" spans="1:5" x14ac:dyDescent="0.3">
      <c r="A358" t="s">
        <v>78</v>
      </c>
      <c r="B358" t="s">
        <v>63</v>
      </c>
      <c r="C358" s="4">
        <v>18.739999999999998</v>
      </c>
      <c r="D358" s="8">
        <v>18.739999999999998</v>
      </c>
      <c r="E358">
        <v>2.74</v>
      </c>
    </row>
    <row r="359" spans="1:5" x14ac:dyDescent="0.3">
      <c r="A359" t="s">
        <v>78</v>
      </c>
      <c r="B359" t="s">
        <v>81</v>
      </c>
      <c r="C359" s="4">
        <v>36.270000000000003</v>
      </c>
      <c r="D359" s="8">
        <v>979.29</v>
      </c>
      <c r="E359">
        <v>317.20999999999998</v>
      </c>
    </row>
    <row r="360" spans="1:5" x14ac:dyDescent="0.3">
      <c r="A360" t="s">
        <v>39</v>
      </c>
      <c r="B360" t="s">
        <v>170</v>
      </c>
      <c r="C360" s="4">
        <v>18.82</v>
      </c>
      <c r="D360" s="8">
        <v>244.66</v>
      </c>
      <c r="E360">
        <v>72.42</v>
      </c>
    </row>
    <row r="361" spans="1:5" x14ac:dyDescent="0.3">
      <c r="A361" t="s">
        <v>26</v>
      </c>
      <c r="B361" t="s">
        <v>147</v>
      </c>
      <c r="C361" s="4">
        <v>43.19</v>
      </c>
      <c r="D361" s="8">
        <v>1770.79</v>
      </c>
      <c r="E361">
        <v>539.51</v>
      </c>
    </row>
    <row r="362" spans="1:5" x14ac:dyDescent="0.3">
      <c r="A362" t="s">
        <v>86</v>
      </c>
      <c r="B362" t="s">
        <v>63</v>
      </c>
      <c r="C362" s="4">
        <v>42.31</v>
      </c>
      <c r="D362" s="8">
        <v>1692.4</v>
      </c>
      <c r="E362">
        <v>453.81</v>
      </c>
    </row>
    <row r="363" spans="1:5" x14ac:dyDescent="0.3">
      <c r="A363" t="s">
        <v>61</v>
      </c>
      <c r="B363" t="s">
        <v>196</v>
      </c>
      <c r="C363" s="4">
        <v>57.15</v>
      </c>
      <c r="D363" s="8">
        <v>57.15</v>
      </c>
      <c r="E363">
        <v>-21</v>
      </c>
    </row>
    <row r="364" spans="1:5" x14ac:dyDescent="0.3">
      <c r="A364" t="s">
        <v>107</v>
      </c>
      <c r="B364" t="s">
        <v>48</v>
      </c>
      <c r="C364" s="4">
        <v>30.03</v>
      </c>
      <c r="D364" s="8">
        <v>450.45</v>
      </c>
      <c r="E364">
        <v>120.46</v>
      </c>
    </row>
    <row r="365" spans="1:5" x14ac:dyDescent="0.3">
      <c r="A365" t="s">
        <v>107</v>
      </c>
      <c r="B365" t="s">
        <v>41</v>
      </c>
      <c r="C365" s="4">
        <v>30.91</v>
      </c>
      <c r="D365" s="8">
        <v>1483.68</v>
      </c>
      <c r="E365">
        <v>438.18</v>
      </c>
    </row>
    <row r="366" spans="1:5" x14ac:dyDescent="0.3">
      <c r="A366" t="s">
        <v>157</v>
      </c>
      <c r="B366" t="s">
        <v>53</v>
      </c>
      <c r="C366" s="4">
        <v>32.19</v>
      </c>
      <c r="D366" s="8">
        <v>257.52</v>
      </c>
      <c r="E366">
        <v>65.67</v>
      </c>
    </row>
    <row r="367" spans="1:5" x14ac:dyDescent="0.3">
      <c r="A367" t="s">
        <v>71</v>
      </c>
      <c r="B367" t="s">
        <v>88</v>
      </c>
      <c r="C367" s="4">
        <v>60.75</v>
      </c>
      <c r="D367" s="8">
        <v>1336.5</v>
      </c>
      <c r="E367">
        <v>418.16</v>
      </c>
    </row>
    <row r="368" spans="1:5" x14ac:dyDescent="0.3">
      <c r="A368" t="s">
        <v>104</v>
      </c>
      <c r="B368" t="s">
        <v>36</v>
      </c>
      <c r="C368" s="4">
        <v>66.06</v>
      </c>
      <c r="D368" s="8">
        <v>2510.2800000000002</v>
      </c>
      <c r="E368">
        <v>939.91</v>
      </c>
    </row>
    <row r="369" spans="1:5" x14ac:dyDescent="0.3">
      <c r="A369" t="s">
        <v>68</v>
      </c>
      <c r="B369" t="s">
        <v>19</v>
      </c>
      <c r="C369" s="4">
        <v>50.88</v>
      </c>
      <c r="D369" s="8">
        <v>1679.04</v>
      </c>
      <c r="E369">
        <v>462.56</v>
      </c>
    </row>
    <row r="370" spans="1:5" x14ac:dyDescent="0.3">
      <c r="A370" t="s">
        <v>95</v>
      </c>
      <c r="B370" t="s">
        <v>63</v>
      </c>
      <c r="C370" s="4">
        <v>34.479999999999997</v>
      </c>
      <c r="D370" s="8">
        <v>1689.52</v>
      </c>
      <c r="E370">
        <v>264.45999999999998</v>
      </c>
    </row>
    <row r="371" spans="1:5" x14ac:dyDescent="0.3">
      <c r="A371" t="s">
        <v>157</v>
      </c>
      <c r="B371" t="s">
        <v>91</v>
      </c>
      <c r="C371" s="4">
        <v>25.43</v>
      </c>
      <c r="D371" s="8">
        <v>788.33</v>
      </c>
      <c r="E371">
        <v>110.52</v>
      </c>
    </row>
    <row r="372" spans="1:5" x14ac:dyDescent="0.3">
      <c r="A372" t="s">
        <v>83</v>
      </c>
      <c r="B372" t="s">
        <v>170</v>
      </c>
      <c r="C372" s="4">
        <v>31.68</v>
      </c>
      <c r="D372" s="8">
        <v>918.72</v>
      </c>
      <c r="E372">
        <v>316.5</v>
      </c>
    </row>
    <row r="373" spans="1:5" x14ac:dyDescent="0.3">
      <c r="A373" t="s">
        <v>104</v>
      </c>
      <c r="B373" t="s">
        <v>81</v>
      </c>
      <c r="C373" s="4">
        <v>33.89</v>
      </c>
      <c r="D373" s="8">
        <v>1423.38</v>
      </c>
      <c r="E373">
        <v>161.97999999999999</v>
      </c>
    </row>
    <row r="374" spans="1:5" x14ac:dyDescent="0.3">
      <c r="A374" t="s">
        <v>68</v>
      </c>
      <c r="B374" t="s">
        <v>81</v>
      </c>
      <c r="C374" s="4">
        <v>21.75</v>
      </c>
      <c r="D374" s="8">
        <v>282.75</v>
      </c>
      <c r="E374">
        <v>36.25</v>
      </c>
    </row>
    <row r="375" spans="1:5" x14ac:dyDescent="0.3">
      <c r="A375" t="s">
        <v>86</v>
      </c>
      <c r="B375" t="s">
        <v>91</v>
      </c>
      <c r="C375" s="4">
        <v>37.58</v>
      </c>
      <c r="D375" s="8">
        <v>939.5</v>
      </c>
      <c r="E375">
        <v>328.56</v>
      </c>
    </row>
    <row r="376" spans="1:5" x14ac:dyDescent="0.3">
      <c r="A376" t="s">
        <v>26</v>
      </c>
      <c r="B376" t="s">
        <v>170</v>
      </c>
      <c r="C376" s="4">
        <v>25.25</v>
      </c>
      <c r="D376" s="8">
        <v>404</v>
      </c>
      <c r="E376">
        <v>65.25</v>
      </c>
    </row>
    <row r="377" spans="1:5" x14ac:dyDescent="0.3">
      <c r="A377" t="s">
        <v>68</v>
      </c>
      <c r="B377" t="s">
        <v>91</v>
      </c>
      <c r="C377" s="4">
        <v>25.85</v>
      </c>
      <c r="D377" s="8">
        <v>956.45</v>
      </c>
      <c r="E377">
        <v>351.25</v>
      </c>
    </row>
    <row r="378" spans="1:5" x14ac:dyDescent="0.3">
      <c r="A378" t="s">
        <v>17</v>
      </c>
      <c r="B378" t="s">
        <v>81</v>
      </c>
      <c r="C378" s="4">
        <v>25.72</v>
      </c>
      <c r="D378" s="8">
        <v>25.72</v>
      </c>
      <c r="E378">
        <v>3.68</v>
      </c>
    </row>
    <row r="379" spans="1:5" x14ac:dyDescent="0.3">
      <c r="A379" t="s">
        <v>132</v>
      </c>
      <c r="B379" t="s">
        <v>81</v>
      </c>
      <c r="C379" s="4">
        <v>47.05</v>
      </c>
      <c r="D379" s="8">
        <v>2258.4</v>
      </c>
      <c r="E379">
        <v>734.96</v>
      </c>
    </row>
    <row r="380" spans="1:5" x14ac:dyDescent="0.3">
      <c r="A380" t="s">
        <v>86</v>
      </c>
      <c r="B380" t="s">
        <v>41</v>
      </c>
      <c r="C380" s="4">
        <v>29.94</v>
      </c>
      <c r="D380" s="8">
        <v>1437.12</v>
      </c>
      <c r="E380">
        <v>446.98</v>
      </c>
    </row>
    <row r="381" spans="1:5" x14ac:dyDescent="0.3">
      <c r="A381" t="s">
        <v>71</v>
      </c>
      <c r="B381" t="s">
        <v>36</v>
      </c>
      <c r="C381" s="4">
        <v>35.68</v>
      </c>
      <c r="D381" s="8">
        <v>428.16</v>
      </c>
      <c r="E381">
        <v>145.09</v>
      </c>
    </row>
    <row r="382" spans="1:5" x14ac:dyDescent="0.3">
      <c r="A382" t="s">
        <v>68</v>
      </c>
      <c r="B382" t="s">
        <v>19</v>
      </c>
      <c r="C382" s="4">
        <v>49.32</v>
      </c>
      <c r="D382" s="8">
        <v>1479.6</v>
      </c>
      <c r="E382">
        <v>413.63</v>
      </c>
    </row>
    <row r="383" spans="1:5" x14ac:dyDescent="0.3">
      <c r="A383" t="s">
        <v>157</v>
      </c>
      <c r="B383" t="s">
        <v>123</v>
      </c>
      <c r="C383" s="4">
        <v>37.68</v>
      </c>
      <c r="D383" s="8">
        <v>1017.36</v>
      </c>
      <c r="E383">
        <v>180.62</v>
      </c>
    </row>
    <row r="384" spans="1:5" x14ac:dyDescent="0.3">
      <c r="A384" t="s">
        <v>104</v>
      </c>
      <c r="B384" t="s">
        <v>36</v>
      </c>
      <c r="C384" s="4">
        <v>36.340000000000003</v>
      </c>
      <c r="D384" s="8">
        <v>1417.26</v>
      </c>
      <c r="E384">
        <v>375.26</v>
      </c>
    </row>
    <row r="385" spans="1:5" x14ac:dyDescent="0.3">
      <c r="A385" t="s">
        <v>107</v>
      </c>
      <c r="B385" t="s">
        <v>63</v>
      </c>
      <c r="C385" s="4">
        <v>24.33</v>
      </c>
      <c r="D385" s="8">
        <v>389.28</v>
      </c>
      <c r="E385">
        <v>118.95</v>
      </c>
    </row>
    <row r="386" spans="1:5" x14ac:dyDescent="0.3">
      <c r="A386" t="s">
        <v>17</v>
      </c>
      <c r="B386" t="s">
        <v>88</v>
      </c>
      <c r="C386" s="4">
        <v>22.28</v>
      </c>
      <c r="D386" s="8">
        <v>891.2</v>
      </c>
      <c r="E386">
        <v>238.47</v>
      </c>
    </row>
    <row r="387" spans="1:5" x14ac:dyDescent="0.3">
      <c r="A387" t="s">
        <v>71</v>
      </c>
      <c r="B387" t="s">
        <v>91</v>
      </c>
      <c r="C387" s="4">
        <v>21.71</v>
      </c>
      <c r="D387" s="8">
        <v>976.95</v>
      </c>
      <c r="E387">
        <v>351.6</v>
      </c>
    </row>
    <row r="388" spans="1:5" x14ac:dyDescent="0.3">
      <c r="A388" t="s">
        <v>71</v>
      </c>
      <c r="B388" t="s">
        <v>170</v>
      </c>
      <c r="C388" s="4">
        <v>31.07</v>
      </c>
      <c r="D388" s="8">
        <v>248.56</v>
      </c>
      <c r="E388">
        <v>37.590000000000003</v>
      </c>
    </row>
    <row r="389" spans="1:5" x14ac:dyDescent="0.3">
      <c r="A389" t="s">
        <v>83</v>
      </c>
      <c r="B389" t="s">
        <v>123</v>
      </c>
      <c r="C389" s="4">
        <v>21.93</v>
      </c>
      <c r="D389" s="8">
        <v>1030.71</v>
      </c>
      <c r="E389">
        <v>360.47</v>
      </c>
    </row>
    <row r="390" spans="1:5" x14ac:dyDescent="0.3">
      <c r="A390" t="s">
        <v>95</v>
      </c>
      <c r="B390" t="s">
        <v>123</v>
      </c>
      <c r="C390" s="4">
        <v>21.46</v>
      </c>
      <c r="D390" s="8">
        <v>987.16</v>
      </c>
      <c r="E390">
        <v>379.02</v>
      </c>
    </row>
    <row r="391" spans="1:5" x14ac:dyDescent="0.3">
      <c r="A391" t="s">
        <v>26</v>
      </c>
      <c r="B391" t="s">
        <v>19</v>
      </c>
      <c r="C391" s="4">
        <v>47.1</v>
      </c>
      <c r="D391" s="8">
        <v>2119.5</v>
      </c>
      <c r="E391">
        <v>739.34</v>
      </c>
    </row>
    <row r="392" spans="1:5" x14ac:dyDescent="0.3">
      <c r="A392" t="s">
        <v>104</v>
      </c>
      <c r="B392" t="s">
        <v>196</v>
      </c>
      <c r="C392" s="4">
        <v>58.32</v>
      </c>
      <c r="D392" s="8">
        <v>116.64</v>
      </c>
      <c r="E392">
        <v>37.65</v>
      </c>
    </row>
    <row r="393" spans="1:5" x14ac:dyDescent="0.3">
      <c r="A393" t="s">
        <v>83</v>
      </c>
      <c r="B393" t="s">
        <v>123</v>
      </c>
      <c r="C393" s="4">
        <v>61.34</v>
      </c>
      <c r="D393" s="8">
        <v>1901.54</v>
      </c>
      <c r="E393">
        <v>669.11</v>
      </c>
    </row>
    <row r="394" spans="1:5" x14ac:dyDescent="0.3">
      <c r="A394" t="s">
        <v>86</v>
      </c>
      <c r="B394" t="s">
        <v>48</v>
      </c>
      <c r="C394" s="4">
        <v>43.9</v>
      </c>
      <c r="D394" s="8">
        <v>658.5</v>
      </c>
      <c r="E394">
        <v>247.02</v>
      </c>
    </row>
    <row r="395" spans="1:5" x14ac:dyDescent="0.3">
      <c r="A395" t="s">
        <v>132</v>
      </c>
      <c r="B395" t="s">
        <v>36</v>
      </c>
      <c r="C395" s="4">
        <v>20.53</v>
      </c>
      <c r="D395" s="8">
        <v>82.12</v>
      </c>
      <c r="E395">
        <v>27.07</v>
      </c>
    </row>
    <row r="396" spans="1:5" x14ac:dyDescent="0.3">
      <c r="A396" t="s">
        <v>95</v>
      </c>
      <c r="B396" t="s">
        <v>147</v>
      </c>
      <c r="C396" s="4">
        <v>24.7</v>
      </c>
      <c r="D396" s="8">
        <v>148.19999999999999</v>
      </c>
      <c r="E396">
        <v>24.44</v>
      </c>
    </row>
    <row r="397" spans="1:5" x14ac:dyDescent="0.3">
      <c r="A397" t="s">
        <v>78</v>
      </c>
      <c r="B397" t="s">
        <v>41</v>
      </c>
      <c r="C397" s="4">
        <v>19.170000000000002</v>
      </c>
      <c r="D397" s="8">
        <v>364.23</v>
      </c>
      <c r="E397">
        <v>106.82</v>
      </c>
    </row>
    <row r="398" spans="1:5" x14ac:dyDescent="0.3">
      <c r="A398" t="s">
        <v>107</v>
      </c>
      <c r="B398" t="s">
        <v>63</v>
      </c>
      <c r="C398" s="4">
        <v>55.28</v>
      </c>
      <c r="D398" s="8">
        <v>110.56</v>
      </c>
      <c r="E398">
        <v>25.19</v>
      </c>
    </row>
    <row r="399" spans="1:5" x14ac:dyDescent="0.3">
      <c r="A399" t="s">
        <v>56</v>
      </c>
      <c r="B399" t="s">
        <v>41</v>
      </c>
      <c r="C399" s="4">
        <v>43.91</v>
      </c>
      <c r="D399" s="8">
        <v>2151.59</v>
      </c>
      <c r="E399">
        <v>863.04</v>
      </c>
    </row>
    <row r="400" spans="1:5" x14ac:dyDescent="0.3">
      <c r="A400" t="s">
        <v>34</v>
      </c>
      <c r="B400" t="s">
        <v>41</v>
      </c>
      <c r="C400" s="4">
        <v>41.84</v>
      </c>
      <c r="D400" s="8">
        <v>1213.3599999999999</v>
      </c>
      <c r="E400">
        <v>431.53</v>
      </c>
    </row>
    <row r="401" spans="1:5" x14ac:dyDescent="0.3">
      <c r="A401" t="s">
        <v>56</v>
      </c>
      <c r="B401" t="s">
        <v>101</v>
      </c>
      <c r="C401" s="4">
        <v>27.41</v>
      </c>
      <c r="D401" s="8">
        <v>1178.6300000000001</v>
      </c>
      <c r="E401">
        <v>456.31</v>
      </c>
    </row>
    <row r="402" spans="1:5" x14ac:dyDescent="0.3">
      <c r="A402" t="s">
        <v>71</v>
      </c>
      <c r="B402" t="s">
        <v>53</v>
      </c>
      <c r="C402" s="4">
        <v>31.84</v>
      </c>
      <c r="D402" s="8">
        <v>891.52</v>
      </c>
      <c r="E402">
        <v>277.27999999999997</v>
      </c>
    </row>
    <row r="403" spans="1:5" x14ac:dyDescent="0.3">
      <c r="A403" t="s">
        <v>78</v>
      </c>
      <c r="B403" t="s">
        <v>63</v>
      </c>
      <c r="C403" s="4">
        <v>35.840000000000003</v>
      </c>
      <c r="D403" s="8">
        <v>1505.28</v>
      </c>
      <c r="E403">
        <v>394.63</v>
      </c>
    </row>
    <row r="404" spans="1:5" x14ac:dyDescent="0.3">
      <c r="A404" t="s">
        <v>68</v>
      </c>
      <c r="B404" t="s">
        <v>81</v>
      </c>
      <c r="C404" s="4">
        <v>30.55</v>
      </c>
      <c r="D404" s="8">
        <v>672.1</v>
      </c>
      <c r="E404">
        <v>130.30000000000001</v>
      </c>
    </row>
    <row r="405" spans="1:5" x14ac:dyDescent="0.3">
      <c r="A405" t="s">
        <v>75</v>
      </c>
      <c r="B405" t="s">
        <v>91</v>
      </c>
      <c r="C405" s="4">
        <v>45.16</v>
      </c>
      <c r="D405" s="8">
        <v>587.08000000000004</v>
      </c>
      <c r="E405">
        <v>193.4</v>
      </c>
    </row>
    <row r="406" spans="1:5" x14ac:dyDescent="0.3">
      <c r="A406" t="s">
        <v>56</v>
      </c>
      <c r="B406" t="s">
        <v>147</v>
      </c>
      <c r="C406" s="4">
        <v>45.23</v>
      </c>
      <c r="D406" s="8">
        <v>1809.2</v>
      </c>
      <c r="E406">
        <v>272.95</v>
      </c>
    </row>
    <row r="407" spans="1:5" x14ac:dyDescent="0.3">
      <c r="A407" t="s">
        <v>157</v>
      </c>
      <c r="B407" t="s">
        <v>91</v>
      </c>
      <c r="C407" s="4">
        <v>22.78</v>
      </c>
      <c r="D407" s="8">
        <v>933.98</v>
      </c>
      <c r="E407">
        <v>157.61000000000001</v>
      </c>
    </row>
    <row r="408" spans="1:5" x14ac:dyDescent="0.3">
      <c r="A408" t="s">
        <v>95</v>
      </c>
      <c r="B408" t="s">
        <v>123</v>
      </c>
      <c r="C408" s="4">
        <v>24.21</v>
      </c>
      <c r="D408" s="8">
        <v>823.14</v>
      </c>
      <c r="E408">
        <v>237.89</v>
      </c>
    </row>
    <row r="409" spans="1:5" x14ac:dyDescent="0.3">
      <c r="A409" t="s">
        <v>75</v>
      </c>
      <c r="B409" t="s">
        <v>28</v>
      </c>
      <c r="C409" s="4">
        <v>34.64</v>
      </c>
      <c r="D409" s="8">
        <v>1593.44</v>
      </c>
      <c r="E409">
        <v>627.51</v>
      </c>
    </row>
    <row r="410" spans="1:5" x14ac:dyDescent="0.3">
      <c r="A410" t="s">
        <v>157</v>
      </c>
      <c r="B410" t="s">
        <v>48</v>
      </c>
      <c r="C410" s="4">
        <v>27.06</v>
      </c>
      <c r="D410" s="8">
        <v>270.60000000000002</v>
      </c>
      <c r="E410">
        <v>55.25</v>
      </c>
    </row>
    <row r="411" spans="1:5" x14ac:dyDescent="0.3">
      <c r="A411" t="s">
        <v>39</v>
      </c>
      <c r="B411" t="s">
        <v>28</v>
      </c>
      <c r="C411" s="4">
        <v>27.74</v>
      </c>
      <c r="D411" s="8">
        <v>305.14</v>
      </c>
      <c r="E411">
        <v>96.33</v>
      </c>
    </row>
    <row r="412" spans="1:5" x14ac:dyDescent="0.3">
      <c r="A412" t="s">
        <v>157</v>
      </c>
      <c r="B412" t="s">
        <v>48</v>
      </c>
      <c r="C412" s="4">
        <v>38.08</v>
      </c>
      <c r="D412" s="8">
        <v>1104.32</v>
      </c>
      <c r="E412">
        <v>266.69</v>
      </c>
    </row>
    <row r="413" spans="1:5" x14ac:dyDescent="0.3">
      <c r="A413" t="s">
        <v>75</v>
      </c>
      <c r="B413" t="s">
        <v>48</v>
      </c>
      <c r="C413" s="4">
        <v>43.65</v>
      </c>
      <c r="D413" s="8">
        <v>785.7</v>
      </c>
      <c r="E413">
        <v>227.18</v>
      </c>
    </row>
    <row r="414" spans="1:5" x14ac:dyDescent="0.3">
      <c r="A414" t="s">
        <v>83</v>
      </c>
      <c r="B414" t="s">
        <v>123</v>
      </c>
      <c r="C414" s="4">
        <v>51.97</v>
      </c>
      <c r="D414" s="8">
        <v>2546.5300000000002</v>
      </c>
      <c r="E414">
        <v>719.27</v>
      </c>
    </row>
    <row r="415" spans="1:5" x14ac:dyDescent="0.3">
      <c r="A415" t="s">
        <v>17</v>
      </c>
      <c r="B415" t="s">
        <v>81</v>
      </c>
      <c r="C415" s="4">
        <v>36.85</v>
      </c>
      <c r="D415" s="8">
        <v>479.05</v>
      </c>
      <c r="E415">
        <v>143.9</v>
      </c>
    </row>
    <row r="416" spans="1:5" x14ac:dyDescent="0.3">
      <c r="A416" t="s">
        <v>107</v>
      </c>
      <c r="B416" t="s">
        <v>48</v>
      </c>
      <c r="C416" s="4">
        <v>38.520000000000003</v>
      </c>
      <c r="D416" s="8">
        <v>1271.1600000000001</v>
      </c>
      <c r="E416">
        <v>133.69999999999999</v>
      </c>
    </row>
    <row r="417" spans="1:5" x14ac:dyDescent="0.3">
      <c r="A417" t="s">
        <v>75</v>
      </c>
      <c r="B417" t="s">
        <v>63</v>
      </c>
      <c r="C417" s="4">
        <v>26.98</v>
      </c>
      <c r="D417" s="8">
        <v>1106.18</v>
      </c>
      <c r="E417">
        <v>418.91</v>
      </c>
    </row>
    <row r="418" spans="1:5" x14ac:dyDescent="0.3">
      <c r="A418" t="s">
        <v>83</v>
      </c>
      <c r="B418" t="s">
        <v>123</v>
      </c>
      <c r="C418" s="4">
        <v>23.56</v>
      </c>
      <c r="D418" s="8">
        <v>94.24</v>
      </c>
      <c r="E418">
        <v>25.21</v>
      </c>
    </row>
    <row r="419" spans="1:5" x14ac:dyDescent="0.3">
      <c r="A419" t="s">
        <v>95</v>
      </c>
      <c r="B419" t="s">
        <v>196</v>
      </c>
      <c r="C419" s="4">
        <v>57.14</v>
      </c>
      <c r="D419" s="8">
        <v>971.38</v>
      </c>
      <c r="E419">
        <v>357.37</v>
      </c>
    </row>
    <row r="420" spans="1:5" x14ac:dyDescent="0.3">
      <c r="A420" t="s">
        <v>26</v>
      </c>
      <c r="B420" t="s">
        <v>147</v>
      </c>
      <c r="C420" s="4">
        <v>38.14</v>
      </c>
      <c r="D420" s="8">
        <v>1678.16</v>
      </c>
      <c r="E420">
        <v>453.67</v>
      </c>
    </row>
    <row r="421" spans="1:5" x14ac:dyDescent="0.3">
      <c r="A421" t="s">
        <v>95</v>
      </c>
      <c r="B421" t="s">
        <v>101</v>
      </c>
      <c r="C421" s="4">
        <v>24</v>
      </c>
      <c r="D421" s="8">
        <v>336</v>
      </c>
      <c r="E421">
        <v>61.12</v>
      </c>
    </row>
    <row r="422" spans="1:5" x14ac:dyDescent="0.3">
      <c r="A422" t="s">
        <v>83</v>
      </c>
      <c r="B422" t="s">
        <v>63</v>
      </c>
      <c r="C422" s="4">
        <v>26.91</v>
      </c>
      <c r="D422" s="8">
        <v>1345.5</v>
      </c>
      <c r="E422">
        <v>478.8</v>
      </c>
    </row>
    <row r="423" spans="1:5" x14ac:dyDescent="0.3">
      <c r="A423" t="s">
        <v>61</v>
      </c>
      <c r="B423" t="s">
        <v>36</v>
      </c>
      <c r="C423" s="4">
        <v>59.41</v>
      </c>
      <c r="D423" s="8">
        <v>415.87</v>
      </c>
      <c r="E423">
        <v>110.36</v>
      </c>
    </row>
    <row r="424" spans="1:5" x14ac:dyDescent="0.3">
      <c r="A424" t="s">
        <v>157</v>
      </c>
      <c r="B424" t="s">
        <v>91</v>
      </c>
      <c r="C424" s="4">
        <v>37.31</v>
      </c>
      <c r="D424" s="8">
        <v>1790.88</v>
      </c>
      <c r="E424">
        <v>523.42999999999995</v>
      </c>
    </row>
    <row r="425" spans="1:5" x14ac:dyDescent="0.3">
      <c r="A425" t="s">
        <v>95</v>
      </c>
      <c r="B425" t="s">
        <v>88</v>
      </c>
      <c r="C425" s="4">
        <v>52.91</v>
      </c>
      <c r="D425" s="8">
        <v>2010.58</v>
      </c>
      <c r="E425">
        <v>396.36</v>
      </c>
    </row>
    <row r="426" spans="1:5" x14ac:dyDescent="0.3">
      <c r="A426" t="s">
        <v>61</v>
      </c>
      <c r="B426" t="s">
        <v>28</v>
      </c>
      <c r="C426" s="4">
        <v>27.09</v>
      </c>
      <c r="D426" s="8">
        <v>379.26</v>
      </c>
      <c r="E426">
        <v>112.84</v>
      </c>
    </row>
    <row r="427" spans="1:5" x14ac:dyDescent="0.3">
      <c r="A427" t="s">
        <v>83</v>
      </c>
      <c r="B427" t="s">
        <v>91</v>
      </c>
      <c r="C427" s="4">
        <v>30.52</v>
      </c>
      <c r="D427" s="8">
        <v>1251.32</v>
      </c>
      <c r="E427">
        <v>271.94</v>
      </c>
    </row>
    <row r="428" spans="1:5" x14ac:dyDescent="0.3">
      <c r="A428" t="s">
        <v>107</v>
      </c>
      <c r="B428" t="s">
        <v>48</v>
      </c>
      <c r="C428" s="4">
        <v>40.94</v>
      </c>
      <c r="D428" s="8">
        <v>941.62</v>
      </c>
      <c r="E428">
        <v>225.96</v>
      </c>
    </row>
    <row r="429" spans="1:5" x14ac:dyDescent="0.3">
      <c r="A429" t="s">
        <v>56</v>
      </c>
      <c r="B429" t="s">
        <v>170</v>
      </c>
      <c r="C429" s="4">
        <v>41.77</v>
      </c>
      <c r="D429" s="8">
        <v>1420.18</v>
      </c>
      <c r="E429">
        <v>355.73</v>
      </c>
    </row>
    <row r="430" spans="1:5" x14ac:dyDescent="0.3">
      <c r="A430" t="s">
        <v>71</v>
      </c>
      <c r="B430" t="s">
        <v>196</v>
      </c>
      <c r="C430" s="4">
        <v>69.98</v>
      </c>
      <c r="D430" s="8">
        <v>2239.36</v>
      </c>
      <c r="E430">
        <v>825.85</v>
      </c>
    </row>
    <row r="431" spans="1:5" x14ac:dyDescent="0.3">
      <c r="A431" t="s">
        <v>157</v>
      </c>
      <c r="B431" t="s">
        <v>28</v>
      </c>
      <c r="C431" s="4">
        <v>42.91</v>
      </c>
      <c r="D431" s="8">
        <v>1072.75</v>
      </c>
      <c r="E431">
        <v>117.73</v>
      </c>
    </row>
    <row r="432" spans="1:5" x14ac:dyDescent="0.3">
      <c r="A432" t="s">
        <v>78</v>
      </c>
      <c r="B432" t="s">
        <v>48</v>
      </c>
      <c r="C432" s="4">
        <v>22.6</v>
      </c>
      <c r="D432" s="8">
        <v>158.19999999999999</v>
      </c>
      <c r="E432">
        <v>61.91</v>
      </c>
    </row>
    <row r="433" spans="1:5" x14ac:dyDescent="0.3">
      <c r="A433" t="s">
        <v>56</v>
      </c>
      <c r="B433" t="s">
        <v>19</v>
      </c>
      <c r="C433" s="4">
        <v>19.5</v>
      </c>
      <c r="D433" s="8">
        <v>936</v>
      </c>
      <c r="E433">
        <v>253.93</v>
      </c>
    </row>
    <row r="434" spans="1:5" x14ac:dyDescent="0.3">
      <c r="A434" t="s">
        <v>68</v>
      </c>
      <c r="B434" t="s">
        <v>147</v>
      </c>
      <c r="C434" s="4">
        <v>49.97</v>
      </c>
      <c r="D434" s="8">
        <v>1599.04</v>
      </c>
      <c r="E434">
        <v>275.94</v>
      </c>
    </row>
    <row r="435" spans="1:5" x14ac:dyDescent="0.3">
      <c r="A435" t="s">
        <v>17</v>
      </c>
      <c r="B435" t="s">
        <v>123</v>
      </c>
      <c r="C435" s="4">
        <v>25.62</v>
      </c>
      <c r="D435" s="8">
        <v>1050.42</v>
      </c>
      <c r="E435">
        <v>335.72</v>
      </c>
    </row>
    <row r="436" spans="1:5" x14ac:dyDescent="0.3">
      <c r="A436" t="s">
        <v>83</v>
      </c>
      <c r="B436" t="s">
        <v>19</v>
      </c>
      <c r="C436" s="4">
        <v>16.78</v>
      </c>
      <c r="D436" s="8">
        <v>771.88</v>
      </c>
      <c r="E436">
        <v>167.34</v>
      </c>
    </row>
    <row r="437" spans="1:5" x14ac:dyDescent="0.3">
      <c r="A437" t="s">
        <v>83</v>
      </c>
      <c r="B437" t="s">
        <v>36</v>
      </c>
      <c r="C437" s="4">
        <v>42.18</v>
      </c>
      <c r="D437" s="8">
        <v>674.88</v>
      </c>
      <c r="E437">
        <v>143.78</v>
      </c>
    </row>
    <row r="438" spans="1:5" x14ac:dyDescent="0.3">
      <c r="A438" t="s">
        <v>71</v>
      </c>
      <c r="B438" t="s">
        <v>123</v>
      </c>
      <c r="C438" s="4">
        <v>34.97</v>
      </c>
      <c r="D438" s="8">
        <v>419.64</v>
      </c>
      <c r="E438">
        <v>91.16</v>
      </c>
    </row>
    <row r="439" spans="1:5" x14ac:dyDescent="0.3">
      <c r="A439" t="s">
        <v>78</v>
      </c>
      <c r="B439" t="s">
        <v>41</v>
      </c>
      <c r="C439" s="4">
        <v>33.619999999999997</v>
      </c>
      <c r="D439" s="8">
        <v>1042.22</v>
      </c>
      <c r="E439">
        <v>395.89</v>
      </c>
    </row>
    <row r="440" spans="1:5" x14ac:dyDescent="0.3">
      <c r="A440" t="s">
        <v>132</v>
      </c>
      <c r="B440" t="s">
        <v>88</v>
      </c>
      <c r="C440" s="4">
        <v>30.56</v>
      </c>
      <c r="D440" s="8">
        <v>1222.4000000000001</v>
      </c>
      <c r="E440">
        <v>295.98</v>
      </c>
    </row>
    <row r="441" spans="1:5" x14ac:dyDescent="0.3">
      <c r="A441" t="s">
        <v>17</v>
      </c>
      <c r="B441" t="s">
        <v>170</v>
      </c>
      <c r="C441" s="4">
        <v>61.93</v>
      </c>
      <c r="D441" s="8">
        <v>928.95</v>
      </c>
      <c r="E441">
        <v>378.27</v>
      </c>
    </row>
    <row r="442" spans="1:5" x14ac:dyDescent="0.3">
      <c r="A442" t="s">
        <v>157</v>
      </c>
      <c r="B442" t="s">
        <v>63</v>
      </c>
      <c r="C442" s="4">
        <v>35.770000000000003</v>
      </c>
      <c r="D442" s="8">
        <v>715.4</v>
      </c>
      <c r="E442">
        <v>276.17</v>
      </c>
    </row>
    <row r="443" spans="1:5" x14ac:dyDescent="0.3">
      <c r="A443" t="s">
        <v>56</v>
      </c>
      <c r="B443" t="s">
        <v>28</v>
      </c>
      <c r="C443" s="4">
        <v>22.48</v>
      </c>
      <c r="D443" s="8">
        <v>472.08</v>
      </c>
      <c r="E443">
        <v>191.37</v>
      </c>
    </row>
    <row r="444" spans="1:5" x14ac:dyDescent="0.3">
      <c r="A444" t="s">
        <v>17</v>
      </c>
      <c r="B444" t="s">
        <v>63</v>
      </c>
      <c r="C444" s="4">
        <v>27.53</v>
      </c>
      <c r="D444" s="8">
        <v>220.24</v>
      </c>
      <c r="E444">
        <v>63.58</v>
      </c>
    </row>
    <row r="445" spans="1:5" x14ac:dyDescent="0.3">
      <c r="A445" t="s">
        <v>68</v>
      </c>
      <c r="B445" t="s">
        <v>196</v>
      </c>
      <c r="C445" s="4">
        <v>39.65</v>
      </c>
      <c r="D445" s="8">
        <v>1387.75</v>
      </c>
      <c r="E445">
        <v>539.29999999999995</v>
      </c>
    </row>
    <row r="446" spans="1:5" x14ac:dyDescent="0.3">
      <c r="A446" t="s">
        <v>83</v>
      </c>
      <c r="B446" t="s">
        <v>101</v>
      </c>
      <c r="C446" s="4">
        <v>23.68</v>
      </c>
      <c r="D446" s="8">
        <v>1184</v>
      </c>
      <c r="E446">
        <v>362.38</v>
      </c>
    </row>
    <row r="447" spans="1:5" x14ac:dyDescent="0.3">
      <c r="A447" t="s">
        <v>26</v>
      </c>
      <c r="B447" t="s">
        <v>88</v>
      </c>
      <c r="C447" s="4">
        <v>19.809999999999999</v>
      </c>
      <c r="D447" s="8">
        <v>99.05</v>
      </c>
      <c r="E447">
        <v>29.39</v>
      </c>
    </row>
    <row r="448" spans="1:5" x14ac:dyDescent="0.3">
      <c r="A448" t="s">
        <v>107</v>
      </c>
      <c r="B448" t="s">
        <v>41</v>
      </c>
      <c r="C448" s="4">
        <v>18.03</v>
      </c>
      <c r="D448" s="8">
        <v>486.81</v>
      </c>
      <c r="E448">
        <v>105.93</v>
      </c>
    </row>
    <row r="449" spans="1:5" x14ac:dyDescent="0.3">
      <c r="A449" t="s">
        <v>34</v>
      </c>
      <c r="B449" t="s">
        <v>101</v>
      </c>
      <c r="C449" s="4">
        <v>26.93</v>
      </c>
      <c r="D449" s="8">
        <v>1211.8499999999999</v>
      </c>
      <c r="E449">
        <v>339</v>
      </c>
    </row>
    <row r="450" spans="1:5" x14ac:dyDescent="0.3">
      <c r="A450" t="s">
        <v>56</v>
      </c>
      <c r="B450" t="s">
        <v>36</v>
      </c>
      <c r="C450" s="4">
        <v>32.54</v>
      </c>
      <c r="D450" s="8">
        <v>1301.5999999999999</v>
      </c>
      <c r="E450">
        <v>454.54</v>
      </c>
    </row>
    <row r="451" spans="1:5" x14ac:dyDescent="0.3">
      <c r="A451" t="s">
        <v>61</v>
      </c>
      <c r="B451" t="s">
        <v>196</v>
      </c>
      <c r="C451" s="4">
        <v>35.32</v>
      </c>
      <c r="D451" s="8">
        <v>918.32</v>
      </c>
      <c r="E451">
        <v>273.3</v>
      </c>
    </row>
    <row r="452" spans="1:5" x14ac:dyDescent="0.3">
      <c r="A452" t="s">
        <v>17</v>
      </c>
      <c r="B452" t="s">
        <v>41</v>
      </c>
      <c r="C452" s="4">
        <v>16.440000000000001</v>
      </c>
      <c r="D452" s="8">
        <v>263.04000000000002</v>
      </c>
      <c r="E452">
        <v>41.4</v>
      </c>
    </row>
    <row r="453" spans="1:5" x14ac:dyDescent="0.3">
      <c r="A453" t="s">
        <v>104</v>
      </c>
      <c r="B453" t="s">
        <v>123</v>
      </c>
      <c r="C453" s="4">
        <v>46.27</v>
      </c>
      <c r="D453" s="8">
        <v>1804.53</v>
      </c>
      <c r="E453">
        <v>673.96</v>
      </c>
    </row>
    <row r="454" spans="1:5" x14ac:dyDescent="0.3">
      <c r="A454" t="s">
        <v>39</v>
      </c>
      <c r="B454" t="s">
        <v>28</v>
      </c>
      <c r="C454" s="4">
        <v>33.22</v>
      </c>
      <c r="D454" s="8">
        <v>498.3</v>
      </c>
      <c r="E454">
        <v>86.45</v>
      </c>
    </row>
    <row r="455" spans="1:5" x14ac:dyDescent="0.3">
      <c r="A455" t="s">
        <v>56</v>
      </c>
      <c r="B455" t="s">
        <v>101</v>
      </c>
      <c r="C455" s="4">
        <v>71.02</v>
      </c>
      <c r="D455" s="8">
        <v>2485.6999999999998</v>
      </c>
      <c r="E455">
        <v>948.48</v>
      </c>
    </row>
    <row r="456" spans="1:5" x14ac:dyDescent="0.3">
      <c r="A456" t="s">
        <v>68</v>
      </c>
      <c r="B456" t="s">
        <v>88</v>
      </c>
      <c r="C456" s="4">
        <v>42.31</v>
      </c>
      <c r="D456" s="8">
        <v>84.62</v>
      </c>
      <c r="E456">
        <v>24.34</v>
      </c>
    </row>
    <row r="457" spans="1:5" x14ac:dyDescent="0.3">
      <c r="A457" t="s">
        <v>75</v>
      </c>
      <c r="B457" t="s">
        <v>81</v>
      </c>
      <c r="C457" s="4">
        <v>41.36</v>
      </c>
      <c r="D457" s="8">
        <v>330.88</v>
      </c>
      <c r="E457">
        <v>119.1</v>
      </c>
    </row>
    <row r="458" spans="1:5" x14ac:dyDescent="0.3">
      <c r="A458" t="s">
        <v>68</v>
      </c>
      <c r="B458" t="s">
        <v>48</v>
      </c>
      <c r="C458" s="4">
        <v>31.39</v>
      </c>
      <c r="D458" s="8">
        <v>94.17</v>
      </c>
      <c r="E458">
        <v>37.65</v>
      </c>
    </row>
    <row r="459" spans="1:5" x14ac:dyDescent="0.3">
      <c r="A459" t="s">
        <v>17</v>
      </c>
      <c r="B459" t="s">
        <v>123</v>
      </c>
      <c r="C459" s="4">
        <v>33.61</v>
      </c>
      <c r="D459" s="8">
        <v>1613.28</v>
      </c>
      <c r="E459">
        <v>423.36</v>
      </c>
    </row>
    <row r="460" spans="1:5" x14ac:dyDescent="0.3">
      <c r="A460" t="s">
        <v>83</v>
      </c>
      <c r="B460" t="s">
        <v>170</v>
      </c>
      <c r="C460" s="4">
        <v>50.29</v>
      </c>
      <c r="D460" s="8">
        <v>452.61</v>
      </c>
      <c r="E460">
        <v>131.68</v>
      </c>
    </row>
    <row r="461" spans="1:5" x14ac:dyDescent="0.3">
      <c r="A461" t="s">
        <v>39</v>
      </c>
      <c r="B461" t="s">
        <v>19</v>
      </c>
      <c r="C461" s="4">
        <v>34.96</v>
      </c>
      <c r="D461" s="8">
        <v>419.52</v>
      </c>
      <c r="E461">
        <v>134.09</v>
      </c>
    </row>
    <row r="462" spans="1:5" x14ac:dyDescent="0.3">
      <c r="A462" t="s">
        <v>26</v>
      </c>
      <c r="B462" t="s">
        <v>147</v>
      </c>
      <c r="C462" s="4">
        <v>52.72</v>
      </c>
      <c r="D462" s="8">
        <v>1528.88</v>
      </c>
      <c r="E462">
        <v>416.97</v>
      </c>
    </row>
    <row r="463" spans="1:5" x14ac:dyDescent="0.3">
      <c r="A463" t="s">
        <v>26</v>
      </c>
      <c r="B463" t="s">
        <v>48</v>
      </c>
      <c r="C463" s="4">
        <v>22.18</v>
      </c>
      <c r="D463" s="8">
        <v>865.02</v>
      </c>
      <c r="E463">
        <v>234.29</v>
      </c>
    </row>
    <row r="464" spans="1:5" x14ac:dyDescent="0.3">
      <c r="A464" t="s">
        <v>26</v>
      </c>
      <c r="B464" t="s">
        <v>81</v>
      </c>
      <c r="C464" s="4">
        <v>21.4</v>
      </c>
      <c r="D464" s="8">
        <v>235.4</v>
      </c>
      <c r="E464">
        <v>53.26</v>
      </c>
    </row>
    <row r="465" spans="1:5" x14ac:dyDescent="0.3">
      <c r="A465" t="s">
        <v>34</v>
      </c>
      <c r="B465" t="s">
        <v>81</v>
      </c>
      <c r="C465" s="4">
        <v>36.26</v>
      </c>
      <c r="D465" s="8">
        <v>761.46</v>
      </c>
      <c r="E465">
        <v>179.47</v>
      </c>
    </row>
    <row r="466" spans="1:5" x14ac:dyDescent="0.3">
      <c r="A466" t="s">
        <v>39</v>
      </c>
      <c r="B466" t="s">
        <v>63</v>
      </c>
      <c r="C466" s="4">
        <v>35.409999999999997</v>
      </c>
      <c r="D466" s="8">
        <v>1380.99</v>
      </c>
      <c r="E466">
        <v>418.93</v>
      </c>
    </row>
    <row r="467" spans="1:5" x14ac:dyDescent="0.3">
      <c r="A467" t="s">
        <v>34</v>
      </c>
      <c r="B467" t="s">
        <v>63</v>
      </c>
      <c r="C467" s="4">
        <v>27.35</v>
      </c>
      <c r="D467" s="8">
        <v>355.55</v>
      </c>
      <c r="E467">
        <v>95.32</v>
      </c>
    </row>
    <row r="468" spans="1:5" x14ac:dyDescent="0.3">
      <c r="A468" t="s">
        <v>157</v>
      </c>
      <c r="B468" t="s">
        <v>41</v>
      </c>
      <c r="C468" s="4">
        <v>21.08</v>
      </c>
      <c r="D468" s="8">
        <v>843.2</v>
      </c>
      <c r="E468">
        <v>266.39</v>
      </c>
    </row>
    <row r="469" spans="1:5" x14ac:dyDescent="0.3">
      <c r="A469" t="s">
        <v>39</v>
      </c>
      <c r="B469" t="s">
        <v>53</v>
      </c>
      <c r="C469" s="4">
        <v>27.54</v>
      </c>
      <c r="D469" s="8">
        <v>1294.3800000000001</v>
      </c>
      <c r="E469">
        <v>503.1</v>
      </c>
    </row>
    <row r="470" spans="1:5" x14ac:dyDescent="0.3">
      <c r="A470" t="s">
        <v>86</v>
      </c>
      <c r="B470" t="s">
        <v>196</v>
      </c>
      <c r="C470" s="4">
        <v>45.08</v>
      </c>
      <c r="D470" s="8">
        <v>721.28</v>
      </c>
      <c r="E470">
        <v>187.67</v>
      </c>
    </row>
    <row r="471" spans="1:5" x14ac:dyDescent="0.3">
      <c r="A471" t="s">
        <v>75</v>
      </c>
      <c r="B471" t="s">
        <v>88</v>
      </c>
      <c r="C471" s="4">
        <v>33.200000000000003</v>
      </c>
      <c r="D471" s="8">
        <v>1228.4000000000001</v>
      </c>
      <c r="E471">
        <v>354.56</v>
      </c>
    </row>
    <row r="472" spans="1:5" x14ac:dyDescent="0.3">
      <c r="A472" t="s">
        <v>78</v>
      </c>
      <c r="B472" t="s">
        <v>88</v>
      </c>
      <c r="C472" s="4">
        <v>27.31</v>
      </c>
      <c r="D472" s="8">
        <v>218.48</v>
      </c>
      <c r="E472">
        <v>64.97</v>
      </c>
    </row>
    <row r="473" spans="1:5" x14ac:dyDescent="0.3">
      <c r="A473" t="s">
        <v>34</v>
      </c>
      <c r="B473" t="s">
        <v>101</v>
      </c>
      <c r="C473" s="4">
        <v>29.14</v>
      </c>
      <c r="D473" s="8">
        <v>553.66</v>
      </c>
      <c r="E473">
        <v>191.96</v>
      </c>
    </row>
    <row r="474" spans="1:5" x14ac:dyDescent="0.3">
      <c r="A474" t="s">
        <v>68</v>
      </c>
      <c r="B474" t="s">
        <v>81</v>
      </c>
      <c r="C474" s="4">
        <v>55.41</v>
      </c>
      <c r="D474" s="8">
        <v>332.46</v>
      </c>
      <c r="E474">
        <v>106.89</v>
      </c>
    </row>
    <row r="475" spans="1:5" x14ac:dyDescent="0.3">
      <c r="A475" t="s">
        <v>75</v>
      </c>
      <c r="B475" t="s">
        <v>88</v>
      </c>
      <c r="C475" s="4">
        <v>29.07</v>
      </c>
      <c r="D475" s="8">
        <v>1395.36</v>
      </c>
      <c r="E475">
        <v>460.98</v>
      </c>
    </row>
    <row r="476" spans="1:5" x14ac:dyDescent="0.3">
      <c r="A476" t="s">
        <v>107</v>
      </c>
      <c r="B476" t="s">
        <v>41</v>
      </c>
      <c r="C476" s="4">
        <v>27.17</v>
      </c>
      <c r="D476" s="8">
        <v>706.42</v>
      </c>
      <c r="E476">
        <v>87.48</v>
      </c>
    </row>
    <row r="477" spans="1:5" x14ac:dyDescent="0.3">
      <c r="A477" t="s">
        <v>650</v>
      </c>
      <c r="B477" t="s">
        <v>91</v>
      </c>
      <c r="C477" s="4">
        <v>48.76</v>
      </c>
      <c r="D477" s="8">
        <v>438.84</v>
      </c>
      <c r="E477">
        <v>106.93</v>
      </c>
    </row>
    <row r="478" spans="1:5" x14ac:dyDescent="0.3">
      <c r="A478" t="s">
        <v>652</v>
      </c>
      <c r="B478" t="s">
        <v>28</v>
      </c>
      <c r="C478" s="4">
        <v>33.21</v>
      </c>
      <c r="D478" s="8">
        <v>1228.77</v>
      </c>
      <c r="E478">
        <v>300.14999999999998</v>
      </c>
    </row>
    <row r="479" spans="1:5" x14ac:dyDescent="0.3">
      <c r="A479" t="s">
        <v>654</v>
      </c>
      <c r="B479" t="s">
        <v>41</v>
      </c>
      <c r="C479" s="4">
        <v>16.54</v>
      </c>
      <c r="D479" s="8">
        <v>479.66</v>
      </c>
      <c r="E479">
        <v>79.680000000000007</v>
      </c>
    </row>
    <row r="480" spans="1:5" x14ac:dyDescent="0.3">
      <c r="A480" t="s">
        <v>656</v>
      </c>
      <c r="B480" t="s">
        <v>147</v>
      </c>
      <c r="C480" s="4">
        <v>44.56</v>
      </c>
      <c r="D480" s="8">
        <v>490.16</v>
      </c>
      <c r="E480">
        <v>191.19</v>
      </c>
    </row>
    <row r="481" spans="1:5" x14ac:dyDescent="0.3">
      <c r="A481" t="s">
        <v>658</v>
      </c>
      <c r="B481" t="s">
        <v>53</v>
      </c>
      <c r="C481" s="4">
        <v>44.78</v>
      </c>
      <c r="D481" s="8">
        <v>2239</v>
      </c>
      <c r="E481">
        <v>469.03</v>
      </c>
    </row>
    <row r="482" spans="1:5" x14ac:dyDescent="0.3">
      <c r="A482" t="s">
        <v>660</v>
      </c>
      <c r="B482" t="s">
        <v>19</v>
      </c>
      <c r="C482" s="4">
        <v>22.51</v>
      </c>
      <c r="D482" s="8">
        <v>675.3</v>
      </c>
      <c r="E482">
        <v>109.04</v>
      </c>
    </row>
    <row r="483" spans="1:5" x14ac:dyDescent="0.3">
      <c r="A483" t="s">
        <v>662</v>
      </c>
      <c r="B483" t="s">
        <v>147</v>
      </c>
      <c r="C483" s="4">
        <v>27.18</v>
      </c>
      <c r="D483" s="8">
        <v>1359</v>
      </c>
      <c r="E483">
        <v>538.33000000000004</v>
      </c>
    </row>
    <row r="484" spans="1:5" x14ac:dyDescent="0.3">
      <c r="A484" t="s">
        <v>664</v>
      </c>
      <c r="B484" t="s">
        <v>36</v>
      </c>
      <c r="C484" s="4">
        <v>37.51</v>
      </c>
      <c r="D484" s="8">
        <v>1050.28</v>
      </c>
      <c r="E484">
        <v>220.45</v>
      </c>
    </row>
    <row r="485" spans="1:5" x14ac:dyDescent="0.3">
      <c r="A485" t="s">
        <v>666</v>
      </c>
      <c r="B485" t="s">
        <v>147</v>
      </c>
      <c r="C485" s="4">
        <v>53.71</v>
      </c>
      <c r="D485" s="8">
        <v>2685.5</v>
      </c>
      <c r="E485">
        <v>487.61</v>
      </c>
    </row>
    <row r="486" spans="1:5" x14ac:dyDescent="0.3">
      <c r="A486" t="s">
        <v>668</v>
      </c>
      <c r="B486" t="s">
        <v>101</v>
      </c>
      <c r="C486" s="4">
        <v>18.62</v>
      </c>
      <c r="D486" s="8">
        <v>446.88</v>
      </c>
      <c r="E486">
        <v>47.97</v>
      </c>
    </row>
    <row r="487" spans="1:5" x14ac:dyDescent="0.3">
      <c r="A487" t="s">
        <v>670</v>
      </c>
      <c r="B487" t="s">
        <v>81</v>
      </c>
      <c r="C487" s="4">
        <v>49.15</v>
      </c>
      <c r="D487" s="8">
        <v>491.5</v>
      </c>
      <c r="E487">
        <v>78.2</v>
      </c>
    </row>
    <row r="488" spans="1:5" x14ac:dyDescent="0.3">
      <c r="A488" t="s">
        <v>672</v>
      </c>
      <c r="B488" t="s">
        <v>63</v>
      </c>
      <c r="C488" s="4">
        <v>50.96</v>
      </c>
      <c r="D488" s="8">
        <v>2140.3200000000002</v>
      </c>
      <c r="E488">
        <v>332.47</v>
      </c>
    </row>
    <row r="489" spans="1:5" x14ac:dyDescent="0.3">
      <c r="A489" t="s">
        <v>674</v>
      </c>
      <c r="B489" t="s">
        <v>63</v>
      </c>
      <c r="C489" s="4">
        <v>37.46</v>
      </c>
      <c r="D489" s="8">
        <v>1460.94</v>
      </c>
      <c r="E489">
        <v>403.69</v>
      </c>
    </row>
    <row r="490" spans="1:5" x14ac:dyDescent="0.3">
      <c r="A490" t="s">
        <v>676</v>
      </c>
      <c r="B490" t="s">
        <v>123</v>
      </c>
      <c r="C490" s="4">
        <v>20.2</v>
      </c>
      <c r="D490" s="8">
        <v>141.4</v>
      </c>
      <c r="E490">
        <v>47.8</v>
      </c>
    </row>
    <row r="491" spans="1:5" x14ac:dyDescent="0.3">
      <c r="A491" t="s">
        <v>678</v>
      </c>
      <c r="B491" t="s">
        <v>48</v>
      </c>
      <c r="C491" s="4">
        <v>18.63</v>
      </c>
      <c r="D491" s="8">
        <v>335.34</v>
      </c>
      <c r="E491">
        <v>79.66</v>
      </c>
    </row>
    <row r="492" spans="1:5" x14ac:dyDescent="0.3">
      <c r="A492" t="s">
        <v>680</v>
      </c>
      <c r="B492" t="s">
        <v>147</v>
      </c>
      <c r="C492" s="4">
        <v>27.08</v>
      </c>
      <c r="D492" s="8">
        <v>324.95999999999998</v>
      </c>
      <c r="E492">
        <v>39.369999999999997</v>
      </c>
    </row>
    <row r="493" spans="1:5" x14ac:dyDescent="0.3">
      <c r="A493" t="s">
        <v>682</v>
      </c>
      <c r="B493" t="s">
        <v>123</v>
      </c>
      <c r="C493" s="4">
        <v>32.21</v>
      </c>
      <c r="D493" s="8">
        <v>1610.5</v>
      </c>
      <c r="E493">
        <v>327.82</v>
      </c>
    </row>
    <row r="494" spans="1:5" x14ac:dyDescent="0.3">
      <c r="A494" t="s">
        <v>684</v>
      </c>
      <c r="B494" t="s">
        <v>101</v>
      </c>
      <c r="C494" s="4">
        <v>20.59</v>
      </c>
      <c r="D494" s="8">
        <v>1008.91</v>
      </c>
      <c r="E494">
        <v>306.13</v>
      </c>
    </row>
    <row r="495" spans="1:5" x14ac:dyDescent="0.3">
      <c r="A495" t="s">
        <v>686</v>
      </c>
      <c r="B495" t="s">
        <v>36</v>
      </c>
      <c r="C495" s="4">
        <v>28.63</v>
      </c>
      <c r="D495" s="8">
        <v>629.86</v>
      </c>
      <c r="E495">
        <v>160.78</v>
      </c>
    </row>
    <row r="496" spans="1:5" x14ac:dyDescent="0.3">
      <c r="A496" t="s">
        <v>688</v>
      </c>
      <c r="B496" t="s">
        <v>63</v>
      </c>
      <c r="C496" s="4">
        <v>56.12</v>
      </c>
      <c r="D496" s="8">
        <v>617.32000000000005</v>
      </c>
      <c r="E496">
        <v>139.06</v>
      </c>
    </row>
    <row r="497" spans="1:5" x14ac:dyDescent="0.3">
      <c r="A497" t="s">
        <v>690</v>
      </c>
      <c r="B497" t="s">
        <v>19</v>
      </c>
      <c r="C497" s="4">
        <v>30.88</v>
      </c>
      <c r="D497" s="8">
        <v>61.76</v>
      </c>
      <c r="E497">
        <v>7.34</v>
      </c>
    </row>
    <row r="498" spans="1:5" x14ac:dyDescent="0.3">
      <c r="A498" t="s">
        <v>692</v>
      </c>
      <c r="B498" t="s">
        <v>147</v>
      </c>
      <c r="C498" s="4">
        <v>63.8</v>
      </c>
      <c r="D498" s="8">
        <v>2169.1999999999998</v>
      </c>
      <c r="E498">
        <v>739.55</v>
      </c>
    </row>
    <row r="499" spans="1:5" x14ac:dyDescent="0.3">
      <c r="A499" t="s">
        <v>694</v>
      </c>
      <c r="B499" t="s">
        <v>53</v>
      </c>
      <c r="C499" s="4">
        <v>44.61</v>
      </c>
      <c r="D499" s="8">
        <v>2230.5</v>
      </c>
      <c r="E499">
        <v>739.18</v>
      </c>
    </row>
    <row r="500" spans="1:5" x14ac:dyDescent="0.3">
      <c r="A500" t="s">
        <v>696</v>
      </c>
      <c r="B500" t="s">
        <v>88</v>
      </c>
      <c r="C500" s="4">
        <v>18.61</v>
      </c>
      <c r="D500" s="8">
        <v>260.54000000000002</v>
      </c>
      <c r="E500">
        <v>76.650000000000006</v>
      </c>
    </row>
    <row r="501" spans="1:5" x14ac:dyDescent="0.3">
      <c r="A501" t="s">
        <v>698</v>
      </c>
      <c r="B501" t="s">
        <v>28</v>
      </c>
      <c r="C501" s="4">
        <v>24.61</v>
      </c>
      <c r="D501" s="8">
        <v>172.27</v>
      </c>
      <c r="E501">
        <v>54.13</v>
      </c>
    </row>
  </sheetData>
  <conditionalFormatting sqref="E1:E501">
    <cfRule type="cellIs" dxfId="7" priority="1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A2710-24BD-41F9-A353-89F47D6D2B78}">
  <dimension ref="A1:D501"/>
  <sheetViews>
    <sheetView workbookViewId="0">
      <selection activeCell="C2" sqref="C2"/>
    </sheetView>
  </sheetViews>
  <sheetFormatPr defaultRowHeight="14.4" x14ac:dyDescent="0.3"/>
  <cols>
    <col min="1" max="2" width="17.21875" bestFit="1" customWidth="1"/>
    <col min="3" max="3" width="8.88671875" style="18"/>
    <col min="4" max="4" width="13.6640625" bestFit="1" customWidth="1"/>
  </cols>
  <sheetData>
    <row r="1" spans="1:4" x14ac:dyDescent="0.3">
      <c r="A1" s="16" t="s">
        <v>768</v>
      </c>
      <c r="B1" s="16" t="s">
        <v>769</v>
      </c>
      <c r="C1" s="17" t="s">
        <v>780</v>
      </c>
      <c r="D1" s="16" t="s">
        <v>791</v>
      </c>
    </row>
    <row r="2" spans="1:4" x14ac:dyDescent="0.3">
      <c r="A2" t="s">
        <v>18</v>
      </c>
      <c r="B2" t="s">
        <v>770</v>
      </c>
      <c r="C2" t="s">
        <v>781</v>
      </c>
      <c r="D2" t="str">
        <f>LEFT(B2,2)&amp;LEFT(C2,2)&amp;ROW()</f>
        <v>SmEm2</v>
      </c>
    </row>
    <row r="3" spans="1:4" x14ac:dyDescent="0.3">
      <c r="A3" t="s">
        <v>27</v>
      </c>
      <c r="B3" t="s">
        <v>771</v>
      </c>
      <c r="C3" t="s">
        <v>782</v>
      </c>
      <c r="D3" t="str">
        <f t="shared" ref="D3:D66" si="0">LEFT(B3,2)&amp;LEFT(C3,2)&amp;ROW()</f>
        <v>BrLa3</v>
      </c>
    </row>
    <row r="4" spans="1:4" x14ac:dyDescent="0.3">
      <c r="A4" t="s">
        <v>35</v>
      </c>
      <c r="B4" t="s">
        <v>772</v>
      </c>
      <c r="C4" t="s">
        <v>783</v>
      </c>
      <c r="D4" t="str">
        <f t="shared" si="0"/>
        <v>DaJo4</v>
      </c>
    </row>
    <row r="5" spans="1:4" x14ac:dyDescent="0.3">
      <c r="A5" t="s">
        <v>40</v>
      </c>
      <c r="B5" t="s">
        <v>773</v>
      </c>
      <c r="C5" t="s">
        <v>784</v>
      </c>
      <c r="D5" t="str">
        <f t="shared" si="0"/>
        <v>MiDa5</v>
      </c>
    </row>
    <row r="6" spans="1:4" x14ac:dyDescent="0.3">
      <c r="A6" t="s">
        <v>47</v>
      </c>
      <c r="B6" t="s">
        <v>774</v>
      </c>
      <c r="C6" t="s">
        <v>785</v>
      </c>
      <c r="D6" t="str">
        <f t="shared" si="0"/>
        <v>JoEm6</v>
      </c>
    </row>
    <row r="7" spans="1:4" x14ac:dyDescent="0.3">
      <c r="A7" t="s">
        <v>52</v>
      </c>
      <c r="B7" t="s">
        <v>774</v>
      </c>
      <c r="C7" t="s">
        <v>786</v>
      </c>
      <c r="D7" t="str">
        <f t="shared" si="0"/>
        <v>JoMi7</v>
      </c>
    </row>
    <row r="8" spans="1:4" x14ac:dyDescent="0.3">
      <c r="A8" t="s">
        <v>57</v>
      </c>
      <c r="B8" t="s">
        <v>775</v>
      </c>
      <c r="C8" t="s">
        <v>785</v>
      </c>
      <c r="D8" t="str">
        <f t="shared" si="0"/>
        <v>HeEm8</v>
      </c>
    </row>
    <row r="9" spans="1:4" x14ac:dyDescent="0.3">
      <c r="A9" t="s">
        <v>62</v>
      </c>
      <c r="B9" t="s">
        <v>773</v>
      </c>
      <c r="C9" t="s">
        <v>783</v>
      </c>
      <c r="D9" t="str">
        <f t="shared" si="0"/>
        <v>MiJo9</v>
      </c>
    </row>
    <row r="10" spans="1:4" x14ac:dyDescent="0.3">
      <c r="A10" t="s">
        <v>35</v>
      </c>
      <c r="B10" t="s">
        <v>772</v>
      </c>
      <c r="C10" t="s">
        <v>783</v>
      </c>
      <c r="D10" t="str">
        <f t="shared" si="0"/>
        <v>DaJo10</v>
      </c>
    </row>
    <row r="11" spans="1:4" x14ac:dyDescent="0.3">
      <c r="A11" t="s">
        <v>72</v>
      </c>
      <c r="B11" t="s">
        <v>776</v>
      </c>
      <c r="C11" t="s">
        <v>782</v>
      </c>
      <c r="D11" t="str">
        <f t="shared" si="0"/>
        <v>MaLa11</v>
      </c>
    </row>
    <row r="12" spans="1:4" x14ac:dyDescent="0.3">
      <c r="A12" t="s">
        <v>76</v>
      </c>
      <c r="B12" t="s">
        <v>776</v>
      </c>
      <c r="C12" t="s">
        <v>787</v>
      </c>
      <c r="D12" t="str">
        <f t="shared" si="0"/>
        <v>MaJa12</v>
      </c>
    </row>
    <row r="13" spans="1:4" x14ac:dyDescent="0.3">
      <c r="A13" t="s">
        <v>79</v>
      </c>
      <c r="B13" t="s">
        <v>772</v>
      </c>
      <c r="C13" t="s">
        <v>787</v>
      </c>
      <c r="D13" t="str">
        <f t="shared" si="0"/>
        <v>DaJa13</v>
      </c>
    </row>
    <row r="14" spans="1:4" x14ac:dyDescent="0.3">
      <c r="A14" t="s">
        <v>76</v>
      </c>
      <c r="B14" t="s">
        <v>776</v>
      </c>
      <c r="C14" t="s">
        <v>787</v>
      </c>
      <c r="D14" t="str">
        <f t="shared" si="0"/>
        <v>MaJa14</v>
      </c>
    </row>
    <row r="15" spans="1:4" x14ac:dyDescent="0.3">
      <c r="A15" t="s">
        <v>84</v>
      </c>
      <c r="B15" t="s">
        <v>770</v>
      </c>
      <c r="C15" t="s">
        <v>785</v>
      </c>
      <c r="D15" t="str">
        <f t="shared" si="0"/>
        <v>SmEm15</v>
      </c>
    </row>
    <row r="16" spans="1:4" x14ac:dyDescent="0.3">
      <c r="A16" t="s">
        <v>87</v>
      </c>
      <c r="B16" t="s">
        <v>772</v>
      </c>
      <c r="C16" t="s">
        <v>788</v>
      </c>
      <c r="D16" t="str">
        <f t="shared" si="0"/>
        <v>DaSa16</v>
      </c>
    </row>
    <row r="17" spans="1:4" x14ac:dyDescent="0.3">
      <c r="A17" t="s">
        <v>90</v>
      </c>
      <c r="B17" t="s">
        <v>777</v>
      </c>
      <c r="C17" t="s">
        <v>789</v>
      </c>
      <c r="D17" t="str">
        <f t="shared" si="0"/>
        <v>WiDa17</v>
      </c>
    </row>
    <row r="18" spans="1:4" x14ac:dyDescent="0.3">
      <c r="A18" t="s">
        <v>76</v>
      </c>
      <c r="B18" t="s">
        <v>776</v>
      </c>
      <c r="C18" t="s">
        <v>787</v>
      </c>
      <c r="D18" t="str">
        <f t="shared" si="0"/>
        <v>MaJa18</v>
      </c>
    </row>
    <row r="19" spans="1:4" x14ac:dyDescent="0.3">
      <c r="A19" t="s">
        <v>52</v>
      </c>
      <c r="B19" t="s">
        <v>774</v>
      </c>
      <c r="C19" t="s">
        <v>786</v>
      </c>
      <c r="D19" t="str">
        <f t="shared" si="0"/>
        <v>JoMi19</v>
      </c>
    </row>
    <row r="20" spans="1:4" x14ac:dyDescent="0.3">
      <c r="A20" t="s">
        <v>96</v>
      </c>
      <c r="B20" t="s">
        <v>770</v>
      </c>
      <c r="C20" t="s">
        <v>788</v>
      </c>
      <c r="D20" t="str">
        <f t="shared" si="0"/>
        <v>SmSa20</v>
      </c>
    </row>
    <row r="21" spans="1:4" x14ac:dyDescent="0.3">
      <c r="A21" t="s">
        <v>47</v>
      </c>
      <c r="B21" t="s">
        <v>774</v>
      </c>
      <c r="C21" t="s">
        <v>785</v>
      </c>
      <c r="D21" t="str">
        <f t="shared" si="0"/>
        <v>JoEm21</v>
      </c>
    </row>
    <row r="22" spans="1:4" x14ac:dyDescent="0.3">
      <c r="A22" t="s">
        <v>100</v>
      </c>
      <c r="B22" t="s">
        <v>773</v>
      </c>
      <c r="C22" t="s">
        <v>786</v>
      </c>
      <c r="D22" t="str">
        <f t="shared" si="0"/>
        <v>MiMi22</v>
      </c>
    </row>
    <row r="23" spans="1:4" x14ac:dyDescent="0.3">
      <c r="A23" t="s">
        <v>105</v>
      </c>
      <c r="B23" t="s">
        <v>772</v>
      </c>
      <c r="C23" t="s">
        <v>789</v>
      </c>
      <c r="D23" t="str">
        <f t="shared" si="0"/>
        <v>DaDa23</v>
      </c>
    </row>
    <row r="24" spans="1:4" x14ac:dyDescent="0.3">
      <c r="A24" t="s">
        <v>108</v>
      </c>
      <c r="B24" t="s">
        <v>774</v>
      </c>
      <c r="C24" t="s">
        <v>788</v>
      </c>
      <c r="D24" t="str">
        <f t="shared" si="0"/>
        <v>JoSa24</v>
      </c>
    </row>
    <row r="25" spans="1:4" x14ac:dyDescent="0.3">
      <c r="A25" t="s">
        <v>110</v>
      </c>
      <c r="B25" t="s">
        <v>775</v>
      </c>
      <c r="C25" t="s">
        <v>790</v>
      </c>
      <c r="D25" t="str">
        <f t="shared" si="0"/>
        <v>HeSo25</v>
      </c>
    </row>
    <row r="26" spans="1:4" x14ac:dyDescent="0.3">
      <c r="A26" t="s">
        <v>112</v>
      </c>
      <c r="B26" t="s">
        <v>777</v>
      </c>
      <c r="C26" t="s">
        <v>784</v>
      </c>
      <c r="D26" t="str">
        <f t="shared" si="0"/>
        <v>WiDa26</v>
      </c>
    </row>
    <row r="27" spans="1:4" x14ac:dyDescent="0.3">
      <c r="A27" t="s">
        <v>114</v>
      </c>
      <c r="B27" t="s">
        <v>776</v>
      </c>
      <c r="C27" t="s">
        <v>786</v>
      </c>
      <c r="D27" t="str">
        <f t="shared" si="0"/>
        <v>MaMi27</v>
      </c>
    </row>
    <row r="28" spans="1:4" x14ac:dyDescent="0.3">
      <c r="A28" t="s">
        <v>40</v>
      </c>
      <c r="B28" t="s">
        <v>773</v>
      </c>
      <c r="C28" t="s">
        <v>784</v>
      </c>
      <c r="D28" t="str">
        <f t="shared" si="0"/>
        <v>MiDa28</v>
      </c>
    </row>
    <row r="29" spans="1:4" x14ac:dyDescent="0.3">
      <c r="A29" t="s">
        <v>117</v>
      </c>
      <c r="B29" t="s">
        <v>778</v>
      </c>
      <c r="C29" t="s">
        <v>782</v>
      </c>
      <c r="D29" t="str">
        <f t="shared" si="0"/>
        <v>JoLa29</v>
      </c>
    </row>
    <row r="30" spans="1:4" x14ac:dyDescent="0.3">
      <c r="A30" t="s">
        <v>119</v>
      </c>
      <c r="B30" t="s">
        <v>771</v>
      </c>
      <c r="C30" t="s">
        <v>786</v>
      </c>
      <c r="D30" t="str">
        <f t="shared" si="0"/>
        <v>BrMi30</v>
      </c>
    </row>
    <row r="31" spans="1:4" x14ac:dyDescent="0.3">
      <c r="A31" t="s">
        <v>90</v>
      </c>
      <c r="B31" t="s">
        <v>777</v>
      </c>
      <c r="C31" t="s">
        <v>789</v>
      </c>
      <c r="D31" t="str">
        <f t="shared" si="0"/>
        <v>WiDa31</v>
      </c>
    </row>
    <row r="32" spans="1:4" x14ac:dyDescent="0.3">
      <c r="A32" t="s">
        <v>122</v>
      </c>
      <c r="B32" t="s">
        <v>773</v>
      </c>
      <c r="C32" t="s">
        <v>782</v>
      </c>
      <c r="D32" t="str">
        <f t="shared" si="0"/>
        <v>MiLa32</v>
      </c>
    </row>
    <row r="33" spans="1:4" x14ac:dyDescent="0.3">
      <c r="A33" t="s">
        <v>125</v>
      </c>
      <c r="B33" t="s">
        <v>779</v>
      </c>
      <c r="C33" t="s">
        <v>790</v>
      </c>
      <c r="D33" t="str">
        <f t="shared" si="0"/>
        <v>GaSo33</v>
      </c>
    </row>
    <row r="34" spans="1:4" x14ac:dyDescent="0.3">
      <c r="A34" t="s">
        <v>127</v>
      </c>
      <c r="B34" t="s">
        <v>770</v>
      </c>
      <c r="C34" t="s">
        <v>790</v>
      </c>
      <c r="D34" t="str">
        <f t="shared" si="0"/>
        <v>SmSo34</v>
      </c>
    </row>
    <row r="35" spans="1:4" x14ac:dyDescent="0.3">
      <c r="A35" t="s">
        <v>40</v>
      </c>
      <c r="B35" t="s">
        <v>773</v>
      </c>
      <c r="C35" t="s">
        <v>784</v>
      </c>
      <c r="D35" t="str">
        <f t="shared" si="0"/>
        <v>MiDa35</v>
      </c>
    </row>
    <row r="36" spans="1:4" x14ac:dyDescent="0.3">
      <c r="A36" t="s">
        <v>130</v>
      </c>
      <c r="B36" t="s">
        <v>775</v>
      </c>
      <c r="C36" t="s">
        <v>783</v>
      </c>
      <c r="D36" t="str">
        <f t="shared" si="0"/>
        <v>HeJo36</v>
      </c>
    </row>
    <row r="37" spans="1:4" x14ac:dyDescent="0.3">
      <c r="A37" t="s">
        <v>133</v>
      </c>
      <c r="B37" t="s">
        <v>777</v>
      </c>
      <c r="C37" t="s">
        <v>782</v>
      </c>
      <c r="D37" t="str">
        <f t="shared" si="0"/>
        <v>WiLa37</v>
      </c>
    </row>
    <row r="38" spans="1:4" x14ac:dyDescent="0.3">
      <c r="A38" t="s">
        <v>135</v>
      </c>
      <c r="B38" t="s">
        <v>773</v>
      </c>
      <c r="C38" t="s">
        <v>789</v>
      </c>
      <c r="D38" t="str">
        <f t="shared" si="0"/>
        <v>MiDa38</v>
      </c>
    </row>
    <row r="39" spans="1:4" x14ac:dyDescent="0.3">
      <c r="A39" t="s">
        <v>137</v>
      </c>
      <c r="B39" t="s">
        <v>770</v>
      </c>
      <c r="C39" t="s">
        <v>786</v>
      </c>
      <c r="D39" t="str">
        <f t="shared" si="0"/>
        <v>SmMi39</v>
      </c>
    </row>
    <row r="40" spans="1:4" x14ac:dyDescent="0.3">
      <c r="A40" t="s">
        <v>139</v>
      </c>
      <c r="B40" t="s">
        <v>776</v>
      </c>
      <c r="C40" t="s">
        <v>788</v>
      </c>
      <c r="D40" t="str">
        <f t="shared" si="0"/>
        <v>MaSa40</v>
      </c>
    </row>
    <row r="41" spans="1:4" x14ac:dyDescent="0.3">
      <c r="A41" t="s">
        <v>141</v>
      </c>
      <c r="B41" t="s">
        <v>779</v>
      </c>
      <c r="C41" t="s">
        <v>781</v>
      </c>
      <c r="D41" t="str">
        <f t="shared" si="0"/>
        <v>GaEm41</v>
      </c>
    </row>
    <row r="42" spans="1:4" x14ac:dyDescent="0.3">
      <c r="A42" t="s">
        <v>143</v>
      </c>
      <c r="B42" t="s">
        <v>777</v>
      </c>
      <c r="C42" t="s">
        <v>785</v>
      </c>
      <c r="D42" t="str">
        <f t="shared" si="0"/>
        <v>WiEm42</v>
      </c>
    </row>
    <row r="43" spans="1:4" x14ac:dyDescent="0.3">
      <c r="A43" t="s">
        <v>84</v>
      </c>
      <c r="B43" t="s">
        <v>770</v>
      </c>
      <c r="C43" t="s">
        <v>785</v>
      </c>
      <c r="D43" t="str">
        <f t="shared" si="0"/>
        <v>SmEm43</v>
      </c>
    </row>
    <row r="44" spans="1:4" x14ac:dyDescent="0.3">
      <c r="A44" t="s">
        <v>87</v>
      </c>
      <c r="B44" t="s">
        <v>772</v>
      </c>
      <c r="C44" t="s">
        <v>788</v>
      </c>
      <c r="D44" t="str">
        <f t="shared" si="0"/>
        <v>DaSa44</v>
      </c>
    </row>
    <row r="45" spans="1:4" x14ac:dyDescent="0.3">
      <c r="A45" t="s">
        <v>79</v>
      </c>
      <c r="B45" t="s">
        <v>772</v>
      </c>
      <c r="C45" t="s">
        <v>787</v>
      </c>
      <c r="D45" t="str">
        <f t="shared" si="0"/>
        <v>DaJa45</v>
      </c>
    </row>
    <row r="46" spans="1:4" x14ac:dyDescent="0.3">
      <c r="A46" t="s">
        <v>133</v>
      </c>
      <c r="B46" t="s">
        <v>777</v>
      </c>
      <c r="C46" t="s">
        <v>782</v>
      </c>
      <c r="D46" t="str">
        <f t="shared" si="0"/>
        <v>WiLa46</v>
      </c>
    </row>
    <row r="47" spans="1:4" x14ac:dyDescent="0.3">
      <c r="A47" t="s">
        <v>47</v>
      </c>
      <c r="B47" t="s">
        <v>774</v>
      </c>
      <c r="C47" t="s">
        <v>785</v>
      </c>
      <c r="D47" t="str">
        <f t="shared" si="0"/>
        <v>JoEm47</v>
      </c>
    </row>
    <row r="48" spans="1:4" x14ac:dyDescent="0.3">
      <c r="A48" t="s">
        <v>108</v>
      </c>
      <c r="B48" t="s">
        <v>774</v>
      </c>
      <c r="C48" t="s">
        <v>788</v>
      </c>
      <c r="D48" t="str">
        <f t="shared" si="0"/>
        <v>JoSa48</v>
      </c>
    </row>
    <row r="49" spans="1:4" x14ac:dyDescent="0.3">
      <c r="A49" t="s">
        <v>153</v>
      </c>
      <c r="B49" t="s">
        <v>770</v>
      </c>
      <c r="C49" t="s">
        <v>784</v>
      </c>
      <c r="D49" t="str">
        <f t="shared" si="0"/>
        <v>SmDa49</v>
      </c>
    </row>
    <row r="50" spans="1:4" x14ac:dyDescent="0.3">
      <c r="A50" t="s">
        <v>155</v>
      </c>
      <c r="B50" t="s">
        <v>778</v>
      </c>
      <c r="C50" t="s">
        <v>789</v>
      </c>
      <c r="D50" t="str">
        <f t="shared" si="0"/>
        <v>JoDa50</v>
      </c>
    </row>
    <row r="51" spans="1:4" x14ac:dyDescent="0.3">
      <c r="A51" t="s">
        <v>158</v>
      </c>
      <c r="B51" t="s">
        <v>771</v>
      </c>
      <c r="C51" t="s">
        <v>788</v>
      </c>
      <c r="D51" t="str">
        <f t="shared" si="0"/>
        <v>BrSa51</v>
      </c>
    </row>
    <row r="52" spans="1:4" x14ac:dyDescent="0.3">
      <c r="A52" t="s">
        <v>137</v>
      </c>
      <c r="B52" t="s">
        <v>770</v>
      </c>
      <c r="C52" t="s">
        <v>786</v>
      </c>
      <c r="D52" t="str">
        <f t="shared" si="0"/>
        <v>SmMi52</v>
      </c>
    </row>
    <row r="53" spans="1:4" x14ac:dyDescent="0.3">
      <c r="A53" t="s">
        <v>161</v>
      </c>
      <c r="B53" t="s">
        <v>776</v>
      </c>
      <c r="C53" t="s">
        <v>785</v>
      </c>
      <c r="D53" t="str">
        <f t="shared" si="0"/>
        <v>MaEm53</v>
      </c>
    </row>
    <row r="54" spans="1:4" x14ac:dyDescent="0.3">
      <c r="A54" t="s">
        <v>79</v>
      </c>
      <c r="B54" t="s">
        <v>772</v>
      </c>
      <c r="C54" t="s">
        <v>787</v>
      </c>
      <c r="D54" t="str">
        <f t="shared" si="0"/>
        <v>DaJa54</v>
      </c>
    </row>
    <row r="55" spans="1:4" x14ac:dyDescent="0.3">
      <c r="A55" t="s">
        <v>164</v>
      </c>
      <c r="B55" t="s">
        <v>774</v>
      </c>
      <c r="C55" t="s">
        <v>784</v>
      </c>
      <c r="D55" t="str">
        <f t="shared" si="0"/>
        <v>JoDa55</v>
      </c>
    </row>
    <row r="56" spans="1:4" x14ac:dyDescent="0.3">
      <c r="A56" t="s">
        <v>166</v>
      </c>
      <c r="B56" t="s">
        <v>778</v>
      </c>
      <c r="C56" t="s">
        <v>790</v>
      </c>
      <c r="D56" t="str">
        <f t="shared" si="0"/>
        <v>JoSo56</v>
      </c>
    </row>
    <row r="57" spans="1:4" x14ac:dyDescent="0.3">
      <c r="A57" t="s">
        <v>168</v>
      </c>
      <c r="B57" t="s">
        <v>779</v>
      </c>
      <c r="C57" t="s">
        <v>788</v>
      </c>
      <c r="D57" t="str">
        <f t="shared" si="0"/>
        <v>GaSa57</v>
      </c>
    </row>
    <row r="58" spans="1:4" x14ac:dyDescent="0.3">
      <c r="A58" t="s">
        <v>79</v>
      </c>
      <c r="B58" t="s">
        <v>772</v>
      </c>
      <c r="C58" t="s">
        <v>787</v>
      </c>
      <c r="D58" t="str">
        <f t="shared" si="0"/>
        <v>DaJa58</v>
      </c>
    </row>
    <row r="59" spans="1:4" x14ac:dyDescent="0.3">
      <c r="A59" t="s">
        <v>168</v>
      </c>
      <c r="B59" t="s">
        <v>779</v>
      </c>
      <c r="C59" t="s">
        <v>788</v>
      </c>
      <c r="D59" t="str">
        <f t="shared" si="0"/>
        <v>GaSa59</v>
      </c>
    </row>
    <row r="60" spans="1:4" x14ac:dyDescent="0.3">
      <c r="A60" t="s">
        <v>173</v>
      </c>
      <c r="B60" t="s">
        <v>777</v>
      </c>
      <c r="C60" t="s">
        <v>786</v>
      </c>
      <c r="D60" t="str">
        <f t="shared" si="0"/>
        <v>WiMi60</v>
      </c>
    </row>
    <row r="61" spans="1:4" x14ac:dyDescent="0.3">
      <c r="A61" t="s">
        <v>175</v>
      </c>
      <c r="B61" t="s">
        <v>775</v>
      </c>
      <c r="C61" t="s">
        <v>787</v>
      </c>
      <c r="D61" t="str">
        <f t="shared" si="0"/>
        <v>HeJa61</v>
      </c>
    </row>
    <row r="62" spans="1:4" x14ac:dyDescent="0.3">
      <c r="A62" t="s">
        <v>177</v>
      </c>
      <c r="B62" t="s">
        <v>777</v>
      </c>
      <c r="C62" t="s">
        <v>788</v>
      </c>
      <c r="D62" t="str">
        <f t="shared" si="0"/>
        <v>WiSa62</v>
      </c>
    </row>
    <row r="63" spans="1:4" x14ac:dyDescent="0.3">
      <c r="A63" t="s">
        <v>108</v>
      </c>
      <c r="B63" t="s">
        <v>774</v>
      </c>
      <c r="C63" t="s">
        <v>788</v>
      </c>
      <c r="D63" t="str">
        <f t="shared" si="0"/>
        <v>JoSa63</v>
      </c>
    </row>
    <row r="64" spans="1:4" x14ac:dyDescent="0.3">
      <c r="A64" t="s">
        <v>180</v>
      </c>
      <c r="B64" t="s">
        <v>777</v>
      </c>
      <c r="C64" t="s">
        <v>781</v>
      </c>
      <c r="D64" t="str">
        <f t="shared" si="0"/>
        <v>WiEm64</v>
      </c>
    </row>
    <row r="65" spans="1:4" x14ac:dyDescent="0.3">
      <c r="A65" t="s">
        <v>164</v>
      </c>
      <c r="B65" t="s">
        <v>774</v>
      </c>
      <c r="C65" t="s">
        <v>784</v>
      </c>
      <c r="D65" t="str">
        <f t="shared" si="0"/>
        <v>JoDa65</v>
      </c>
    </row>
    <row r="66" spans="1:4" x14ac:dyDescent="0.3">
      <c r="A66" t="s">
        <v>166</v>
      </c>
      <c r="B66" t="s">
        <v>778</v>
      </c>
      <c r="C66" t="s">
        <v>790</v>
      </c>
      <c r="D66" t="str">
        <f t="shared" si="0"/>
        <v>JoSo66</v>
      </c>
    </row>
    <row r="67" spans="1:4" x14ac:dyDescent="0.3">
      <c r="A67" t="s">
        <v>57</v>
      </c>
      <c r="B67" t="s">
        <v>775</v>
      </c>
      <c r="C67" t="s">
        <v>785</v>
      </c>
      <c r="D67" t="str">
        <f t="shared" ref="D67:D130" si="1">LEFT(B67,2)&amp;LEFT(C67,2)&amp;ROW()</f>
        <v>HeEm67</v>
      </c>
    </row>
    <row r="68" spans="1:4" x14ac:dyDescent="0.3">
      <c r="A68" t="s">
        <v>185</v>
      </c>
      <c r="B68" t="s">
        <v>771</v>
      </c>
      <c r="C68" t="s">
        <v>784</v>
      </c>
      <c r="D68" t="str">
        <f t="shared" si="1"/>
        <v>BrDa68</v>
      </c>
    </row>
    <row r="69" spans="1:4" x14ac:dyDescent="0.3">
      <c r="A69" t="s">
        <v>187</v>
      </c>
      <c r="B69" t="s">
        <v>776</v>
      </c>
      <c r="C69" t="s">
        <v>784</v>
      </c>
      <c r="D69" t="str">
        <f t="shared" si="1"/>
        <v>MaDa69</v>
      </c>
    </row>
    <row r="70" spans="1:4" x14ac:dyDescent="0.3">
      <c r="A70" t="s">
        <v>189</v>
      </c>
      <c r="B70" t="s">
        <v>778</v>
      </c>
      <c r="C70" t="s">
        <v>786</v>
      </c>
      <c r="D70" t="str">
        <f t="shared" si="1"/>
        <v>JoMi70</v>
      </c>
    </row>
    <row r="71" spans="1:4" x14ac:dyDescent="0.3">
      <c r="A71" t="s">
        <v>110</v>
      </c>
      <c r="B71" t="s">
        <v>775</v>
      </c>
      <c r="C71" t="s">
        <v>790</v>
      </c>
      <c r="D71" t="str">
        <f t="shared" si="1"/>
        <v>HeSo71</v>
      </c>
    </row>
    <row r="72" spans="1:4" x14ac:dyDescent="0.3">
      <c r="A72" t="s">
        <v>192</v>
      </c>
      <c r="B72" t="s">
        <v>779</v>
      </c>
      <c r="C72" t="s">
        <v>786</v>
      </c>
      <c r="D72" t="str">
        <f t="shared" si="1"/>
        <v>GaMi72</v>
      </c>
    </row>
    <row r="73" spans="1:4" x14ac:dyDescent="0.3">
      <c r="A73" t="s">
        <v>108</v>
      </c>
      <c r="B73" t="s">
        <v>774</v>
      </c>
      <c r="C73" t="s">
        <v>788</v>
      </c>
      <c r="D73" t="str">
        <f t="shared" si="1"/>
        <v>JoSa73</v>
      </c>
    </row>
    <row r="74" spans="1:4" x14ac:dyDescent="0.3">
      <c r="A74" t="s">
        <v>195</v>
      </c>
      <c r="B74" t="s">
        <v>770</v>
      </c>
      <c r="C74" t="s">
        <v>789</v>
      </c>
      <c r="D74" t="str">
        <f t="shared" si="1"/>
        <v>SmDa74</v>
      </c>
    </row>
    <row r="75" spans="1:4" x14ac:dyDescent="0.3">
      <c r="A75" t="s">
        <v>198</v>
      </c>
      <c r="B75" t="s">
        <v>773</v>
      </c>
      <c r="C75" t="s">
        <v>790</v>
      </c>
      <c r="D75" t="str">
        <f t="shared" si="1"/>
        <v>MiSo75</v>
      </c>
    </row>
    <row r="76" spans="1:4" x14ac:dyDescent="0.3">
      <c r="A76" t="s">
        <v>200</v>
      </c>
      <c r="B76" t="s">
        <v>779</v>
      </c>
      <c r="C76" t="s">
        <v>782</v>
      </c>
      <c r="D76" t="str">
        <f t="shared" si="1"/>
        <v>GaLa76</v>
      </c>
    </row>
    <row r="77" spans="1:4" x14ac:dyDescent="0.3">
      <c r="A77" t="s">
        <v>202</v>
      </c>
      <c r="B77" t="s">
        <v>772</v>
      </c>
      <c r="C77" t="s">
        <v>786</v>
      </c>
      <c r="D77" t="str">
        <f t="shared" si="1"/>
        <v>DaMi77</v>
      </c>
    </row>
    <row r="78" spans="1:4" x14ac:dyDescent="0.3">
      <c r="A78" t="s">
        <v>202</v>
      </c>
      <c r="B78" t="s">
        <v>772</v>
      </c>
      <c r="C78" t="s">
        <v>786</v>
      </c>
      <c r="D78" t="str">
        <f t="shared" si="1"/>
        <v>DaMi78</v>
      </c>
    </row>
    <row r="79" spans="1:4" x14ac:dyDescent="0.3">
      <c r="A79" t="s">
        <v>200</v>
      </c>
      <c r="B79" t="s">
        <v>779</v>
      </c>
      <c r="C79" t="s">
        <v>782</v>
      </c>
      <c r="D79" t="str">
        <f t="shared" si="1"/>
        <v>GaLa79</v>
      </c>
    </row>
    <row r="80" spans="1:4" x14ac:dyDescent="0.3">
      <c r="A80" t="s">
        <v>198</v>
      </c>
      <c r="B80" t="s">
        <v>773</v>
      </c>
      <c r="C80" t="s">
        <v>790</v>
      </c>
      <c r="D80" t="str">
        <f t="shared" si="1"/>
        <v>MiSo80</v>
      </c>
    </row>
    <row r="81" spans="1:4" x14ac:dyDescent="0.3">
      <c r="A81" t="s">
        <v>27</v>
      </c>
      <c r="B81" t="s">
        <v>771</v>
      </c>
      <c r="C81" t="s">
        <v>782</v>
      </c>
      <c r="D81" t="str">
        <f t="shared" si="1"/>
        <v>BrLa81</v>
      </c>
    </row>
    <row r="82" spans="1:4" x14ac:dyDescent="0.3">
      <c r="A82" t="s">
        <v>208</v>
      </c>
      <c r="B82" t="s">
        <v>772</v>
      </c>
      <c r="C82" t="s">
        <v>785</v>
      </c>
      <c r="D82" t="str">
        <f t="shared" si="1"/>
        <v>DaEm82</v>
      </c>
    </row>
    <row r="83" spans="1:4" x14ac:dyDescent="0.3">
      <c r="A83" t="s">
        <v>137</v>
      </c>
      <c r="B83" t="s">
        <v>770</v>
      </c>
      <c r="C83" t="s">
        <v>786</v>
      </c>
      <c r="D83" t="str">
        <f t="shared" si="1"/>
        <v>SmMi83</v>
      </c>
    </row>
    <row r="84" spans="1:4" x14ac:dyDescent="0.3">
      <c r="A84" t="s">
        <v>105</v>
      </c>
      <c r="B84" t="s">
        <v>772</v>
      </c>
      <c r="C84" t="s">
        <v>789</v>
      </c>
      <c r="D84" t="str">
        <f t="shared" si="1"/>
        <v>DaDa84</v>
      </c>
    </row>
    <row r="85" spans="1:4" x14ac:dyDescent="0.3">
      <c r="A85" t="s">
        <v>212</v>
      </c>
      <c r="B85" t="s">
        <v>775</v>
      </c>
      <c r="C85" t="s">
        <v>782</v>
      </c>
      <c r="D85" t="str">
        <f t="shared" si="1"/>
        <v>HeLa85</v>
      </c>
    </row>
    <row r="86" spans="1:4" x14ac:dyDescent="0.3">
      <c r="A86" t="s">
        <v>212</v>
      </c>
      <c r="B86" t="s">
        <v>775</v>
      </c>
      <c r="C86" t="s">
        <v>782</v>
      </c>
      <c r="D86" t="str">
        <f t="shared" si="1"/>
        <v>HeLa86</v>
      </c>
    </row>
    <row r="87" spans="1:4" x14ac:dyDescent="0.3">
      <c r="A87" t="s">
        <v>153</v>
      </c>
      <c r="B87" t="s">
        <v>770</v>
      </c>
      <c r="C87" t="s">
        <v>784</v>
      </c>
      <c r="D87" t="str">
        <f t="shared" si="1"/>
        <v>SmDa87</v>
      </c>
    </row>
    <row r="88" spans="1:4" x14ac:dyDescent="0.3">
      <c r="A88" t="s">
        <v>125</v>
      </c>
      <c r="B88" t="s">
        <v>779</v>
      </c>
      <c r="C88" t="s">
        <v>790</v>
      </c>
      <c r="D88" t="str">
        <f t="shared" si="1"/>
        <v>GaSo88</v>
      </c>
    </row>
    <row r="89" spans="1:4" x14ac:dyDescent="0.3">
      <c r="A89" t="s">
        <v>158</v>
      </c>
      <c r="B89" t="s">
        <v>771</v>
      </c>
      <c r="C89" t="s">
        <v>788</v>
      </c>
      <c r="D89" t="str">
        <f t="shared" si="1"/>
        <v>BrSa89</v>
      </c>
    </row>
    <row r="90" spans="1:4" x14ac:dyDescent="0.3">
      <c r="A90" t="s">
        <v>218</v>
      </c>
      <c r="B90" t="s">
        <v>772</v>
      </c>
      <c r="C90" t="s">
        <v>781</v>
      </c>
      <c r="D90" t="str">
        <f t="shared" si="1"/>
        <v>DaEm90</v>
      </c>
    </row>
    <row r="91" spans="1:4" x14ac:dyDescent="0.3">
      <c r="A91" t="s">
        <v>47</v>
      </c>
      <c r="B91" t="s">
        <v>774</v>
      </c>
      <c r="C91" t="s">
        <v>785</v>
      </c>
      <c r="D91" t="str">
        <f t="shared" si="1"/>
        <v>JoEm91</v>
      </c>
    </row>
    <row r="92" spans="1:4" x14ac:dyDescent="0.3">
      <c r="A92" t="s">
        <v>221</v>
      </c>
      <c r="B92" t="s">
        <v>774</v>
      </c>
      <c r="C92" t="s">
        <v>787</v>
      </c>
      <c r="D92" t="str">
        <f t="shared" si="1"/>
        <v>JoJa92</v>
      </c>
    </row>
    <row r="93" spans="1:4" x14ac:dyDescent="0.3">
      <c r="A93" t="s">
        <v>223</v>
      </c>
      <c r="B93" t="s">
        <v>776</v>
      </c>
      <c r="C93" t="s">
        <v>790</v>
      </c>
      <c r="D93" t="str">
        <f t="shared" si="1"/>
        <v>MaSo93</v>
      </c>
    </row>
    <row r="94" spans="1:4" x14ac:dyDescent="0.3">
      <c r="A94" t="s">
        <v>218</v>
      </c>
      <c r="B94" t="s">
        <v>772</v>
      </c>
      <c r="C94" t="s">
        <v>781</v>
      </c>
      <c r="D94" t="str">
        <f t="shared" si="1"/>
        <v>DaEm94</v>
      </c>
    </row>
    <row r="95" spans="1:4" x14ac:dyDescent="0.3">
      <c r="A95" t="s">
        <v>226</v>
      </c>
      <c r="B95" t="s">
        <v>773</v>
      </c>
      <c r="C95" t="s">
        <v>788</v>
      </c>
      <c r="D95" t="str">
        <f t="shared" si="1"/>
        <v>MiSa95</v>
      </c>
    </row>
    <row r="96" spans="1:4" x14ac:dyDescent="0.3">
      <c r="A96" t="s">
        <v>228</v>
      </c>
      <c r="B96" t="s">
        <v>777</v>
      </c>
      <c r="C96" t="s">
        <v>787</v>
      </c>
      <c r="D96" t="str">
        <f t="shared" si="1"/>
        <v>WiJa96</v>
      </c>
    </row>
    <row r="97" spans="1:4" x14ac:dyDescent="0.3">
      <c r="A97" t="s">
        <v>230</v>
      </c>
      <c r="B97" t="s">
        <v>779</v>
      </c>
      <c r="C97" t="s">
        <v>785</v>
      </c>
      <c r="D97" t="str">
        <f t="shared" si="1"/>
        <v>GaEm97</v>
      </c>
    </row>
    <row r="98" spans="1:4" x14ac:dyDescent="0.3">
      <c r="A98" t="s">
        <v>105</v>
      </c>
      <c r="B98" t="s">
        <v>772</v>
      </c>
      <c r="C98" t="s">
        <v>789</v>
      </c>
      <c r="D98" t="str">
        <f t="shared" si="1"/>
        <v>DaDa98</v>
      </c>
    </row>
    <row r="99" spans="1:4" x14ac:dyDescent="0.3">
      <c r="A99" t="s">
        <v>137</v>
      </c>
      <c r="B99" t="s">
        <v>770</v>
      </c>
      <c r="C99" t="s">
        <v>786</v>
      </c>
      <c r="D99" t="str">
        <f t="shared" si="1"/>
        <v>SmMi99</v>
      </c>
    </row>
    <row r="100" spans="1:4" x14ac:dyDescent="0.3">
      <c r="A100" t="s">
        <v>208</v>
      </c>
      <c r="B100" t="s">
        <v>772</v>
      </c>
      <c r="C100" t="s">
        <v>785</v>
      </c>
      <c r="D100" t="str">
        <f t="shared" si="1"/>
        <v>DaEm100</v>
      </c>
    </row>
    <row r="101" spans="1:4" x14ac:dyDescent="0.3">
      <c r="A101" t="s">
        <v>187</v>
      </c>
      <c r="B101" t="s">
        <v>776</v>
      </c>
      <c r="C101" t="s">
        <v>784</v>
      </c>
      <c r="D101" t="str">
        <f t="shared" si="1"/>
        <v>MaDa101</v>
      </c>
    </row>
    <row r="102" spans="1:4" x14ac:dyDescent="0.3">
      <c r="A102" t="s">
        <v>212</v>
      </c>
      <c r="B102" t="s">
        <v>775</v>
      </c>
      <c r="C102" t="s">
        <v>782</v>
      </c>
      <c r="D102" t="str">
        <f t="shared" si="1"/>
        <v>HeLa102</v>
      </c>
    </row>
    <row r="103" spans="1:4" x14ac:dyDescent="0.3">
      <c r="A103" t="s">
        <v>117</v>
      </c>
      <c r="B103" t="s">
        <v>778</v>
      </c>
      <c r="C103" t="s">
        <v>782</v>
      </c>
      <c r="D103" t="str">
        <f t="shared" si="1"/>
        <v>JoLa103</v>
      </c>
    </row>
    <row r="104" spans="1:4" x14ac:dyDescent="0.3">
      <c r="A104" t="s">
        <v>208</v>
      </c>
      <c r="B104" t="s">
        <v>772</v>
      </c>
      <c r="C104" t="s">
        <v>785</v>
      </c>
      <c r="D104" t="str">
        <f t="shared" si="1"/>
        <v>DaEm104</v>
      </c>
    </row>
    <row r="105" spans="1:4" x14ac:dyDescent="0.3">
      <c r="A105" t="s">
        <v>141</v>
      </c>
      <c r="B105" t="s">
        <v>779</v>
      </c>
      <c r="C105" t="s">
        <v>781</v>
      </c>
      <c r="D105" t="str">
        <f t="shared" si="1"/>
        <v>GaEm105</v>
      </c>
    </row>
    <row r="106" spans="1:4" x14ac:dyDescent="0.3">
      <c r="A106" t="s">
        <v>240</v>
      </c>
      <c r="B106" t="s">
        <v>774</v>
      </c>
      <c r="C106" t="s">
        <v>789</v>
      </c>
      <c r="D106" t="str">
        <f t="shared" si="1"/>
        <v>JoDa106</v>
      </c>
    </row>
    <row r="107" spans="1:4" x14ac:dyDescent="0.3">
      <c r="A107" t="s">
        <v>72</v>
      </c>
      <c r="B107" t="s">
        <v>776</v>
      </c>
      <c r="C107" t="s">
        <v>782</v>
      </c>
      <c r="D107" t="str">
        <f t="shared" si="1"/>
        <v>MaLa107</v>
      </c>
    </row>
    <row r="108" spans="1:4" x14ac:dyDescent="0.3">
      <c r="A108" t="s">
        <v>18</v>
      </c>
      <c r="B108" t="s">
        <v>770</v>
      </c>
      <c r="C108" t="s">
        <v>781</v>
      </c>
      <c r="D108" t="str">
        <f t="shared" si="1"/>
        <v>SmEm108</v>
      </c>
    </row>
    <row r="109" spans="1:4" x14ac:dyDescent="0.3">
      <c r="A109" t="s">
        <v>110</v>
      </c>
      <c r="B109" t="s">
        <v>775</v>
      </c>
      <c r="C109" t="s">
        <v>790</v>
      </c>
      <c r="D109" t="str">
        <f t="shared" si="1"/>
        <v>HeSo109</v>
      </c>
    </row>
    <row r="110" spans="1:4" x14ac:dyDescent="0.3">
      <c r="A110" t="s">
        <v>245</v>
      </c>
      <c r="B110" t="s">
        <v>773</v>
      </c>
      <c r="C110" t="s">
        <v>781</v>
      </c>
      <c r="D110" t="str">
        <f t="shared" si="1"/>
        <v>MiEm110</v>
      </c>
    </row>
    <row r="111" spans="1:4" x14ac:dyDescent="0.3">
      <c r="A111" t="s">
        <v>208</v>
      </c>
      <c r="B111" t="s">
        <v>772</v>
      </c>
      <c r="C111" t="s">
        <v>785</v>
      </c>
      <c r="D111" t="str">
        <f t="shared" si="1"/>
        <v>DaEm111</v>
      </c>
    </row>
    <row r="112" spans="1:4" x14ac:dyDescent="0.3">
      <c r="A112" t="s">
        <v>189</v>
      </c>
      <c r="B112" t="s">
        <v>778</v>
      </c>
      <c r="C112" t="s">
        <v>786</v>
      </c>
      <c r="D112" t="str">
        <f t="shared" si="1"/>
        <v>JoMi112</v>
      </c>
    </row>
    <row r="113" spans="1:4" x14ac:dyDescent="0.3">
      <c r="A113" t="s">
        <v>127</v>
      </c>
      <c r="B113" t="s">
        <v>770</v>
      </c>
      <c r="C113" t="s">
        <v>790</v>
      </c>
      <c r="D113" t="str">
        <f t="shared" si="1"/>
        <v>SmSo113</v>
      </c>
    </row>
    <row r="114" spans="1:4" x14ac:dyDescent="0.3">
      <c r="A114" t="s">
        <v>250</v>
      </c>
      <c r="B114" t="s">
        <v>776</v>
      </c>
      <c r="C114" t="s">
        <v>781</v>
      </c>
      <c r="D114" t="str">
        <f t="shared" si="1"/>
        <v>MaEm114</v>
      </c>
    </row>
    <row r="115" spans="1:4" x14ac:dyDescent="0.3">
      <c r="A115" t="s">
        <v>252</v>
      </c>
      <c r="B115" t="s">
        <v>775</v>
      </c>
      <c r="C115" t="s">
        <v>784</v>
      </c>
      <c r="D115" t="str">
        <f t="shared" si="1"/>
        <v>HeDa115</v>
      </c>
    </row>
    <row r="116" spans="1:4" x14ac:dyDescent="0.3">
      <c r="A116" t="s">
        <v>130</v>
      </c>
      <c r="B116" t="s">
        <v>775</v>
      </c>
      <c r="C116" t="s">
        <v>783</v>
      </c>
      <c r="D116" t="str">
        <f t="shared" si="1"/>
        <v>HeJo116</v>
      </c>
    </row>
    <row r="117" spans="1:4" x14ac:dyDescent="0.3">
      <c r="A117" t="s">
        <v>62</v>
      </c>
      <c r="B117" t="s">
        <v>773</v>
      </c>
      <c r="C117" t="s">
        <v>783</v>
      </c>
      <c r="D117" t="str">
        <f t="shared" si="1"/>
        <v>MiJo117</v>
      </c>
    </row>
    <row r="118" spans="1:4" x14ac:dyDescent="0.3">
      <c r="A118" t="s">
        <v>230</v>
      </c>
      <c r="B118" t="s">
        <v>779</v>
      </c>
      <c r="C118" t="s">
        <v>785</v>
      </c>
      <c r="D118" t="str">
        <f t="shared" si="1"/>
        <v>GaEm118</v>
      </c>
    </row>
    <row r="119" spans="1:4" x14ac:dyDescent="0.3">
      <c r="A119" t="s">
        <v>158</v>
      </c>
      <c r="B119" t="s">
        <v>771</v>
      </c>
      <c r="C119" t="s">
        <v>788</v>
      </c>
      <c r="D119" t="str">
        <f t="shared" si="1"/>
        <v>BrSa119</v>
      </c>
    </row>
    <row r="120" spans="1:4" x14ac:dyDescent="0.3">
      <c r="A120" t="s">
        <v>161</v>
      </c>
      <c r="B120" t="s">
        <v>776</v>
      </c>
      <c r="C120" t="s">
        <v>785</v>
      </c>
      <c r="D120" t="str">
        <f t="shared" si="1"/>
        <v>MaEm120</v>
      </c>
    </row>
    <row r="121" spans="1:4" x14ac:dyDescent="0.3">
      <c r="A121" t="s">
        <v>259</v>
      </c>
      <c r="B121" t="s">
        <v>775</v>
      </c>
      <c r="C121" t="s">
        <v>789</v>
      </c>
      <c r="D121" t="str">
        <f t="shared" si="1"/>
        <v>HeDa121</v>
      </c>
    </row>
    <row r="122" spans="1:4" x14ac:dyDescent="0.3">
      <c r="A122" t="s">
        <v>52</v>
      </c>
      <c r="B122" t="s">
        <v>774</v>
      </c>
      <c r="C122" t="s">
        <v>786</v>
      </c>
      <c r="D122" t="str">
        <f t="shared" si="1"/>
        <v>JoMi122</v>
      </c>
    </row>
    <row r="123" spans="1:4" x14ac:dyDescent="0.3">
      <c r="A123" t="s">
        <v>212</v>
      </c>
      <c r="B123" t="s">
        <v>775</v>
      </c>
      <c r="C123" t="s">
        <v>782</v>
      </c>
      <c r="D123" t="str">
        <f t="shared" si="1"/>
        <v>HeLa123</v>
      </c>
    </row>
    <row r="124" spans="1:4" x14ac:dyDescent="0.3">
      <c r="A124" t="s">
        <v>96</v>
      </c>
      <c r="B124" t="s">
        <v>770</v>
      </c>
      <c r="C124" t="s">
        <v>788</v>
      </c>
      <c r="D124" t="str">
        <f t="shared" si="1"/>
        <v>SmSa124</v>
      </c>
    </row>
    <row r="125" spans="1:4" x14ac:dyDescent="0.3">
      <c r="A125" t="s">
        <v>218</v>
      </c>
      <c r="B125" t="s">
        <v>772</v>
      </c>
      <c r="C125" t="s">
        <v>781</v>
      </c>
      <c r="D125" t="str">
        <f t="shared" si="1"/>
        <v>DaEm125</v>
      </c>
    </row>
    <row r="126" spans="1:4" x14ac:dyDescent="0.3">
      <c r="A126" t="s">
        <v>265</v>
      </c>
      <c r="B126" t="s">
        <v>776</v>
      </c>
      <c r="C126" t="s">
        <v>783</v>
      </c>
      <c r="D126" t="str">
        <f t="shared" si="1"/>
        <v>MaJo126</v>
      </c>
    </row>
    <row r="127" spans="1:4" x14ac:dyDescent="0.3">
      <c r="A127" t="s">
        <v>202</v>
      </c>
      <c r="B127" t="s">
        <v>772</v>
      </c>
      <c r="C127" t="s">
        <v>786</v>
      </c>
      <c r="D127" t="str">
        <f t="shared" si="1"/>
        <v>DaMi127</v>
      </c>
    </row>
    <row r="128" spans="1:4" x14ac:dyDescent="0.3">
      <c r="A128" t="s">
        <v>268</v>
      </c>
      <c r="B128" t="s">
        <v>779</v>
      </c>
      <c r="C128" t="s">
        <v>789</v>
      </c>
      <c r="D128" t="str">
        <f t="shared" si="1"/>
        <v>GaDa128</v>
      </c>
    </row>
    <row r="129" spans="1:4" x14ac:dyDescent="0.3">
      <c r="A129" t="s">
        <v>40</v>
      </c>
      <c r="B129" t="s">
        <v>773</v>
      </c>
      <c r="C129" t="s">
        <v>784</v>
      </c>
      <c r="D129" t="str">
        <f t="shared" si="1"/>
        <v>MiDa129</v>
      </c>
    </row>
    <row r="130" spans="1:4" x14ac:dyDescent="0.3">
      <c r="A130" t="s">
        <v>226</v>
      </c>
      <c r="B130" t="s">
        <v>773</v>
      </c>
      <c r="C130" t="s">
        <v>788</v>
      </c>
      <c r="D130" t="str">
        <f t="shared" si="1"/>
        <v>MiSa130</v>
      </c>
    </row>
    <row r="131" spans="1:4" x14ac:dyDescent="0.3">
      <c r="A131" t="s">
        <v>212</v>
      </c>
      <c r="B131" t="s">
        <v>775</v>
      </c>
      <c r="C131" t="s">
        <v>782</v>
      </c>
      <c r="D131" t="str">
        <f t="shared" ref="D131:D194" si="2">LEFT(B131,2)&amp;LEFT(C131,2)&amp;ROW()</f>
        <v>HeLa131</v>
      </c>
    </row>
    <row r="132" spans="1:4" x14ac:dyDescent="0.3">
      <c r="A132" t="s">
        <v>18</v>
      </c>
      <c r="B132" t="s">
        <v>770</v>
      </c>
      <c r="C132" t="s">
        <v>781</v>
      </c>
      <c r="D132" t="str">
        <f t="shared" si="2"/>
        <v>SmEm132</v>
      </c>
    </row>
    <row r="133" spans="1:4" x14ac:dyDescent="0.3">
      <c r="A133" t="s">
        <v>175</v>
      </c>
      <c r="B133" t="s">
        <v>775</v>
      </c>
      <c r="C133" t="s">
        <v>787</v>
      </c>
      <c r="D133" t="str">
        <f t="shared" si="2"/>
        <v>HeJa133</v>
      </c>
    </row>
    <row r="134" spans="1:4" x14ac:dyDescent="0.3">
      <c r="A134" t="s">
        <v>35</v>
      </c>
      <c r="B134" t="s">
        <v>772</v>
      </c>
      <c r="C134" t="s">
        <v>783</v>
      </c>
      <c r="D134" t="str">
        <f t="shared" si="2"/>
        <v>DaJo134</v>
      </c>
    </row>
    <row r="135" spans="1:4" x14ac:dyDescent="0.3">
      <c r="A135" t="s">
        <v>276</v>
      </c>
      <c r="B135" t="s">
        <v>770</v>
      </c>
      <c r="C135" t="s">
        <v>787</v>
      </c>
      <c r="D135" t="str">
        <f t="shared" si="2"/>
        <v>SmJa135</v>
      </c>
    </row>
    <row r="136" spans="1:4" x14ac:dyDescent="0.3">
      <c r="A136" t="s">
        <v>135</v>
      </c>
      <c r="B136" t="s">
        <v>773</v>
      </c>
      <c r="C136" t="s">
        <v>789</v>
      </c>
      <c r="D136" t="str">
        <f t="shared" si="2"/>
        <v>MiDa136</v>
      </c>
    </row>
    <row r="137" spans="1:4" x14ac:dyDescent="0.3">
      <c r="A137" t="s">
        <v>245</v>
      </c>
      <c r="B137" t="s">
        <v>773</v>
      </c>
      <c r="C137" t="s">
        <v>781</v>
      </c>
      <c r="D137" t="str">
        <f t="shared" si="2"/>
        <v>MiEm137</v>
      </c>
    </row>
    <row r="138" spans="1:4" x14ac:dyDescent="0.3">
      <c r="A138" t="s">
        <v>280</v>
      </c>
      <c r="B138" t="s">
        <v>771</v>
      </c>
      <c r="C138" t="s">
        <v>781</v>
      </c>
      <c r="D138" t="str">
        <f t="shared" si="2"/>
        <v>BrEm138</v>
      </c>
    </row>
    <row r="139" spans="1:4" x14ac:dyDescent="0.3">
      <c r="A139" t="s">
        <v>137</v>
      </c>
      <c r="B139" t="s">
        <v>770</v>
      </c>
      <c r="C139" t="s">
        <v>786</v>
      </c>
      <c r="D139" t="str">
        <f t="shared" si="2"/>
        <v>SmMi139</v>
      </c>
    </row>
    <row r="140" spans="1:4" x14ac:dyDescent="0.3">
      <c r="A140" t="s">
        <v>250</v>
      </c>
      <c r="B140" t="s">
        <v>776</v>
      </c>
      <c r="C140" t="s">
        <v>781</v>
      </c>
      <c r="D140" t="str">
        <f t="shared" si="2"/>
        <v>MaEm140</v>
      </c>
    </row>
    <row r="141" spans="1:4" x14ac:dyDescent="0.3">
      <c r="A141" t="s">
        <v>189</v>
      </c>
      <c r="B141" t="s">
        <v>778</v>
      </c>
      <c r="C141" t="s">
        <v>786</v>
      </c>
      <c r="D141" t="str">
        <f t="shared" si="2"/>
        <v>JoMi141</v>
      </c>
    </row>
    <row r="142" spans="1:4" x14ac:dyDescent="0.3">
      <c r="A142" t="s">
        <v>187</v>
      </c>
      <c r="B142" t="s">
        <v>776</v>
      </c>
      <c r="C142" t="s">
        <v>784</v>
      </c>
      <c r="D142" t="str">
        <f t="shared" si="2"/>
        <v>MaDa142</v>
      </c>
    </row>
    <row r="143" spans="1:4" x14ac:dyDescent="0.3">
      <c r="A143" t="s">
        <v>164</v>
      </c>
      <c r="B143" t="s">
        <v>774</v>
      </c>
      <c r="C143" t="s">
        <v>784</v>
      </c>
      <c r="D143" t="str">
        <f t="shared" si="2"/>
        <v>JoDa143</v>
      </c>
    </row>
    <row r="144" spans="1:4" x14ac:dyDescent="0.3">
      <c r="A144" t="s">
        <v>287</v>
      </c>
      <c r="B144" t="s">
        <v>771</v>
      </c>
      <c r="C144" t="s">
        <v>787</v>
      </c>
      <c r="D144" t="str">
        <f t="shared" si="2"/>
        <v>BrJa144</v>
      </c>
    </row>
    <row r="145" spans="1:4" x14ac:dyDescent="0.3">
      <c r="A145" t="s">
        <v>252</v>
      </c>
      <c r="B145" t="s">
        <v>775</v>
      </c>
      <c r="C145" t="s">
        <v>784</v>
      </c>
      <c r="D145" t="str">
        <f t="shared" si="2"/>
        <v>HeDa145</v>
      </c>
    </row>
    <row r="146" spans="1:4" x14ac:dyDescent="0.3">
      <c r="A146" t="s">
        <v>117</v>
      </c>
      <c r="B146" t="s">
        <v>778</v>
      </c>
      <c r="C146" t="s">
        <v>782</v>
      </c>
      <c r="D146" t="str">
        <f t="shared" si="2"/>
        <v>JoLa146</v>
      </c>
    </row>
    <row r="147" spans="1:4" x14ac:dyDescent="0.3">
      <c r="A147" t="s">
        <v>122</v>
      </c>
      <c r="B147" t="s">
        <v>773</v>
      </c>
      <c r="C147" t="s">
        <v>782</v>
      </c>
      <c r="D147" t="str">
        <f t="shared" si="2"/>
        <v>MiLa147</v>
      </c>
    </row>
    <row r="148" spans="1:4" x14ac:dyDescent="0.3">
      <c r="A148" t="s">
        <v>155</v>
      </c>
      <c r="B148" t="s">
        <v>778</v>
      </c>
      <c r="C148" t="s">
        <v>789</v>
      </c>
      <c r="D148" t="str">
        <f t="shared" si="2"/>
        <v>JoDa148</v>
      </c>
    </row>
    <row r="149" spans="1:4" x14ac:dyDescent="0.3">
      <c r="A149" t="s">
        <v>293</v>
      </c>
      <c r="B149" t="s">
        <v>774</v>
      </c>
      <c r="C149" t="s">
        <v>790</v>
      </c>
      <c r="D149" t="str">
        <f t="shared" si="2"/>
        <v>JoSo149</v>
      </c>
    </row>
    <row r="150" spans="1:4" x14ac:dyDescent="0.3">
      <c r="A150" t="s">
        <v>295</v>
      </c>
      <c r="B150" t="s">
        <v>772</v>
      </c>
      <c r="C150" t="s">
        <v>790</v>
      </c>
      <c r="D150" t="str">
        <f t="shared" si="2"/>
        <v>DaSo150</v>
      </c>
    </row>
    <row r="151" spans="1:4" x14ac:dyDescent="0.3">
      <c r="A151" t="s">
        <v>297</v>
      </c>
      <c r="B151" t="s">
        <v>778</v>
      </c>
      <c r="C151" t="s">
        <v>784</v>
      </c>
      <c r="D151" t="str">
        <f t="shared" si="2"/>
        <v>JoDa151</v>
      </c>
    </row>
    <row r="152" spans="1:4" x14ac:dyDescent="0.3">
      <c r="A152" t="s">
        <v>100</v>
      </c>
      <c r="B152" t="s">
        <v>773</v>
      </c>
      <c r="C152" t="s">
        <v>786</v>
      </c>
      <c r="D152" t="str">
        <f t="shared" si="2"/>
        <v>MiMi152</v>
      </c>
    </row>
    <row r="153" spans="1:4" x14ac:dyDescent="0.3">
      <c r="A153" t="s">
        <v>300</v>
      </c>
      <c r="B153" t="s">
        <v>772</v>
      </c>
      <c r="C153" t="s">
        <v>782</v>
      </c>
      <c r="D153" t="str">
        <f t="shared" si="2"/>
        <v>DaLa153</v>
      </c>
    </row>
    <row r="154" spans="1:4" x14ac:dyDescent="0.3">
      <c r="A154" t="s">
        <v>133</v>
      </c>
      <c r="B154" t="s">
        <v>777</v>
      </c>
      <c r="C154" t="s">
        <v>782</v>
      </c>
      <c r="D154" t="str">
        <f t="shared" si="2"/>
        <v>WiLa154</v>
      </c>
    </row>
    <row r="155" spans="1:4" x14ac:dyDescent="0.3">
      <c r="A155" t="s">
        <v>287</v>
      </c>
      <c r="B155" t="s">
        <v>771</v>
      </c>
      <c r="C155" t="s">
        <v>787</v>
      </c>
      <c r="D155" t="str">
        <f t="shared" si="2"/>
        <v>BrJa155</v>
      </c>
    </row>
    <row r="156" spans="1:4" x14ac:dyDescent="0.3">
      <c r="A156" t="s">
        <v>40</v>
      </c>
      <c r="B156" t="s">
        <v>773</v>
      </c>
      <c r="C156" t="s">
        <v>784</v>
      </c>
      <c r="D156" t="str">
        <f t="shared" si="2"/>
        <v>MiDa156</v>
      </c>
    </row>
    <row r="157" spans="1:4" x14ac:dyDescent="0.3">
      <c r="A157" t="s">
        <v>305</v>
      </c>
      <c r="B157" t="s">
        <v>775</v>
      </c>
      <c r="C157" t="s">
        <v>786</v>
      </c>
      <c r="D157" t="str">
        <f t="shared" si="2"/>
        <v>HeMi157</v>
      </c>
    </row>
    <row r="158" spans="1:4" x14ac:dyDescent="0.3">
      <c r="A158" t="s">
        <v>137</v>
      </c>
      <c r="B158" t="s">
        <v>770</v>
      </c>
      <c r="C158" t="s">
        <v>786</v>
      </c>
      <c r="D158" t="str">
        <f t="shared" si="2"/>
        <v>SmMi158</v>
      </c>
    </row>
    <row r="159" spans="1:4" x14ac:dyDescent="0.3">
      <c r="A159" t="s">
        <v>158</v>
      </c>
      <c r="B159" t="s">
        <v>771</v>
      </c>
      <c r="C159" t="s">
        <v>788</v>
      </c>
      <c r="D159" t="str">
        <f t="shared" si="2"/>
        <v>BrSa159</v>
      </c>
    </row>
    <row r="160" spans="1:4" x14ac:dyDescent="0.3">
      <c r="A160" t="s">
        <v>112</v>
      </c>
      <c r="B160" t="s">
        <v>777</v>
      </c>
      <c r="C160" t="s">
        <v>784</v>
      </c>
      <c r="D160" t="str">
        <f t="shared" si="2"/>
        <v>WiDa160</v>
      </c>
    </row>
    <row r="161" spans="1:4" x14ac:dyDescent="0.3">
      <c r="A161" t="s">
        <v>310</v>
      </c>
      <c r="B161" t="s">
        <v>771</v>
      </c>
      <c r="C161" t="s">
        <v>783</v>
      </c>
      <c r="D161" t="str">
        <f t="shared" si="2"/>
        <v>BrJo161</v>
      </c>
    </row>
    <row r="162" spans="1:4" x14ac:dyDescent="0.3">
      <c r="A162" t="s">
        <v>312</v>
      </c>
      <c r="B162" t="s">
        <v>776</v>
      </c>
      <c r="C162" t="s">
        <v>789</v>
      </c>
      <c r="D162" t="str">
        <f t="shared" si="2"/>
        <v>MaDa162</v>
      </c>
    </row>
    <row r="163" spans="1:4" x14ac:dyDescent="0.3">
      <c r="A163" t="s">
        <v>72</v>
      </c>
      <c r="B163" t="s">
        <v>776</v>
      </c>
      <c r="C163" t="s">
        <v>782</v>
      </c>
      <c r="D163" t="str">
        <f t="shared" si="2"/>
        <v>MaLa163</v>
      </c>
    </row>
    <row r="164" spans="1:4" x14ac:dyDescent="0.3">
      <c r="A164" t="s">
        <v>72</v>
      </c>
      <c r="B164" t="s">
        <v>776</v>
      </c>
      <c r="C164" t="s">
        <v>782</v>
      </c>
      <c r="D164" t="str">
        <f t="shared" si="2"/>
        <v>MaLa164</v>
      </c>
    </row>
    <row r="165" spans="1:4" x14ac:dyDescent="0.3">
      <c r="A165" t="s">
        <v>316</v>
      </c>
      <c r="B165" t="s">
        <v>774</v>
      </c>
      <c r="C165" t="s">
        <v>781</v>
      </c>
      <c r="D165" t="str">
        <f t="shared" si="2"/>
        <v>JoEm165</v>
      </c>
    </row>
    <row r="166" spans="1:4" x14ac:dyDescent="0.3">
      <c r="A166" t="s">
        <v>230</v>
      </c>
      <c r="B166" t="s">
        <v>779</v>
      </c>
      <c r="C166" t="s">
        <v>785</v>
      </c>
      <c r="D166" t="str">
        <f t="shared" si="2"/>
        <v>GaEm166</v>
      </c>
    </row>
    <row r="167" spans="1:4" x14ac:dyDescent="0.3">
      <c r="A167" t="s">
        <v>319</v>
      </c>
      <c r="B167" t="s">
        <v>779</v>
      </c>
      <c r="C167" t="s">
        <v>783</v>
      </c>
      <c r="D167" t="str">
        <f t="shared" si="2"/>
        <v>GaJo167</v>
      </c>
    </row>
    <row r="168" spans="1:4" x14ac:dyDescent="0.3">
      <c r="A168" t="s">
        <v>127</v>
      </c>
      <c r="B168" t="s">
        <v>770</v>
      </c>
      <c r="C168" t="s">
        <v>790</v>
      </c>
      <c r="D168" t="str">
        <f t="shared" si="2"/>
        <v>SmSo168</v>
      </c>
    </row>
    <row r="169" spans="1:4" x14ac:dyDescent="0.3">
      <c r="A169" t="s">
        <v>322</v>
      </c>
      <c r="B169" t="s">
        <v>778</v>
      </c>
      <c r="C169" t="s">
        <v>781</v>
      </c>
      <c r="D169" t="str">
        <f t="shared" si="2"/>
        <v>JoEm169</v>
      </c>
    </row>
    <row r="170" spans="1:4" x14ac:dyDescent="0.3">
      <c r="A170" t="s">
        <v>133</v>
      </c>
      <c r="B170" t="s">
        <v>777</v>
      </c>
      <c r="C170" t="s">
        <v>782</v>
      </c>
      <c r="D170" t="str">
        <f t="shared" si="2"/>
        <v>WiLa170</v>
      </c>
    </row>
    <row r="171" spans="1:4" x14ac:dyDescent="0.3">
      <c r="A171" t="s">
        <v>325</v>
      </c>
      <c r="B171" t="s">
        <v>773</v>
      </c>
      <c r="C171" t="s">
        <v>787</v>
      </c>
      <c r="D171" t="str">
        <f t="shared" si="2"/>
        <v>MiJa171</v>
      </c>
    </row>
    <row r="172" spans="1:4" x14ac:dyDescent="0.3">
      <c r="A172" t="s">
        <v>57</v>
      </c>
      <c r="B172" t="s">
        <v>775</v>
      </c>
      <c r="C172" t="s">
        <v>785</v>
      </c>
      <c r="D172" t="str">
        <f t="shared" si="2"/>
        <v>HeEm172</v>
      </c>
    </row>
    <row r="173" spans="1:4" x14ac:dyDescent="0.3">
      <c r="A173" t="s">
        <v>325</v>
      </c>
      <c r="B173" t="s">
        <v>773</v>
      </c>
      <c r="C173" t="s">
        <v>787</v>
      </c>
      <c r="D173" t="str">
        <f t="shared" si="2"/>
        <v>MiJa173</v>
      </c>
    </row>
    <row r="174" spans="1:4" x14ac:dyDescent="0.3">
      <c r="A174" t="s">
        <v>173</v>
      </c>
      <c r="B174" t="s">
        <v>777</v>
      </c>
      <c r="C174" t="s">
        <v>786</v>
      </c>
      <c r="D174" t="str">
        <f t="shared" si="2"/>
        <v>WiMi174</v>
      </c>
    </row>
    <row r="175" spans="1:4" x14ac:dyDescent="0.3">
      <c r="A175" t="s">
        <v>212</v>
      </c>
      <c r="B175" t="s">
        <v>775</v>
      </c>
      <c r="C175" t="s">
        <v>782</v>
      </c>
      <c r="D175" t="str">
        <f t="shared" si="2"/>
        <v>HeLa175</v>
      </c>
    </row>
    <row r="176" spans="1:4" x14ac:dyDescent="0.3">
      <c r="A176" t="s">
        <v>228</v>
      </c>
      <c r="B176" t="s">
        <v>777</v>
      </c>
      <c r="C176" t="s">
        <v>787</v>
      </c>
      <c r="D176" t="str">
        <f t="shared" si="2"/>
        <v>WiJa176</v>
      </c>
    </row>
    <row r="177" spans="1:4" x14ac:dyDescent="0.3">
      <c r="A177" t="s">
        <v>122</v>
      </c>
      <c r="B177" t="s">
        <v>773</v>
      </c>
      <c r="C177" t="s">
        <v>782</v>
      </c>
      <c r="D177" t="str">
        <f t="shared" si="2"/>
        <v>MiLa177</v>
      </c>
    </row>
    <row r="178" spans="1:4" x14ac:dyDescent="0.3">
      <c r="A178" t="s">
        <v>265</v>
      </c>
      <c r="B178" t="s">
        <v>776</v>
      </c>
      <c r="C178" t="s">
        <v>783</v>
      </c>
      <c r="D178" t="str">
        <f t="shared" si="2"/>
        <v>MaJo178</v>
      </c>
    </row>
    <row r="179" spans="1:4" x14ac:dyDescent="0.3">
      <c r="A179" t="s">
        <v>334</v>
      </c>
      <c r="B179" t="s">
        <v>775</v>
      </c>
      <c r="C179" t="s">
        <v>788</v>
      </c>
      <c r="D179" t="str">
        <f t="shared" si="2"/>
        <v>HeSa179</v>
      </c>
    </row>
    <row r="180" spans="1:4" x14ac:dyDescent="0.3">
      <c r="A180" t="s">
        <v>47</v>
      </c>
      <c r="B180" t="s">
        <v>774</v>
      </c>
      <c r="C180" t="s">
        <v>785</v>
      </c>
      <c r="D180" t="str">
        <f t="shared" si="2"/>
        <v>JoEm180</v>
      </c>
    </row>
    <row r="181" spans="1:4" x14ac:dyDescent="0.3">
      <c r="A181" t="s">
        <v>139</v>
      </c>
      <c r="B181" t="s">
        <v>776</v>
      </c>
      <c r="C181" t="s">
        <v>788</v>
      </c>
      <c r="D181" t="str">
        <f t="shared" si="2"/>
        <v>MaSa181</v>
      </c>
    </row>
    <row r="182" spans="1:4" x14ac:dyDescent="0.3">
      <c r="A182" t="s">
        <v>338</v>
      </c>
      <c r="B182" t="s">
        <v>772</v>
      </c>
      <c r="C182" t="s">
        <v>784</v>
      </c>
      <c r="D182" t="str">
        <f t="shared" si="2"/>
        <v>DaDa182</v>
      </c>
    </row>
    <row r="183" spans="1:4" x14ac:dyDescent="0.3">
      <c r="A183" t="s">
        <v>212</v>
      </c>
      <c r="B183" t="s">
        <v>775</v>
      </c>
      <c r="C183" t="s">
        <v>782</v>
      </c>
      <c r="D183" t="str">
        <f t="shared" si="2"/>
        <v>HeLa183</v>
      </c>
    </row>
    <row r="184" spans="1:4" x14ac:dyDescent="0.3">
      <c r="A184" t="s">
        <v>117</v>
      </c>
      <c r="B184" t="s">
        <v>778</v>
      </c>
      <c r="C184" t="s">
        <v>782</v>
      </c>
      <c r="D184" t="str">
        <f t="shared" si="2"/>
        <v>JoLa184</v>
      </c>
    </row>
    <row r="185" spans="1:4" x14ac:dyDescent="0.3">
      <c r="A185" t="s">
        <v>342</v>
      </c>
      <c r="B185" t="s">
        <v>773</v>
      </c>
      <c r="C185" t="s">
        <v>785</v>
      </c>
      <c r="D185" t="str">
        <f t="shared" si="2"/>
        <v>MiEm185</v>
      </c>
    </row>
    <row r="186" spans="1:4" x14ac:dyDescent="0.3">
      <c r="A186" t="s">
        <v>265</v>
      </c>
      <c r="B186" t="s">
        <v>776</v>
      </c>
      <c r="C186" t="s">
        <v>783</v>
      </c>
      <c r="D186" t="str">
        <f t="shared" si="2"/>
        <v>MaJo186</v>
      </c>
    </row>
    <row r="187" spans="1:4" x14ac:dyDescent="0.3">
      <c r="A187" t="s">
        <v>18</v>
      </c>
      <c r="B187" t="s">
        <v>770</v>
      </c>
      <c r="C187" t="s">
        <v>781</v>
      </c>
      <c r="D187" t="str">
        <f t="shared" si="2"/>
        <v>SmEm187</v>
      </c>
    </row>
    <row r="188" spans="1:4" x14ac:dyDescent="0.3">
      <c r="A188" t="s">
        <v>135</v>
      </c>
      <c r="B188" t="s">
        <v>773</v>
      </c>
      <c r="C188" t="s">
        <v>789</v>
      </c>
      <c r="D188" t="str">
        <f t="shared" si="2"/>
        <v>MiDa188</v>
      </c>
    </row>
    <row r="189" spans="1:4" x14ac:dyDescent="0.3">
      <c r="A189" t="s">
        <v>240</v>
      </c>
      <c r="B189" t="s">
        <v>774</v>
      </c>
      <c r="C189" t="s">
        <v>789</v>
      </c>
      <c r="D189" t="str">
        <f t="shared" si="2"/>
        <v>JoDa189</v>
      </c>
    </row>
    <row r="190" spans="1:4" x14ac:dyDescent="0.3">
      <c r="A190" t="s">
        <v>295</v>
      </c>
      <c r="B190" t="s">
        <v>772</v>
      </c>
      <c r="C190" t="s">
        <v>790</v>
      </c>
      <c r="D190" t="str">
        <f t="shared" si="2"/>
        <v>DaSo190</v>
      </c>
    </row>
    <row r="191" spans="1:4" x14ac:dyDescent="0.3">
      <c r="A191" t="s">
        <v>349</v>
      </c>
      <c r="B191" t="s">
        <v>779</v>
      </c>
      <c r="C191" t="s">
        <v>784</v>
      </c>
      <c r="D191" t="str">
        <f t="shared" si="2"/>
        <v>GaDa191</v>
      </c>
    </row>
    <row r="192" spans="1:4" x14ac:dyDescent="0.3">
      <c r="A192" t="s">
        <v>192</v>
      </c>
      <c r="B192" t="s">
        <v>779</v>
      </c>
      <c r="C192" t="s">
        <v>786</v>
      </c>
      <c r="D192" t="str">
        <f t="shared" si="2"/>
        <v>GaMi192</v>
      </c>
    </row>
    <row r="193" spans="1:4" x14ac:dyDescent="0.3">
      <c r="A193" t="s">
        <v>96</v>
      </c>
      <c r="B193" t="s">
        <v>770</v>
      </c>
      <c r="C193" t="s">
        <v>788</v>
      </c>
      <c r="D193" t="str">
        <f t="shared" si="2"/>
        <v>SmSa193</v>
      </c>
    </row>
    <row r="194" spans="1:4" x14ac:dyDescent="0.3">
      <c r="A194" t="s">
        <v>108</v>
      </c>
      <c r="B194" t="s">
        <v>774</v>
      </c>
      <c r="C194" t="s">
        <v>788</v>
      </c>
      <c r="D194" t="str">
        <f t="shared" si="2"/>
        <v>JoSa194</v>
      </c>
    </row>
    <row r="195" spans="1:4" x14ac:dyDescent="0.3">
      <c r="A195" t="s">
        <v>297</v>
      </c>
      <c r="B195" t="s">
        <v>778</v>
      </c>
      <c r="C195" t="s">
        <v>784</v>
      </c>
      <c r="D195" t="str">
        <f t="shared" ref="D195:D258" si="3">LEFT(B195,2)&amp;LEFT(C195,2)&amp;ROW()</f>
        <v>JoDa195</v>
      </c>
    </row>
    <row r="196" spans="1:4" x14ac:dyDescent="0.3">
      <c r="A196" t="s">
        <v>226</v>
      </c>
      <c r="B196" t="s">
        <v>773</v>
      </c>
      <c r="C196" t="s">
        <v>788</v>
      </c>
      <c r="D196" t="str">
        <f t="shared" si="3"/>
        <v>MiSa196</v>
      </c>
    </row>
    <row r="197" spans="1:4" x14ac:dyDescent="0.3">
      <c r="A197" t="s">
        <v>72</v>
      </c>
      <c r="B197" t="s">
        <v>776</v>
      </c>
      <c r="C197" t="s">
        <v>782</v>
      </c>
      <c r="D197" t="str">
        <f t="shared" si="3"/>
        <v>MaLa197</v>
      </c>
    </row>
    <row r="198" spans="1:4" x14ac:dyDescent="0.3">
      <c r="A198" t="s">
        <v>240</v>
      </c>
      <c r="B198" t="s">
        <v>774</v>
      </c>
      <c r="C198" t="s">
        <v>789</v>
      </c>
      <c r="D198" t="str">
        <f t="shared" si="3"/>
        <v>JoDa198</v>
      </c>
    </row>
    <row r="199" spans="1:4" x14ac:dyDescent="0.3">
      <c r="A199" t="s">
        <v>322</v>
      </c>
      <c r="B199" t="s">
        <v>778</v>
      </c>
      <c r="C199" t="s">
        <v>781</v>
      </c>
      <c r="D199" t="str">
        <f t="shared" si="3"/>
        <v>JoEm199</v>
      </c>
    </row>
    <row r="200" spans="1:4" x14ac:dyDescent="0.3">
      <c r="A200" t="s">
        <v>137</v>
      </c>
      <c r="B200" t="s">
        <v>770</v>
      </c>
      <c r="C200" t="s">
        <v>786</v>
      </c>
      <c r="D200" t="str">
        <f t="shared" si="3"/>
        <v>SmMi200</v>
      </c>
    </row>
    <row r="201" spans="1:4" x14ac:dyDescent="0.3">
      <c r="A201" t="s">
        <v>139</v>
      </c>
      <c r="B201" t="s">
        <v>776</v>
      </c>
      <c r="C201" t="s">
        <v>788</v>
      </c>
      <c r="D201" t="str">
        <f t="shared" si="3"/>
        <v>MaSa201</v>
      </c>
    </row>
    <row r="202" spans="1:4" x14ac:dyDescent="0.3">
      <c r="A202" t="s">
        <v>361</v>
      </c>
      <c r="B202" t="s">
        <v>778</v>
      </c>
      <c r="C202" t="s">
        <v>788</v>
      </c>
      <c r="D202" t="str">
        <f t="shared" si="3"/>
        <v>JoSa202</v>
      </c>
    </row>
    <row r="203" spans="1:4" x14ac:dyDescent="0.3">
      <c r="A203" t="s">
        <v>185</v>
      </c>
      <c r="B203" t="s">
        <v>771</v>
      </c>
      <c r="C203" t="s">
        <v>784</v>
      </c>
      <c r="D203" t="str">
        <f t="shared" si="3"/>
        <v>BrDa203</v>
      </c>
    </row>
    <row r="204" spans="1:4" x14ac:dyDescent="0.3">
      <c r="A204" t="s">
        <v>226</v>
      </c>
      <c r="B204" t="s">
        <v>773</v>
      </c>
      <c r="C204" t="s">
        <v>788</v>
      </c>
      <c r="D204" t="str">
        <f t="shared" si="3"/>
        <v>MiSa204</v>
      </c>
    </row>
    <row r="205" spans="1:4" x14ac:dyDescent="0.3">
      <c r="A205" t="s">
        <v>287</v>
      </c>
      <c r="B205" t="s">
        <v>771</v>
      </c>
      <c r="C205" t="s">
        <v>787</v>
      </c>
      <c r="D205" t="str">
        <f t="shared" si="3"/>
        <v>BrJa205</v>
      </c>
    </row>
    <row r="206" spans="1:4" x14ac:dyDescent="0.3">
      <c r="A206" t="s">
        <v>164</v>
      </c>
      <c r="B206" t="s">
        <v>774</v>
      </c>
      <c r="C206" t="s">
        <v>784</v>
      </c>
      <c r="D206" t="str">
        <f t="shared" si="3"/>
        <v>JoDa206</v>
      </c>
    </row>
    <row r="207" spans="1:4" x14ac:dyDescent="0.3">
      <c r="A207" t="s">
        <v>208</v>
      </c>
      <c r="B207" t="s">
        <v>772</v>
      </c>
      <c r="C207" t="s">
        <v>785</v>
      </c>
      <c r="D207" t="str">
        <f t="shared" si="3"/>
        <v>DaEm207</v>
      </c>
    </row>
    <row r="208" spans="1:4" x14ac:dyDescent="0.3">
      <c r="A208" t="s">
        <v>280</v>
      </c>
      <c r="B208" t="s">
        <v>771</v>
      </c>
      <c r="C208" t="s">
        <v>781</v>
      </c>
      <c r="D208" t="str">
        <f t="shared" si="3"/>
        <v>BrEm208</v>
      </c>
    </row>
    <row r="209" spans="1:4" x14ac:dyDescent="0.3">
      <c r="A209" t="s">
        <v>117</v>
      </c>
      <c r="B209" t="s">
        <v>778</v>
      </c>
      <c r="C209" t="s">
        <v>782</v>
      </c>
      <c r="D209" t="str">
        <f t="shared" si="3"/>
        <v>JoLa209</v>
      </c>
    </row>
    <row r="210" spans="1:4" x14ac:dyDescent="0.3">
      <c r="A210" t="s">
        <v>84</v>
      </c>
      <c r="B210" t="s">
        <v>770</v>
      </c>
      <c r="C210" t="s">
        <v>785</v>
      </c>
      <c r="D210" t="str">
        <f t="shared" si="3"/>
        <v>SmEm210</v>
      </c>
    </row>
    <row r="211" spans="1:4" x14ac:dyDescent="0.3">
      <c r="A211" t="s">
        <v>125</v>
      </c>
      <c r="B211" t="s">
        <v>779</v>
      </c>
      <c r="C211" t="s">
        <v>790</v>
      </c>
      <c r="D211" t="str">
        <f t="shared" si="3"/>
        <v>GaSo211</v>
      </c>
    </row>
    <row r="212" spans="1:4" x14ac:dyDescent="0.3">
      <c r="A212" t="s">
        <v>110</v>
      </c>
      <c r="B212" t="s">
        <v>775</v>
      </c>
      <c r="C212" t="s">
        <v>790</v>
      </c>
      <c r="D212" t="str">
        <f t="shared" si="3"/>
        <v>HeSo212</v>
      </c>
    </row>
    <row r="213" spans="1:4" x14ac:dyDescent="0.3">
      <c r="A213" t="s">
        <v>373</v>
      </c>
      <c r="B213" t="s">
        <v>771</v>
      </c>
      <c r="C213" t="s">
        <v>789</v>
      </c>
      <c r="D213" t="str">
        <f t="shared" si="3"/>
        <v>BrDa213</v>
      </c>
    </row>
    <row r="214" spans="1:4" x14ac:dyDescent="0.3">
      <c r="A214" t="s">
        <v>168</v>
      </c>
      <c r="B214" t="s">
        <v>779</v>
      </c>
      <c r="C214" t="s">
        <v>788</v>
      </c>
      <c r="D214" t="str">
        <f t="shared" si="3"/>
        <v>GaSa214</v>
      </c>
    </row>
    <row r="215" spans="1:4" x14ac:dyDescent="0.3">
      <c r="A215" t="s">
        <v>250</v>
      </c>
      <c r="B215" t="s">
        <v>776</v>
      </c>
      <c r="C215" t="s">
        <v>781</v>
      </c>
      <c r="D215" t="str">
        <f t="shared" si="3"/>
        <v>MaEm215</v>
      </c>
    </row>
    <row r="216" spans="1:4" x14ac:dyDescent="0.3">
      <c r="A216" t="s">
        <v>373</v>
      </c>
      <c r="B216" t="s">
        <v>771</v>
      </c>
      <c r="C216" t="s">
        <v>789</v>
      </c>
      <c r="D216" t="str">
        <f t="shared" si="3"/>
        <v>BrDa216</v>
      </c>
    </row>
    <row r="217" spans="1:4" x14ac:dyDescent="0.3">
      <c r="A217" t="s">
        <v>125</v>
      </c>
      <c r="B217" t="s">
        <v>779</v>
      </c>
      <c r="C217" t="s">
        <v>790</v>
      </c>
      <c r="D217" t="str">
        <f t="shared" si="3"/>
        <v>GaSo217</v>
      </c>
    </row>
    <row r="218" spans="1:4" x14ac:dyDescent="0.3">
      <c r="A218" t="s">
        <v>379</v>
      </c>
      <c r="B218" t="s">
        <v>774</v>
      </c>
      <c r="C218" t="s">
        <v>783</v>
      </c>
      <c r="D218" t="str">
        <f t="shared" si="3"/>
        <v>JoJo218</v>
      </c>
    </row>
    <row r="219" spans="1:4" x14ac:dyDescent="0.3">
      <c r="A219" t="s">
        <v>342</v>
      </c>
      <c r="B219" t="s">
        <v>773</v>
      </c>
      <c r="C219" t="s">
        <v>785</v>
      </c>
      <c r="D219" t="str">
        <f t="shared" si="3"/>
        <v>MiEm219</v>
      </c>
    </row>
    <row r="220" spans="1:4" x14ac:dyDescent="0.3">
      <c r="A220" t="s">
        <v>130</v>
      </c>
      <c r="B220" t="s">
        <v>775</v>
      </c>
      <c r="C220" t="s">
        <v>783</v>
      </c>
      <c r="D220" t="str">
        <f t="shared" si="3"/>
        <v>HeJo220</v>
      </c>
    </row>
    <row r="221" spans="1:4" x14ac:dyDescent="0.3">
      <c r="A221" t="s">
        <v>383</v>
      </c>
      <c r="B221" t="s">
        <v>771</v>
      </c>
      <c r="C221" t="s">
        <v>790</v>
      </c>
      <c r="D221" t="str">
        <f t="shared" si="3"/>
        <v>BrSo221</v>
      </c>
    </row>
    <row r="222" spans="1:4" x14ac:dyDescent="0.3">
      <c r="A222" t="s">
        <v>76</v>
      </c>
      <c r="B222" t="s">
        <v>776</v>
      </c>
      <c r="C222" t="s">
        <v>787</v>
      </c>
      <c r="D222" t="str">
        <f t="shared" si="3"/>
        <v>MaJa222</v>
      </c>
    </row>
    <row r="223" spans="1:4" x14ac:dyDescent="0.3">
      <c r="A223" t="s">
        <v>276</v>
      </c>
      <c r="B223" t="s">
        <v>770</v>
      </c>
      <c r="C223" t="s">
        <v>787</v>
      </c>
      <c r="D223" t="str">
        <f t="shared" si="3"/>
        <v>SmJa223</v>
      </c>
    </row>
    <row r="224" spans="1:4" x14ac:dyDescent="0.3">
      <c r="A224" t="s">
        <v>135</v>
      </c>
      <c r="B224" t="s">
        <v>773</v>
      </c>
      <c r="C224" t="s">
        <v>789</v>
      </c>
      <c r="D224" t="str">
        <f t="shared" si="3"/>
        <v>MiDa224</v>
      </c>
    </row>
    <row r="225" spans="1:4" x14ac:dyDescent="0.3">
      <c r="A225" t="s">
        <v>379</v>
      </c>
      <c r="B225" t="s">
        <v>774</v>
      </c>
      <c r="C225" t="s">
        <v>783</v>
      </c>
      <c r="D225" t="str">
        <f t="shared" si="3"/>
        <v>JoJo225</v>
      </c>
    </row>
    <row r="226" spans="1:4" x14ac:dyDescent="0.3">
      <c r="A226" t="s">
        <v>52</v>
      </c>
      <c r="B226" t="s">
        <v>774</v>
      </c>
      <c r="C226" t="s">
        <v>786</v>
      </c>
      <c r="D226" t="str">
        <f t="shared" si="3"/>
        <v>JoMi226</v>
      </c>
    </row>
    <row r="227" spans="1:4" x14ac:dyDescent="0.3">
      <c r="A227" t="s">
        <v>390</v>
      </c>
      <c r="B227" t="s">
        <v>778</v>
      </c>
      <c r="C227" t="s">
        <v>785</v>
      </c>
      <c r="D227" t="str">
        <f t="shared" si="3"/>
        <v>JoEm227</v>
      </c>
    </row>
    <row r="228" spans="1:4" x14ac:dyDescent="0.3">
      <c r="A228" t="s">
        <v>226</v>
      </c>
      <c r="B228" t="s">
        <v>773</v>
      </c>
      <c r="C228" t="s">
        <v>788</v>
      </c>
      <c r="D228" t="str">
        <f t="shared" si="3"/>
        <v>MiSa228</v>
      </c>
    </row>
    <row r="229" spans="1:4" x14ac:dyDescent="0.3">
      <c r="A229" t="s">
        <v>35</v>
      </c>
      <c r="B229" t="s">
        <v>772</v>
      </c>
      <c r="C229" t="s">
        <v>783</v>
      </c>
      <c r="D229" t="str">
        <f t="shared" si="3"/>
        <v>DaJo229</v>
      </c>
    </row>
    <row r="230" spans="1:4" x14ac:dyDescent="0.3">
      <c r="A230" t="s">
        <v>40</v>
      </c>
      <c r="B230" t="s">
        <v>773</v>
      </c>
      <c r="C230" t="s">
        <v>784</v>
      </c>
      <c r="D230" t="str">
        <f t="shared" si="3"/>
        <v>MiDa230</v>
      </c>
    </row>
    <row r="231" spans="1:4" x14ac:dyDescent="0.3">
      <c r="A231" t="s">
        <v>322</v>
      </c>
      <c r="B231" t="s">
        <v>778</v>
      </c>
      <c r="C231" t="s">
        <v>781</v>
      </c>
      <c r="D231" t="str">
        <f t="shared" si="3"/>
        <v>JoEm231</v>
      </c>
    </row>
    <row r="232" spans="1:4" x14ac:dyDescent="0.3">
      <c r="A232" t="s">
        <v>153</v>
      </c>
      <c r="B232" t="s">
        <v>770</v>
      </c>
      <c r="C232" t="s">
        <v>784</v>
      </c>
      <c r="D232" t="str">
        <f t="shared" si="3"/>
        <v>SmDa232</v>
      </c>
    </row>
    <row r="233" spans="1:4" x14ac:dyDescent="0.3">
      <c r="A233" t="s">
        <v>252</v>
      </c>
      <c r="B233" t="s">
        <v>775</v>
      </c>
      <c r="C233" t="s">
        <v>784</v>
      </c>
      <c r="D233" t="str">
        <f t="shared" si="3"/>
        <v>HeDa233</v>
      </c>
    </row>
    <row r="234" spans="1:4" x14ac:dyDescent="0.3">
      <c r="A234" t="s">
        <v>139</v>
      </c>
      <c r="B234" t="s">
        <v>776</v>
      </c>
      <c r="C234" t="s">
        <v>788</v>
      </c>
      <c r="D234" t="str">
        <f t="shared" si="3"/>
        <v>MaSa234</v>
      </c>
    </row>
    <row r="235" spans="1:4" x14ac:dyDescent="0.3">
      <c r="A235" t="s">
        <v>198</v>
      </c>
      <c r="B235" t="s">
        <v>773</v>
      </c>
      <c r="C235" t="s">
        <v>790</v>
      </c>
      <c r="D235" t="str">
        <f t="shared" si="3"/>
        <v>MiSo235</v>
      </c>
    </row>
    <row r="236" spans="1:4" x14ac:dyDescent="0.3">
      <c r="A236" t="s">
        <v>252</v>
      </c>
      <c r="B236" t="s">
        <v>775</v>
      </c>
      <c r="C236" t="s">
        <v>784</v>
      </c>
      <c r="D236" t="str">
        <f t="shared" si="3"/>
        <v>HeDa236</v>
      </c>
    </row>
    <row r="237" spans="1:4" x14ac:dyDescent="0.3">
      <c r="A237" t="s">
        <v>133</v>
      </c>
      <c r="B237" t="s">
        <v>777</v>
      </c>
      <c r="C237" t="s">
        <v>782</v>
      </c>
      <c r="D237" t="str">
        <f t="shared" si="3"/>
        <v>WiLa237</v>
      </c>
    </row>
    <row r="238" spans="1:4" x14ac:dyDescent="0.3">
      <c r="A238" t="s">
        <v>297</v>
      </c>
      <c r="B238" t="s">
        <v>778</v>
      </c>
      <c r="C238" t="s">
        <v>784</v>
      </c>
      <c r="D238" t="str">
        <f t="shared" si="3"/>
        <v>JoDa238</v>
      </c>
    </row>
    <row r="239" spans="1:4" x14ac:dyDescent="0.3">
      <c r="A239" t="s">
        <v>226</v>
      </c>
      <c r="B239" t="s">
        <v>773</v>
      </c>
      <c r="C239" t="s">
        <v>788</v>
      </c>
      <c r="D239" t="str">
        <f t="shared" si="3"/>
        <v>MiSa239</v>
      </c>
    </row>
    <row r="240" spans="1:4" x14ac:dyDescent="0.3">
      <c r="A240" t="s">
        <v>90</v>
      </c>
      <c r="B240" t="s">
        <v>777</v>
      </c>
      <c r="C240" t="s">
        <v>789</v>
      </c>
      <c r="D240" t="str">
        <f t="shared" si="3"/>
        <v>WiDa240</v>
      </c>
    </row>
    <row r="241" spans="1:4" x14ac:dyDescent="0.3">
      <c r="A241" t="s">
        <v>293</v>
      </c>
      <c r="B241" t="s">
        <v>774</v>
      </c>
      <c r="C241" t="s">
        <v>790</v>
      </c>
      <c r="D241" t="str">
        <f t="shared" si="3"/>
        <v>JoSo241</v>
      </c>
    </row>
    <row r="242" spans="1:4" x14ac:dyDescent="0.3">
      <c r="A242" t="s">
        <v>310</v>
      </c>
      <c r="B242" t="s">
        <v>771</v>
      </c>
      <c r="C242" t="s">
        <v>783</v>
      </c>
      <c r="D242" t="str">
        <f t="shared" si="3"/>
        <v>BrJo242</v>
      </c>
    </row>
    <row r="243" spans="1:4" x14ac:dyDescent="0.3">
      <c r="A243" t="s">
        <v>130</v>
      </c>
      <c r="B243" t="s">
        <v>775</v>
      </c>
      <c r="C243" t="s">
        <v>783</v>
      </c>
      <c r="D243" t="str">
        <f t="shared" si="3"/>
        <v>HeJo243</v>
      </c>
    </row>
    <row r="244" spans="1:4" x14ac:dyDescent="0.3">
      <c r="A244" t="s">
        <v>408</v>
      </c>
      <c r="B244" t="s">
        <v>774</v>
      </c>
      <c r="C244" t="s">
        <v>782</v>
      </c>
      <c r="D244" t="str">
        <f t="shared" si="3"/>
        <v>JoLa244</v>
      </c>
    </row>
    <row r="245" spans="1:4" x14ac:dyDescent="0.3">
      <c r="A245" t="s">
        <v>18</v>
      </c>
      <c r="B245" t="s">
        <v>770</v>
      </c>
      <c r="C245" t="s">
        <v>781</v>
      </c>
      <c r="D245" t="str">
        <f t="shared" si="3"/>
        <v>SmEm245</v>
      </c>
    </row>
    <row r="246" spans="1:4" x14ac:dyDescent="0.3">
      <c r="A246" t="s">
        <v>119</v>
      </c>
      <c r="B246" t="s">
        <v>771</v>
      </c>
      <c r="C246" t="s">
        <v>786</v>
      </c>
      <c r="D246" t="str">
        <f t="shared" si="3"/>
        <v>BrMi246</v>
      </c>
    </row>
    <row r="247" spans="1:4" x14ac:dyDescent="0.3">
      <c r="A247" t="s">
        <v>143</v>
      </c>
      <c r="B247" t="s">
        <v>777</v>
      </c>
      <c r="C247" t="s">
        <v>785</v>
      </c>
      <c r="D247" t="str">
        <f t="shared" si="3"/>
        <v>WiEm247</v>
      </c>
    </row>
    <row r="248" spans="1:4" x14ac:dyDescent="0.3">
      <c r="A248" t="s">
        <v>230</v>
      </c>
      <c r="B248" t="s">
        <v>779</v>
      </c>
      <c r="C248" t="s">
        <v>785</v>
      </c>
      <c r="D248" t="str">
        <f t="shared" si="3"/>
        <v>GaEm248</v>
      </c>
    </row>
    <row r="249" spans="1:4" x14ac:dyDescent="0.3">
      <c r="A249" t="s">
        <v>250</v>
      </c>
      <c r="B249" t="s">
        <v>776</v>
      </c>
      <c r="C249" t="s">
        <v>781</v>
      </c>
      <c r="D249" t="str">
        <f t="shared" si="3"/>
        <v>MaEm249</v>
      </c>
    </row>
    <row r="250" spans="1:4" x14ac:dyDescent="0.3">
      <c r="A250" t="s">
        <v>280</v>
      </c>
      <c r="B250" t="s">
        <v>771</v>
      </c>
      <c r="C250" t="s">
        <v>781</v>
      </c>
      <c r="D250" t="str">
        <f t="shared" si="3"/>
        <v>BrEm250</v>
      </c>
    </row>
    <row r="251" spans="1:4" x14ac:dyDescent="0.3">
      <c r="A251" t="s">
        <v>185</v>
      </c>
      <c r="B251" t="s">
        <v>771</v>
      </c>
      <c r="C251" t="s">
        <v>784</v>
      </c>
      <c r="D251" t="str">
        <f t="shared" si="3"/>
        <v>BrDa251</v>
      </c>
    </row>
    <row r="252" spans="1:4" x14ac:dyDescent="0.3">
      <c r="A252" t="s">
        <v>408</v>
      </c>
      <c r="B252" t="s">
        <v>774</v>
      </c>
      <c r="C252" t="s">
        <v>782</v>
      </c>
      <c r="D252" t="str">
        <f t="shared" si="3"/>
        <v>JoLa252</v>
      </c>
    </row>
    <row r="253" spans="1:4" x14ac:dyDescent="0.3">
      <c r="A253" t="s">
        <v>418</v>
      </c>
      <c r="B253" t="s">
        <v>770</v>
      </c>
      <c r="C253" t="s">
        <v>783</v>
      </c>
      <c r="D253" t="str">
        <f t="shared" si="3"/>
        <v>SmJo253</v>
      </c>
    </row>
    <row r="254" spans="1:4" x14ac:dyDescent="0.3">
      <c r="A254" t="s">
        <v>40</v>
      </c>
      <c r="B254" t="s">
        <v>773</v>
      </c>
      <c r="C254" t="s">
        <v>784</v>
      </c>
      <c r="D254" t="str">
        <f t="shared" si="3"/>
        <v>MiDa254</v>
      </c>
    </row>
    <row r="255" spans="1:4" x14ac:dyDescent="0.3">
      <c r="A255" t="s">
        <v>338</v>
      </c>
      <c r="B255" t="s">
        <v>772</v>
      </c>
      <c r="C255" t="s">
        <v>784</v>
      </c>
      <c r="D255" t="str">
        <f t="shared" si="3"/>
        <v>DaDa255</v>
      </c>
    </row>
    <row r="256" spans="1:4" x14ac:dyDescent="0.3">
      <c r="A256" t="s">
        <v>218</v>
      </c>
      <c r="B256" t="s">
        <v>772</v>
      </c>
      <c r="C256" t="s">
        <v>781</v>
      </c>
      <c r="D256" t="str">
        <f t="shared" si="3"/>
        <v>DaEm256</v>
      </c>
    </row>
    <row r="257" spans="1:4" x14ac:dyDescent="0.3">
      <c r="A257" t="s">
        <v>153</v>
      </c>
      <c r="B257" t="s">
        <v>770</v>
      </c>
      <c r="C257" t="s">
        <v>784</v>
      </c>
      <c r="D257" t="str">
        <f t="shared" si="3"/>
        <v>SmDa257</v>
      </c>
    </row>
    <row r="258" spans="1:4" x14ac:dyDescent="0.3">
      <c r="A258" t="s">
        <v>325</v>
      </c>
      <c r="B258" t="s">
        <v>773</v>
      </c>
      <c r="C258" t="s">
        <v>787</v>
      </c>
      <c r="D258" t="str">
        <f t="shared" si="3"/>
        <v>MiJa258</v>
      </c>
    </row>
    <row r="259" spans="1:4" x14ac:dyDescent="0.3">
      <c r="A259" t="s">
        <v>185</v>
      </c>
      <c r="B259" t="s">
        <v>771</v>
      </c>
      <c r="C259" t="s">
        <v>784</v>
      </c>
      <c r="D259" t="str">
        <f t="shared" ref="D259:D322" si="4">LEFT(B259,2)&amp;LEFT(C259,2)&amp;ROW()</f>
        <v>BrDa259</v>
      </c>
    </row>
    <row r="260" spans="1:4" x14ac:dyDescent="0.3">
      <c r="A260" t="s">
        <v>312</v>
      </c>
      <c r="B260" t="s">
        <v>776</v>
      </c>
      <c r="C260" t="s">
        <v>789</v>
      </c>
      <c r="D260" t="str">
        <f t="shared" si="4"/>
        <v>MaDa260</v>
      </c>
    </row>
    <row r="261" spans="1:4" x14ac:dyDescent="0.3">
      <c r="A261" t="s">
        <v>427</v>
      </c>
      <c r="B261" t="s">
        <v>777</v>
      </c>
      <c r="C261" t="s">
        <v>790</v>
      </c>
      <c r="D261" t="str">
        <f t="shared" si="4"/>
        <v>WiSo261</v>
      </c>
    </row>
    <row r="262" spans="1:4" x14ac:dyDescent="0.3">
      <c r="A262" t="s">
        <v>429</v>
      </c>
      <c r="B262" t="s">
        <v>779</v>
      </c>
      <c r="C262" t="s">
        <v>787</v>
      </c>
      <c r="D262" t="str">
        <f t="shared" si="4"/>
        <v>GaJa262</v>
      </c>
    </row>
    <row r="263" spans="1:4" x14ac:dyDescent="0.3">
      <c r="A263" t="s">
        <v>297</v>
      </c>
      <c r="B263" t="s">
        <v>778</v>
      </c>
      <c r="C263" t="s">
        <v>784</v>
      </c>
      <c r="D263" t="str">
        <f t="shared" si="4"/>
        <v>JoDa263</v>
      </c>
    </row>
    <row r="264" spans="1:4" x14ac:dyDescent="0.3">
      <c r="A264" t="s">
        <v>383</v>
      </c>
      <c r="B264" t="s">
        <v>771</v>
      </c>
      <c r="C264" t="s">
        <v>790</v>
      </c>
      <c r="D264" t="str">
        <f t="shared" si="4"/>
        <v>BrSo264</v>
      </c>
    </row>
    <row r="265" spans="1:4" x14ac:dyDescent="0.3">
      <c r="A265" t="s">
        <v>185</v>
      </c>
      <c r="B265" t="s">
        <v>771</v>
      </c>
      <c r="C265" t="s">
        <v>784</v>
      </c>
      <c r="D265" t="str">
        <f t="shared" si="4"/>
        <v>BrDa265</v>
      </c>
    </row>
    <row r="266" spans="1:4" x14ac:dyDescent="0.3">
      <c r="A266" t="s">
        <v>218</v>
      </c>
      <c r="B266" t="s">
        <v>772</v>
      </c>
      <c r="C266" t="s">
        <v>781</v>
      </c>
      <c r="D266" t="str">
        <f t="shared" si="4"/>
        <v>DaEm266</v>
      </c>
    </row>
    <row r="267" spans="1:4" x14ac:dyDescent="0.3">
      <c r="A267" t="s">
        <v>295</v>
      </c>
      <c r="B267" t="s">
        <v>772</v>
      </c>
      <c r="C267" t="s">
        <v>790</v>
      </c>
      <c r="D267" t="str">
        <f t="shared" si="4"/>
        <v>DaSo267</v>
      </c>
    </row>
    <row r="268" spans="1:4" x14ac:dyDescent="0.3">
      <c r="A268" t="s">
        <v>114</v>
      </c>
      <c r="B268" t="s">
        <v>776</v>
      </c>
      <c r="C268" t="s">
        <v>786</v>
      </c>
      <c r="D268" t="str">
        <f t="shared" si="4"/>
        <v>MaMi268</v>
      </c>
    </row>
    <row r="269" spans="1:4" x14ac:dyDescent="0.3">
      <c r="A269" t="s">
        <v>316</v>
      </c>
      <c r="B269" t="s">
        <v>774</v>
      </c>
      <c r="C269" t="s">
        <v>781</v>
      </c>
      <c r="D269" t="str">
        <f t="shared" si="4"/>
        <v>JoEm269</v>
      </c>
    </row>
    <row r="270" spans="1:4" x14ac:dyDescent="0.3">
      <c r="A270" t="s">
        <v>57</v>
      </c>
      <c r="B270" t="s">
        <v>775</v>
      </c>
      <c r="C270" t="s">
        <v>785</v>
      </c>
      <c r="D270" t="str">
        <f t="shared" si="4"/>
        <v>HeEm270</v>
      </c>
    </row>
    <row r="271" spans="1:4" x14ac:dyDescent="0.3">
      <c r="A271" t="s">
        <v>122</v>
      </c>
      <c r="B271" t="s">
        <v>773</v>
      </c>
      <c r="C271" t="s">
        <v>782</v>
      </c>
      <c r="D271" t="str">
        <f t="shared" si="4"/>
        <v>MiLa271</v>
      </c>
    </row>
    <row r="272" spans="1:4" x14ac:dyDescent="0.3">
      <c r="A272" t="s">
        <v>440</v>
      </c>
      <c r="B272" t="s">
        <v>770</v>
      </c>
      <c r="C272" t="s">
        <v>782</v>
      </c>
      <c r="D272" t="str">
        <f t="shared" si="4"/>
        <v>SmLa272</v>
      </c>
    </row>
    <row r="273" spans="1:4" x14ac:dyDescent="0.3">
      <c r="A273" t="s">
        <v>105</v>
      </c>
      <c r="B273" t="s">
        <v>772</v>
      </c>
      <c r="C273" t="s">
        <v>789</v>
      </c>
      <c r="D273" t="str">
        <f t="shared" si="4"/>
        <v>DaDa273</v>
      </c>
    </row>
    <row r="274" spans="1:4" x14ac:dyDescent="0.3">
      <c r="A274" t="s">
        <v>319</v>
      </c>
      <c r="B274" t="s">
        <v>779</v>
      </c>
      <c r="C274" t="s">
        <v>783</v>
      </c>
      <c r="D274" t="str">
        <f t="shared" si="4"/>
        <v>GaJo274</v>
      </c>
    </row>
    <row r="275" spans="1:4" x14ac:dyDescent="0.3">
      <c r="A275" t="s">
        <v>218</v>
      </c>
      <c r="B275" t="s">
        <v>772</v>
      </c>
      <c r="C275" t="s">
        <v>781</v>
      </c>
      <c r="D275" t="str">
        <f t="shared" si="4"/>
        <v>DaEm275</v>
      </c>
    </row>
    <row r="276" spans="1:4" x14ac:dyDescent="0.3">
      <c r="A276" t="s">
        <v>173</v>
      </c>
      <c r="B276" t="s">
        <v>777</v>
      </c>
      <c r="C276" t="s">
        <v>786</v>
      </c>
      <c r="D276" t="str">
        <f t="shared" si="4"/>
        <v>WiMi276</v>
      </c>
    </row>
    <row r="277" spans="1:4" x14ac:dyDescent="0.3">
      <c r="A277" t="s">
        <v>305</v>
      </c>
      <c r="B277" t="s">
        <v>775</v>
      </c>
      <c r="C277" t="s">
        <v>786</v>
      </c>
      <c r="D277" t="str">
        <f t="shared" si="4"/>
        <v>HeMi277</v>
      </c>
    </row>
    <row r="278" spans="1:4" x14ac:dyDescent="0.3">
      <c r="A278" t="s">
        <v>383</v>
      </c>
      <c r="B278" t="s">
        <v>771</v>
      </c>
      <c r="C278" t="s">
        <v>790</v>
      </c>
      <c r="D278" t="str">
        <f t="shared" si="4"/>
        <v>BrSo278</v>
      </c>
    </row>
    <row r="279" spans="1:4" x14ac:dyDescent="0.3">
      <c r="A279" t="s">
        <v>259</v>
      </c>
      <c r="B279" t="s">
        <v>775</v>
      </c>
      <c r="C279" t="s">
        <v>789</v>
      </c>
      <c r="D279" t="str">
        <f t="shared" si="4"/>
        <v>HeDa279</v>
      </c>
    </row>
    <row r="280" spans="1:4" x14ac:dyDescent="0.3">
      <c r="A280" t="s">
        <v>334</v>
      </c>
      <c r="B280" t="s">
        <v>775</v>
      </c>
      <c r="C280" t="s">
        <v>788</v>
      </c>
      <c r="D280" t="str">
        <f t="shared" si="4"/>
        <v>HeSa280</v>
      </c>
    </row>
    <row r="281" spans="1:4" x14ac:dyDescent="0.3">
      <c r="A281" t="s">
        <v>130</v>
      </c>
      <c r="B281" t="s">
        <v>775</v>
      </c>
      <c r="C281" t="s">
        <v>783</v>
      </c>
      <c r="D281" t="str">
        <f t="shared" si="4"/>
        <v>HeJo281</v>
      </c>
    </row>
    <row r="282" spans="1:4" x14ac:dyDescent="0.3">
      <c r="A282" t="s">
        <v>79</v>
      </c>
      <c r="B282" t="s">
        <v>772</v>
      </c>
      <c r="C282" t="s">
        <v>787</v>
      </c>
      <c r="D282" t="str">
        <f t="shared" si="4"/>
        <v>DaJa282</v>
      </c>
    </row>
    <row r="283" spans="1:4" x14ac:dyDescent="0.3">
      <c r="A283" t="s">
        <v>316</v>
      </c>
      <c r="B283" t="s">
        <v>774</v>
      </c>
      <c r="C283" t="s">
        <v>781</v>
      </c>
      <c r="D283" t="str">
        <f t="shared" si="4"/>
        <v>JoEm283</v>
      </c>
    </row>
    <row r="284" spans="1:4" x14ac:dyDescent="0.3">
      <c r="A284" t="s">
        <v>135</v>
      </c>
      <c r="B284" t="s">
        <v>773</v>
      </c>
      <c r="C284" t="s">
        <v>789</v>
      </c>
      <c r="D284" t="str">
        <f t="shared" si="4"/>
        <v>MiDa284</v>
      </c>
    </row>
    <row r="285" spans="1:4" x14ac:dyDescent="0.3">
      <c r="A285" t="s">
        <v>240</v>
      </c>
      <c r="B285" t="s">
        <v>774</v>
      </c>
      <c r="C285" t="s">
        <v>789</v>
      </c>
      <c r="D285" t="str">
        <f t="shared" si="4"/>
        <v>JoDa285</v>
      </c>
    </row>
    <row r="286" spans="1:4" x14ac:dyDescent="0.3">
      <c r="A286" t="s">
        <v>139</v>
      </c>
      <c r="B286" t="s">
        <v>776</v>
      </c>
      <c r="C286" t="s">
        <v>788</v>
      </c>
      <c r="D286" t="str">
        <f t="shared" si="4"/>
        <v>MaSa286</v>
      </c>
    </row>
    <row r="287" spans="1:4" x14ac:dyDescent="0.3">
      <c r="A287" t="s">
        <v>127</v>
      </c>
      <c r="B287" t="s">
        <v>770</v>
      </c>
      <c r="C287" t="s">
        <v>790</v>
      </c>
      <c r="D287" t="str">
        <f t="shared" si="4"/>
        <v>SmSo287</v>
      </c>
    </row>
    <row r="288" spans="1:4" x14ac:dyDescent="0.3">
      <c r="A288" t="s">
        <v>180</v>
      </c>
      <c r="B288" t="s">
        <v>777</v>
      </c>
      <c r="C288" t="s">
        <v>781</v>
      </c>
      <c r="D288" t="str">
        <f t="shared" si="4"/>
        <v>WiEm288</v>
      </c>
    </row>
    <row r="289" spans="1:4" x14ac:dyDescent="0.3">
      <c r="A289" t="s">
        <v>35</v>
      </c>
      <c r="B289" t="s">
        <v>772</v>
      </c>
      <c r="C289" t="s">
        <v>783</v>
      </c>
      <c r="D289" t="str">
        <f t="shared" si="4"/>
        <v>DaJo289</v>
      </c>
    </row>
    <row r="290" spans="1:4" x14ac:dyDescent="0.3">
      <c r="A290" t="s">
        <v>240</v>
      </c>
      <c r="B290" t="s">
        <v>774</v>
      </c>
      <c r="C290" t="s">
        <v>789</v>
      </c>
      <c r="D290" t="str">
        <f t="shared" si="4"/>
        <v>JoDa290</v>
      </c>
    </row>
    <row r="291" spans="1:4" x14ac:dyDescent="0.3">
      <c r="A291" t="s">
        <v>325</v>
      </c>
      <c r="B291" t="s">
        <v>773</v>
      </c>
      <c r="C291" t="s">
        <v>787</v>
      </c>
      <c r="D291" t="str">
        <f t="shared" si="4"/>
        <v>MiJa291</v>
      </c>
    </row>
    <row r="292" spans="1:4" x14ac:dyDescent="0.3">
      <c r="A292" t="s">
        <v>240</v>
      </c>
      <c r="B292" t="s">
        <v>774</v>
      </c>
      <c r="C292" t="s">
        <v>789</v>
      </c>
      <c r="D292" t="str">
        <f t="shared" si="4"/>
        <v>JoDa292</v>
      </c>
    </row>
    <row r="293" spans="1:4" x14ac:dyDescent="0.3">
      <c r="A293" t="s">
        <v>319</v>
      </c>
      <c r="B293" t="s">
        <v>779</v>
      </c>
      <c r="C293" t="s">
        <v>783</v>
      </c>
      <c r="D293" t="str">
        <f t="shared" si="4"/>
        <v>GaJo293</v>
      </c>
    </row>
    <row r="294" spans="1:4" x14ac:dyDescent="0.3">
      <c r="A294" t="s">
        <v>79</v>
      </c>
      <c r="B294" t="s">
        <v>772</v>
      </c>
      <c r="C294" t="s">
        <v>787</v>
      </c>
      <c r="D294" t="str">
        <f t="shared" si="4"/>
        <v>DaJa294</v>
      </c>
    </row>
    <row r="295" spans="1:4" x14ac:dyDescent="0.3">
      <c r="A295" t="s">
        <v>153</v>
      </c>
      <c r="B295" t="s">
        <v>770</v>
      </c>
      <c r="C295" t="s">
        <v>784</v>
      </c>
      <c r="D295" t="str">
        <f t="shared" si="4"/>
        <v>SmDa295</v>
      </c>
    </row>
    <row r="296" spans="1:4" x14ac:dyDescent="0.3">
      <c r="A296" t="s">
        <v>72</v>
      </c>
      <c r="B296" t="s">
        <v>776</v>
      </c>
      <c r="C296" t="s">
        <v>782</v>
      </c>
      <c r="D296" t="str">
        <f t="shared" si="4"/>
        <v>MaLa296</v>
      </c>
    </row>
    <row r="297" spans="1:4" x14ac:dyDescent="0.3">
      <c r="A297" t="s">
        <v>383</v>
      </c>
      <c r="B297" t="s">
        <v>771</v>
      </c>
      <c r="C297" t="s">
        <v>790</v>
      </c>
      <c r="D297" t="str">
        <f t="shared" si="4"/>
        <v>BrSo297</v>
      </c>
    </row>
    <row r="298" spans="1:4" x14ac:dyDescent="0.3">
      <c r="A298" t="s">
        <v>117</v>
      </c>
      <c r="B298" t="s">
        <v>778</v>
      </c>
      <c r="C298" t="s">
        <v>782</v>
      </c>
      <c r="D298" t="str">
        <f t="shared" si="4"/>
        <v>JoLa298</v>
      </c>
    </row>
    <row r="299" spans="1:4" x14ac:dyDescent="0.3">
      <c r="A299" t="s">
        <v>185</v>
      </c>
      <c r="B299" t="s">
        <v>771</v>
      </c>
      <c r="C299" t="s">
        <v>784</v>
      </c>
      <c r="D299" t="str">
        <f t="shared" si="4"/>
        <v>BrDa299</v>
      </c>
    </row>
    <row r="300" spans="1:4" x14ac:dyDescent="0.3">
      <c r="A300" t="s">
        <v>117</v>
      </c>
      <c r="B300" t="s">
        <v>778</v>
      </c>
      <c r="C300" t="s">
        <v>782</v>
      </c>
      <c r="D300" t="str">
        <f t="shared" si="4"/>
        <v>JoLa300</v>
      </c>
    </row>
    <row r="301" spans="1:4" x14ac:dyDescent="0.3">
      <c r="A301" t="s">
        <v>27</v>
      </c>
      <c r="B301" t="s">
        <v>771</v>
      </c>
      <c r="C301" t="s">
        <v>782</v>
      </c>
      <c r="D301" t="str">
        <f t="shared" si="4"/>
        <v>BrLa301</v>
      </c>
    </row>
    <row r="302" spans="1:4" x14ac:dyDescent="0.3">
      <c r="A302" t="s">
        <v>108</v>
      </c>
      <c r="B302" t="s">
        <v>774</v>
      </c>
      <c r="C302" t="s">
        <v>788</v>
      </c>
      <c r="D302" t="str">
        <f t="shared" si="4"/>
        <v>JoSa302</v>
      </c>
    </row>
    <row r="303" spans="1:4" x14ac:dyDescent="0.3">
      <c r="A303" t="s">
        <v>202</v>
      </c>
      <c r="B303" t="s">
        <v>772</v>
      </c>
      <c r="C303" t="s">
        <v>786</v>
      </c>
      <c r="D303" t="str">
        <f t="shared" si="4"/>
        <v>DaMi303</v>
      </c>
    </row>
    <row r="304" spans="1:4" x14ac:dyDescent="0.3">
      <c r="A304" t="s">
        <v>173</v>
      </c>
      <c r="B304" t="s">
        <v>777</v>
      </c>
      <c r="C304" t="s">
        <v>786</v>
      </c>
      <c r="D304" t="str">
        <f t="shared" si="4"/>
        <v>WiMi304</v>
      </c>
    </row>
    <row r="305" spans="1:4" x14ac:dyDescent="0.3">
      <c r="A305" t="s">
        <v>164</v>
      </c>
      <c r="B305" t="s">
        <v>774</v>
      </c>
      <c r="C305" t="s">
        <v>784</v>
      </c>
      <c r="D305" t="str">
        <f t="shared" si="4"/>
        <v>JoDa305</v>
      </c>
    </row>
    <row r="306" spans="1:4" x14ac:dyDescent="0.3">
      <c r="A306" t="s">
        <v>137</v>
      </c>
      <c r="B306" t="s">
        <v>770</v>
      </c>
      <c r="C306" t="s">
        <v>786</v>
      </c>
      <c r="D306" t="str">
        <f t="shared" si="4"/>
        <v>SmMi306</v>
      </c>
    </row>
    <row r="307" spans="1:4" x14ac:dyDescent="0.3">
      <c r="A307" t="s">
        <v>265</v>
      </c>
      <c r="B307" t="s">
        <v>776</v>
      </c>
      <c r="C307" t="s">
        <v>783</v>
      </c>
      <c r="D307" t="str">
        <f t="shared" si="4"/>
        <v>MaJo307</v>
      </c>
    </row>
    <row r="308" spans="1:4" x14ac:dyDescent="0.3">
      <c r="A308" t="s">
        <v>334</v>
      </c>
      <c r="B308" t="s">
        <v>775</v>
      </c>
      <c r="C308" t="s">
        <v>788</v>
      </c>
      <c r="D308" t="str">
        <f t="shared" si="4"/>
        <v>HeSa308</v>
      </c>
    </row>
    <row r="309" spans="1:4" x14ac:dyDescent="0.3">
      <c r="A309" t="s">
        <v>185</v>
      </c>
      <c r="B309" t="s">
        <v>771</v>
      </c>
      <c r="C309" t="s">
        <v>784</v>
      </c>
      <c r="D309" t="str">
        <f t="shared" si="4"/>
        <v>BrDa309</v>
      </c>
    </row>
    <row r="310" spans="1:4" x14ac:dyDescent="0.3">
      <c r="A310" t="s">
        <v>310</v>
      </c>
      <c r="B310" t="s">
        <v>771</v>
      </c>
      <c r="C310" t="s">
        <v>783</v>
      </c>
      <c r="D310" t="str">
        <f t="shared" si="4"/>
        <v>BrJo310</v>
      </c>
    </row>
    <row r="311" spans="1:4" x14ac:dyDescent="0.3">
      <c r="A311" t="s">
        <v>79</v>
      </c>
      <c r="B311" t="s">
        <v>772</v>
      </c>
      <c r="C311" t="s">
        <v>787</v>
      </c>
      <c r="D311" t="str">
        <f t="shared" si="4"/>
        <v>DaJa311</v>
      </c>
    </row>
    <row r="312" spans="1:4" x14ac:dyDescent="0.3">
      <c r="A312" t="s">
        <v>268</v>
      </c>
      <c r="B312" t="s">
        <v>779</v>
      </c>
      <c r="C312" t="s">
        <v>789</v>
      </c>
      <c r="D312" t="str">
        <f t="shared" si="4"/>
        <v>GaDa312</v>
      </c>
    </row>
    <row r="313" spans="1:4" x14ac:dyDescent="0.3">
      <c r="A313" t="s">
        <v>223</v>
      </c>
      <c r="B313" t="s">
        <v>776</v>
      </c>
      <c r="C313" t="s">
        <v>790</v>
      </c>
      <c r="D313" t="str">
        <f t="shared" si="4"/>
        <v>MaSo313</v>
      </c>
    </row>
    <row r="314" spans="1:4" x14ac:dyDescent="0.3">
      <c r="A314" t="s">
        <v>130</v>
      </c>
      <c r="B314" t="s">
        <v>775</v>
      </c>
      <c r="C314" t="s">
        <v>783</v>
      </c>
      <c r="D314" t="str">
        <f t="shared" si="4"/>
        <v>HeJo314</v>
      </c>
    </row>
    <row r="315" spans="1:4" x14ac:dyDescent="0.3">
      <c r="A315" t="s">
        <v>484</v>
      </c>
      <c r="B315" t="s">
        <v>778</v>
      </c>
      <c r="C315" t="s">
        <v>787</v>
      </c>
      <c r="D315" t="str">
        <f t="shared" si="4"/>
        <v>JoJa315</v>
      </c>
    </row>
    <row r="316" spans="1:4" x14ac:dyDescent="0.3">
      <c r="A316" t="s">
        <v>223</v>
      </c>
      <c r="B316" t="s">
        <v>776</v>
      </c>
      <c r="C316" t="s">
        <v>790</v>
      </c>
      <c r="D316" t="str">
        <f t="shared" si="4"/>
        <v>MaSo316</v>
      </c>
    </row>
    <row r="317" spans="1:4" x14ac:dyDescent="0.3">
      <c r="A317" t="s">
        <v>383</v>
      </c>
      <c r="B317" t="s">
        <v>771</v>
      </c>
      <c r="C317" t="s">
        <v>790</v>
      </c>
      <c r="D317" t="str">
        <f t="shared" si="4"/>
        <v>BrSo317</v>
      </c>
    </row>
    <row r="318" spans="1:4" x14ac:dyDescent="0.3">
      <c r="A318" t="s">
        <v>312</v>
      </c>
      <c r="B318" t="s">
        <v>776</v>
      </c>
      <c r="C318" t="s">
        <v>789</v>
      </c>
      <c r="D318" t="str">
        <f t="shared" si="4"/>
        <v>MaDa318</v>
      </c>
    </row>
    <row r="319" spans="1:4" x14ac:dyDescent="0.3">
      <c r="A319" t="s">
        <v>200</v>
      </c>
      <c r="B319" t="s">
        <v>779</v>
      </c>
      <c r="C319" t="s">
        <v>782</v>
      </c>
      <c r="D319" t="str">
        <f t="shared" si="4"/>
        <v>GaLa319</v>
      </c>
    </row>
    <row r="320" spans="1:4" x14ac:dyDescent="0.3">
      <c r="A320" t="s">
        <v>265</v>
      </c>
      <c r="B320" t="s">
        <v>776</v>
      </c>
      <c r="C320" t="s">
        <v>783</v>
      </c>
      <c r="D320" t="str">
        <f t="shared" si="4"/>
        <v>MaJo320</v>
      </c>
    </row>
    <row r="321" spans="1:4" x14ac:dyDescent="0.3">
      <c r="A321" t="s">
        <v>418</v>
      </c>
      <c r="B321" t="s">
        <v>770</v>
      </c>
      <c r="C321" t="s">
        <v>783</v>
      </c>
      <c r="D321" t="str">
        <f t="shared" si="4"/>
        <v>SmJo321</v>
      </c>
    </row>
    <row r="322" spans="1:4" x14ac:dyDescent="0.3">
      <c r="A322" t="s">
        <v>492</v>
      </c>
      <c r="B322" t="s">
        <v>778</v>
      </c>
      <c r="C322" t="s">
        <v>783</v>
      </c>
      <c r="D322" t="str">
        <f t="shared" si="4"/>
        <v>JoJo322</v>
      </c>
    </row>
    <row r="323" spans="1:4" x14ac:dyDescent="0.3">
      <c r="A323" t="s">
        <v>117</v>
      </c>
      <c r="B323" t="s">
        <v>778</v>
      </c>
      <c r="C323" t="s">
        <v>782</v>
      </c>
      <c r="D323" t="str">
        <f t="shared" ref="D323:D386" si="5">LEFT(B323,2)&amp;LEFT(C323,2)&amp;ROW()</f>
        <v>JoLa323</v>
      </c>
    </row>
    <row r="324" spans="1:4" x14ac:dyDescent="0.3">
      <c r="A324" t="s">
        <v>180</v>
      </c>
      <c r="B324" t="s">
        <v>777</v>
      </c>
      <c r="C324" t="s">
        <v>781</v>
      </c>
      <c r="D324" t="str">
        <f t="shared" si="5"/>
        <v>WiEm324</v>
      </c>
    </row>
    <row r="325" spans="1:4" x14ac:dyDescent="0.3">
      <c r="A325" t="s">
        <v>429</v>
      </c>
      <c r="B325" t="s">
        <v>779</v>
      </c>
      <c r="C325" t="s">
        <v>787</v>
      </c>
      <c r="D325" t="str">
        <f t="shared" si="5"/>
        <v>GaJa325</v>
      </c>
    </row>
    <row r="326" spans="1:4" x14ac:dyDescent="0.3">
      <c r="A326" t="s">
        <v>383</v>
      </c>
      <c r="B326" t="s">
        <v>771</v>
      </c>
      <c r="C326" t="s">
        <v>790</v>
      </c>
      <c r="D326" t="str">
        <f t="shared" si="5"/>
        <v>BrSo326</v>
      </c>
    </row>
    <row r="327" spans="1:4" x14ac:dyDescent="0.3">
      <c r="A327" t="s">
        <v>228</v>
      </c>
      <c r="B327" t="s">
        <v>777</v>
      </c>
      <c r="C327" t="s">
        <v>787</v>
      </c>
      <c r="D327" t="str">
        <f t="shared" si="5"/>
        <v>WiJa327</v>
      </c>
    </row>
    <row r="328" spans="1:4" x14ac:dyDescent="0.3">
      <c r="A328" t="s">
        <v>62</v>
      </c>
      <c r="B328" t="s">
        <v>773</v>
      </c>
      <c r="C328" t="s">
        <v>783</v>
      </c>
      <c r="D328" t="str">
        <f t="shared" si="5"/>
        <v>MiJo328</v>
      </c>
    </row>
    <row r="329" spans="1:4" x14ac:dyDescent="0.3">
      <c r="A329" t="s">
        <v>280</v>
      </c>
      <c r="B329" t="s">
        <v>771</v>
      </c>
      <c r="C329" t="s">
        <v>781</v>
      </c>
      <c r="D329" t="str">
        <f t="shared" si="5"/>
        <v>BrEm329</v>
      </c>
    </row>
    <row r="330" spans="1:4" x14ac:dyDescent="0.3">
      <c r="A330" t="s">
        <v>192</v>
      </c>
      <c r="B330" t="s">
        <v>779</v>
      </c>
      <c r="C330" t="s">
        <v>786</v>
      </c>
      <c r="D330" t="str">
        <f t="shared" si="5"/>
        <v>GaMi330</v>
      </c>
    </row>
    <row r="331" spans="1:4" x14ac:dyDescent="0.3">
      <c r="A331" t="s">
        <v>502</v>
      </c>
      <c r="B331" t="s">
        <v>775</v>
      </c>
      <c r="C331" t="s">
        <v>781</v>
      </c>
      <c r="D331" t="str">
        <f t="shared" si="5"/>
        <v>HeEm331</v>
      </c>
    </row>
    <row r="332" spans="1:4" x14ac:dyDescent="0.3">
      <c r="A332" t="s">
        <v>230</v>
      </c>
      <c r="B332" t="s">
        <v>779</v>
      </c>
      <c r="C332" t="s">
        <v>785</v>
      </c>
      <c r="D332" t="str">
        <f t="shared" si="5"/>
        <v>GaEm332</v>
      </c>
    </row>
    <row r="333" spans="1:4" x14ac:dyDescent="0.3">
      <c r="A333" t="s">
        <v>429</v>
      </c>
      <c r="B333" t="s">
        <v>779</v>
      </c>
      <c r="C333" t="s">
        <v>787</v>
      </c>
      <c r="D333" t="str">
        <f t="shared" si="5"/>
        <v>GaJa333</v>
      </c>
    </row>
    <row r="334" spans="1:4" x14ac:dyDescent="0.3">
      <c r="A334" t="s">
        <v>127</v>
      </c>
      <c r="B334" t="s">
        <v>770</v>
      </c>
      <c r="C334" t="s">
        <v>790</v>
      </c>
      <c r="D334" t="str">
        <f t="shared" si="5"/>
        <v>SmSo334</v>
      </c>
    </row>
    <row r="335" spans="1:4" x14ac:dyDescent="0.3">
      <c r="A335" t="s">
        <v>125</v>
      </c>
      <c r="B335" t="s">
        <v>779</v>
      </c>
      <c r="C335" t="s">
        <v>790</v>
      </c>
      <c r="D335" t="str">
        <f t="shared" si="5"/>
        <v>GaSo335</v>
      </c>
    </row>
    <row r="336" spans="1:4" x14ac:dyDescent="0.3">
      <c r="A336" t="s">
        <v>105</v>
      </c>
      <c r="B336" t="s">
        <v>772</v>
      </c>
      <c r="C336" t="s">
        <v>789</v>
      </c>
      <c r="D336" t="str">
        <f t="shared" si="5"/>
        <v>DaDa336</v>
      </c>
    </row>
    <row r="337" spans="1:4" x14ac:dyDescent="0.3">
      <c r="A337" t="s">
        <v>133</v>
      </c>
      <c r="B337" t="s">
        <v>777</v>
      </c>
      <c r="C337" t="s">
        <v>782</v>
      </c>
      <c r="D337" t="str">
        <f t="shared" si="5"/>
        <v>WiLa337</v>
      </c>
    </row>
    <row r="338" spans="1:4" x14ac:dyDescent="0.3">
      <c r="A338" t="s">
        <v>100</v>
      </c>
      <c r="B338" t="s">
        <v>773</v>
      </c>
      <c r="C338" t="s">
        <v>786</v>
      </c>
      <c r="D338" t="str">
        <f t="shared" si="5"/>
        <v>MiMi338</v>
      </c>
    </row>
    <row r="339" spans="1:4" x14ac:dyDescent="0.3">
      <c r="A339" t="s">
        <v>18</v>
      </c>
      <c r="B339" t="s">
        <v>770</v>
      </c>
      <c r="C339" t="s">
        <v>781</v>
      </c>
      <c r="D339" t="str">
        <f t="shared" si="5"/>
        <v>SmEm339</v>
      </c>
    </row>
    <row r="340" spans="1:4" x14ac:dyDescent="0.3">
      <c r="A340" t="s">
        <v>230</v>
      </c>
      <c r="B340" t="s">
        <v>779</v>
      </c>
      <c r="C340" t="s">
        <v>785</v>
      </c>
      <c r="D340" t="str">
        <f t="shared" si="5"/>
        <v>GaEm340</v>
      </c>
    </row>
    <row r="341" spans="1:4" x14ac:dyDescent="0.3">
      <c r="A341" t="s">
        <v>361</v>
      </c>
      <c r="B341" t="s">
        <v>778</v>
      </c>
      <c r="C341" t="s">
        <v>788</v>
      </c>
      <c r="D341" t="str">
        <f t="shared" si="5"/>
        <v>JoSa341</v>
      </c>
    </row>
    <row r="342" spans="1:4" x14ac:dyDescent="0.3">
      <c r="A342" t="s">
        <v>127</v>
      </c>
      <c r="B342" t="s">
        <v>770</v>
      </c>
      <c r="C342" t="s">
        <v>790</v>
      </c>
      <c r="D342" t="str">
        <f t="shared" si="5"/>
        <v>SmSo342</v>
      </c>
    </row>
    <row r="343" spans="1:4" x14ac:dyDescent="0.3">
      <c r="A343" t="s">
        <v>484</v>
      </c>
      <c r="B343" t="s">
        <v>778</v>
      </c>
      <c r="C343" t="s">
        <v>787</v>
      </c>
      <c r="D343" t="str">
        <f t="shared" si="5"/>
        <v>JoJa343</v>
      </c>
    </row>
    <row r="344" spans="1:4" x14ac:dyDescent="0.3">
      <c r="A344" t="s">
        <v>27</v>
      </c>
      <c r="B344" t="s">
        <v>771</v>
      </c>
      <c r="C344" t="s">
        <v>782</v>
      </c>
      <c r="D344" t="str">
        <f t="shared" si="5"/>
        <v>BrLa344</v>
      </c>
    </row>
    <row r="345" spans="1:4" x14ac:dyDescent="0.3">
      <c r="A345" t="s">
        <v>168</v>
      </c>
      <c r="B345" t="s">
        <v>779</v>
      </c>
      <c r="C345" t="s">
        <v>788</v>
      </c>
      <c r="D345" t="str">
        <f t="shared" si="5"/>
        <v>GaSa345</v>
      </c>
    </row>
    <row r="346" spans="1:4" x14ac:dyDescent="0.3">
      <c r="A346" t="s">
        <v>18</v>
      </c>
      <c r="B346" t="s">
        <v>770</v>
      </c>
      <c r="C346" t="s">
        <v>781</v>
      </c>
      <c r="D346" t="str">
        <f t="shared" si="5"/>
        <v>SmEm346</v>
      </c>
    </row>
    <row r="347" spans="1:4" x14ac:dyDescent="0.3">
      <c r="A347" t="s">
        <v>141</v>
      </c>
      <c r="B347" t="s">
        <v>779</v>
      </c>
      <c r="C347" t="s">
        <v>781</v>
      </c>
      <c r="D347" t="str">
        <f t="shared" si="5"/>
        <v>GaEm347</v>
      </c>
    </row>
    <row r="348" spans="1:4" x14ac:dyDescent="0.3">
      <c r="A348" t="s">
        <v>40</v>
      </c>
      <c r="B348" t="s">
        <v>773</v>
      </c>
      <c r="C348" t="s">
        <v>784</v>
      </c>
      <c r="D348" t="str">
        <f t="shared" si="5"/>
        <v>MiDa348</v>
      </c>
    </row>
    <row r="349" spans="1:4" x14ac:dyDescent="0.3">
      <c r="A349" t="s">
        <v>223</v>
      </c>
      <c r="B349" t="s">
        <v>776</v>
      </c>
      <c r="C349" t="s">
        <v>790</v>
      </c>
      <c r="D349" t="str">
        <f t="shared" si="5"/>
        <v>MaSo349</v>
      </c>
    </row>
    <row r="350" spans="1:4" x14ac:dyDescent="0.3">
      <c r="A350" t="s">
        <v>218</v>
      </c>
      <c r="B350" t="s">
        <v>772</v>
      </c>
      <c r="C350" t="s">
        <v>781</v>
      </c>
      <c r="D350" t="str">
        <f t="shared" si="5"/>
        <v>DaEm350</v>
      </c>
    </row>
    <row r="351" spans="1:4" x14ac:dyDescent="0.3">
      <c r="A351" t="s">
        <v>523</v>
      </c>
      <c r="B351" t="s">
        <v>777</v>
      </c>
      <c r="C351" t="s">
        <v>783</v>
      </c>
      <c r="D351" t="str">
        <f t="shared" si="5"/>
        <v>WiJo351</v>
      </c>
    </row>
    <row r="352" spans="1:4" x14ac:dyDescent="0.3">
      <c r="A352" t="s">
        <v>175</v>
      </c>
      <c r="B352" t="s">
        <v>775</v>
      </c>
      <c r="C352" t="s">
        <v>787</v>
      </c>
      <c r="D352" t="str">
        <f t="shared" si="5"/>
        <v>HeJa352</v>
      </c>
    </row>
    <row r="353" spans="1:4" x14ac:dyDescent="0.3">
      <c r="A353" t="s">
        <v>484</v>
      </c>
      <c r="B353" t="s">
        <v>778</v>
      </c>
      <c r="C353" t="s">
        <v>787</v>
      </c>
      <c r="D353" t="str">
        <f t="shared" si="5"/>
        <v>JoJa353</v>
      </c>
    </row>
    <row r="354" spans="1:4" x14ac:dyDescent="0.3">
      <c r="A354" t="s">
        <v>153</v>
      </c>
      <c r="B354" t="s">
        <v>770</v>
      </c>
      <c r="C354" t="s">
        <v>784</v>
      </c>
      <c r="D354" t="str">
        <f t="shared" si="5"/>
        <v>SmDa354</v>
      </c>
    </row>
    <row r="355" spans="1:4" x14ac:dyDescent="0.3">
      <c r="A355" t="s">
        <v>137</v>
      </c>
      <c r="B355" t="s">
        <v>770</v>
      </c>
      <c r="C355" t="s">
        <v>786</v>
      </c>
      <c r="D355" t="str">
        <f t="shared" si="5"/>
        <v>SmMi355</v>
      </c>
    </row>
    <row r="356" spans="1:4" x14ac:dyDescent="0.3">
      <c r="A356" t="s">
        <v>139</v>
      </c>
      <c r="B356" t="s">
        <v>776</v>
      </c>
      <c r="C356" t="s">
        <v>788</v>
      </c>
      <c r="D356" t="str">
        <f t="shared" si="5"/>
        <v>MaSa356</v>
      </c>
    </row>
    <row r="357" spans="1:4" x14ac:dyDescent="0.3">
      <c r="A357" t="s">
        <v>221</v>
      </c>
      <c r="B357" t="s">
        <v>774</v>
      </c>
      <c r="C357" t="s">
        <v>787</v>
      </c>
      <c r="D357" t="str">
        <f t="shared" si="5"/>
        <v>JoJa357</v>
      </c>
    </row>
    <row r="358" spans="1:4" x14ac:dyDescent="0.3">
      <c r="A358" t="s">
        <v>198</v>
      </c>
      <c r="B358" t="s">
        <v>773</v>
      </c>
      <c r="C358" t="s">
        <v>790</v>
      </c>
      <c r="D358" t="str">
        <f t="shared" si="5"/>
        <v>MiSo358</v>
      </c>
    </row>
    <row r="359" spans="1:4" x14ac:dyDescent="0.3">
      <c r="A359" t="s">
        <v>189</v>
      </c>
      <c r="B359" t="s">
        <v>778</v>
      </c>
      <c r="C359" t="s">
        <v>786</v>
      </c>
      <c r="D359" t="str">
        <f t="shared" si="5"/>
        <v>JoMi359</v>
      </c>
    </row>
    <row r="360" spans="1:4" x14ac:dyDescent="0.3">
      <c r="A360" t="s">
        <v>110</v>
      </c>
      <c r="B360" t="s">
        <v>775</v>
      </c>
      <c r="C360" t="s">
        <v>790</v>
      </c>
      <c r="D360" t="str">
        <f t="shared" si="5"/>
        <v>HeSo360</v>
      </c>
    </row>
    <row r="361" spans="1:4" x14ac:dyDescent="0.3">
      <c r="A361" t="s">
        <v>361</v>
      </c>
      <c r="B361" t="s">
        <v>778</v>
      </c>
      <c r="C361" t="s">
        <v>788</v>
      </c>
      <c r="D361" t="str">
        <f t="shared" si="5"/>
        <v>JoSa361</v>
      </c>
    </row>
    <row r="362" spans="1:4" x14ac:dyDescent="0.3">
      <c r="A362" t="s">
        <v>76</v>
      </c>
      <c r="B362" t="s">
        <v>776</v>
      </c>
      <c r="C362" t="s">
        <v>787</v>
      </c>
      <c r="D362" t="str">
        <f t="shared" si="5"/>
        <v>MaJa362</v>
      </c>
    </row>
    <row r="363" spans="1:4" x14ac:dyDescent="0.3">
      <c r="A363" t="s">
        <v>295</v>
      </c>
      <c r="B363" t="s">
        <v>772</v>
      </c>
      <c r="C363" t="s">
        <v>790</v>
      </c>
      <c r="D363" t="str">
        <f t="shared" si="5"/>
        <v>DaSo363</v>
      </c>
    </row>
    <row r="364" spans="1:4" x14ac:dyDescent="0.3">
      <c r="A364" t="s">
        <v>187</v>
      </c>
      <c r="B364" t="s">
        <v>776</v>
      </c>
      <c r="C364" t="s">
        <v>784</v>
      </c>
      <c r="D364" t="str">
        <f t="shared" si="5"/>
        <v>MaDa364</v>
      </c>
    </row>
    <row r="365" spans="1:4" x14ac:dyDescent="0.3">
      <c r="A365" t="s">
        <v>180</v>
      </c>
      <c r="B365" t="s">
        <v>777</v>
      </c>
      <c r="C365" t="s">
        <v>781</v>
      </c>
      <c r="D365" t="str">
        <f t="shared" si="5"/>
        <v>WiEm365</v>
      </c>
    </row>
    <row r="366" spans="1:4" x14ac:dyDescent="0.3">
      <c r="A366" t="s">
        <v>342</v>
      </c>
      <c r="B366" t="s">
        <v>773</v>
      </c>
      <c r="C366" t="s">
        <v>785</v>
      </c>
      <c r="D366" t="str">
        <f t="shared" si="5"/>
        <v>MiEm366</v>
      </c>
    </row>
    <row r="367" spans="1:4" x14ac:dyDescent="0.3">
      <c r="A367" t="s">
        <v>166</v>
      </c>
      <c r="B367" t="s">
        <v>778</v>
      </c>
      <c r="C367" t="s">
        <v>790</v>
      </c>
      <c r="D367" t="str">
        <f t="shared" si="5"/>
        <v>JoSo367</v>
      </c>
    </row>
    <row r="368" spans="1:4" x14ac:dyDescent="0.3">
      <c r="A368" t="s">
        <v>137</v>
      </c>
      <c r="B368" t="s">
        <v>770</v>
      </c>
      <c r="C368" t="s">
        <v>786</v>
      </c>
      <c r="D368" t="str">
        <f t="shared" si="5"/>
        <v>SmMi368</v>
      </c>
    </row>
    <row r="369" spans="1:4" x14ac:dyDescent="0.3">
      <c r="A369" t="s">
        <v>114</v>
      </c>
      <c r="B369" t="s">
        <v>776</v>
      </c>
      <c r="C369" t="s">
        <v>786</v>
      </c>
      <c r="D369" t="str">
        <f t="shared" si="5"/>
        <v>MaMi369</v>
      </c>
    </row>
    <row r="370" spans="1:4" x14ac:dyDescent="0.3">
      <c r="A370" t="s">
        <v>280</v>
      </c>
      <c r="B370" t="s">
        <v>771</v>
      </c>
      <c r="C370" t="s">
        <v>781</v>
      </c>
      <c r="D370" t="str">
        <f t="shared" si="5"/>
        <v>BrEm370</v>
      </c>
    </row>
    <row r="371" spans="1:4" x14ac:dyDescent="0.3">
      <c r="A371" t="s">
        <v>187</v>
      </c>
      <c r="B371" t="s">
        <v>776</v>
      </c>
      <c r="C371" t="s">
        <v>784</v>
      </c>
      <c r="D371" t="str">
        <f t="shared" si="5"/>
        <v>MaDa371</v>
      </c>
    </row>
    <row r="372" spans="1:4" x14ac:dyDescent="0.3">
      <c r="A372" t="s">
        <v>245</v>
      </c>
      <c r="B372" t="s">
        <v>773</v>
      </c>
      <c r="C372" t="s">
        <v>781</v>
      </c>
      <c r="D372" t="str">
        <f t="shared" si="5"/>
        <v>MiEm372</v>
      </c>
    </row>
    <row r="373" spans="1:4" x14ac:dyDescent="0.3">
      <c r="A373" t="s">
        <v>373</v>
      </c>
      <c r="B373" t="s">
        <v>771</v>
      </c>
      <c r="C373" t="s">
        <v>789</v>
      </c>
      <c r="D373" t="str">
        <f t="shared" si="5"/>
        <v>BrDa373</v>
      </c>
    </row>
    <row r="374" spans="1:4" x14ac:dyDescent="0.3">
      <c r="A374" t="s">
        <v>57</v>
      </c>
      <c r="B374" t="s">
        <v>775</v>
      </c>
      <c r="C374" t="s">
        <v>785</v>
      </c>
      <c r="D374" t="str">
        <f t="shared" si="5"/>
        <v>HeEm374</v>
      </c>
    </row>
    <row r="375" spans="1:4" x14ac:dyDescent="0.3">
      <c r="A375" t="s">
        <v>117</v>
      </c>
      <c r="B375" t="s">
        <v>778</v>
      </c>
      <c r="C375" t="s">
        <v>782</v>
      </c>
      <c r="D375" t="str">
        <f t="shared" si="5"/>
        <v>JoLa375</v>
      </c>
    </row>
    <row r="376" spans="1:4" x14ac:dyDescent="0.3">
      <c r="A376" t="s">
        <v>322</v>
      </c>
      <c r="B376" t="s">
        <v>778</v>
      </c>
      <c r="C376" t="s">
        <v>781</v>
      </c>
      <c r="D376" t="str">
        <f t="shared" si="5"/>
        <v>JoEm376</v>
      </c>
    </row>
    <row r="377" spans="1:4" x14ac:dyDescent="0.3">
      <c r="A377" t="s">
        <v>259</v>
      </c>
      <c r="B377" t="s">
        <v>775</v>
      </c>
      <c r="C377" t="s">
        <v>789</v>
      </c>
      <c r="D377" t="str">
        <f t="shared" si="5"/>
        <v>HeDa377</v>
      </c>
    </row>
    <row r="378" spans="1:4" x14ac:dyDescent="0.3">
      <c r="A378" t="s">
        <v>62</v>
      </c>
      <c r="B378" t="s">
        <v>773</v>
      </c>
      <c r="C378" t="s">
        <v>783</v>
      </c>
      <c r="D378" t="str">
        <f t="shared" si="5"/>
        <v>MiJo378</v>
      </c>
    </row>
    <row r="379" spans="1:4" x14ac:dyDescent="0.3">
      <c r="A379" t="s">
        <v>361</v>
      </c>
      <c r="B379" t="s">
        <v>778</v>
      </c>
      <c r="C379" t="s">
        <v>788</v>
      </c>
      <c r="D379" t="str">
        <f t="shared" si="5"/>
        <v>JoSa379</v>
      </c>
    </row>
    <row r="380" spans="1:4" x14ac:dyDescent="0.3">
      <c r="A380" t="s">
        <v>141</v>
      </c>
      <c r="B380" t="s">
        <v>779</v>
      </c>
      <c r="C380" t="s">
        <v>781</v>
      </c>
      <c r="D380" t="str">
        <f t="shared" si="5"/>
        <v>GaEm380</v>
      </c>
    </row>
    <row r="381" spans="1:4" x14ac:dyDescent="0.3">
      <c r="A381" t="s">
        <v>390</v>
      </c>
      <c r="B381" t="s">
        <v>778</v>
      </c>
      <c r="C381" t="s">
        <v>785</v>
      </c>
      <c r="D381" t="str">
        <f t="shared" si="5"/>
        <v>JoEm381</v>
      </c>
    </row>
    <row r="382" spans="1:4" x14ac:dyDescent="0.3">
      <c r="A382" t="s">
        <v>305</v>
      </c>
      <c r="B382" t="s">
        <v>775</v>
      </c>
      <c r="C382" t="s">
        <v>786</v>
      </c>
      <c r="D382" t="str">
        <f t="shared" si="5"/>
        <v>HeMi382</v>
      </c>
    </row>
    <row r="383" spans="1:4" x14ac:dyDescent="0.3">
      <c r="A383" t="s">
        <v>319</v>
      </c>
      <c r="B383" t="s">
        <v>779</v>
      </c>
      <c r="C383" t="s">
        <v>783</v>
      </c>
      <c r="D383" t="str">
        <f t="shared" si="5"/>
        <v>GaJo383</v>
      </c>
    </row>
    <row r="384" spans="1:4" x14ac:dyDescent="0.3">
      <c r="A384" t="s">
        <v>192</v>
      </c>
      <c r="B384" t="s">
        <v>779</v>
      </c>
      <c r="C384" t="s">
        <v>786</v>
      </c>
      <c r="D384" t="str">
        <f t="shared" si="5"/>
        <v>GaMi384</v>
      </c>
    </row>
    <row r="385" spans="1:4" x14ac:dyDescent="0.3">
      <c r="A385" t="s">
        <v>62</v>
      </c>
      <c r="B385" t="s">
        <v>773</v>
      </c>
      <c r="C385" t="s">
        <v>783</v>
      </c>
      <c r="D385" t="str">
        <f t="shared" si="5"/>
        <v>MiJo385</v>
      </c>
    </row>
    <row r="386" spans="1:4" x14ac:dyDescent="0.3">
      <c r="A386" t="s">
        <v>319</v>
      </c>
      <c r="B386" t="s">
        <v>779</v>
      </c>
      <c r="C386" t="s">
        <v>783</v>
      </c>
      <c r="D386" t="str">
        <f t="shared" si="5"/>
        <v>GaJo386</v>
      </c>
    </row>
    <row r="387" spans="1:4" x14ac:dyDescent="0.3">
      <c r="A387" t="s">
        <v>122</v>
      </c>
      <c r="B387" t="s">
        <v>773</v>
      </c>
      <c r="C387" t="s">
        <v>782</v>
      </c>
      <c r="D387" t="str">
        <f t="shared" ref="D387:D450" si="6">LEFT(B387,2)&amp;LEFT(C387,2)&amp;ROW()</f>
        <v>MiLa387</v>
      </c>
    </row>
    <row r="388" spans="1:4" x14ac:dyDescent="0.3">
      <c r="A388" t="s">
        <v>200</v>
      </c>
      <c r="B388" t="s">
        <v>779</v>
      </c>
      <c r="C388" t="s">
        <v>782</v>
      </c>
      <c r="D388" t="str">
        <f t="shared" si="6"/>
        <v>GaLa388</v>
      </c>
    </row>
    <row r="389" spans="1:4" x14ac:dyDescent="0.3">
      <c r="A389" t="s">
        <v>250</v>
      </c>
      <c r="B389" t="s">
        <v>776</v>
      </c>
      <c r="C389" t="s">
        <v>781</v>
      </c>
      <c r="D389" t="str">
        <f t="shared" si="6"/>
        <v>MaEm389</v>
      </c>
    </row>
    <row r="390" spans="1:4" x14ac:dyDescent="0.3">
      <c r="A390" t="s">
        <v>119</v>
      </c>
      <c r="B390" t="s">
        <v>771</v>
      </c>
      <c r="C390" t="s">
        <v>786</v>
      </c>
      <c r="D390" t="str">
        <f t="shared" si="6"/>
        <v>BrMi390</v>
      </c>
    </row>
    <row r="391" spans="1:4" x14ac:dyDescent="0.3">
      <c r="A391" t="s">
        <v>90</v>
      </c>
      <c r="B391" t="s">
        <v>777</v>
      </c>
      <c r="C391" t="s">
        <v>789</v>
      </c>
      <c r="D391" t="str">
        <f t="shared" si="6"/>
        <v>WiDa391</v>
      </c>
    </row>
    <row r="392" spans="1:4" x14ac:dyDescent="0.3">
      <c r="A392" t="s">
        <v>18</v>
      </c>
      <c r="B392" t="s">
        <v>770</v>
      </c>
      <c r="C392" t="s">
        <v>781</v>
      </c>
      <c r="D392" t="str">
        <f t="shared" si="6"/>
        <v>SmEm392</v>
      </c>
    </row>
    <row r="393" spans="1:4" x14ac:dyDescent="0.3">
      <c r="A393" t="s">
        <v>319</v>
      </c>
      <c r="B393" t="s">
        <v>779</v>
      </c>
      <c r="C393" t="s">
        <v>783</v>
      </c>
      <c r="D393" t="str">
        <f t="shared" si="6"/>
        <v>GaJo393</v>
      </c>
    </row>
    <row r="394" spans="1:4" x14ac:dyDescent="0.3">
      <c r="A394" t="s">
        <v>185</v>
      </c>
      <c r="B394" t="s">
        <v>771</v>
      </c>
      <c r="C394" t="s">
        <v>784</v>
      </c>
      <c r="D394" t="str">
        <f t="shared" si="6"/>
        <v>BrDa394</v>
      </c>
    </row>
    <row r="395" spans="1:4" x14ac:dyDescent="0.3">
      <c r="A395" t="s">
        <v>185</v>
      </c>
      <c r="B395" t="s">
        <v>771</v>
      </c>
      <c r="C395" t="s">
        <v>784</v>
      </c>
      <c r="D395" t="str">
        <f t="shared" si="6"/>
        <v>BrDa395</v>
      </c>
    </row>
    <row r="396" spans="1:4" x14ac:dyDescent="0.3">
      <c r="A396" t="s">
        <v>168</v>
      </c>
      <c r="B396" t="s">
        <v>779</v>
      </c>
      <c r="C396" t="s">
        <v>788</v>
      </c>
      <c r="D396" t="str">
        <f t="shared" si="6"/>
        <v>GaSa396</v>
      </c>
    </row>
    <row r="397" spans="1:4" x14ac:dyDescent="0.3">
      <c r="A397" t="s">
        <v>349</v>
      </c>
      <c r="B397" t="s">
        <v>779</v>
      </c>
      <c r="C397" t="s">
        <v>784</v>
      </c>
      <c r="D397" t="str">
        <f t="shared" si="6"/>
        <v>GaDa397</v>
      </c>
    </row>
    <row r="398" spans="1:4" x14ac:dyDescent="0.3">
      <c r="A398" t="s">
        <v>418</v>
      </c>
      <c r="B398" t="s">
        <v>770</v>
      </c>
      <c r="C398" t="s">
        <v>783</v>
      </c>
      <c r="D398" t="str">
        <f t="shared" si="6"/>
        <v>SmJo398</v>
      </c>
    </row>
    <row r="399" spans="1:4" x14ac:dyDescent="0.3">
      <c r="A399" t="s">
        <v>230</v>
      </c>
      <c r="B399" t="s">
        <v>779</v>
      </c>
      <c r="C399" t="s">
        <v>785</v>
      </c>
      <c r="D399" t="str">
        <f t="shared" si="6"/>
        <v>GaEm399</v>
      </c>
    </row>
    <row r="400" spans="1:4" x14ac:dyDescent="0.3">
      <c r="A400" t="s">
        <v>212</v>
      </c>
      <c r="B400" t="s">
        <v>775</v>
      </c>
      <c r="C400" t="s">
        <v>782</v>
      </c>
      <c r="D400" t="str">
        <f t="shared" si="6"/>
        <v>HeLa400</v>
      </c>
    </row>
    <row r="401" spans="1:4" x14ac:dyDescent="0.3">
      <c r="A401" t="s">
        <v>195</v>
      </c>
      <c r="B401" t="s">
        <v>770</v>
      </c>
      <c r="C401" t="s">
        <v>789</v>
      </c>
      <c r="D401" t="str">
        <f t="shared" si="6"/>
        <v>SmDa401</v>
      </c>
    </row>
    <row r="402" spans="1:4" x14ac:dyDescent="0.3">
      <c r="A402" t="s">
        <v>492</v>
      </c>
      <c r="B402" t="s">
        <v>778</v>
      </c>
      <c r="C402" t="s">
        <v>783</v>
      </c>
      <c r="D402" t="str">
        <f t="shared" si="6"/>
        <v>JoJo402</v>
      </c>
    </row>
    <row r="403" spans="1:4" x14ac:dyDescent="0.3">
      <c r="A403" t="s">
        <v>310</v>
      </c>
      <c r="B403" t="s">
        <v>771</v>
      </c>
      <c r="C403" t="s">
        <v>783</v>
      </c>
      <c r="D403" t="str">
        <f t="shared" si="6"/>
        <v>BrJo403</v>
      </c>
    </row>
    <row r="404" spans="1:4" x14ac:dyDescent="0.3">
      <c r="A404" t="s">
        <v>72</v>
      </c>
      <c r="B404" t="s">
        <v>776</v>
      </c>
      <c r="C404" t="s">
        <v>782</v>
      </c>
      <c r="D404" t="str">
        <f t="shared" si="6"/>
        <v>MaLa404</v>
      </c>
    </row>
    <row r="405" spans="1:4" x14ac:dyDescent="0.3">
      <c r="A405" t="s">
        <v>240</v>
      </c>
      <c r="B405" t="s">
        <v>774</v>
      </c>
      <c r="C405" t="s">
        <v>789</v>
      </c>
      <c r="D405" t="str">
        <f t="shared" si="6"/>
        <v>JoDa405</v>
      </c>
    </row>
    <row r="406" spans="1:4" x14ac:dyDescent="0.3">
      <c r="A406" t="s">
        <v>161</v>
      </c>
      <c r="B406" t="s">
        <v>776</v>
      </c>
      <c r="C406" t="s">
        <v>785</v>
      </c>
      <c r="D406" t="str">
        <f t="shared" si="6"/>
        <v>MaEm406</v>
      </c>
    </row>
    <row r="407" spans="1:4" x14ac:dyDescent="0.3">
      <c r="A407" t="s">
        <v>276</v>
      </c>
      <c r="B407" t="s">
        <v>770</v>
      </c>
      <c r="C407" t="s">
        <v>787</v>
      </c>
      <c r="D407" t="str">
        <f t="shared" si="6"/>
        <v>SmJa407</v>
      </c>
    </row>
    <row r="408" spans="1:4" x14ac:dyDescent="0.3">
      <c r="A408" t="s">
        <v>119</v>
      </c>
      <c r="B408" t="s">
        <v>771</v>
      </c>
      <c r="C408" t="s">
        <v>786</v>
      </c>
      <c r="D408" t="str">
        <f t="shared" si="6"/>
        <v>BrMi408</v>
      </c>
    </row>
    <row r="409" spans="1:4" x14ac:dyDescent="0.3">
      <c r="A409" t="s">
        <v>133</v>
      </c>
      <c r="B409" t="s">
        <v>777</v>
      </c>
      <c r="C409" t="s">
        <v>782</v>
      </c>
      <c r="D409" t="str">
        <f t="shared" si="6"/>
        <v>WiLa409</v>
      </c>
    </row>
    <row r="410" spans="1:4" x14ac:dyDescent="0.3">
      <c r="A410" t="s">
        <v>161</v>
      </c>
      <c r="B410" t="s">
        <v>776</v>
      </c>
      <c r="C410" t="s">
        <v>785</v>
      </c>
      <c r="D410" t="str">
        <f t="shared" si="6"/>
        <v>MaEm410</v>
      </c>
    </row>
    <row r="411" spans="1:4" x14ac:dyDescent="0.3">
      <c r="A411" t="s">
        <v>158</v>
      </c>
      <c r="B411" t="s">
        <v>771</v>
      </c>
      <c r="C411" t="s">
        <v>788</v>
      </c>
      <c r="D411" t="str">
        <f t="shared" si="6"/>
        <v>BrSa411</v>
      </c>
    </row>
    <row r="412" spans="1:4" x14ac:dyDescent="0.3">
      <c r="A412" t="s">
        <v>114</v>
      </c>
      <c r="B412" t="s">
        <v>776</v>
      </c>
      <c r="C412" t="s">
        <v>786</v>
      </c>
      <c r="D412" t="str">
        <f t="shared" si="6"/>
        <v>MaMi412</v>
      </c>
    </row>
    <row r="413" spans="1:4" x14ac:dyDescent="0.3">
      <c r="A413" t="s">
        <v>137</v>
      </c>
      <c r="B413" t="s">
        <v>770</v>
      </c>
      <c r="C413" t="s">
        <v>786</v>
      </c>
      <c r="D413" t="str">
        <f t="shared" si="6"/>
        <v>SmMi413</v>
      </c>
    </row>
    <row r="414" spans="1:4" x14ac:dyDescent="0.3">
      <c r="A414" t="s">
        <v>373</v>
      </c>
      <c r="B414" t="s">
        <v>771</v>
      </c>
      <c r="C414" t="s">
        <v>789</v>
      </c>
      <c r="D414" t="str">
        <f t="shared" si="6"/>
        <v>BrDa414</v>
      </c>
    </row>
    <row r="415" spans="1:4" x14ac:dyDescent="0.3">
      <c r="A415" t="s">
        <v>141</v>
      </c>
      <c r="B415" t="s">
        <v>779</v>
      </c>
      <c r="C415" t="s">
        <v>781</v>
      </c>
      <c r="D415" t="str">
        <f t="shared" si="6"/>
        <v>GaEm415</v>
      </c>
    </row>
    <row r="416" spans="1:4" x14ac:dyDescent="0.3">
      <c r="A416" t="s">
        <v>87</v>
      </c>
      <c r="B416" t="s">
        <v>772</v>
      </c>
      <c r="C416" t="s">
        <v>788</v>
      </c>
      <c r="D416" t="str">
        <f t="shared" si="6"/>
        <v>DaSa416</v>
      </c>
    </row>
    <row r="417" spans="1:4" x14ac:dyDescent="0.3">
      <c r="A417" t="s">
        <v>259</v>
      </c>
      <c r="B417" t="s">
        <v>775</v>
      </c>
      <c r="C417" t="s">
        <v>789</v>
      </c>
      <c r="D417" t="str">
        <f t="shared" si="6"/>
        <v>HeDa417</v>
      </c>
    </row>
    <row r="418" spans="1:4" x14ac:dyDescent="0.3">
      <c r="A418" t="s">
        <v>114</v>
      </c>
      <c r="B418" t="s">
        <v>776</v>
      </c>
      <c r="C418" t="s">
        <v>786</v>
      </c>
      <c r="D418" t="str">
        <f t="shared" si="6"/>
        <v>MaMi418</v>
      </c>
    </row>
    <row r="419" spans="1:4" x14ac:dyDescent="0.3">
      <c r="A419" t="s">
        <v>316</v>
      </c>
      <c r="B419" t="s">
        <v>774</v>
      </c>
      <c r="C419" t="s">
        <v>781</v>
      </c>
      <c r="D419" t="str">
        <f t="shared" si="6"/>
        <v>JoEm419</v>
      </c>
    </row>
    <row r="420" spans="1:4" x14ac:dyDescent="0.3">
      <c r="A420" t="s">
        <v>130</v>
      </c>
      <c r="B420" t="s">
        <v>775</v>
      </c>
      <c r="C420" t="s">
        <v>783</v>
      </c>
      <c r="D420" t="str">
        <f t="shared" si="6"/>
        <v>HeJo420</v>
      </c>
    </row>
    <row r="421" spans="1:4" x14ac:dyDescent="0.3">
      <c r="A421" t="s">
        <v>119</v>
      </c>
      <c r="B421" t="s">
        <v>771</v>
      </c>
      <c r="C421" t="s">
        <v>786</v>
      </c>
      <c r="D421" t="str">
        <f t="shared" si="6"/>
        <v>BrMi421</v>
      </c>
    </row>
    <row r="422" spans="1:4" x14ac:dyDescent="0.3">
      <c r="A422" t="s">
        <v>90</v>
      </c>
      <c r="B422" t="s">
        <v>777</v>
      </c>
      <c r="C422" t="s">
        <v>789</v>
      </c>
      <c r="D422" t="str">
        <f t="shared" si="6"/>
        <v>WiDa422</v>
      </c>
    </row>
    <row r="423" spans="1:4" x14ac:dyDescent="0.3">
      <c r="A423" t="s">
        <v>305</v>
      </c>
      <c r="B423" t="s">
        <v>775</v>
      </c>
      <c r="C423" t="s">
        <v>786</v>
      </c>
      <c r="D423" t="str">
        <f t="shared" si="6"/>
        <v>HeMi423</v>
      </c>
    </row>
    <row r="424" spans="1:4" x14ac:dyDescent="0.3">
      <c r="A424" t="s">
        <v>268</v>
      </c>
      <c r="B424" t="s">
        <v>779</v>
      </c>
      <c r="C424" t="s">
        <v>789</v>
      </c>
      <c r="D424" t="str">
        <f t="shared" si="6"/>
        <v>GaDa424</v>
      </c>
    </row>
    <row r="425" spans="1:4" x14ac:dyDescent="0.3">
      <c r="A425" t="s">
        <v>198</v>
      </c>
      <c r="B425" t="s">
        <v>773</v>
      </c>
      <c r="C425" t="s">
        <v>790</v>
      </c>
      <c r="D425" t="str">
        <f t="shared" si="6"/>
        <v>MiSo425</v>
      </c>
    </row>
    <row r="426" spans="1:4" x14ac:dyDescent="0.3">
      <c r="A426" t="s">
        <v>79</v>
      </c>
      <c r="B426" t="s">
        <v>772</v>
      </c>
      <c r="C426" t="s">
        <v>787</v>
      </c>
      <c r="D426" t="str">
        <f t="shared" si="6"/>
        <v>DaJa426</v>
      </c>
    </row>
    <row r="427" spans="1:4" x14ac:dyDescent="0.3">
      <c r="A427" t="s">
        <v>130</v>
      </c>
      <c r="B427" t="s">
        <v>775</v>
      </c>
      <c r="C427" t="s">
        <v>783</v>
      </c>
      <c r="D427" t="str">
        <f t="shared" si="6"/>
        <v>HeJo427</v>
      </c>
    </row>
    <row r="428" spans="1:4" x14ac:dyDescent="0.3">
      <c r="A428" t="s">
        <v>250</v>
      </c>
      <c r="B428" t="s">
        <v>776</v>
      </c>
      <c r="C428" t="s">
        <v>781</v>
      </c>
      <c r="D428" t="str">
        <f t="shared" si="6"/>
        <v>MaEm428</v>
      </c>
    </row>
    <row r="429" spans="1:4" x14ac:dyDescent="0.3">
      <c r="A429" t="s">
        <v>316</v>
      </c>
      <c r="B429" t="s">
        <v>774</v>
      </c>
      <c r="C429" t="s">
        <v>781</v>
      </c>
      <c r="D429" t="str">
        <f t="shared" si="6"/>
        <v>JoEm429</v>
      </c>
    </row>
    <row r="430" spans="1:4" x14ac:dyDescent="0.3">
      <c r="A430" t="s">
        <v>119</v>
      </c>
      <c r="B430" t="s">
        <v>771</v>
      </c>
      <c r="C430" t="s">
        <v>786</v>
      </c>
      <c r="D430" t="str">
        <f t="shared" si="6"/>
        <v>BrMi430</v>
      </c>
    </row>
    <row r="431" spans="1:4" x14ac:dyDescent="0.3">
      <c r="A431" t="s">
        <v>185</v>
      </c>
      <c r="B431" t="s">
        <v>771</v>
      </c>
      <c r="C431" t="s">
        <v>784</v>
      </c>
      <c r="D431" t="str">
        <f t="shared" si="6"/>
        <v>BrDa431</v>
      </c>
    </row>
    <row r="432" spans="1:4" x14ac:dyDescent="0.3">
      <c r="A432" t="s">
        <v>427</v>
      </c>
      <c r="B432" t="s">
        <v>777</v>
      </c>
      <c r="C432" t="s">
        <v>790</v>
      </c>
      <c r="D432" t="str">
        <f t="shared" si="6"/>
        <v>WiSo432</v>
      </c>
    </row>
    <row r="433" spans="1:4" x14ac:dyDescent="0.3">
      <c r="A433" t="s">
        <v>105</v>
      </c>
      <c r="B433" t="s">
        <v>772</v>
      </c>
      <c r="C433" t="s">
        <v>789</v>
      </c>
      <c r="D433" t="str">
        <f t="shared" si="6"/>
        <v>DaDa433</v>
      </c>
    </row>
    <row r="434" spans="1:4" x14ac:dyDescent="0.3">
      <c r="A434" t="s">
        <v>35</v>
      </c>
      <c r="B434" t="s">
        <v>772</v>
      </c>
      <c r="C434" t="s">
        <v>783</v>
      </c>
      <c r="D434" t="str">
        <f t="shared" si="6"/>
        <v>DaJo434</v>
      </c>
    </row>
    <row r="435" spans="1:4" x14ac:dyDescent="0.3">
      <c r="A435" t="s">
        <v>18</v>
      </c>
      <c r="B435" t="s">
        <v>770</v>
      </c>
      <c r="C435" t="s">
        <v>781</v>
      </c>
      <c r="D435" t="str">
        <f t="shared" si="6"/>
        <v>SmEm435</v>
      </c>
    </row>
    <row r="436" spans="1:4" x14ac:dyDescent="0.3">
      <c r="A436" t="s">
        <v>312</v>
      </c>
      <c r="B436" t="s">
        <v>776</v>
      </c>
      <c r="C436" t="s">
        <v>789</v>
      </c>
      <c r="D436" t="str">
        <f t="shared" si="6"/>
        <v>MaDa436</v>
      </c>
    </row>
    <row r="437" spans="1:4" x14ac:dyDescent="0.3">
      <c r="A437" t="s">
        <v>338</v>
      </c>
      <c r="B437" t="s">
        <v>772</v>
      </c>
      <c r="C437" t="s">
        <v>784</v>
      </c>
      <c r="D437" t="str">
        <f t="shared" si="6"/>
        <v>DaDa437</v>
      </c>
    </row>
    <row r="438" spans="1:4" x14ac:dyDescent="0.3">
      <c r="A438" t="s">
        <v>79</v>
      </c>
      <c r="B438" t="s">
        <v>772</v>
      </c>
      <c r="C438" t="s">
        <v>787</v>
      </c>
      <c r="D438" t="str">
        <f t="shared" si="6"/>
        <v>DaJa438</v>
      </c>
    </row>
    <row r="439" spans="1:4" x14ac:dyDescent="0.3">
      <c r="A439" t="s">
        <v>155</v>
      </c>
      <c r="B439" t="s">
        <v>778</v>
      </c>
      <c r="C439" t="s">
        <v>789</v>
      </c>
      <c r="D439" t="str">
        <f t="shared" si="6"/>
        <v>JoDa439</v>
      </c>
    </row>
    <row r="440" spans="1:4" x14ac:dyDescent="0.3">
      <c r="A440" t="s">
        <v>440</v>
      </c>
      <c r="B440" t="s">
        <v>770</v>
      </c>
      <c r="C440" t="s">
        <v>782</v>
      </c>
      <c r="D440" t="str">
        <f t="shared" si="6"/>
        <v>SmLa440</v>
      </c>
    </row>
    <row r="441" spans="1:4" x14ac:dyDescent="0.3">
      <c r="A441" t="s">
        <v>161</v>
      </c>
      <c r="B441" t="s">
        <v>776</v>
      </c>
      <c r="C441" t="s">
        <v>785</v>
      </c>
      <c r="D441" t="str">
        <f t="shared" si="6"/>
        <v>MaEm441</v>
      </c>
    </row>
    <row r="442" spans="1:4" x14ac:dyDescent="0.3">
      <c r="A442" t="s">
        <v>139</v>
      </c>
      <c r="B442" t="s">
        <v>776</v>
      </c>
      <c r="C442" t="s">
        <v>788</v>
      </c>
      <c r="D442" t="str">
        <f t="shared" si="6"/>
        <v>MaSa442</v>
      </c>
    </row>
    <row r="443" spans="1:4" x14ac:dyDescent="0.3">
      <c r="A443" t="s">
        <v>265</v>
      </c>
      <c r="B443" t="s">
        <v>776</v>
      </c>
      <c r="C443" t="s">
        <v>783</v>
      </c>
      <c r="D443" t="str">
        <f t="shared" si="6"/>
        <v>MaJo443</v>
      </c>
    </row>
    <row r="444" spans="1:4" x14ac:dyDescent="0.3">
      <c r="A444" t="s">
        <v>293</v>
      </c>
      <c r="B444" t="s">
        <v>774</v>
      </c>
      <c r="C444" t="s">
        <v>790</v>
      </c>
      <c r="D444" t="str">
        <f t="shared" si="6"/>
        <v>JoSo444</v>
      </c>
    </row>
    <row r="445" spans="1:4" x14ac:dyDescent="0.3">
      <c r="A445" t="s">
        <v>245</v>
      </c>
      <c r="B445" t="s">
        <v>773</v>
      </c>
      <c r="C445" t="s">
        <v>781</v>
      </c>
      <c r="D445" t="str">
        <f t="shared" si="6"/>
        <v>MiEm445</v>
      </c>
    </row>
    <row r="446" spans="1:4" x14ac:dyDescent="0.3">
      <c r="A446" t="s">
        <v>200</v>
      </c>
      <c r="B446" t="s">
        <v>779</v>
      </c>
      <c r="C446" t="s">
        <v>782</v>
      </c>
      <c r="D446" t="str">
        <f t="shared" si="6"/>
        <v>GaLa446</v>
      </c>
    </row>
    <row r="447" spans="1:4" x14ac:dyDescent="0.3">
      <c r="A447" t="s">
        <v>202</v>
      </c>
      <c r="B447" t="s">
        <v>772</v>
      </c>
      <c r="C447" t="s">
        <v>786</v>
      </c>
      <c r="D447" t="str">
        <f t="shared" si="6"/>
        <v>DaMi447</v>
      </c>
    </row>
    <row r="448" spans="1:4" x14ac:dyDescent="0.3">
      <c r="A448" t="s">
        <v>90</v>
      </c>
      <c r="B448" t="s">
        <v>777</v>
      </c>
      <c r="C448" t="s">
        <v>789</v>
      </c>
      <c r="D448" t="str">
        <f t="shared" si="6"/>
        <v>WiDa448</v>
      </c>
    </row>
    <row r="449" spans="1:4" x14ac:dyDescent="0.3">
      <c r="A449" t="s">
        <v>280</v>
      </c>
      <c r="B449" t="s">
        <v>771</v>
      </c>
      <c r="C449" t="s">
        <v>781</v>
      </c>
      <c r="D449" t="str">
        <f t="shared" si="6"/>
        <v>BrEm449</v>
      </c>
    </row>
    <row r="450" spans="1:4" x14ac:dyDescent="0.3">
      <c r="A450" t="s">
        <v>338</v>
      </c>
      <c r="B450" t="s">
        <v>772</v>
      </c>
      <c r="C450" t="s">
        <v>784</v>
      </c>
      <c r="D450" t="str">
        <f t="shared" si="6"/>
        <v>DaDa450</v>
      </c>
    </row>
    <row r="451" spans="1:4" x14ac:dyDescent="0.3">
      <c r="A451" t="s">
        <v>100</v>
      </c>
      <c r="B451" t="s">
        <v>773</v>
      </c>
      <c r="C451" t="s">
        <v>786</v>
      </c>
      <c r="D451" t="str">
        <f t="shared" ref="D451:D501" si="7">LEFT(B451,2)&amp;LEFT(C451,2)&amp;ROW()</f>
        <v>MiMi451</v>
      </c>
    </row>
    <row r="452" spans="1:4" x14ac:dyDescent="0.3">
      <c r="A452" t="s">
        <v>110</v>
      </c>
      <c r="B452" t="s">
        <v>775</v>
      </c>
      <c r="C452" t="s">
        <v>790</v>
      </c>
      <c r="D452" t="str">
        <f t="shared" si="7"/>
        <v>HeSo452</v>
      </c>
    </row>
    <row r="453" spans="1:4" x14ac:dyDescent="0.3">
      <c r="A453" t="s">
        <v>245</v>
      </c>
      <c r="B453" t="s">
        <v>773</v>
      </c>
      <c r="C453" t="s">
        <v>781</v>
      </c>
      <c r="D453" t="str">
        <f t="shared" si="7"/>
        <v>MiEm453</v>
      </c>
    </row>
    <row r="454" spans="1:4" x14ac:dyDescent="0.3">
      <c r="A454" t="s">
        <v>173</v>
      </c>
      <c r="B454" t="s">
        <v>777</v>
      </c>
      <c r="C454" t="s">
        <v>786</v>
      </c>
      <c r="D454" t="str">
        <f t="shared" si="7"/>
        <v>WiMi454</v>
      </c>
    </row>
    <row r="455" spans="1:4" x14ac:dyDescent="0.3">
      <c r="A455" t="s">
        <v>226</v>
      </c>
      <c r="B455" t="s">
        <v>773</v>
      </c>
      <c r="C455" t="s">
        <v>788</v>
      </c>
      <c r="D455" t="str">
        <f t="shared" si="7"/>
        <v>MiSa455</v>
      </c>
    </row>
    <row r="456" spans="1:4" x14ac:dyDescent="0.3">
      <c r="A456" t="s">
        <v>119</v>
      </c>
      <c r="B456" t="s">
        <v>771</v>
      </c>
      <c r="C456" t="s">
        <v>786</v>
      </c>
      <c r="D456" t="str">
        <f t="shared" si="7"/>
        <v>BrMi456</v>
      </c>
    </row>
    <row r="457" spans="1:4" x14ac:dyDescent="0.3">
      <c r="A457" t="s">
        <v>108</v>
      </c>
      <c r="B457" t="s">
        <v>774</v>
      </c>
      <c r="C457" t="s">
        <v>788</v>
      </c>
      <c r="D457" t="str">
        <f t="shared" si="7"/>
        <v>JoSa457</v>
      </c>
    </row>
    <row r="458" spans="1:4" x14ac:dyDescent="0.3">
      <c r="A458" t="s">
        <v>139</v>
      </c>
      <c r="B458" t="s">
        <v>776</v>
      </c>
      <c r="C458" t="s">
        <v>788</v>
      </c>
      <c r="D458" t="str">
        <f t="shared" si="7"/>
        <v>MaSa458</v>
      </c>
    </row>
    <row r="459" spans="1:4" x14ac:dyDescent="0.3">
      <c r="A459" t="s">
        <v>164</v>
      </c>
      <c r="B459" t="s">
        <v>774</v>
      </c>
      <c r="C459" t="s">
        <v>784</v>
      </c>
      <c r="D459" t="str">
        <f t="shared" si="7"/>
        <v>JoDa459</v>
      </c>
    </row>
    <row r="460" spans="1:4" x14ac:dyDescent="0.3">
      <c r="A460" t="s">
        <v>192</v>
      </c>
      <c r="B460" t="s">
        <v>779</v>
      </c>
      <c r="C460" t="s">
        <v>786</v>
      </c>
      <c r="D460" t="str">
        <f t="shared" si="7"/>
        <v>GaMi460</v>
      </c>
    </row>
    <row r="461" spans="1:4" x14ac:dyDescent="0.3">
      <c r="A461" t="s">
        <v>164</v>
      </c>
      <c r="B461" t="s">
        <v>774</v>
      </c>
      <c r="C461" t="s">
        <v>784</v>
      </c>
      <c r="D461" t="str">
        <f t="shared" si="7"/>
        <v>JoDa461</v>
      </c>
    </row>
    <row r="462" spans="1:4" x14ac:dyDescent="0.3">
      <c r="A462" t="s">
        <v>390</v>
      </c>
      <c r="B462" t="s">
        <v>778</v>
      </c>
      <c r="C462" t="s">
        <v>785</v>
      </c>
      <c r="D462" t="str">
        <f t="shared" si="7"/>
        <v>JoEm462</v>
      </c>
    </row>
    <row r="463" spans="1:4" x14ac:dyDescent="0.3">
      <c r="A463" t="s">
        <v>349</v>
      </c>
      <c r="B463" t="s">
        <v>779</v>
      </c>
      <c r="C463" t="s">
        <v>784</v>
      </c>
      <c r="D463" t="str">
        <f t="shared" si="7"/>
        <v>GaDa463</v>
      </c>
    </row>
    <row r="464" spans="1:4" x14ac:dyDescent="0.3">
      <c r="A464" t="s">
        <v>342</v>
      </c>
      <c r="B464" t="s">
        <v>773</v>
      </c>
      <c r="C464" t="s">
        <v>785</v>
      </c>
      <c r="D464" t="str">
        <f t="shared" si="7"/>
        <v>MiEm464</v>
      </c>
    </row>
    <row r="465" spans="1:4" x14ac:dyDescent="0.3">
      <c r="A465" t="s">
        <v>310</v>
      </c>
      <c r="B465" t="s">
        <v>771</v>
      </c>
      <c r="C465" t="s">
        <v>783</v>
      </c>
      <c r="D465" t="str">
        <f t="shared" si="7"/>
        <v>BrJo465</v>
      </c>
    </row>
    <row r="466" spans="1:4" x14ac:dyDescent="0.3">
      <c r="A466" t="s">
        <v>226</v>
      </c>
      <c r="B466" t="s">
        <v>773</v>
      </c>
      <c r="C466" t="s">
        <v>788</v>
      </c>
      <c r="D466" t="str">
        <f t="shared" si="7"/>
        <v>MiSa466</v>
      </c>
    </row>
    <row r="467" spans="1:4" x14ac:dyDescent="0.3">
      <c r="A467" t="s">
        <v>127</v>
      </c>
      <c r="B467" t="s">
        <v>770</v>
      </c>
      <c r="C467" t="s">
        <v>790</v>
      </c>
      <c r="D467" t="str">
        <f t="shared" si="7"/>
        <v>SmSo467</v>
      </c>
    </row>
    <row r="468" spans="1:4" x14ac:dyDescent="0.3">
      <c r="A468" t="s">
        <v>108</v>
      </c>
      <c r="B468" t="s">
        <v>774</v>
      </c>
      <c r="C468" t="s">
        <v>788</v>
      </c>
      <c r="D468" t="str">
        <f t="shared" si="7"/>
        <v>JoSa468</v>
      </c>
    </row>
    <row r="469" spans="1:4" x14ac:dyDescent="0.3">
      <c r="A469" t="s">
        <v>390</v>
      </c>
      <c r="B469" t="s">
        <v>778</v>
      </c>
      <c r="C469" t="s">
        <v>785</v>
      </c>
      <c r="D469" t="str">
        <f t="shared" si="7"/>
        <v>JoEm469</v>
      </c>
    </row>
    <row r="470" spans="1:4" x14ac:dyDescent="0.3">
      <c r="A470" t="s">
        <v>40</v>
      </c>
      <c r="B470" t="s">
        <v>773</v>
      </c>
      <c r="C470" t="s">
        <v>784</v>
      </c>
      <c r="D470" t="str">
        <f t="shared" si="7"/>
        <v>MiDa470</v>
      </c>
    </row>
    <row r="471" spans="1:4" x14ac:dyDescent="0.3">
      <c r="A471" t="s">
        <v>141</v>
      </c>
      <c r="B471" t="s">
        <v>779</v>
      </c>
      <c r="C471" t="s">
        <v>781</v>
      </c>
      <c r="D471" t="str">
        <f t="shared" si="7"/>
        <v>GaEm471</v>
      </c>
    </row>
    <row r="472" spans="1:4" x14ac:dyDescent="0.3">
      <c r="A472" t="s">
        <v>18</v>
      </c>
      <c r="B472" t="s">
        <v>770</v>
      </c>
      <c r="C472" t="s">
        <v>781</v>
      </c>
      <c r="D472" t="str">
        <f t="shared" si="7"/>
        <v>SmEm472</v>
      </c>
    </row>
    <row r="473" spans="1:4" x14ac:dyDescent="0.3">
      <c r="A473" t="s">
        <v>114</v>
      </c>
      <c r="B473" t="s">
        <v>776</v>
      </c>
      <c r="C473" t="s">
        <v>786</v>
      </c>
      <c r="D473" t="str">
        <f t="shared" si="7"/>
        <v>MaMi473</v>
      </c>
    </row>
    <row r="474" spans="1:4" x14ac:dyDescent="0.3">
      <c r="A474" t="s">
        <v>228</v>
      </c>
      <c r="B474" t="s">
        <v>777</v>
      </c>
      <c r="C474" t="s">
        <v>787</v>
      </c>
      <c r="D474" t="str">
        <f t="shared" si="7"/>
        <v>WiJa474</v>
      </c>
    </row>
    <row r="475" spans="1:4" x14ac:dyDescent="0.3">
      <c r="A475" t="s">
        <v>212</v>
      </c>
      <c r="B475" t="s">
        <v>775</v>
      </c>
      <c r="C475" t="s">
        <v>782</v>
      </c>
      <c r="D475" t="str">
        <f t="shared" si="7"/>
        <v>HeLa475</v>
      </c>
    </row>
    <row r="476" spans="1:4" x14ac:dyDescent="0.3">
      <c r="A476" t="s">
        <v>305</v>
      </c>
      <c r="B476" t="s">
        <v>775</v>
      </c>
      <c r="C476" t="s">
        <v>786</v>
      </c>
      <c r="D476" t="str">
        <f t="shared" si="7"/>
        <v>HeMi476</v>
      </c>
    </row>
    <row r="477" spans="1:4" x14ac:dyDescent="0.3">
      <c r="A477" t="s">
        <v>122</v>
      </c>
      <c r="B477" t="s">
        <v>773</v>
      </c>
      <c r="C477" t="s">
        <v>782</v>
      </c>
      <c r="D477" t="str">
        <f t="shared" si="7"/>
        <v>MiLa477</v>
      </c>
    </row>
    <row r="478" spans="1:4" x14ac:dyDescent="0.3">
      <c r="A478" t="s">
        <v>245</v>
      </c>
      <c r="B478" t="s">
        <v>773</v>
      </c>
      <c r="C478" t="s">
        <v>781</v>
      </c>
      <c r="D478" t="str">
        <f t="shared" si="7"/>
        <v>MiEm478</v>
      </c>
    </row>
    <row r="479" spans="1:4" x14ac:dyDescent="0.3">
      <c r="A479" t="s">
        <v>122</v>
      </c>
      <c r="B479" t="s">
        <v>773</v>
      </c>
      <c r="C479" t="s">
        <v>782</v>
      </c>
      <c r="D479" t="str">
        <f t="shared" si="7"/>
        <v>MiLa479</v>
      </c>
    </row>
    <row r="480" spans="1:4" x14ac:dyDescent="0.3">
      <c r="A480" t="s">
        <v>90</v>
      </c>
      <c r="B480" t="s">
        <v>777</v>
      </c>
      <c r="C480" t="s">
        <v>789</v>
      </c>
      <c r="D480" t="str">
        <f t="shared" si="7"/>
        <v>WiDa480</v>
      </c>
    </row>
    <row r="481" spans="1:4" x14ac:dyDescent="0.3">
      <c r="A481" t="s">
        <v>57</v>
      </c>
      <c r="B481" t="s">
        <v>775</v>
      </c>
      <c r="C481" t="s">
        <v>785</v>
      </c>
      <c r="D481" t="str">
        <f t="shared" si="7"/>
        <v>HeEm481</v>
      </c>
    </row>
    <row r="482" spans="1:4" x14ac:dyDescent="0.3">
      <c r="A482" t="s">
        <v>87</v>
      </c>
      <c r="B482" t="s">
        <v>772</v>
      </c>
      <c r="C482" t="s">
        <v>788</v>
      </c>
      <c r="D482" t="str">
        <f t="shared" si="7"/>
        <v>DaSa482</v>
      </c>
    </row>
    <row r="483" spans="1:4" x14ac:dyDescent="0.3">
      <c r="A483" t="s">
        <v>265</v>
      </c>
      <c r="B483" t="s">
        <v>776</v>
      </c>
      <c r="C483" t="s">
        <v>783</v>
      </c>
      <c r="D483" t="str">
        <f t="shared" si="7"/>
        <v>MaJo483</v>
      </c>
    </row>
    <row r="484" spans="1:4" x14ac:dyDescent="0.3">
      <c r="A484" t="s">
        <v>153</v>
      </c>
      <c r="B484" t="s">
        <v>770</v>
      </c>
      <c r="C484" t="s">
        <v>784</v>
      </c>
      <c r="D484" t="str">
        <f t="shared" si="7"/>
        <v>SmDa484</v>
      </c>
    </row>
    <row r="485" spans="1:4" x14ac:dyDescent="0.3">
      <c r="A485" t="s">
        <v>79</v>
      </c>
      <c r="B485" t="s">
        <v>772</v>
      </c>
      <c r="C485" t="s">
        <v>787</v>
      </c>
      <c r="D485" t="str">
        <f t="shared" si="7"/>
        <v>DaJa485</v>
      </c>
    </row>
    <row r="486" spans="1:4" x14ac:dyDescent="0.3">
      <c r="A486" t="s">
        <v>418</v>
      </c>
      <c r="B486" t="s">
        <v>770</v>
      </c>
      <c r="C486" t="s">
        <v>783</v>
      </c>
      <c r="D486" t="str">
        <f t="shared" si="7"/>
        <v>SmJo486</v>
      </c>
    </row>
    <row r="487" spans="1:4" x14ac:dyDescent="0.3">
      <c r="A487" t="s">
        <v>202</v>
      </c>
      <c r="B487" t="s">
        <v>772</v>
      </c>
      <c r="C487" t="s">
        <v>786</v>
      </c>
      <c r="D487" t="str">
        <f t="shared" si="7"/>
        <v>DaMi487</v>
      </c>
    </row>
    <row r="488" spans="1:4" x14ac:dyDescent="0.3">
      <c r="A488" t="s">
        <v>226</v>
      </c>
      <c r="B488" t="s">
        <v>773</v>
      </c>
      <c r="C488" t="s">
        <v>788</v>
      </c>
      <c r="D488" t="str">
        <f t="shared" si="7"/>
        <v>MiSa488</v>
      </c>
    </row>
    <row r="489" spans="1:4" x14ac:dyDescent="0.3">
      <c r="A489" t="s">
        <v>223</v>
      </c>
      <c r="B489" t="s">
        <v>776</v>
      </c>
      <c r="C489" t="s">
        <v>790</v>
      </c>
      <c r="D489" t="str">
        <f t="shared" si="7"/>
        <v>MaSo489</v>
      </c>
    </row>
    <row r="490" spans="1:4" x14ac:dyDescent="0.3">
      <c r="A490" t="s">
        <v>125</v>
      </c>
      <c r="B490" t="s">
        <v>779</v>
      </c>
      <c r="C490" t="s">
        <v>790</v>
      </c>
      <c r="D490" t="str">
        <f t="shared" si="7"/>
        <v>GaSo490</v>
      </c>
    </row>
    <row r="491" spans="1:4" x14ac:dyDescent="0.3">
      <c r="A491" t="s">
        <v>141</v>
      </c>
      <c r="B491" t="s">
        <v>779</v>
      </c>
      <c r="C491" t="s">
        <v>781</v>
      </c>
      <c r="D491" t="str">
        <f t="shared" si="7"/>
        <v>GaEm491</v>
      </c>
    </row>
    <row r="492" spans="1:4" x14ac:dyDescent="0.3">
      <c r="A492" t="s">
        <v>310</v>
      </c>
      <c r="B492" t="s">
        <v>771</v>
      </c>
      <c r="C492" t="s">
        <v>783</v>
      </c>
      <c r="D492" t="str">
        <f t="shared" si="7"/>
        <v>BrJo492</v>
      </c>
    </row>
    <row r="493" spans="1:4" x14ac:dyDescent="0.3">
      <c r="A493" t="s">
        <v>334</v>
      </c>
      <c r="B493" t="s">
        <v>775</v>
      </c>
      <c r="C493" t="s">
        <v>788</v>
      </c>
      <c r="D493" t="str">
        <f t="shared" si="7"/>
        <v>HeSa493</v>
      </c>
    </row>
    <row r="494" spans="1:4" x14ac:dyDescent="0.3">
      <c r="A494" t="s">
        <v>429</v>
      </c>
      <c r="B494" t="s">
        <v>779</v>
      </c>
      <c r="C494" t="s">
        <v>787</v>
      </c>
      <c r="D494" t="str">
        <f t="shared" si="7"/>
        <v>GaJa494</v>
      </c>
    </row>
    <row r="495" spans="1:4" x14ac:dyDescent="0.3">
      <c r="A495" t="s">
        <v>100</v>
      </c>
      <c r="B495" t="s">
        <v>773</v>
      </c>
      <c r="C495" t="s">
        <v>786</v>
      </c>
      <c r="D495" t="str">
        <f t="shared" si="7"/>
        <v>MiMi495</v>
      </c>
    </row>
    <row r="496" spans="1:4" x14ac:dyDescent="0.3">
      <c r="A496" t="s">
        <v>202</v>
      </c>
      <c r="B496" t="s">
        <v>772</v>
      </c>
      <c r="C496" t="s">
        <v>786</v>
      </c>
      <c r="D496" t="str">
        <f t="shared" si="7"/>
        <v>DaMi496</v>
      </c>
    </row>
    <row r="497" spans="1:4" x14ac:dyDescent="0.3">
      <c r="A497" t="s">
        <v>47</v>
      </c>
      <c r="B497" t="s">
        <v>774</v>
      </c>
      <c r="C497" t="s">
        <v>785</v>
      </c>
      <c r="D497" t="str">
        <f t="shared" si="7"/>
        <v>JoEm497</v>
      </c>
    </row>
    <row r="498" spans="1:4" x14ac:dyDescent="0.3">
      <c r="A498" t="s">
        <v>316</v>
      </c>
      <c r="B498" t="s">
        <v>774</v>
      </c>
      <c r="C498" t="s">
        <v>781</v>
      </c>
      <c r="D498" t="str">
        <f t="shared" si="7"/>
        <v>JoEm498</v>
      </c>
    </row>
    <row r="499" spans="1:4" x14ac:dyDescent="0.3">
      <c r="A499" t="s">
        <v>195</v>
      </c>
      <c r="B499" t="s">
        <v>770</v>
      </c>
      <c r="C499" t="s">
        <v>789</v>
      </c>
      <c r="D499" t="str">
        <f t="shared" si="7"/>
        <v>SmDa499</v>
      </c>
    </row>
    <row r="500" spans="1:4" x14ac:dyDescent="0.3">
      <c r="A500" t="s">
        <v>84</v>
      </c>
      <c r="B500" t="s">
        <v>770</v>
      </c>
      <c r="C500" t="s">
        <v>785</v>
      </c>
      <c r="D500" t="str">
        <f t="shared" si="7"/>
        <v>SmEm500</v>
      </c>
    </row>
    <row r="501" spans="1:4" x14ac:dyDescent="0.3">
      <c r="A501" t="s">
        <v>305</v>
      </c>
      <c r="B501" t="s">
        <v>775</v>
      </c>
      <c r="C501" t="s">
        <v>786</v>
      </c>
      <c r="D501" t="str">
        <f t="shared" si="7"/>
        <v>HeMi501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F25A3-97CE-4776-A906-8098BEB323A5}">
  <dimension ref="A1:D501"/>
  <sheetViews>
    <sheetView topLeftCell="A475" workbookViewId="0">
      <selection sqref="A1:D501"/>
    </sheetView>
  </sheetViews>
  <sheetFormatPr defaultRowHeight="14.4" x14ac:dyDescent="0.3"/>
  <cols>
    <col min="1" max="1" width="10.44140625" bestFit="1" customWidth="1"/>
  </cols>
  <sheetData>
    <row r="1" spans="1:4" x14ac:dyDescent="0.3">
      <c r="A1" s="19" t="s">
        <v>8</v>
      </c>
      <c r="B1" s="20" t="s">
        <v>10</v>
      </c>
      <c r="C1" s="21" t="s">
        <v>792</v>
      </c>
      <c r="D1" s="21" t="s">
        <v>793</v>
      </c>
    </row>
    <row r="2" spans="1:4" x14ac:dyDescent="0.3">
      <c r="A2" s="8">
        <v>1104.4000000000001</v>
      </c>
      <c r="B2">
        <v>355.04</v>
      </c>
      <c r="C2" s="5">
        <f>B2/A2</f>
        <v>0.32147772546178921</v>
      </c>
      <c r="D2" t="str" cm="1">
        <f t="array" ref="D2">_xlfn.IFS(AND(C2&gt;20%, A2&gt;2000),"Excellent", AND(C2&lt;20%, C2&gt;10%),"Good",TRUE,"BAD")</f>
        <v>BAD</v>
      </c>
    </row>
    <row r="3" spans="1:4" x14ac:dyDescent="0.3">
      <c r="A3" s="8">
        <v>1056.99</v>
      </c>
      <c r="B3">
        <v>403.4</v>
      </c>
      <c r="C3" s="5">
        <f t="shared" ref="C3:C66" si="0">B3/A3</f>
        <v>0.38164977908967918</v>
      </c>
      <c r="D3" t="str" cm="1">
        <f t="array" ref="D3">_xlfn.IFS(AND(C3&gt;20%, A3&gt;2000),"Excellent", AND(C3&lt;20%, C3&gt;10%),"Good",TRUE,"BAD")</f>
        <v>BAD</v>
      </c>
    </row>
    <row r="4" spans="1:4" x14ac:dyDescent="0.3">
      <c r="A4" s="8">
        <v>968.32</v>
      </c>
      <c r="B4">
        <v>282.37</v>
      </c>
      <c r="C4" s="5">
        <f t="shared" si="0"/>
        <v>0.2916081460674157</v>
      </c>
      <c r="D4" t="str" cm="1">
        <f t="array" ref="D4">_xlfn.IFS(AND(C4&gt;20%, A4&gt;2000),"Excellent", AND(C4&lt;20%, C4&gt;10%),"Good",TRUE,"BAD")</f>
        <v>BAD</v>
      </c>
    </row>
    <row r="5" spans="1:4" x14ac:dyDescent="0.3">
      <c r="A5" s="8">
        <v>338.16</v>
      </c>
      <c r="B5">
        <v>134.77000000000001</v>
      </c>
      <c r="C5" s="5">
        <f t="shared" si="0"/>
        <v>0.39853915306363852</v>
      </c>
      <c r="D5" t="str" cm="1">
        <f t="array" ref="D5">_xlfn.IFS(AND(C5&gt;20%, A5&gt;2000),"Excellent", AND(C5&lt;20%, C5&gt;10%),"Good",TRUE,"BAD")</f>
        <v>BAD</v>
      </c>
    </row>
    <row r="6" spans="1:4" x14ac:dyDescent="0.3">
      <c r="A6" s="8">
        <v>1176.74</v>
      </c>
      <c r="B6">
        <v>430.8</v>
      </c>
      <c r="C6" s="5">
        <f t="shared" si="0"/>
        <v>0.36609616397844896</v>
      </c>
      <c r="D6" t="str" cm="1">
        <f t="array" ref="D6">_xlfn.IFS(AND(C6&gt;20%, A6&gt;2000),"Excellent", AND(C6&lt;20%, C6&gt;10%),"Good",TRUE,"BAD")</f>
        <v>BAD</v>
      </c>
    </row>
    <row r="7" spans="1:4" x14ac:dyDescent="0.3">
      <c r="A7" s="8">
        <v>363.22</v>
      </c>
      <c r="B7">
        <v>87.86</v>
      </c>
      <c r="C7" s="5">
        <f t="shared" si="0"/>
        <v>0.2418919663014151</v>
      </c>
      <c r="D7" t="str" cm="1">
        <f t="array" ref="D7">_xlfn.IFS(AND(C7&gt;20%, A7&gt;2000),"Excellent", AND(C7&lt;20%, C7&gt;10%),"Good",TRUE,"BAD")</f>
        <v>BAD</v>
      </c>
    </row>
    <row r="8" spans="1:4" x14ac:dyDescent="0.3">
      <c r="A8" s="8">
        <v>94.56</v>
      </c>
      <c r="B8">
        <v>20.079999999999998</v>
      </c>
      <c r="C8" s="5">
        <f t="shared" si="0"/>
        <v>0.21235194585448391</v>
      </c>
      <c r="D8" t="str" cm="1">
        <f t="array" ref="D8">_xlfn.IFS(AND(C8&gt;20%, A8&gt;2000),"Excellent", AND(C8&lt;20%, C8&gt;10%),"Good",TRUE,"BAD")</f>
        <v>BAD</v>
      </c>
    </row>
    <row r="9" spans="1:4" x14ac:dyDescent="0.3">
      <c r="A9" s="8">
        <v>429.94</v>
      </c>
      <c r="B9">
        <v>66.91</v>
      </c>
      <c r="C9" s="5">
        <f t="shared" si="0"/>
        <v>0.15562636646973996</v>
      </c>
      <c r="D9" t="str" cm="1">
        <f t="array" ref="D9">_xlfn.IFS(AND(C9&gt;20%, A9&gt;2000),"Excellent", AND(C9&lt;20%, C9&gt;10%),"Good",TRUE,"BAD")</f>
        <v>Good</v>
      </c>
    </row>
    <row r="10" spans="1:4" x14ac:dyDescent="0.3">
      <c r="A10" s="8">
        <v>1150.0899999999999</v>
      </c>
      <c r="B10">
        <v>360.29</v>
      </c>
      <c r="C10" s="5">
        <f t="shared" si="0"/>
        <v>0.31327113530245465</v>
      </c>
      <c r="D10" t="str" cm="1">
        <f t="array" ref="D10">_xlfn.IFS(AND(C10&gt;20%, A10&gt;2000),"Excellent", AND(C10&lt;20%, C10&gt;10%),"Good",TRUE,"BAD")</f>
        <v>BAD</v>
      </c>
    </row>
    <row r="11" spans="1:4" x14ac:dyDescent="0.3">
      <c r="A11" s="8">
        <v>512.46</v>
      </c>
      <c r="B11">
        <v>139.32</v>
      </c>
      <c r="C11" s="5">
        <f t="shared" si="0"/>
        <v>0.27186512118018963</v>
      </c>
      <c r="D11" t="str" cm="1">
        <f t="array" ref="D11">_xlfn.IFS(AND(C11&gt;20%, A11&gt;2000),"Excellent", AND(C11&lt;20%, C11&gt;10%),"Good",TRUE,"BAD")</f>
        <v>BAD</v>
      </c>
    </row>
    <row r="12" spans="1:4" x14ac:dyDescent="0.3">
      <c r="A12" s="8">
        <v>1850.88</v>
      </c>
      <c r="B12">
        <v>675.73</v>
      </c>
      <c r="C12" s="5">
        <f t="shared" si="0"/>
        <v>0.36508579702627936</v>
      </c>
      <c r="D12" t="str" cm="1">
        <f t="array" ref="D12">_xlfn.IFS(AND(C12&gt;20%, A12&gt;2000),"Excellent", AND(C12&lt;20%, C12&gt;10%),"Good",TRUE,"BAD")</f>
        <v>BAD</v>
      </c>
    </row>
    <row r="13" spans="1:4" x14ac:dyDescent="0.3">
      <c r="A13" s="8">
        <v>2879.73</v>
      </c>
      <c r="B13">
        <v>779.44</v>
      </c>
      <c r="C13" s="5">
        <f t="shared" si="0"/>
        <v>0.27066426366360735</v>
      </c>
      <c r="D13" t="str" cm="1">
        <f t="array" ref="D13">_xlfn.IFS(AND(C13&gt;20%, A13&gt;2000),"Excellent", AND(C13&lt;20%, C13&gt;10%),"Good",TRUE,"BAD")</f>
        <v>Excellent</v>
      </c>
    </row>
    <row r="14" spans="1:4" x14ac:dyDescent="0.3">
      <c r="A14" s="8">
        <v>2447.56</v>
      </c>
      <c r="B14">
        <v>802.16</v>
      </c>
      <c r="C14" s="5">
        <f t="shared" si="0"/>
        <v>0.3277386458350357</v>
      </c>
      <c r="D14" t="str" cm="1">
        <f t="array" ref="D14">_xlfn.IFS(AND(C14&gt;20%, A14&gt;2000),"Excellent", AND(C14&lt;20%, C14&gt;10%),"Good",TRUE,"BAD")</f>
        <v>Excellent</v>
      </c>
    </row>
    <row r="15" spans="1:4" x14ac:dyDescent="0.3">
      <c r="A15" s="8">
        <v>1390.4</v>
      </c>
      <c r="B15">
        <v>560.36</v>
      </c>
      <c r="C15" s="5">
        <f t="shared" si="0"/>
        <v>0.4030207134637514</v>
      </c>
      <c r="D15" t="str" cm="1">
        <f t="array" ref="D15">_xlfn.IFS(AND(C15&gt;20%, A15&gt;2000),"Excellent", AND(C15&lt;20%, C15&gt;10%),"Good",TRUE,"BAD")</f>
        <v>BAD</v>
      </c>
    </row>
    <row r="16" spans="1:4" x14ac:dyDescent="0.3">
      <c r="A16" s="8">
        <v>936.98</v>
      </c>
      <c r="B16">
        <v>357.11</v>
      </c>
      <c r="C16" s="5">
        <f t="shared" si="0"/>
        <v>0.38112873273709152</v>
      </c>
      <c r="D16" t="str" cm="1">
        <f t="array" ref="D16">_xlfn.IFS(AND(C16&gt;20%, A16&gt;2000),"Excellent", AND(C16&lt;20%, C16&gt;10%),"Good",TRUE,"BAD")</f>
        <v>BAD</v>
      </c>
    </row>
    <row r="17" spans="1:4" x14ac:dyDescent="0.3">
      <c r="A17" s="8">
        <v>1217.28</v>
      </c>
      <c r="B17">
        <v>207.6</v>
      </c>
      <c r="C17" s="5">
        <f t="shared" si="0"/>
        <v>0.17054416403785488</v>
      </c>
      <c r="D17" t="str" cm="1">
        <f t="array" ref="D17">_xlfn.IFS(AND(C17&gt;20%, A17&gt;2000),"Excellent", AND(C17&lt;20%, C17&gt;10%),"Good",TRUE,"BAD")</f>
        <v>Good</v>
      </c>
    </row>
    <row r="18" spans="1:4" x14ac:dyDescent="0.3">
      <c r="A18" s="8">
        <v>1443.36</v>
      </c>
      <c r="B18">
        <v>477.05</v>
      </c>
      <c r="C18" s="5">
        <f t="shared" si="0"/>
        <v>0.33051352399955664</v>
      </c>
      <c r="D18" t="str" cm="1">
        <f t="array" ref="D18">_xlfn.IFS(AND(C18&gt;20%, A18&gt;2000),"Excellent", AND(C18&lt;20%, C18&gt;10%),"Good",TRUE,"BAD")</f>
        <v>BAD</v>
      </c>
    </row>
    <row r="19" spans="1:4" x14ac:dyDescent="0.3">
      <c r="A19" s="8">
        <v>193.02</v>
      </c>
      <c r="B19">
        <v>58.57</v>
      </c>
      <c r="C19" s="5">
        <f t="shared" si="0"/>
        <v>0.30344005802507512</v>
      </c>
      <c r="D19" t="str" cm="1">
        <f t="array" ref="D19">_xlfn.IFS(AND(C19&gt;20%, A19&gt;2000),"Excellent", AND(C19&lt;20%, C19&gt;10%),"Good",TRUE,"BAD")</f>
        <v>BAD</v>
      </c>
    </row>
    <row r="20" spans="1:4" x14ac:dyDescent="0.3">
      <c r="A20" s="8">
        <v>893.18</v>
      </c>
      <c r="B20">
        <v>195.79</v>
      </c>
      <c r="C20" s="5">
        <f t="shared" si="0"/>
        <v>0.21920553527844333</v>
      </c>
      <c r="D20" t="str" cm="1">
        <f t="array" ref="D20">_xlfn.IFS(AND(C20&gt;20%, A20&gt;2000),"Excellent", AND(C20&lt;20%, C20&gt;10%),"Good",TRUE,"BAD")</f>
        <v>BAD</v>
      </c>
    </row>
    <row r="21" spans="1:4" x14ac:dyDescent="0.3">
      <c r="A21" s="8">
        <v>1475.76</v>
      </c>
      <c r="B21">
        <v>310.36</v>
      </c>
      <c r="C21" s="5">
        <f t="shared" si="0"/>
        <v>0.21030519867729172</v>
      </c>
      <c r="D21" t="str" cm="1">
        <f t="array" ref="D21">_xlfn.IFS(AND(C21&gt;20%, A21&gt;2000),"Excellent", AND(C21&lt;20%, C21&gt;10%),"Good",TRUE,"BAD")</f>
        <v>BAD</v>
      </c>
    </row>
    <row r="22" spans="1:4" x14ac:dyDescent="0.3">
      <c r="A22" s="8">
        <v>412.62</v>
      </c>
      <c r="B22">
        <v>155.44</v>
      </c>
      <c r="C22" s="5">
        <f t="shared" si="0"/>
        <v>0.37671465270709126</v>
      </c>
      <c r="D22" t="str" cm="1">
        <f t="array" ref="D22">_xlfn.IFS(AND(C22&gt;20%, A22&gt;2000),"Excellent", AND(C22&lt;20%, C22&gt;10%),"Good",TRUE,"BAD")</f>
        <v>BAD</v>
      </c>
    </row>
    <row r="23" spans="1:4" x14ac:dyDescent="0.3">
      <c r="A23" s="8">
        <v>111</v>
      </c>
      <c r="B23">
        <v>29.24</v>
      </c>
      <c r="C23" s="5">
        <f t="shared" si="0"/>
        <v>0.2634234234234234</v>
      </c>
      <c r="D23" t="str" cm="1">
        <f t="array" ref="D23">_xlfn.IFS(AND(C23&gt;20%, A23&gt;2000),"Excellent", AND(C23&lt;20%, C23&gt;10%),"Good",TRUE,"BAD")</f>
        <v>BAD</v>
      </c>
    </row>
    <row r="24" spans="1:4" x14ac:dyDescent="0.3">
      <c r="A24" s="8">
        <v>955.68</v>
      </c>
      <c r="B24">
        <v>164.11</v>
      </c>
      <c r="C24" s="5">
        <f t="shared" si="0"/>
        <v>0.17172065963502431</v>
      </c>
      <c r="D24" t="str" cm="1">
        <f t="array" ref="D24">_xlfn.IFS(AND(C24&gt;20%, A24&gt;2000),"Excellent", AND(C24&lt;20%, C24&gt;10%),"Good",TRUE,"BAD")</f>
        <v>Good</v>
      </c>
    </row>
    <row r="25" spans="1:4" x14ac:dyDescent="0.3">
      <c r="A25" s="8">
        <v>1085.6199999999999</v>
      </c>
      <c r="B25">
        <v>313.47000000000003</v>
      </c>
      <c r="C25" s="5">
        <f t="shared" si="0"/>
        <v>0.2887474438569666</v>
      </c>
      <c r="D25" t="str" cm="1">
        <f t="array" ref="D25">_xlfn.IFS(AND(C25&gt;20%, A25&gt;2000),"Excellent", AND(C25&lt;20%, C25&gt;10%),"Good",TRUE,"BAD")</f>
        <v>BAD</v>
      </c>
    </row>
    <row r="26" spans="1:4" x14ac:dyDescent="0.3">
      <c r="A26" s="8">
        <v>789.25</v>
      </c>
      <c r="B26">
        <v>232.78</v>
      </c>
      <c r="C26" s="5">
        <f t="shared" si="0"/>
        <v>0.29493823249920809</v>
      </c>
      <c r="D26" t="str" cm="1">
        <f t="array" ref="D26">_xlfn.IFS(AND(C26&gt;20%, A26&gt;2000),"Excellent", AND(C26&lt;20%, C26&gt;10%),"Good",TRUE,"BAD")</f>
        <v>BAD</v>
      </c>
    </row>
    <row r="27" spans="1:4" x14ac:dyDescent="0.3">
      <c r="A27" s="8">
        <v>379.12</v>
      </c>
      <c r="B27">
        <v>151</v>
      </c>
      <c r="C27" s="5">
        <f t="shared" si="0"/>
        <v>0.39829077864528378</v>
      </c>
      <c r="D27" t="str" cm="1">
        <f t="array" ref="D27">_xlfn.IFS(AND(C27&gt;20%, A27&gt;2000),"Excellent", AND(C27&lt;20%, C27&gt;10%),"Good",TRUE,"BAD")</f>
        <v>BAD</v>
      </c>
    </row>
    <row r="28" spans="1:4" x14ac:dyDescent="0.3">
      <c r="A28" s="8">
        <v>1377.48</v>
      </c>
      <c r="B28">
        <v>221.76</v>
      </c>
      <c r="C28" s="5">
        <f t="shared" si="0"/>
        <v>0.16098963324331386</v>
      </c>
      <c r="D28" t="str" cm="1">
        <f t="array" ref="D28">_xlfn.IFS(AND(C28&gt;20%, A28&gt;2000),"Excellent", AND(C28&lt;20%, C28&gt;10%),"Good",TRUE,"BAD")</f>
        <v>Good</v>
      </c>
    </row>
    <row r="29" spans="1:4" x14ac:dyDescent="0.3">
      <c r="A29" s="8">
        <v>237.78</v>
      </c>
      <c r="B29">
        <v>94.7</v>
      </c>
      <c r="C29" s="5">
        <f t="shared" si="0"/>
        <v>0.39826730591302884</v>
      </c>
      <c r="D29" t="str" cm="1">
        <f t="array" ref="D29">_xlfn.IFS(AND(C29&gt;20%, A29&gt;2000),"Excellent", AND(C29&lt;20%, C29&gt;10%),"Good",TRUE,"BAD")</f>
        <v>BAD</v>
      </c>
    </row>
    <row r="30" spans="1:4" x14ac:dyDescent="0.3">
      <c r="A30" s="8">
        <v>2462.4</v>
      </c>
      <c r="B30">
        <v>871.57</v>
      </c>
      <c r="C30" s="5">
        <f t="shared" si="0"/>
        <v>0.35395142949967512</v>
      </c>
      <c r="D30" t="str" cm="1">
        <f t="array" ref="D30">_xlfn.IFS(AND(C30&gt;20%, A30&gt;2000),"Excellent", AND(C30&lt;20%, C30&gt;10%),"Good",TRUE,"BAD")</f>
        <v>Excellent</v>
      </c>
    </row>
    <row r="31" spans="1:4" x14ac:dyDescent="0.3">
      <c r="A31" s="8">
        <v>44.98</v>
      </c>
      <c r="B31">
        <v>17.170000000000002</v>
      </c>
      <c r="C31" s="5">
        <f t="shared" si="0"/>
        <v>0.38172521120498004</v>
      </c>
      <c r="D31" t="str" cm="1">
        <f t="array" ref="D31">_xlfn.IFS(AND(C31&gt;20%, A31&gt;2000),"Excellent", AND(C31&lt;20%, C31&gt;10%),"Good",TRUE,"BAD")</f>
        <v>BAD</v>
      </c>
    </row>
    <row r="32" spans="1:4" x14ac:dyDescent="0.3">
      <c r="A32" s="8">
        <v>113.22</v>
      </c>
      <c r="B32">
        <v>25.18</v>
      </c>
      <c r="C32" s="5">
        <f t="shared" si="0"/>
        <v>0.22239886945769299</v>
      </c>
      <c r="D32" t="str" cm="1">
        <f t="array" ref="D32">_xlfn.IFS(AND(C32&gt;20%, A32&gt;2000),"Excellent", AND(C32&lt;20%, C32&gt;10%),"Good",TRUE,"BAD")</f>
        <v>BAD</v>
      </c>
    </row>
    <row r="33" spans="1:4" x14ac:dyDescent="0.3">
      <c r="A33" s="8">
        <v>477.6</v>
      </c>
      <c r="B33">
        <v>157.06</v>
      </c>
      <c r="C33" s="5">
        <f t="shared" si="0"/>
        <v>0.32885259631490787</v>
      </c>
      <c r="D33" t="str" cm="1">
        <f t="array" ref="D33">_xlfn.IFS(AND(C33&gt;20%, A33&gt;2000),"Excellent", AND(C33&lt;20%, C33&gt;10%),"Good",TRUE,"BAD")</f>
        <v>BAD</v>
      </c>
    </row>
    <row r="34" spans="1:4" x14ac:dyDescent="0.3">
      <c r="A34" s="8">
        <v>1123.98</v>
      </c>
      <c r="B34">
        <v>234.78</v>
      </c>
      <c r="C34" s="5">
        <f t="shared" si="0"/>
        <v>0.20888272033310201</v>
      </c>
      <c r="D34" t="str" cm="1">
        <f t="array" ref="D34">_xlfn.IFS(AND(C34&gt;20%, A34&gt;2000),"Excellent", AND(C34&lt;20%, C34&gt;10%),"Good",TRUE,"BAD")</f>
        <v>BAD</v>
      </c>
    </row>
    <row r="35" spans="1:4" x14ac:dyDescent="0.3">
      <c r="A35" s="8">
        <v>1127.78</v>
      </c>
      <c r="B35">
        <v>366.63</v>
      </c>
      <c r="C35" s="5">
        <f t="shared" si="0"/>
        <v>0.32508999982266046</v>
      </c>
      <c r="D35" t="str" cm="1">
        <f t="array" ref="D35">_xlfn.IFS(AND(C35&gt;20%, A35&gt;2000),"Excellent", AND(C35&lt;20%, C35&gt;10%),"Good",TRUE,"BAD")</f>
        <v>BAD</v>
      </c>
    </row>
    <row r="36" spans="1:4" x14ac:dyDescent="0.3">
      <c r="A36" s="8">
        <v>135.47999999999999</v>
      </c>
      <c r="B36">
        <v>28.89</v>
      </c>
      <c r="C36" s="5">
        <f t="shared" si="0"/>
        <v>0.21324180690876884</v>
      </c>
      <c r="D36" t="str" cm="1">
        <f t="array" ref="D36">_xlfn.IFS(AND(C36&gt;20%, A36&gt;2000),"Excellent", AND(C36&lt;20%, C36&gt;10%),"Good",TRUE,"BAD")</f>
        <v>BAD</v>
      </c>
    </row>
    <row r="37" spans="1:4" x14ac:dyDescent="0.3">
      <c r="A37" s="8">
        <v>646.5</v>
      </c>
      <c r="B37">
        <v>228.61</v>
      </c>
      <c r="C37" s="5">
        <f t="shared" si="0"/>
        <v>0.35361175560711527</v>
      </c>
      <c r="D37" t="str" cm="1">
        <f t="array" ref="D37">_xlfn.IFS(AND(C37&gt;20%, A37&gt;2000),"Excellent", AND(C37&lt;20%, C37&gt;10%),"Good",TRUE,"BAD")</f>
        <v>BAD</v>
      </c>
    </row>
    <row r="38" spans="1:4" x14ac:dyDescent="0.3">
      <c r="A38" s="8">
        <v>354.72</v>
      </c>
      <c r="B38">
        <v>63.32</v>
      </c>
      <c r="C38" s="5">
        <f t="shared" si="0"/>
        <v>0.17850699142986015</v>
      </c>
      <c r="D38" t="str" cm="1">
        <f t="array" ref="D38">_xlfn.IFS(AND(C38&gt;20%, A38&gt;2000),"Excellent", AND(C38&lt;20%, C38&gt;10%),"Good",TRUE,"BAD")</f>
        <v>Good</v>
      </c>
    </row>
    <row r="39" spans="1:4" x14ac:dyDescent="0.3">
      <c r="A39" s="8">
        <v>141.44</v>
      </c>
      <c r="B39">
        <v>32.78</v>
      </c>
      <c r="C39" s="5">
        <f t="shared" si="0"/>
        <v>0.23175904977375567</v>
      </c>
      <c r="D39" t="str" cm="1">
        <f t="array" ref="D39">_xlfn.IFS(AND(C39&gt;20%, A39&gt;2000),"Excellent", AND(C39&lt;20%, C39&gt;10%),"Good",TRUE,"BAD")</f>
        <v>BAD</v>
      </c>
    </row>
    <row r="40" spans="1:4" x14ac:dyDescent="0.3">
      <c r="A40" s="8">
        <v>879.76</v>
      </c>
      <c r="B40">
        <v>250.44</v>
      </c>
      <c r="C40" s="5">
        <f t="shared" si="0"/>
        <v>0.28466854596708191</v>
      </c>
      <c r="D40" t="str" cm="1">
        <f t="array" ref="D40">_xlfn.IFS(AND(C40&gt;20%, A40&gt;2000),"Excellent", AND(C40&lt;20%, C40&gt;10%),"Good",TRUE,"BAD")</f>
        <v>BAD</v>
      </c>
    </row>
    <row r="41" spans="1:4" x14ac:dyDescent="0.3">
      <c r="A41" s="8">
        <v>1929.2</v>
      </c>
      <c r="B41">
        <v>645.98</v>
      </c>
      <c r="C41" s="5">
        <f t="shared" si="0"/>
        <v>0.3348434584283641</v>
      </c>
      <c r="D41" t="str" cm="1">
        <f t="array" ref="D41">_xlfn.IFS(AND(C41&gt;20%, A41&gt;2000),"Excellent", AND(C41&lt;20%, C41&gt;10%),"Good",TRUE,"BAD")</f>
        <v>BAD</v>
      </c>
    </row>
    <row r="42" spans="1:4" x14ac:dyDescent="0.3">
      <c r="A42" s="8">
        <v>1391.54</v>
      </c>
      <c r="B42">
        <v>435.78</v>
      </c>
      <c r="C42" s="5">
        <f t="shared" si="0"/>
        <v>0.31316383287580662</v>
      </c>
      <c r="D42" t="str" cm="1">
        <f t="array" ref="D42">_xlfn.IFS(AND(C42&gt;20%, A42&gt;2000),"Excellent", AND(C42&lt;20%, C42&gt;10%),"Good",TRUE,"BAD")</f>
        <v>BAD</v>
      </c>
    </row>
    <row r="43" spans="1:4" x14ac:dyDescent="0.3">
      <c r="A43" s="8">
        <v>768.6</v>
      </c>
      <c r="B43">
        <v>258.52999999999997</v>
      </c>
      <c r="C43" s="5">
        <f t="shared" si="0"/>
        <v>0.33636481915170435</v>
      </c>
      <c r="D43" t="str" cm="1">
        <f t="array" ref="D43">_xlfn.IFS(AND(C43&gt;20%, A43&gt;2000),"Excellent", AND(C43&lt;20%, C43&gt;10%),"Good",TRUE,"BAD")</f>
        <v>BAD</v>
      </c>
    </row>
    <row r="44" spans="1:4" x14ac:dyDescent="0.3">
      <c r="A44" s="8">
        <v>806.61</v>
      </c>
      <c r="B44">
        <v>210.38</v>
      </c>
      <c r="C44" s="5">
        <f t="shared" si="0"/>
        <v>0.26081997495691844</v>
      </c>
      <c r="D44" t="str" cm="1">
        <f t="array" ref="D44">_xlfn.IFS(AND(C44&gt;20%, A44&gt;2000),"Excellent", AND(C44&lt;20%, C44&gt;10%),"Good",TRUE,"BAD")</f>
        <v>BAD</v>
      </c>
    </row>
    <row r="45" spans="1:4" x14ac:dyDescent="0.3">
      <c r="A45" s="8">
        <v>2500.4</v>
      </c>
      <c r="B45">
        <v>933.59</v>
      </c>
      <c r="C45" s="5">
        <f t="shared" si="0"/>
        <v>0.37337625979843225</v>
      </c>
      <c r="D45" t="str" cm="1">
        <f t="array" ref="D45">_xlfn.IFS(AND(C45&gt;20%, A45&gt;2000),"Excellent", AND(C45&lt;20%, C45&gt;10%),"Good",TRUE,"BAD")</f>
        <v>Excellent</v>
      </c>
    </row>
    <row r="46" spans="1:4" x14ac:dyDescent="0.3">
      <c r="A46" s="8">
        <v>286.55</v>
      </c>
      <c r="B46">
        <v>75.16</v>
      </c>
      <c r="C46" s="5">
        <f t="shared" si="0"/>
        <v>0.26229279357878205</v>
      </c>
      <c r="D46" t="str" cm="1">
        <f t="array" ref="D46">_xlfn.IFS(AND(C46&gt;20%, A46&gt;2000),"Excellent", AND(C46&lt;20%, C46&gt;10%),"Good",TRUE,"BAD")</f>
        <v>BAD</v>
      </c>
    </row>
    <row r="47" spans="1:4" x14ac:dyDescent="0.3">
      <c r="A47" s="8">
        <v>1226.82</v>
      </c>
      <c r="B47">
        <v>430.27</v>
      </c>
      <c r="C47" s="5">
        <f t="shared" si="0"/>
        <v>0.35071974698814823</v>
      </c>
      <c r="D47" t="str" cm="1">
        <f t="array" ref="D47">_xlfn.IFS(AND(C47&gt;20%, A47&gt;2000),"Excellent", AND(C47&lt;20%, C47&gt;10%),"Good",TRUE,"BAD")</f>
        <v>BAD</v>
      </c>
    </row>
    <row r="48" spans="1:4" x14ac:dyDescent="0.3">
      <c r="A48" s="8">
        <v>514.08000000000004</v>
      </c>
      <c r="B48">
        <v>155.34</v>
      </c>
      <c r="C48" s="5">
        <f t="shared" si="0"/>
        <v>0.30217086834733892</v>
      </c>
      <c r="D48" t="str" cm="1">
        <f t="array" ref="D48">_xlfn.IFS(AND(C48&gt;20%, A48&gt;2000),"Excellent", AND(C48&lt;20%, C48&gt;10%),"Good",TRUE,"BAD")</f>
        <v>BAD</v>
      </c>
    </row>
    <row r="49" spans="1:4" x14ac:dyDescent="0.3">
      <c r="A49" s="8">
        <v>556.02</v>
      </c>
      <c r="B49">
        <v>220.02</v>
      </c>
      <c r="C49" s="5">
        <f t="shared" si="0"/>
        <v>0.39570519046077485</v>
      </c>
      <c r="D49" t="str" cm="1">
        <f t="array" ref="D49">_xlfn.IFS(AND(C49&gt;20%, A49&gt;2000),"Excellent", AND(C49&lt;20%, C49&gt;10%),"Good",TRUE,"BAD")</f>
        <v>BAD</v>
      </c>
    </row>
    <row r="50" spans="1:4" x14ac:dyDescent="0.3">
      <c r="A50" s="8">
        <v>1100.6099999999999</v>
      </c>
      <c r="B50">
        <v>284.51</v>
      </c>
      <c r="C50" s="5">
        <f t="shared" si="0"/>
        <v>0.25850210337903529</v>
      </c>
      <c r="D50" t="str" cm="1">
        <f t="array" ref="D50">_xlfn.IFS(AND(C50&gt;20%, A50&gt;2000),"Excellent", AND(C50&lt;20%, C50&gt;10%),"Good",TRUE,"BAD")</f>
        <v>BAD</v>
      </c>
    </row>
    <row r="51" spans="1:4" x14ac:dyDescent="0.3">
      <c r="A51" s="8">
        <v>656.88</v>
      </c>
      <c r="B51">
        <v>167.02</v>
      </c>
      <c r="C51" s="5">
        <f t="shared" si="0"/>
        <v>0.25426257459505541</v>
      </c>
      <c r="D51" t="str" cm="1">
        <f t="array" ref="D51">_xlfn.IFS(AND(C51&gt;20%, A51&gt;2000),"Excellent", AND(C51&lt;20%, C51&gt;10%),"Good",TRUE,"BAD")</f>
        <v>BAD</v>
      </c>
    </row>
    <row r="52" spans="1:4" x14ac:dyDescent="0.3">
      <c r="A52" s="8">
        <v>1057.3900000000001</v>
      </c>
      <c r="B52">
        <v>248.17</v>
      </c>
      <c r="C52" s="5">
        <f t="shared" si="0"/>
        <v>0.23470053622599038</v>
      </c>
      <c r="D52" t="str" cm="1">
        <f t="array" ref="D52">_xlfn.IFS(AND(C52&gt;20%, A52&gt;2000),"Excellent", AND(C52&lt;20%, C52&gt;10%),"Good",TRUE,"BAD")</f>
        <v>BAD</v>
      </c>
    </row>
    <row r="53" spans="1:4" x14ac:dyDescent="0.3">
      <c r="A53" s="8">
        <v>1686.33</v>
      </c>
      <c r="B53">
        <v>458.21</v>
      </c>
      <c r="C53" s="5">
        <f t="shared" si="0"/>
        <v>0.27172024455474314</v>
      </c>
      <c r="D53" t="str" cm="1">
        <f t="array" ref="D53">_xlfn.IFS(AND(C53&gt;20%, A53&gt;2000),"Excellent", AND(C53&lt;20%, C53&gt;10%),"Good",TRUE,"BAD")</f>
        <v>BAD</v>
      </c>
    </row>
    <row r="54" spans="1:4" x14ac:dyDescent="0.3">
      <c r="A54" s="8">
        <v>1837.11</v>
      </c>
      <c r="B54">
        <v>372.79</v>
      </c>
      <c r="C54" s="5">
        <f t="shared" si="0"/>
        <v>0.2029219807197174</v>
      </c>
      <c r="D54" t="str" cm="1">
        <f t="array" ref="D54">_xlfn.IFS(AND(C54&gt;20%, A54&gt;2000),"Excellent", AND(C54&lt;20%, C54&gt;10%),"Good",TRUE,"BAD")</f>
        <v>BAD</v>
      </c>
    </row>
    <row r="55" spans="1:4" x14ac:dyDescent="0.3">
      <c r="A55" s="8">
        <v>915.66</v>
      </c>
      <c r="B55">
        <v>145.72999999999999</v>
      </c>
      <c r="C55" s="5">
        <f t="shared" si="0"/>
        <v>0.15915296070593887</v>
      </c>
      <c r="D55" t="str" cm="1">
        <f t="array" ref="D55">_xlfn.IFS(AND(C55&gt;20%, A55&gt;2000),"Excellent", AND(C55&lt;20%, C55&gt;10%),"Good",TRUE,"BAD")</f>
        <v>Good</v>
      </c>
    </row>
    <row r="56" spans="1:4" x14ac:dyDescent="0.3">
      <c r="A56" s="8">
        <v>373.8</v>
      </c>
      <c r="B56">
        <v>144.96</v>
      </c>
      <c r="C56" s="5">
        <f t="shared" si="0"/>
        <v>0.38780096308186196</v>
      </c>
      <c r="D56" t="str" cm="1">
        <f t="array" ref="D56">_xlfn.IFS(AND(C56&gt;20%, A56&gt;2000),"Excellent", AND(C56&lt;20%, C56&gt;10%),"Good",TRUE,"BAD")</f>
        <v>BAD</v>
      </c>
    </row>
    <row r="57" spans="1:4" x14ac:dyDescent="0.3">
      <c r="A57" s="8">
        <v>463.36</v>
      </c>
      <c r="B57">
        <v>139.71</v>
      </c>
      <c r="C57" s="5">
        <f t="shared" si="0"/>
        <v>0.30151502071823205</v>
      </c>
      <c r="D57" t="str" cm="1">
        <f t="array" ref="D57">_xlfn.IFS(AND(C57&gt;20%, A57&gt;2000),"Excellent", AND(C57&lt;20%, C57&gt;10%),"Good",TRUE,"BAD")</f>
        <v>BAD</v>
      </c>
    </row>
    <row r="58" spans="1:4" x14ac:dyDescent="0.3">
      <c r="A58" s="8">
        <v>1082.4100000000001</v>
      </c>
      <c r="B58">
        <v>186.29</v>
      </c>
      <c r="C58" s="5">
        <f t="shared" si="0"/>
        <v>0.1721066878539555</v>
      </c>
      <c r="D58" t="str" cm="1">
        <f t="array" ref="D58">_xlfn.IFS(AND(C58&gt;20%, A58&gt;2000),"Excellent", AND(C58&lt;20%, C58&gt;10%),"Good",TRUE,"BAD")</f>
        <v>Good</v>
      </c>
    </row>
    <row r="59" spans="1:4" x14ac:dyDescent="0.3">
      <c r="A59" s="8">
        <v>900.54</v>
      </c>
      <c r="B59">
        <v>202.1</v>
      </c>
      <c r="C59" s="5">
        <f t="shared" si="0"/>
        <v>0.22442090301374731</v>
      </c>
      <c r="D59" t="str" cm="1">
        <f t="array" ref="D59">_xlfn.IFS(AND(C59&gt;20%, A59&gt;2000),"Excellent", AND(C59&lt;20%, C59&gt;10%),"Good",TRUE,"BAD")</f>
        <v>BAD</v>
      </c>
    </row>
    <row r="60" spans="1:4" x14ac:dyDescent="0.3">
      <c r="A60" s="8">
        <v>1218.6600000000001</v>
      </c>
      <c r="B60">
        <v>214.17</v>
      </c>
      <c r="C60" s="5">
        <f t="shared" si="0"/>
        <v>0.17574220865540838</v>
      </c>
      <c r="D60" t="str" cm="1">
        <f t="array" ref="D60">_xlfn.IFS(AND(C60&gt;20%, A60&gt;2000),"Excellent", AND(C60&lt;20%, C60&gt;10%),"Good",TRUE,"BAD")</f>
        <v>Good</v>
      </c>
    </row>
    <row r="61" spans="1:4" x14ac:dyDescent="0.3">
      <c r="A61" s="8">
        <v>1172.08</v>
      </c>
      <c r="B61">
        <v>375.08</v>
      </c>
      <c r="C61" s="5">
        <f t="shared" si="0"/>
        <v>0.32001228585079516</v>
      </c>
      <c r="D61" t="str" cm="1">
        <f t="array" ref="D61">_xlfn.IFS(AND(C61&gt;20%, A61&gt;2000),"Excellent", AND(C61&lt;20%, C61&gt;10%),"Good",TRUE,"BAD")</f>
        <v>BAD</v>
      </c>
    </row>
    <row r="62" spans="1:4" x14ac:dyDescent="0.3">
      <c r="A62" s="8">
        <v>3247.6</v>
      </c>
      <c r="B62">
        <v>1240.69</v>
      </c>
      <c r="C62" s="5">
        <f t="shared" si="0"/>
        <v>0.3820328858233773</v>
      </c>
      <c r="D62" t="str" cm="1">
        <f t="array" ref="D62">_xlfn.IFS(AND(C62&gt;20%, A62&gt;2000),"Excellent", AND(C62&lt;20%, C62&gt;10%),"Good",TRUE,"BAD")</f>
        <v>Excellent</v>
      </c>
    </row>
    <row r="63" spans="1:4" x14ac:dyDescent="0.3">
      <c r="A63" s="8">
        <v>800.4</v>
      </c>
      <c r="B63">
        <v>144.11000000000001</v>
      </c>
      <c r="C63" s="5">
        <f t="shared" si="0"/>
        <v>0.18004747626186909</v>
      </c>
      <c r="D63" t="str" cm="1">
        <f t="array" ref="D63">_xlfn.IFS(AND(C63&gt;20%, A63&gt;2000),"Excellent", AND(C63&lt;20%, C63&gt;10%),"Good",TRUE,"BAD")</f>
        <v>Good</v>
      </c>
    </row>
    <row r="64" spans="1:4" x14ac:dyDescent="0.3">
      <c r="A64" s="8">
        <v>1673.28</v>
      </c>
      <c r="B64">
        <v>196.54</v>
      </c>
      <c r="C64" s="5">
        <f t="shared" si="0"/>
        <v>0.11745792694587875</v>
      </c>
      <c r="D64" t="str" cm="1">
        <f t="array" ref="D64">_xlfn.IFS(AND(C64&gt;20%, A64&gt;2000),"Excellent", AND(C64&lt;20%, C64&gt;10%),"Good",TRUE,"BAD")</f>
        <v>Good</v>
      </c>
    </row>
    <row r="65" spans="1:4" x14ac:dyDescent="0.3">
      <c r="A65" s="8">
        <v>1186.06</v>
      </c>
      <c r="B65">
        <v>341.73</v>
      </c>
      <c r="C65" s="5">
        <f t="shared" si="0"/>
        <v>0.28812201743588017</v>
      </c>
      <c r="D65" t="str" cm="1">
        <f t="array" ref="D65">_xlfn.IFS(AND(C65&gt;20%, A65&gt;2000),"Excellent", AND(C65&lt;20%, C65&gt;10%),"Good",TRUE,"BAD")</f>
        <v>BAD</v>
      </c>
    </row>
    <row r="66" spans="1:4" x14ac:dyDescent="0.3">
      <c r="A66" s="8">
        <v>46.18</v>
      </c>
      <c r="B66">
        <v>12.66</v>
      </c>
      <c r="C66" s="5">
        <f t="shared" si="0"/>
        <v>0.27414465136422694</v>
      </c>
      <c r="D66" t="str" cm="1">
        <f t="array" ref="D66">_xlfn.IFS(AND(C66&gt;20%, A66&gt;2000),"Excellent", AND(C66&lt;20%, C66&gt;10%),"Good",TRUE,"BAD")</f>
        <v>BAD</v>
      </c>
    </row>
    <row r="67" spans="1:4" x14ac:dyDescent="0.3">
      <c r="A67" s="8">
        <v>1872.4</v>
      </c>
      <c r="B67">
        <v>549.39</v>
      </c>
      <c r="C67" s="5">
        <f t="shared" ref="C67:C130" si="1">B67/A67</f>
        <v>0.29341486861781668</v>
      </c>
      <c r="D67" t="str" cm="1">
        <f t="array" ref="D67">_xlfn.IFS(AND(C67&gt;20%, A67&gt;2000),"Excellent", AND(C67&lt;20%, C67&gt;10%),"Good",TRUE,"BAD")</f>
        <v>BAD</v>
      </c>
    </row>
    <row r="68" spans="1:4" x14ac:dyDescent="0.3">
      <c r="A68" s="8">
        <v>2451.4299999999998</v>
      </c>
      <c r="B68">
        <v>960.39</v>
      </c>
      <c r="C68" s="5">
        <f t="shared" si="1"/>
        <v>0.39176725421488684</v>
      </c>
      <c r="D68" t="str" cm="1">
        <f t="array" ref="D68">_xlfn.IFS(AND(C68&gt;20%, A68&gt;2000),"Excellent", AND(C68&lt;20%, C68&gt;10%),"Good",TRUE,"BAD")</f>
        <v>Excellent</v>
      </c>
    </row>
    <row r="69" spans="1:4" x14ac:dyDescent="0.3">
      <c r="A69" s="8">
        <v>333.45</v>
      </c>
      <c r="B69">
        <v>125.31</v>
      </c>
      <c r="C69" s="5">
        <f t="shared" si="1"/>
        <v>0.37579847053531268</v>
      </c>
      <c r="D69" t="str" cm="1">
        <f t="array" ref="D69">_xlfn.IFS(AND(C69&gt;20%, A69&gt;2000),"Excellent", AND(C69&lt;20%, C69&gt;10%),"Good",TRUE,"BAD")</f>
        <v>BAD</v>
      </c>
    </row>
    <row r="70" spans="1:4" x14ac:dyDescent="0.3">
      <c r="A70" s="8">
        <v>288.45</v>
      </c>
      <c r="B70">
        <v>35.729999999999997</v>
      </c>
      <c r="C70" s="5">
        <f t="shared" si="1"/>
        <v>0.12386895475819032</v>
      </c>
      <c r="D70" t="str" cm="1">
        <f t="array" ref="D70">_xlfn.IFS(AND(C70&gt;20%, A70&gt;2000),"Excellent", AND(C70&lt;20%, C70&gt;10%),"Good",TRUE,"BAD")</f>
        <v>Good</v>
      </c>
    </row>
    <row r="71" spans="1:4" x14ac:dyDescent="0.3">
      <c r="A71" s="8">
        <v>1548.36</v>
      </c>
      <c r="B71">
        <v>559.6</v>
      </c>
      <c r="C71" s="5">
        <f t="shared" si="1"/>
        <v>0.36141465808984996</v>
      </c>
      <c r="D71" t="str" cm="1">
        <f t="array" ref="D71">_xlfn.IFS(AND(C71&gt;20%, A71&gt;2000),"Excellent", AND(C71&lt;20%, C71&gt;10%),"Good",TRUE,"BAD")</f>
        <v>BAD</v>
      </c>
    </row>
    <row r="72" spans="1:4" x14ac:dyDescent="0.3">
      <c r="A72" s="8">
        <v>2108.04</v>
      </c>
      <c r="B72">
        <v>676.34</v>
      </c>
      <c r="C72" s="5">
        <f t="shared" si="1"/>
        <v>0.32083831426348647</v>
      </c>
      <c r="D72" t="str" cm="1">
        <f t="array" ref="D72">_xlfn.IFS(AND(C72&gt;20%, A72&gt;2000),"Excellent", AND(C72&lt;20%, C72&gt;10%),"Good",TRUE,"BAD")</f>
        <v>Excellent</v>
      </c>
    </row>
    <row r="73" spans="1:4" x14ac:dyDescent="0.3">
      <c r="A73" s="8">
        <v>989.82</v>
      </c>
      <c r="B73">
        <v>237</v>
      </c>
      <c r="C73" s="5">
        <f t="shared" si="1"/>
        <v>0.23943747348002667</v>
      </c>
      <c r="D73" t="str" cm="1">
        <f t="array" ref="D73">_xlfn.IFS(AND(C73&gt;20%, A73&gt;2000),"Excellent", AND(C73&lt;20%, C73&gt;10%),"Good",TRUE,"BAD")</f>
        <v>BAD</v>
      </c>
    </row>
    <row r="74" spans="1:4" x14ac:dyDescent="0.3">
      <c r="A74" s="8">
        <v>350.82</v>
      </c>
      <c r="B74">
        <v>100.26</v>
      </c>
      <c r="C74" s="5">
        <f t="shared" si="1"/>
        <v>0.28578758337609034</v>
      </c>
      <c r="D74" t="str" cm="1">
        <f t="array" ref="D74">_xlfn.IFS(AND(C74&gt;20%, A74&gt;2000),"Excellent", AND(C74&lt;20%, C74&gt;10%),"Good",TRUE,"BAD")</f>
        <v>BAD</v>
      </c>
    </row>
    <row r="75" spans="1:4" x14ac:dyDescent="0.3">
      <c r="A75" s="8">
        <v>502.04</v>
      </c>
      <c r="B75">
        <v>181.91</v>
      </c>
      <c r="C75" s="5">
        <f t="shared" si="1"/>
        <v>0.36234164608397734</v>
      </c>
      <c r="D75" t="str" cm="1">
        <f t="array" ref="D75">_xlfn.IFS(AND(C75&gt;20%, A75&gt;2000),"Excellent", AND(C75&lt;20%, C75&gt;10%),"Good",TRUE,"BAD")</f>
        <v>BAD</v>
      </c>
    </row>
    <row r="76" spans="1:4" x14ac:dyDescent="0.3">
      <c r="A76" s="8">
        <v>1047.1300000000001</v>
      </c>
      <c r="B76">
        <v>221.65</v>
      </c>
      <c r="C76" s="5">
        <f t="shared" si="1"/>
        <v>0.21167381318460934</v>
      </c>
      <c r="D76" t="str" cm="1">
        <f t="array" ref="D76">_xlfn.IFS(AND(C76&gt;20%, A76&gt;2000),"Excellent", AND(C76&lt;20%, C76&gt;10%),"Good",TRUE,"BAD")</f>
        <v>BAD</v>
      </c>
    </row>
    <row r="77" spans="1:4" x14ac:dyDescent="0.3">
      <c r="A77" s="8">
        <v>1031.94</v>
      </c>
      <c r="B77">
        <v>219.49</v>
      </c>
      <c r="C77" s="5">
        <f t="shared" si="1"/>
        <v>0.2126964746012365</v>
      </c>
      <c r="D77" t="str" cm="1">
        <f t="array" ref="D77">_xlfn.IFS(AND(C77&gt;20%, A77&gt;2000),"Excellent", AND(C77&lt;20%, C77&gt;10%),"Good",TRUE,"BAD")</f>
        <v>BAD</v>
      </c>
    </row>
    <row r="78" spans="1:4" x14ac:dyDescent="0.3">
      <c r="A78" s="8">
        <v>1108.3800000000001</v>
      </c>
      <c r="B78">
        <v>307.82</v>
      </c>
      <c r="C78" s="5">
        <f t="shared" si="1"/>
        <v>0.27772063732654861</v>
      </c>
      <c r="D78" t="str" cm="1">
        <f t="array" ref="D78">_xlfn.IFS(AND(C78&gt;20%, A78&gt;2000),"Excellent", AND(C78&lt;20%, C78&gt;10%),"Good",TRUE,"BAD")</f>
        <v>BAD</v>
      </c>
    </row>
    <row r="79" spans="1:4" x14ac:dyDescent="0.3">
      <c r="A79" s="8">
        <v>1486.5</v>
      </c>
      <c r="B79">
        <v>389.73</v>
      </c>
      <c r="C79" s="5">
        <f t="shared" si="1"/>
        <v>0.26217961654894045</v>
      </c>
      <c r="D79" t="str" cm="1">
        <f t="array" ref="D79">_xlfn.IFS(AND(C79&gt;20%, A79&gt;2000),"Excellent", AND(C79&lt;20%, C79&gt;10%),"Good",TRUE,"BAD")</f>
        <v>BAD</v>
      </c>
    </row>
    <row r="80" spans="1:4" x14ac:dyDescent="0.3">
      <c r="A80" s="8">
        <v>801.84</v>
      </c>
      <c r="B80">
        <v>153.79</v>
      </c>
      <c r="C80" s="5">
        <f t="shared" si="1"/>
        <v>0.19179636835278857</v>
      </c>
      <c r="D80" t="str" cm="1">
        <f t="array" ref="D80">_xlfn.IFS(AND(C80&gt;20%, A80&gt;2000),"Excellent", AND(C80&lt;20%, C80&gt;10%),"Good",TRUE,"BAD")</f>
        <v>Good</v>
      </c>
    </row>
    <row r="81" spans="1:4" x14ac:dyDescent="0.3">
      <c r="A81" s="8">
        <v>1169.28</v>
      </c>
      <c r="B81">
        <v>343.68</v>
      </c>
      <c r="C81" s="5">
        <f t="shared" si="1"/>
        <v>0.29392446633825947</v>
      </c>
      <c r="D81" t="str" cm="1">
        <f t="array" ref="D81">_xlfn.IFS(AND(C81&gt;20%, A81&gt;2000),"Excellent", AND(C81&lt;20%, C81&gt;10%),"Good",TRUE,"BAD")</f>
        <v>BAD</v>
      </c>
    </row>
    <row r="82" spans="1:4" x14ac:dyDescent="0.3">
      <c r="A82" s="8">
        <v>1118</v>
      </c>
      <c r="B82">
        <v>180.41</v>
      </c>
      <c r="C82" s="5">
        <f t="shared" si="1"/>
        <v>0.16136851520572451</v>
      </c>
      <c r="D82" t="str" cm="1">
        <f t="array" ref="D82">_xlfn.IFS(AND(C82&gt;20%, A82&gt;2000),"Excellent", AND(C82&lt;20%, C82&gt;10%),"Good",TRUE,"BAD")</f>
        <v>Good</v>
      </c>
    </row>
    <row r="83" spans="1:4" x14ac:dyDescent="0.3">
      <c r="A83" s="8">
        <v>843.99</v>
      </c>
      <c r="B83">
        <v>223.59</v>
      </c>
      <c r="C83" s="5">
        <f t="shared" si="1"/>
        <v>0.26492020047630899</v>
      </c>
      <c r="D83" t="str" cm="1">
        <f t="array" ref="D83">_xlfn.IFS(AND(C83&gt;20%, A83&gt;2000),"Excellent", AND(C83&lt;20%, C83&gt;10%),"Good",TRUE,"BAD")</f>
        <v>BAD</v>
      </c>
    </row>
    <row r="84" spans="1:4" x14ac:dyDescent="0.3">
      <c r="A84" s="8">
        <v>433.42</v>
      </c>
      <c r="B84">
        <v>69.13</v>
      </c>
      <c r="C84" s="5">
        <f t="shared" si="1"/>
        <v>0.15949886945687783</v>
      </c>
      <c r="D84" t="str" cm="1">
        <f t="array" ref="D84">_xlfn.IFS(AND(C84&gt;20%, A84&gt;2000),"Excellent", AND(C84&lt;20%, C84&gt;10%),"Good",TRUE,"BAD")</f>
        <v>Good</v>
      </c>
    </row>
    <row r="85" spans="1:4" x14ac:dyDescent="0.3">
      <c r="A85" s="8">
        <v>1115.8</v>
      </c>
      <c r="B85">
        <v>175.93</v>
      </c>
      <c r="C85" s="5">
        <f t="shared" si="1"/>
        <v>0.15767162573937982</v>
      </c>
      <c r="D85" t="str" cm="1">
        <f t="array" ref="D85">_xlfn.IFS(AND(C85&gt;20%, A85&gt;2000),"Excellent", AND(C85&lt;20%, C85&gt;10%),"Good",TRUE,"BAD")</f>
        <v>Good</v>
      </c>
    </row>
    <row r="86" spans="1:4" x14ac:dyDescent="0.3">
      <c r="A86" s="8">
        <v>750.59</v>
      </c>
      <c r="B86">
        <v>102.79</v>
      </c>
      <c r="C86" s="5">
        <f t="shared" si="1"/>
        <v>0.13694560279246992</v>
      </c>
      <c r="D86" t="str" cm="1">
        <f t="array" ref="D86">_xlfn.IFS(AND(C86&gt;20%, A86&gt;2000),"Excellent", AND(C86&lt;20%, C86&gt;10%),"Good",TRUE,"BAD")</f>
        <v>Good</v>
      </c>
    </row>
    <row r="87" spans="1:4" x14ac:dyDescent="0.3">
      <c r="A87" s="8">
        <v>1500.8</v>
      </c>
      <c r="B87">
        <v>312.25</v>
      </c>
      <c r="C87" s="5">
        <f t="shared" si="1"/>
        <v>0.20805570362473347</v>
      </c>
      <c r="D87" t="str" cm="1">
        <f t="array" ref="D87">_xlfn.IFS(AND(C87&gt;20%, A87&gt;2000),"Excellent", AND(C87&lt;20%, C87&gt;10%),"Good",TRUE,"BAD")</f>
        <v>BAD</v>
      </c>
    </row>
    <row r="88" spans="1:4" x14ac:dyDescent="0.3">
      <c r="A88" s="8">
        <v>1481.85</v>
      </c>
      <c r="B88">
        <v>400.25</v>
      </c>
      <c r="C88" s="5">
        <f t="shared" si="1"/>
        <v>0.2701015622363937</v>
      </c>
      <c r="D88" t="str" cm="1">
        <f t="array" ref="D88">_xlfn.IFS(AND(C88&gt;20%, A88&gt;2000),"Excellent", AND(C88&lt;20%, C88&gt;10%),"Good",TRUE,"BAD")</f>
        <v>BAD</v>
      </c>
    </row>
    <row r="89" spans="1:4" x14ac:dyDescent="0.3">
      <c r="A89" s="8">
        <v>1968.3</v>
      </c>
      <c r="B89">
        <v>312.75</v>
      </c>
      <c r="C89" s="5">
        <f t="shared" si="1"/>
        <v>0.15889346136259716</v>
      </c>
      <c r="D89" t="str" cm="1">
        <f t="array" ref="D89">_xlfn.IFS(AND(C89&gt;20%, A89&gt;2000),"Excellent", AND(C89&lt;20%, C89&gt;10%),"Good",TRUE,"BAD")</f>
        <v>Good</v>
      </c>
    </row>
    <row r="90" spans="1:4" x14ac:dyDescent="0.3">
      <c r="A90" s="8">
        <v>221.67</v>
      </c>
      <c r="B90">
        <v>68.64</v>
      </c>
      <c r="C90" s="5">
        <f t="shared" si="1"/>
        <v>0.30964947895520373</v>
      </c>
      <c r="D90" t="str" cm="1">
        <f t="array" ref="D90">_xlfn.IFS(AND(C90&gt;20%, A90&gt;2000),"Excellent", AND(C90&lt;20%, C90&gt;10%),"Good",TRUE,"BAD")</f>
        <v>BAD</v>
      </c>
    </row>
    <row r="91" spans="1:4" x14ac:dyDescent="0.3">
      <c r="A91" s="8">
        <v>130.74</v>
      </c>
      <c r="B91">
        <v>29.99</v>
      </c>
      <c r="C91" s="5">
        <f t="shared" si="1"/>
        <v>0.22938656876242922</v>
      </c>
      <c r="D91" t="str" cm="1">
        <f t="array" ref="D91">_xlfn.IFS(AND(C91&gt;20%, A91&gt;2000),"Excellent", AND(C91&lt;20%, C91&gt;10%),"Good",TRUE,"BAD")</f>
        <v>BAD</v>
      </c>
    </row>
    <row r="92" spans="1:4" x14ac:dyDescent="0.3">
      <c r="A92" s="8">
        <v>1343.89</v>
      </c>
      <c r="B92">
        <v>500.16</v>
      </c>
      <c r="C92" s="5">
        <f t="shared" si="1"/>
        <v>0.37217331775666163</v>
      </c>
      <c r="D92" t="str" cm="1">
        <f t="array" ref="D92">_xlfn.IFS(AND(C92&gt;20%, A92&gt;2000),"Excellent", AND(C92&lt;20%, C92&gt;10%),"Good",TRUE,"BAD")</f>
        <v>BAD</v>
      </c>
    </row>
    <row r="93" spans="1:4" x14ac:dyDescent="0.3">
      <c r="A93" s="8">
        <v>1274.1400000000001</v>
      </c>
      <c r="B93">
        <v>428.41</v>
      </c>
      <c r="C93" s="5">
        <f t="shared" si="1"/>
        <v>0.33623463669612441</v>
      </c>
      <c r="D93" t="str" cm="1">
        <f t="array" ref="D93">_xlfn.IFS(AND(C93&gt;20%, A93&gt;2000),"Excellent", AND(C93&lt;20%, C93&gt;10%),"Good",TRUE,"BAD")</f>
        <v>BAD</v>
      </c>
    </row>
    <row r="94" spans="1:4" x14ac:dyDescent="0.3">
      <c r="A94" s="8">
        <v>100.52</v>
      </c>
      <c r="B94">
        <v>22.92</v>
      </c>
      <c r="C94" s="5">
        <f t="shared" si="1"/>
        <v>0.22801432550736175</v>
      </c>
      <c r="D94" t="str" cm="1">
        <f t="array" ref="D94">_xlfn.IFS(AND(C94&gt;20%, A94&gt;2000),"Excellent", AND(C94&lt;20%, C94&gt;10%),"Good",TRUE,"BAD")</f>
        <v>BAD</v>
      </c>
    </row>
    <row r="95" spans="1:4" x14ac:dyDescent="0.3">
      <c r="A95" s="8">
        <v>502.84</v>
      </c>
      <c r="B95">
        <v>73.33</v>
      </c>
      <c r="C95" s="5">
        <f t="shared" si="1"/>
        <v>0.14583167607986636</v>
      </c>
      <c r="D95" t="str" cm="1">
        <f t="array" ref="D95">_xlfn.IFS(AND(C95&gt;20%, A95&gt;2000),"Excellent", AND(C95&lt;20%, C95&gt;10%),"Good",TRUE,"BAD")</f>
        <v>Good</v>
      </c>
    </row>
    <row r="96" spans="1:4" x14ac:dyDescent="0.3">
      <c r="A96" s="8">
        <v>931.06</v>
      </c>
      <c r="B96">
        <v>350</v>
      </c>
      <c r="C96" s="5">
        <f t="shared" si="1"/>
        <v>0.37591562305329412</v>
      </c>
      <c r="D96" t="str" cm="1">
        <f t="array" ref="D96">_xlfn.IFS(AND(C96&gt;20%, A96&gt;2000),"Excellent", AND(C96&lt;20%, C96&gt;10%),"Good",TRUE,"BAD")</f>
        <v>BAD</v>
      </c>
    </row>
    <row r="97" spans="1:4" x14ac:dyDescent="0.3">
      <c r="A97" s="8">
        <v>1677.9</v>
      </c>
      <c r="B97">
        <v>638.95000000000005</v>
      </c>
      <c r="C97" s="5">
        <f t="shared" si="1"/>
        <v>0.38080338518386081</v>
      </c>
      <c r="D97" t="str" cm="1">
        <f t="array" ref="D97">_xlfn.IFS(AND(C97&gt;20%, A97&gt;2000),"Excellent", AND(C97&lt;20%, C97&gt;10%),"Good",TRUE,"BAD")</f>
        <v>BAD</v>
      </c>
    </row>
    <row r="98" spans="1:4" x14ac:dyDescent="0.3">
      <c r="A98" s="8">
        <v>1899.24</v>
      </c>
      <c r="B98">
        <v>456.33</v>
      </c>
      <c r="C98" s="5">
        <f t="shared" si="1"/>
        <v>0.24026979212737726</v>
      </c>
      <c r="D98" t="str" cm="1">
        <f t="array" ref="D98">_xlfn.IFS(AND(C98&gt;20%, A98&gt;2000),"Excellent", AND(C98&lt;20%, C98&gt;10%),"Good",TRUE,"BAD")</f>
        <v>BAD</v>
      </c>
    </row>
    <row r="99" spans="1:4" x14ac:dyDescent="0.3">
      <c r="A99" s="8">
        <v>45.84</v>
      </c>
      <c r="B99">
        <v>16.579999999999998</v>
      </c>
      <c r="C99" s="5">
        <f t="shared" si="1"/>
        <v>0.3616928446771378</v>
      </c>
      <c r="D99" t="str" cm="1">
        <f t="array" ref="D99">_xlfn.IFS(AND(C99&gt;20%, A99&gt;2000),"Excellent", AND(C99&lt;20%, C99&gt;10%),"Good",TRUE,"BAD")</f>
        <v>BAD</v>
      </c>
    </row>
    <row r="100" spans="1:4" x14ac:dyDescent="0.3">
      <c r="A100" s="8">
        <v>1000.92</v>
      </c>
      <c r="B100">
        <v>269.04000000000002</v>
      </c>
      <c r="C100" s="5">
        <f t="shared" si="1"/>
        <v>0.26879271070615035</v>
      </c>
      <c r="D100" t="str" cm="1">
        <f t="array" ref="D100">_xlfn.IFS(AND(C100&gt;20%, A100&gt;2000),"Excellent", AND(C100&lt;20%, C100&gt;10%),"Good",TRUE,"BAD")</f>
        <v>BAD</v>
      </c>
    </row>
    <row r="101" spans="1:4" x14ac:dyDescent="0.3">
      <c r="A101" s="8">
        <v>1092.9000000000001</v>
      </c>
      <c r="B101">
        <v>280.93</v>
      </c>
      <c r="C101" s="5">
        <f t="shared" si="1"/>
        <v>0.25705005032482386</v>
      </c>
      <c r="D101" t="str" cm="1">
        <f t="array" ref="D101">_xlfn.IFS(AND(C101&gt;20%, A101&gt;2000),"Excellent", AND(C101&lt;20%, C101&gt;10%),"Good",TRUE,"BAD")</f>
        <v>BAD</v>
      </c>
    </row>
    <row r="102" spans="1:4" x14ac:dyDescent="0.3">
      <c r="A102" s="8">
        <v>200.43</v>
      </c>
      <c r="B102">
        <v>72.47</v>
      </c>
      <c r="C102" s="5">
        <f t="shared" si="1"/>
        <v>0.36157261886943071</v>
      </c>
      <c r="D102" t="str" cm="1">
        <f t="array" ref="D102">_xlfn.IFS(AND(C102&gt;20%, A102&gt;2000),"Excellent", AND(C102&lt;20%, C102&gt;10%),"Good",TRUE,"BAD")</f>
        <v>BAD</v>
      </c>
    </row>
    <row r="103" spans="1:4" x14ac:dyDescent="0.3">
      <c r="A103" s="8">
        <v>718.9</v>
      </c>
      <c r="B103">
        <v>269.64999999999998</v>
      </c>
      <c r="C103" s="5">
        <f t="shared" si="1"/>
        <v>0.37508693837807761</v>
      </c>
      <c r="D103" t="str" cm="1">
        <f t="array" ref="D103">_xlfn.IFS(AND(C103&gt;20%, A103&gt;2000),"Excellent", AND(C103&lt;20%, C103&gt;10%),"Good",TRUE,"BAD")</f>
        <v>BAD</v>
      </c>
    </row>
    <row r="104" spans="1:4" x14ac:dyDescent="0.3">
      <c r="A104" s="8">
        <v>516.35</v>
      </c>
      <c r="B104">
        <v>144.16999999999999</v>
      </c>
      <c r="C104" s="5">
        <f t="shared" si="1"/>
        <v>0.2792098382879829</v>
      </c>
      <c r="D104" t="str" cm="1">
        <f t="array" ref="D104">_xlfn.IFS(AND(C104&gt;20%, A104&gt;2000),"Excellent", AND(C104&lt;20%, C104&gt;10%),"Good",TRUE,"BAD")</f>
        <v>BAD</v>
      </c>
    </row>
    <row r="105" spans="1:4" x14ac:dyDescent="0.3">
      <c r="A105" s="8">
        <v>657.9</v>
      </c>
      <c r="B105">
        <v>168.24</v>
      </c>
      <c r="C105" s="5">
        <f t="shared" si="1"/>
        <v>0.25572275421796625</v>
      </c>
      <c r="D105" t="str" cm="1">
        <f t="array" ref="D105">_xlfn.IFS(AND(C105&gt;20%, A105&gt;2000),"Excellent", AND(C105&lt;20%, C105&gt;10%),"Good",TRUE,"BAD")</f>
        <v>BAD</v>
      </c>
    </row>
    <row r="106" spans="1:4" x14ac:dyDescent="0.3">
      <c r="A106" s="8">
        <v>942.56</v>
      </c>
      <c r="B106">
        <v>343.16</v>
      </c>
      <c r="C106" s="5">
        <f t="shared" si="1"/>
        <v>0.36407231369886273</v>
      </c>
      <c r="D106" t="str" cm="1">
        <f t="array" ref="D106">_xlfn.IFS(AND(C106&gt;20%, A106&gt;2000),"Excellent", AND(C106&lt;20%, C106&gt;10%),"Good",TRUE,"BAD")</f>
        <v>BAD</v>
      </c>
    </row>
    <row r="107" spans="1:4" x14ac:dyDescent="0.3">
      <c r="A107" s="8">
        <v>168.63</v>
      </c>
      <c r="B107">
        <v>41.07</v>
      </c>
      <c r="C107" s="5">
        <f t="shared" si="1"/>
        <v>0.24355096957836686</v>
      </c>
      <c r="D107" t="str" cm="1">
        <f t="array" ref="D107">_xlfn.IFS(AND(C107&gt;20%, A107&gt;2000),"Excellent", AND(C107&lt;20%, C107&gt;10%),"Good",TRUE,"BAD")</f>
        <v>BAD</v>
      </c>
    </row>
    <row r="108" spans="1:4" x14ac:dyDescent="0.3">
      <c r="A108" s="8">
        <v>509.52</v>
      </c>
      <c r="B108">
        <v>69.069999999999993</v>
      </c>
      <c r="C108" s="5">
        <f t="shared" si="1"/>
        <v>0.13555895745014915</v>
      </c>
      <c r="D108" t="str" cm="1">
        <f t="array" ref="D108">_xlfn.IFS(AND(C108&gt;20%, A108&gt;2000),"Excellent", AND(C108&lt;20%, C108&gt;10%),"Good",TRUE,"BAD")</f>
        <v>Good</v>
      </c>
    </row>
    <row r="109" spans="1:4" x14ac:dyDescent="0.3">
      <c r="A109" s="8">
        <v>1151</v>
      </c>
      <c r="B109">
        <v>306.7</v>
      </c>
      <c r="C109" s="5">
        <f t="shared" si="1"/>
        <v>0.26646394439617721</v>
      </c>
      <c r="D109" t="str" cm="1">
        <f t="array" ref="D109">_xlfn.IFS(AND(C109&gt;20%, A109&gt;2000),"Excellent", AND(C109&lt;20%, C109&gt;10%),"Good",TRUE,"BAD")</f>
        <v>BAD</v>
      </c>
    </row>
    <row r="110" spans="1:4" x14ac:dyDescent="0.3">
      <c r="A110" s="8">
        <v>136.08000000000001</v>
      </c>
      <c r="B110">
        <v>25.24</v>
      </c>
      <c r="C110" s="5">
        <f t="shared" si="1"/>
        <v>0.18547912992357435</v>
      </c>
      <c r="D110" t="str" cm="1">
        <f t="array" ref="D110">_xlfn.IFS(AND(C110&gt;20%, A110&gt;2000),"Excellent", AND(C110&lt;20%, C110&gt;10%),"Good",TRUE,"BAD")</f>
        <v>Good</v>
      </c>
    </row>
    <row r="111" spans="1:4" x14ac:dyDescent="0.3">
      <c r="A111" s="8">
        <v>423.52</v>
      </c>
      <c r="B111">
        <v>119.65</v>
      </c>
      <c r="C111" s="5">
        <f t="shared" si="1"/>
        <v>0.28251322251605593</v>
      </c>
      <c r="D111" t="str" cm="1">
        <f t="array" ref="D111">_xlfn.IFS(AND(C111&gt;20%, A111&gt;2000),"Excellent", AND(C111&lt;20%, C111&gt;10%),"Good",TRUE,"BAD")</f>
        <v>BAD</v>
      </c>
    </row>
    <row r="112" spans="1:4" x14ac:dyDescent="0.3">
      <c r="A112" s="8">
        <v>1381.76</v>
      </c>
      <c r="B112">
        <v>269.22000000000003</v>
      </c>
      <c r="C112" s="5">
        <f t="shared" si="1"/>
        <v>0.19483846688281614</v>
      </c>
      <c r="D112" t="str" cm="1">
        <f t="array" ref="D112">_xlfn.IFS(AND(C112&gt;20%, A112&gt;2000),"Excellent", AND(C112&lt;20%, C112&gt;10%),"Good",TRUE,"BAD")</f>
        <v>Good</v>
      </c>
    </row>
    <row r="113" spans="1:4" x14ac:dyDescent="0.3">
      <c r="A113" s="8">
        <v>546.65</v>
      </c>
      <c r="B113">
        <v>83.93</v>
      </c>
      <c r="C113" s="5">
        <f t="shared" si="1"/>
        <v>0.153535168755145</v>
      </c>
      <c r="D113" t="str" cm="1">
        <f t="array" ref="D113">_xlfn.IFS(AND(C113&gt;20%, A113&gt;2000),"Excellent", AND(C113&lt;20%, C113&gt;10%),"Good",TRUE,"BAD")</f>
        <v>Good</v>
      </c>
    </row>
    <row r="114" spans="1:4" x14ac:dyDescent="0.3">
      <c r="A114" s="8">
        <v>1030.4000000000001</v>
      </c>
      <c r="B114">
        <v>328.68</v>
      </c>
      <c r="C114" s="5">
        <f t="shared" si="1"/>
        <v>0.31898291925465838</v>
      </c>
      <c r="D114" t="str" cm="1">
        <f t="array" ref="D114">_xlfn.IFS(AND(C114&gt;20%, A114&gt;2000),"Excellent", AND(C114&lt;20%, C114&gt;10%),"Good",TRUE,"BAD")</f>
        <v>BAD</v>
      </c>
    </row>
    <row r="115" spans="1:4" x14ac:dyDescent="0.3">
      <c r="A115" s="8">
        <v>292.95</v>
      </c>
      <c r="B115">
        <v>53.3</v>
      </c>
      <c r="C115" s="5">
        <f t="shared" si="1"/>
        <v>0.18194231097456903</v>
      </c>
      <c r="D115" t="str" cm="1">
        <f t="array" ref="D115">_xlfn.IFS(AND(C115&gt;20%, A115&gt;2000),"Excellent", AND(C115&lt;20%, C115&gt;10%),"Good",TRUE,"BAD")</f>
        <v>Good</v>
      </c>
    </row>
    <row r="116" spans="1:4" x14ac:dyDescent="0.3">
      <c r="A116" s="8">
        <v>937.8</v>
      </c>
      <c r="B116">
        <v>185</v>
      </c>
      <c r="C116" s="5">
        <f t="shared" si="1"/>
        <v>0.19727020686713587</v>
      </c>
      <c r="D116" t="str" cm="1">
        <f t="array" ref="D116">_xlfn.IFS(AND(C116&gt;20%, A116&gt;2000),"Excellent", AND(C116&lt;20%, C116&gt;10%),"Good",TRUE,"BAD")</f>
        <v>Good</v>
      </c>
    </row>
    <row r="117" spans="1:4" x14ac:dyDescent="0.3">
      <c r="A117" s="8">
        <v>1235.52</v>
      </c>
      <c r="B117">
        <v>372.11</v>
      </c>
      <c r="C117" s="5">
        <f t="shared" si="1"/>
        <v>0.30117683242683246</v>
      </c>
      <c r="D117" t="str" cm="1">
        <f t="array" ref="D117">_xlfn.IFS(AND(C117&gt;20%, A117&gt;2000),"Excellent", AND(C117&lt;20%, C117&gt;10%),"Good",TRUE,"BAD")</f>
        <v>BAD</v>
      </c>
    </row>
    <row r="118" spans="1:4" x14ac:dyDescent="0.3">
      <c r="A118" s="8">
        <v>1002.44</v>
      </c>
      <c r="B118">
        <v>285.39</v>
      </c>
      <c r="C118" s="5">
        <f t="shared" si="1"/>
        <v>0.28469534336219621</v>
      </c>
      <c r="D118" t="str" cm="1">
        <f t="array" ref="D118">_xlfn.IFS(AND(C118&gt;20%, A118&gt;2000),"Excellent", AND(C118&lt;20%, C118&gt;10%),"Good",TRUE,"BAD")</f>
        <v>BAD</v>
      </c>
    </row>
    <row r="119" spans="1:4" x14ac:dyDescent="0.3">
      <c r="A119" s="8">
        <v>123.62</v>
      </c>
      <c r="B119">
        <v>27.42</v>
      </c>
      <c r="C119" s="5">
        <f t="shared" si="1"/>
        <v>0.22180876880763631</v>
      </c>
      <c r="D119" t="str" cm="1">
        <f t="array" ref="D119">_xlfn.IFS(AND(C119&gt;20%, A119&gt;2000),"Excellent", AND(C119&lt;20%, C119&gt;10%),"Good",TRUE,"BAD")</f>
        <v>BAD</v>
      </c>
    </row>
    <row r="120" spans="1:4" x14ac:dyDescent="0.3">
      <c r="A120" s="8">
        <v>1339</v>
      </c>
      <c r="B120">
        <v>336.91</v>
      </c>
      <c r="C120" s="5">
        <f t="shared" si="1"/>
        <v>0.25161314413741598</v>
      </c>
      <c r="D120" t="str" cm="1">
        <f t="array" ref="D120">_xlfn.IFS(AND(C120&gt;20%, A120&gt;2000),"Excellent", AND(C120&lt;20%, C120&gt;10%),"Good",TRUE,"BAD")</f>
        <v>BAD</v>
      </c>
    </row>
    <row r="121" spans="1:4" x14ac:dyDescent="0.3">
      <c r="A121" s="8">
        <v>675</v>
      </c>
      <c r="B121">
        <v>241.01</v>
      </c>
      <c r="C121" s="5">
        <f t="shared" si="1"/>
        <v>0.35705185185185184</v>
      </c>
      <c r="D121" t="str" cm="1">
        <f t="array" ref="D121">_xlfn.IFS(AND(C121&gt;20%, A121&gt;2000),"Excellent", AND(C121&lt;20%, C121&gt;10%),"Good",TRUE,"BAD")</f>
        <v>BAD</v>
      </c>
    </row>
    <row r="122" spans="1:4" x14ac:dyDescent="0.3">
      <c r="A122" s="8">
        <v>76</v>
      </c>
      <c r="B122">
        <v>21.22</v>
      </c>
      <c r="C122" s="5">
        <f t="shared" si="1"/>
        <v>0.27921052631578946</v>
      </c>
      <c r="D122" t="str" cm="1">
        <f t="array" ref="D122">_xlfn.IFS(AND(C122&gt;20%, A122&gt;2000),"Excellent", AND(C122&lt;20%, C122&gt;10%),"Good",TRUE,"BAD")</f>
        <v>BAD</v>
      </c>
    </row>
    <row r="123" spans="1:4" x14ac:dyDescent="0.3">
      <c r="A123" s="8">
        <v>639.12</v>
      </c>
      <c r="B123">
        <v>235.2</v>
      </c>
      <c r="C123" s="5">
        <f t="shared" si="1"/>
        <v>0.36800600826135937</v>
      </c>
      <c r="D123" t="str" cm="1">
        <f t="array" ref="D123">_xlfn.IFS(AND(C123&gt;20%, A123&gt;2000),"Excellent", AND(C123&lt;20%, C123&gt;10%),"Good",TRUE,"BAD")</f>
        <v>BAD</v>
      </c>
    </row>
    <row r="124" spans="1:4" x14ac:dyDescent="0.3">
      <c r="A124" s="8">
        <v>1121.6400000000001</v>
      </c>
      <c r="B124">
        <v>423.56</v>
      </c>
      <c r="C124" s="5">
        <f t="shared" si="1"/>
        <v>0.37762561962840124</v>
      </c>
      <c r="D124" t="str" cm="1">
        <f t="array" ref="D124">_xlfn.IFS(AND(C124&gt;20%, A124&gt;2000),"Excellent", AND(C124&lt;20%, C124&gt;10%),"Good",TRUE,"BAD")</f>
        <v>BAD</v>
      </c>
    </row>
    <row r="125" spans="1:4" x14ac:dyDescent="0.3">
      <c r="A125" s="8">
        <v>1170.3900000000001</v>
      </c>
      <c r="B125">
        <v>134.96</v>
      </c>
      <c r="C125" s="5">
        <f t="shared" si="1"/>
        <v>0.11531199002042054</v>
      </c>
      <c r="D125" t="str" cm="1">
        <f t="array" ref="D125">_xlfn.IFS(AND(C125&gt;20%, A125&gt;2000),"Excellent", AND(C125&lt;20%, C125&gt;10%),"Good",TRUE,"BAD")</f>
        <v>Good</v>
      </c>
    </row>
    <row r="126" spans="1:4" x14ac:dyDescent="0.3">
      <c r="A126" s="8">
        <v>156.55000000000001</v>
      </c>
      <c r="B126">
        <v>40.01</v>
      </c>
      <c r="C126" s="5">
        <f t="shared" si="1"/>
        <v>0.25557329926541039</v>
      </c>
      <c r="D126" t="str" cm="1">
        <f t="array" ref="D126">_xlfn.IFS(AND(C126&gt;20%, A126&gt;2000),"Excellent", AND(C126&lt;20%, C126&gt;10%),"Good",TRUE,"BAD")</f>
        <v>BAD</v>
      </c>
    </row>
    <row r="127" spans="1:4" x14ac:dyDescent="0.3">
      <c r="A127" s="8">
        <v>1551.9</v>
      </c>
      <c r="B127">
        <v>301.64</v>
      </c>
      <c r="C127" s="5">
        <f t="shared" si="1"/>
        <v>0.19436819382692183</v>
      </c>
      <c r="D127" t="str" cm="1">
        <f t="array" ref="D127">_xlfn.IFS(AND(C127&gt;20%, A127&gt;2000),"Excellent", AND(C127&lt;20%, C127&gt;10%),"Good",TRUE,"BAD")</f>
        <v>Good</v>
      </c>
    </row>
    <row r="128" spans="1:4" x14ac:dyDescent="0.3">
      <c r="A128" s="8">
        <v>2065.3200000000002</v>
      </c>
      <c r="B128">
        <v>530.98</v>
      </c>
      <c r="C128" s="5">
        <f t="shared" si="1"/>
        <v>0.25709333178393662</v>
      </c>
      <c r="D128" t="str" cm="1">
        <f t="array" ref="D128">_xlfn.IFS(AND(C128&gt;20%, A128&gt;2000),"Excellent", AND(C128&lt;20%, C128&gt;10%),"Good",TRUE,"BAD")</f>
        <v>Excellent</v>
      </c>
    </row>
    <row r="129" spans="1:4" x14ac:dyDescent="0.3">
      <c r="A129" s="8">
        <v>522.34</v>
      </c>
      <c r="B129">
        <v>120.97</v>
      </c>
      <c r="C129" s="5">
        <f t="shared" si="1"/>
        <v>0.23159244936248419</v>
      </c>
      <c r="D129" t="str" cm="1">
        <f t="array" ref="D129">_xlfn.IFS(AND(C129&gt;20%, A129&gt;2000),"Excellent", AND(C129&lt;20%, C129&gt;10%),"Good",TRUE,"BAD")</f>
        <v>BAD</v>
      </c>
    </row>
    <row r="130" spans="1:4" x14ac:dyDescent="0.3">
      <c r="A130" s="8">
        <v>1454.1</v>
      </c>
      <c r="B130">
        <v>203.02</v>
      </c>
      <c r="C130" s="5">
        <f t="shared" si="1"/>
        <v>0.13961900832129842</v>
      </c>
      <c r="D130" t="str" cm="1">
        <f t="array" ref="D130">_xlfn.IFS(AND(C130&gt;20%, A130&gt;2000),"Excellent", AND(C130&lt;20%, C130&gt;10%),"Good",TRUE,"BAD")</f>
        <v>Good</v>
      </c>
    </row>
    <row r="131" spans="1:4" x14ac:dyDescent="0.3">
      <c r="A131" s="8">
        <v>735.76</v>
      </c>
      <c r="B131">
        <v>140.80000000000001</v>
      </c>
      <c r="C131" s="5">
        <f t="shared" ref="C131:C194" si="2">B131/A131</f>
        <v>0.19136675002718279</v>
      </c>
      <c r="D131" t="str" cm="1">
        <f t="array" ref="D131">_xlfn.IFS(AND(C131&gt;20%, A131&gt;2000),"Excellent", AND(C131&lt;20%, C131&gt;10%),"Good",TRUE,"BAD")</f>
        <v>Good</v>
      </c>
    </row>
    <row r="132" spans="1:4" x14ac:dyDescent="0.3">
      <c r="A132" s="8">
        <v>1381.38</v>
      </c>
      <c r="B132">
        <v>535.54</v>
      </c>
      <c r="C132" s="5">
        <f t="shared" si="2"/>
        <v>0.38768477898912673</v>
      </c>
      <c r="D132" t="str" cm="1">
        <f t="array" ref="D132">_xlfn.IFS(AND(C132&gt;20%, A132&gt;2000),"Excellent", AND(C132&lt;20%, C132&gt;10%),"Good",TRUE,"BAD")</f>
        <v>BAD</v>
      </c>
    </row>
    <row r="133" spans="1:4" x14ac:dyDescent="0.3">
      <c r="A133" s="8">
        <v>1305.48</v>
      </c>
      <c r="B133">
        <v>322.55</v>
      </c>
      <c r="C133" s="5">
        <f t="shared" si="2"/>
        <v>0.24707387321138585</v>
      </c>
      <c r="D133" t="str" cm="1">
        <f t="array" ref="D133">_xlfn.IFS(AND(C133&gt;20%, A133&gt;2000),"Excellent", AND(C133&lt;20%, C133&gt;10%),"Good",TRUE,"BAD")</f>
        <v>BAD</v>
      </c>
    </row>
    <row r="134" spans="1:4" x14ac:dyDescent="0.3">
      <c r="A134" s="8">
        <v>1322.86</v>
      </c>
      <c r="B134">
        <v>388.8</v>
      </c>
      <c r="C134" s="5">
        <f t="shared" si="2"/>
        <v>0.2939086524651135</v>
      </c>
      <c r="D134" t="str" cm="1">
        <f t="array" ref="D134">_xlfn.IFS(AND(C134&gt;20%, A134&gt;2000),"Excellent", AND(C134&lt;20%, C134&gt;10%),"Good",TRUE,"BAD")</f>
        <v>BAD</v>
      </c>
    </row>
    <row r="135" spans="1:4" x14ac:dyDescent="0.3">
      <c r="A135" s="8">
        <v>860.58</v>
      </c>
      <c r="B135">
        <v>298.57</v>
      </c>
      <c r="C135" s="5">
        <f t="shared" si="2"/>
        <v>0.34694043552023052</v>
      </c>
      <c r="D135" t="str" cm="1">
        <f t="array" ref="D135">_xlfn.IFS(AND(C135&gt;20%, A135&gt;2000),"Excellent", AND(C135&lt;20%, C135&gt;10%),"Good",TRUE,"BAD")</f>
        <v>BAD</v>
      </c>
    </row>
    <row r="136" spans="1:4" x14ac:dyDescent="0.3">
      <c r="A136" s="8">
        <v>1965.6</v>
      </c>
      <c r="B136">
        <v>375.26</v>
      </c>
      <c r="C136" s="5">
        <f t="shared" si="2"/>
        <v>0.19091371591371592</v>
      </c>
      <c r="D136" t="str" cm="1">
        <f t="array" ref="D136">_xlfn.IFS(AND(C136&gt;20%, A136&gt;2000),"Excellent", AND(C136&lt;20%, C136&gt;10%),"Good",TRUE,"BAD")</f>
        <v>Good</v>
      </c>
    </row>
    <row r="137" spans="1:4" x14ac:dyDescent="0.3">
      <c r="A137" s="8">
        <v>27.49</v>
      </c>
      <c r="B137">
        <v>11.36</v>
      </c>
      <c r="C137" s="5">
        <f t="shared" si="2"/>
        <v>0.41324117861040377</v>
      </c>
      <c r="D137" t="str" cm="1">
        <f t="array" ref="D137">_xlfn.IFS(AND(C137&gt;20%, A137&gt;2000),"Excellent", AND(C137&lt;20%, C137&gt;10%),"Good",TRUE,"BAD")</f>
        <v>BAD</v>
      </c>
    </row>
    <row r="138" spans="1:4" x14ac:dyDescent="0.3">
      <c r="A138" s="8">
        <v>2055.5</v>
      </c>
      <c r="B138">
        <v>359.89</v>
      </c>
      <c r="C138" s="5">
        <f t="shared" si="2"/>
        <v>0.17508635368523473</v>
      </c>
      <c r="D138" t="str" cm="1">
        <f t="array" ref="D138">_xlfn.IFS(AND(C138&gt;20%, A138&gt;2000),"Excellent", AND(C138&lt;20%, C138&gt;10%),"Good",TRUE,"BAD")</f>
        <v>Good</v>
      </c>
    </row>
    <row r="139" spans="1:4" x14ac:dyDescent="0.3">
      <c r="A139" s="8">
        <v>459.72</v>
      </c>
      <c r="B139">
        <v>153.69999999999999</v>
      </c>
      <c r="C139" s="5">
        <f t="shared" si="2"/>
        <v>0.33433394239972153</v>
      </c>
      <c r="D139" t="str" cm="1">
        <f t="array" ref="D139">_xlfn.IFS(AND(C139&gt;20%, A139&gt;2000),"Excellent", AND(C139&lt;20%, C139&gt;10%),"Good",TRUE,"BAD")</f>
        <v>BAD</v>
      </c>
    </row>
    <row r="140" spans="1:4" x14ac:dyDescent="0.3">
      <c r="A140" s="8">
        <v>190.08</v>
      </c>
      <c r="B140">
        <v>67.849999999999994</v>
      </c>
      <c r="C140" s="5">
        <f t="shared" si="2"/>
        <v>0.35695496632996626</v>
      </c>
      <c r="D140" t="str" cm="1">
        <f t="array" ref="D140">_xlfn.IFS(AND(C140&gt;20%, A140&gt;2000),"Excellent", AND(C140&lt;20%, C140&gt;10%),"Good",TRUE,"BAD")</f>
        <v>BAD</v>
      </c>
    </row>
    <row r="141" spans="1:4" x14ac:dyDescent="0.3">
      <c r="A141" s="8">
        <v>883.92</v>
      </c>
      <c r="B141">
        <v>125.77</v>
      </c>
      <c r="C141" s="5">
        <f t="shared" si="2"/>
        <v>0.14228663227441399</v>
      </c>
      <c r="D141" t="str" cm="1">
        <f t="array" ref="D141">_xlfn.IFS(AND(C141&gt;20%, A141&gt;2000),"Excellent", AND(C141&lt;20%, C141&gt;10%),"Good",TRUE,"BAD")</f>
        <v>Good</v>
      </c>
    </row>
    <row r="142" spans="1:4" x14ac:dyDescent="0.3">
      <c r="A142" s="8">
        <v>1360.53</v>
      </c>
      <c r="B142">
        <v>174.13</v>
      </c>
      <c r="C142" s="5">
        <f t="shared" si="2"/>
        <v>0.12798688746297399</v>
      </c>
      <c r="D142" t="str" cm="1">
        <f t="array" ref="D142">_xlfn.IFS(AND(C142&gt;20%, A142&gt;2000),"Excellent", AND(C142&lt;20%, C142&gt;10%),"Good",TRUE,"BAD")</f>
        <v>Good</v>
      </c>
    </row>
    <row r="143" spans="1:4" x14ac:dyDescent="0.3">
      <c r="A143" s="8">
        <v>1281.1199999999999</v>
      </c>
      <c r="B143">
        <v>376.26</v>
      </c>
      <c r="C143" s="5">
        <f t="shared" si="2"/>
        <v>0.2936961408767329</v>
      </c>
      <c r="D143" t="str" cm="1">
        <f t="array" ref="D143">_xlfn.IFS(AND(C143&gt;20%, A143&gt;2000),"Excellent", AND(C143&lt;20%, C143&gt;10%),"Good",TRUE,"BAD")</f>
        <v>BAD</v>
      </c>
    </row>
    <row r="144" spans="1:4" x14ac:dyDescent="0.3">
      <c r="A144" s="8">
        <v>117.96</v>
      </c>
      <c r="B144">
        <v>35.99</v>
      </c>
      <c r="C144" s="5">
        <f t="shared" si="2"/>
        <v>0.3051034248897932</v>
      </c>
      <c r="D144" t="str" cm="1">
        <f t="array" ref="D144">_xlfn.IFS(AND(C144&gt;20%, A144&gt;2000),"Excellent", AND(C144&lt;20%, C144&gt;10%),"Good",TRUE,"BAD")</f>
        <v>BAD</v>
      </c>
    </row>
    <row r="145" spans="1:4" x14ac:dyDescent="0.3">
      <c r="A145" s="8">
        <v>432</v>
      </c>
      <c r="B145">
        <v>103.32</v>
      </c>
      <c r="C145" s="5">
        <f t="shared" si="2"/>
        <v>0.23916666666666664</v>
      </c>
      <c r="D145" t="str" cm="1">
        <f t="array" ref="D145">_xlfn.IFS(AND(C145&gt;20%, A145&gt;2000),"Excellent", AND(C145&lt;20%, C145&gt;10%),"Good",TRUE,"BAD")</f>
        <v>BAD</v>
      </c>
    </row>
    <row r="146" spans="1:4" x14ac:dyDescent="0.3">
      <c r="A146" s="8">
        <v>182.15</v>
      </c>
      <c r="B146">
        <v>61.83</v>
      </c>
      <c r="C146" s="5">
        <f t="shared" si="2"/>
        <v>0.33944551194070821</v>
      </c>
      <c r="D146" t="str" cm="1">
        <f t="array" ref="D146">_xlfn.IFS(AND(C146&gt;20%, A146&gt;2000),"Excellent", AND(C146&lt;20%, C146&gt;10%),"Good",TRUE,"BAD")</f>
        <v>BAD</v>
      </c>
    </row>
    <row r="147" spans="1:4" x14ac:dyDescent="0.3">
      <c r="A147" s="8">
        <v>1036.53</v>
      </c>
      <c r="B147">
        <v>400.43</v>
      </c>
      <c r="C147" s="5">
        <f t="shared" si="2"/>
        <v>0.38631781038657831</v>
      </c>
      <c r="D147" t="str" cm="1">
        <f t="array" ref="D147">_xlfn.IFS(AND(C147&gt;20%, A147&gt;2000),"Excellent", AND(C147&lt;20%, C147&gt;10%),"Good",TRUE,"BAD")</f>
        <v>BAD</v>
      </c>
    </row>
    <row r="148" spans="1:4" x14ac:dyDescent="0.3">
      <c r="A148" s="8">
        <v>475</v>
      </c>
      <c r="B148">
        <v>179.05</v>
      </c>
      <c r="C148" s="5">
        <f t="shared" si="2"/>
        <v>0.37694736842105264</v>
      </c>
      <c r="D148" t="str" cm="1">
        <f t="array" ref="D148">_xlfn.IFS(AND(C148&gt;20%, A148&gt;2000),"Excellent", AND(C148&lt;20%, C148&gt;10%),"Good",TRUE,"BAD")</f>
        <v>BAD</v>
      </c>
    </row>
    <row r="149" spans="1:4" x14ac:dyDescent="0.3">
      <c r="A149" s="8">
        <v>2356.11</v>
      </c>
      <c r="B149">
        <v>685.89</v>
      </c>
      <c r="C149" s="5">
        <f t="shared" si="2"/>
        <v>0.29111119599679131</v>
      </c>
      <c r="D149" t="str" cm="1">
        <f t="array" ref="D149">_xlfn.IFS(AND(C149&gt;20%, A149&gt;2000),"Excellent", AND(C149&lt;20%, C149&gt;10%),"Good",TRUE,"BAD")</f>
        <v>Excellent</v>
      </c>
    </row>
    <row r="150" spans="1:4" x14ac:dyDescent="0.3">
      <c r="A150" s="8">
        <v>1985.75</v>
      </c>
      <c r="B150">
        <v>553</v>
      </c>
      <c r="C150" s="5">
        <f t="shared" si="2"/>
        <v>0.27848419992446177</v>
      </c>
      <c r="D150" t="str" cm="1">
        <f t="array" ref="D150">_xlfn.IFS(AND(C150&gt;20%, A150&gt;2000),"Excellent", AND(C150&lt;20%, C150&gt;10%),"Good",TRUE,"BAD")</f>
        <v>BAD</v>
      </c>
    </row>
    <row r="151" spans="1:4" x14ac:dyDescent="0.3">
      <c r="A151" s="8">
        <v>688.68</v>
      </c>
      <c r="B151">
        <v>219.9</v>
      </c>
      <c r="C151" s="5">
        <f t="shared" si="2"/>
        <v>0.31930649939013767</v>
      </c>
      <c r="D151" t="str" cm="1">
        <f t="array" ref="D151">_xlfn.IFS(AND(C151&gt;20%, A151&gt;2000),"Excellent", AND(C151&lt;20%, C151&gt;10%),"Good",TRUE,"BAD")</f>
        <v>BAD</v>
      </c>
    </row>
    <row r="152" spans="1:4" x14ac:dyDescent="0.3">
      <c r="A152" s="8">
        <v>1446.46</v>
      </c>
      <c r="B152">
        <v>469.22</v>
      </c>
      <c r="C152" s="5">
        <f t="shared" si="2"/>
        <v>0.32439196382893409</v>
      </c>
      <c r="D152" t="str" cm="1">
        <f t="array" ref="D152">_xlfn.IFS(AND(C152&gt;20%, A152&gt;2000),"Excellent", AND(C152&lt;20%, C152&gt;10%),"Good",TRUE,"BAD")</f>
        <v>BAD</v>
      </c>
    </row>
    <row r="153" spans="1:4" x14ac:dyDescent="0.3">
      <c r="A153" s="8">
        <v>2158.65</v>
      </c>
      <c r="B153">
        <v>736.55</v>
      </c>
      <c r="C153" s="5">
        <f t="shared" si="2"/>
        <v>0.34120862576147126</v>
      </c>
      <c r="D153" t="str" cm="1">
        <f t="array" ref="D153">_xlfn.IFS(AND(C153&gt;20%, A153&gt;2000),"Excellent", AND(C153&lt;20%, C153&gt;10%),"Good",TRUE,"BAD")</f>
        <v>Excellent</v>
      </c>
    </row>
    <row r="154" spans="1:4" x14ac:dyDescent="0.3">
      <c r="A154" s="8">
        <v>634.48</v>
      </c>
      <c r="B154">
        <v>114.93</v>
      </c>
      <c r="C154" s="5">
        <f t="shared" si="2"/>
        <v>0.1811404614802673</v>
      </c>
      <c r="D154" t="str" cm="1">
        <f t="array" ref="D154">_xlfn.IFS(AND(C154&gt;20%, A154&gt;2000),"Excellent", AND(C154&lt;20%, C154&gt;10%),"Good",TRUE,"BAD")</f>
        <v>Good</v>
      </c>
    </row>
    <row r="155" spans="1:4" x14ac:dyDescent="0.3">
      <c r="A155" s="8">
        <v>1203.3599999999999</v>
      </c>
      <c r="B155">
        <v>429.43</v>
      </c>
      <c r="C155" s="5">
        <f t="shared" si="2"/>
        <v>0.35685912777556178</v>
      </c>
      <c r="D155" t="str" cm="1">
        <f t="array" ref="D155">_xlfn.IFS(AND(C155&gt;20%, A155&gt;2000),"Excellent", AND(C155&lt;20%, C155&gt;10%),"Good",TRUE,"BAD")</f>
        <v>BAD</v>
      </c>
    </row>
    <row r="156" spans="1:4" x14ac:dyDescent="0.3">
      <c r="A156" s="8">
        <v>946.43</v>
      </c>
      <c r="B156">
        <v>316.27999999999997</v>
      </c>
      <c r="C156" s="5">
        <f t="shared" si="2"/>
        <v>0.33418213708356664</v>
      </c>
      <c r="D156" t="str" cm="1">
        <f t="array" ref="D156">_xlfn.IFS(AND(C156&gt;20%, A156&gt;2000),"Excellent", AND(C156&lt;20%, C156&gt;10%),"Good",TRUE,"BAD")</f>
        <v>BAD</v>
      </c>
    </row>
    <row r="157" spans="1:4" x14ac:dyDescent="0.3">
      <c r="A157" s="8">
        <v>1023</v>
      </c>
      <c r="B157">
        <v>216.56</v>
      </c>
      <c r="C157" s="5">
        <f t="shared" si="2"/>
        <v>0.21169110459433041</v>
      </c>
      <c r="D157" t="str" cm="1">
        <f t="array" ref="D157">_xlfn.IFS(AND(C157&gt;20%, A157&gt;2000),"Excellent", AND(C157&lt;20%, C157&gt;10%),"Good",TRUE,"BAD")</f>
        <v>BAD</v>
      </c>
    </row>
    <row r="158" spans="1:4" x14ac:dyDescent="0.3">
      <c r="A158" s="8">
        <v>667.52</v>
      </c>
      <c r="B158">
        <v>149.9</v>
      </c>
      <c r="C158" s="5">
        <f t="shared" si="2"/>
        <v>0.22456255992329818</v>
      </c>
      <c r="D158" t="str" cm="1">
        <f t="array" ref="D158">_xlfn.IFS(AND(C158&gt;20%, A158&gt;2000),"Excellent", AND(C158&lt;20%, C158&gt;10%),"Good",TRUE,"BAD")</f>
        <v>BAD</v>
      </c>
    </row>
    <row r="159" spans="1:4" x14ac:dyDescent="0.3">
      <c r="A159" s="8">
        <v>442.98</v>
      </c>
      <c r="B159">
        <v>55.99</v>
      </c>
      <c r="C159" s="5">
        <f t="shared" si="2"/>
        <v>0.12639396812497178</v>
      </c>
      <c r="D159" t="str" cm="1">
        <f t="array" ref="D159">_xlfn.IFS(AND(C159&gt;20%, A159&gt;2000),"Excellent", AND(C159&lt;20%, C159&gt;10%),"Good",TRUE,"BAD")</f>
        <v>Good</v>
      </c>
    </row>
    <row r="160" spans="1:4" x14ac:dyDescent="0.3">
      <c r="A160" s="8">
        <v>1166.94</v>
      </c>
      <c r="B160">
        <v>412.66</v>
      </c>
      <c r="C160" s="5">
        <f t="shared" si="2"/>
        <v>0.35362572197370901</v>
      </c>
      <c r="D160" t="str" cm="1">
        <f t="array" ref="D160">_xlfn.IFS(AND(C160&gt;20%, A160&gt;2000),"Excellent", AND(C160&lt;20%, C160&gt;10%),"Good",TRUE,"BAD")</f>
        <v>BAD</v>
      </c>
    </row>
    <row r="161" spans="1:4" x14ac:dyDescent="0.3">
      <c r="A161" s="8">
        <v>1446.48</v>
      </c>
      <c r="B161">
        <v>361.78</v>
      </c>
      <c r="C161" s="5">
        <f t="shared" si="2"/>
        <v>0.25011061335103146</v>
      </c>
      <c r="D161" t="str" cm="1">
        <f t="array" ref="D161">_xlfn.IFS(AND(C161&gt;20%, A161&gt;2000),"Excellent", AND(C161&lt;20%, C161&gt;10%),"Good",TRUE,"BAD")</f>
        <v>BAD</v>
      </c>
    </row>
    <row r="162" spans="1:4" x14ac:dyDescent="0.3">
      <c r="A162" s="8">
        <v>267.3</v>
      </c>
      <c r="B162">
        <v>57.09</v>
      </c>
      <c r="C162" s="5">
        <f t="shared" si="2"/>
        <v>0.21358024691358024</v>
      </c>
      <c r="D162" t="str" cm="1">
        <f t="array" ref="D162">_xlfn.IFS(AND(C162&gt;20%, A162&gt;2000),"Excellent", AND(C162&lt;20%, C162&gt;10%),"Good",TRUE,"BAD")</f>
        <v>BAD</v>
      </c>
    </row>
    <row r="163" spans="1:4" x14ac:dyDescent="0.3">
      <c r="A163" s="8">
        <v>544.5</v>
      </c>
      <c r="B163">
        <v>207.91</v>
      </c>
      <c r="C163" s="5">
        <f t="shared" si="2"/>
        <v>0.38183654729109273</v>
      </c>
      <c r="D163" t="str" cm="1">
        <f t="array" ref="D163">_xlfn.IFS(AND(C163&gt;20%, A163&gt;2000),"Excellent", AND(C163&lt;20%, C163&gt;10%),"Good",TRUE,"BAD")</f>
        <v>BAD</v>
      </c>
    </row>
    <row r="164" spans="1:4" x14ac:dyDescent="0.3">
      <c r="A164" s="8">
        <v>1382.76</v>
      </c>
      <c r="B164">
        <v>477.59</v>
      </c>
      <c r="C164" s="5">
        <f t="shared" si="2"/>
        <v>0.34538893228036677</v>
      </c>
      <c r="D164" t="str" cm="1">
        <f t="array" ref="D164">_xlfn.IFS(AND(C164&gt;20%, A164&gt;2000),"Excellent", AND(C164&lt;20%, C164&gt;10%),"Good",TRUE,"BAD")</f>
        <v>BAD</v>
      </c>
    </row>
    <row r="165" spans="1:4" x14ac:dyDescent="0.3">
      <c r="A165" s="8">
        <v>538</v>
      </c>
      <c r="B165">
        <v>123.77</v>
      </c>
      <c r="C165" s="5">
        <f t="shared" si="2"/>
        <v>0.23005576208178438</v>
      </c>
      <c r="D165" t="str" cm="1">
        <f t="array" ref="D165">_xlfn.IFS(AND(C165&gt;20%, A165&gt;2000),"Excellent", AND(C165&lt;20%, C165&gt;10%),"Good",TRUE,"BAD")</f>
        <v>BAD</v>
      </c>
    </row>
    <row r="166" spans="1:4" x14ac:dyDescent="0.3">
      <c r="A166" s="8">
        <v>131.25</v>
      </c>
      <c r="B166">
        <v>37.9</v>
      </c>
      <c r="C166" s="5">
        <f t="shared" si="2"/>
        <v>0.28876190476190478</v>
      </c>
      <c r="D166" t="str" cm="1">
        <f t="array" ref="D166">_xlfn.IFS(AND(C166&gt;20%, A166&gt;2000),"Excellent", AND(C166&lt;20%, C166&gt;10%),"Good",TRUE,"BAD")</f>
        <v>BAD</v>
      </c>
    </row>
    <row r="167" spans="1:4" x14ac:dyDescent="0.3">
      <c r="A167" s="8">
        <v>314.8</v>
      </c>
      <c r="B167">
        <v>54.57</v>
      </c>
      <c r="C167" s="5">
        <f t="shared" si="2"/>
        <v>0.17334815756035576</v>
      </c>
      <c r="D167" t="str" cm="1">
        <f t="array" ref="D167">_xlfn.IFS(AND(C167&gt;20%, A167&gt;2000),"Excellent", AND(C167&lt;20%, C167&gt;10%),"Good",TRUE,"BAD")</f>
        <v>Good</v>
      </c>
    </row>
    <row r="168" spans="1:4" x14ac:dyDescent="0.3">
      <c r="A168" s="8">
        <v>649.11</v>
      </c>
      <c r="B168">
        <v>190.69</v>
      </c>
      <c r="C168" s="5">
        <f t="shared" si="2"/>
        <v>0.29377147170741474</v>
      </c>
      <c r="D168" t="str" cm="1">
        <f t="array" ref="D168">_xlfn.IFS(AND(C168&gt;20%, A168&gt;2000),"Excellent", AND(C168&lt;20%, C168&gt;10%),"Good",TRUE,"BAD")</f>
        <v>BAD</v>
      </c>
    </row>
    <row r="169" spans="1:4" x14ac:dyDescent="0.3">
      <c r="A169" s="8">
        <v>535.63</v>
      </c>
      <c r="B169">
        <v>152.66999999999999</v>
      </c>
      <c r="C169" s="5">
        <f t="shared" si="2"/>
        <v>0.28502884453820732</v>
      </c>
      <c r="D169" t="str" cm="1">
        <f t="array" ref="D169">_xlfn.IFS(AND(C169&gt;20%, A169&gt;2000),"Excellent", AND(C169&lt;20%, C169&gt;10%),"Good",TRUE,"BAD")</f>
        <v>BAD</v>
      </c>
    </row>
    <row r="170" spans="1:4" x14ac:dyDescent="0.3">
      <c r="A170" s="8">
        <v>1612.44</v>
      </c>
      <c r="B170">
        <v>283.83999999999997</v>
      </c>
      <c r="C170" s="5">
        <f t="shared" si="2"/>
        <v>0.1760313562055022</v>
      </c>
      <c r="D170" t="str" cm="1">
        <f t="array" ref="D170">_xlfn.IFS(AND(C170&gt;20%, A170&gt;2000),"Excellent", AND(C170&lt;20%, C170&gt;10%),"Good",TRUE,"BAD")</f>
        <v>Good</v>
      </c>
    </row>
    <row r="171" spans="1:4" x14ac:dyDescent="0.3">
      <c r="A171" s="8">
        <v>56.58</v>
      </c>
      <c r="B171">
        <v>7.47</v>
      </c>
      <c r="C171" s="5">
        <f t="shared" si="2"/>
        <v>0.1320254506892895</v>
      </c>
      <c r="D171" t="str" cm="1">
        <f t="array" ref="D171">_xlfn.IFS(AND(C171&gt;20%, A171&gt;2000),"Excellent", AND(C171&lt;20%, C171&gt;10%),"Good",TRUE,"BAD")</f>
        <v>Good</v>
      </c>
    </row>
    <row r="172" spans="1:4" x14ac:dyDescent="0.3">
      <c r="A172" s="8">
        <v>458.6</v>
      </c>
      <c r="B172">
        <v>164.2</v>
      </c>
      <c r="C172" s="5">
        <f t="shared" si="2"/>
        <v>0.35804622764936761</v>
      </c>
      <c r="D172" t="str" cm="1">
        <f t="array" ref="D172">_xlfn.IFS(AND(C172&gt;20%, A172&gt;2000),"Excellent", AND(C172&lt;20%, C172&gt;10%),"Good",TRUE,"BAD")</f>
        <v>BAD</v>
      </c>
    </row>
    <row r="173" spans="1:4" x14ac:dyDescent="0.3">
      <c r="A173" s="8">
        <v>24.64</v>
      </c>
      <c r="B173">
        <v>5.99</v>
      </c>
      <c r="C173" s="5">
        <f t="shared" si="2"/>
        <v>0.24310064935064934</v>
      </c>
      <c r="D173" t="str" cm="1">
        <f t="array" ref="D173">_xlfn.IFS(AND(C173&gt;20%, A173&gt;2000),"Excellent", AND(C173&lt;20%, C173&gt;10%),"Good",TRUE,"BAD")</f>
        <v>BAD</v>
      </c>
    </row>
    <row r="174" spans="1:4" x14ac:dyDescent="0.3">
      <c r="A174" s="8">
        <v>1117.2</v>
      </c>
      <c r="B174">
        <v>306.64</v>
      </c>
      <c r="C174" s="5">
        <f t="shared" si="2"/>
        <v>0.27447189402076616</v>
      </c>
      <c r="D174" t="str" cm="1">
        <f t="array" ref="D174">_xlfn.IFS(AND(C174&gt;20%, A174&gt;2000),"Excellent", AND(C174&lt;20%, C174&gt;10%),"Good",TRUE,"BAD")</f>
        <v>BAD</v>
      </c>
    </row>
    <row r="175" spans="1:4" x14ac:dyDescent="0.3">
      <c r="A175" s="8">
        <v>1424</v>
      </c>
      <c r="B175">
        <v>260.08</v>
      </c>
      <c r="C175" s="5">
        <f t="shared" si="2"/>
        <v>0.18264044943820223</v>
      </c>
      <c r="D175" t="str" cm="1">
        <f t="array" ref="D175">_xlfn.IFS(AND(C175&gt;20%, A175&gt;2000),"Excellent", AND(C175&lt;20%, C175&gt;10%),"Good",TRUE,"BAD")</f>
        <v>Good</v>
      </c>
    </row>
    <row r="176" spans="1:4" x14ac:dyDescent="0.3">
      <c r="A176" s="8">
        <v>2396.8200000000002</v>
      </c>
      <c r="B176">
        <v>827.97</v>
      </c>
      <c r="C176" s="5">
        <f t="shared" si="2"/>
        <v>0.34544521490975544</v>
      </c>
      <c r="D176" t="str" cm="1">
        <f t="array" ref="D176">_xlfn.IFS(AND(C176&gt;20%, A176&gt;2000),"Excellent", AND(C176&lt;20%, C176&gt;10%),"Good",TRUE,"BAD")</f>
        <v>Excellent</v>
      </c>
    </row>
    <row r="177" spans="1:4" x14ac:dyDescent="0.3">
      <c r="A177" s="8">
        <v>489.82</v>
      </c>
      <c r="B177">
        <v>166.92</v>
      </c>
      <c r="C177" s="5">
        <f t="shared" si="2"/>
        <v>0.3407782450696174</v>
      </c>
      <c r="D177" t="str" cm="1">
        <f t="array" ref="D177">_xlfn.IFS(AND(C177&gt;20%, A177&gt;2000),"Excellent", AND(C177&lt;20%, C177&gt;10%),"Good",TRUE,"BAD")</f>
        <v>BAD</v>
      </c>
    </row>
    <row r="178" spans="1:4" x14ac:dyDescent="0.3">
      <c r="A178" s="8">
        <v>1308.49</v>
      </c>
      <c r="B178">
        <v>499.15</v>
      </c>
      <c r="C178" s="5">
        <f t="shared" si="2"/>
        <v>0.38147024432743082</v>
      </c>
      <c r="D178" t="str" cm="1">
        <f t="array" ref="D178">_xlfn.IFS(AND(C178&gt;20%, A178&gt;2000),"Excellent", AND(C178&lt;20%, C178&gt;10%),"Good",TRUE,"BAD")</f>
        <v>BAD</v>
      </c>
    </row>
    <row r="179" spans="1:4" x14ac:dyDescent="0.3">
      <c r="A179" s="8">
        <v>318.07</v>
      </c>
      <c r="B179">
        <v>32.54</v>
      </c>
      <c r="C179" s="5">
        <f t="shared" si="2"/>
        <v>0.10230452416134814</v>
      </c>
      <c r="D179" t="str" cm="1">
        <f t="array" ref="D179">_xlfn.IFS(AND(C179&gt;20%, A179&gt;2000),"Excellent", AND(C179&lt;20%, C179&gt;10%),"Good",TRUE,"BAD")</f>
        <v>Good</v>
      </c>
    </row>
    <row r="180" spans="1:4" x14ac:dyDescent="0.3">
      <c r="A180" s="8">
        <v>1050.28</v>
      </c>
      <c r="B180">
        <v>334.77</v>
      </c>
      <c r="C180" s="5">
        <f t="shared" si="2"/>
        <v>0.31874357314240009</v>
      </c>
      <c r="D180" t="str" cm="1">
        <f t="array" ref="D180">_xlfn.IFS(AND(C180&gt;20%, A180&gt;2000),"Excellent", AND(C180&lt;20%, C180&gt;10%),"Good",TRUE,"BAD")</f>
        <v>BAD</v>
      </c>
    </row>
    <row r="181" spans="1:4" x14ac:dyDescent="0.3">
      <c r="A181" s="8">
        <v>514.91999999999996</v>
      </c>
      <c r="B181">
        <v>115.74</v>
      </c>
      <c r="C181" s="5">
        <f t="shared" si="2"/>
        <v>0.22477278023770683</v>
      </c>
      <c r="D181" t="str" cm="1">
        <f t="array" ref="D181">_xlfn.IFS(AND(C181&gt;20%, A181&gt;2000),"Excellent", AND(C181&lt;20%, C181&gt;10%),"Good",TRUE,"BAD")</f>
        <v>BAD</v>
      </c>
    </row>
    <row r="182" spans="1:4" x14ac:dyDescent="0.3">
      <c r="A182" s="8">
        <v>1060.29</v>
      </c>
      <c r="B182">
        <v>187.95</v>
      </c>
      <c r="C182" s="5">
        <f t="shared" si="2"/>
        <v>0.17726282432164783</v>
      </c>
      <c r="D182" t="str" cm="1">
        <f t="array" ref="D182">_xlfn.IFS(AND(C182&gt;20%, A182&gt;2000),"Excellent", AND(C182&lt;20%, C182&gt;10%),"Good",TRUE,"BAD")</f>
        <v>Good</v>
      </c>
    </row>
    <row r="183" spans="1:4" x14ac:dyDescent="0.3">
      <c r="A183" s="8">
        <v>1770.38</v>
      </c>
      <c r="B183">
        <v>206.98</v>
      </c>
      <c r="C183" s="5">
        <f t="shared" si="2"/>
        <v>0.11691275319422947</v>
      </c>
      <c r="D183" t="str" cm="1">
        <f t="array" ref="D183">_xlfn.IFS(AND(C183&gt;20%, A183&gt;2000),"Excellent", AND(C183&lt;20%, C183&gt;10%),"Good",TRUE,"BAD")</f>
        <v>Good</v>
      </c>
    </row>
    <row r="184" spans="1:4" x14ac:dyDescent="0.3">
      <c r="A184" s="8">
        <v>732.6</v>
      </c>
      <c r="B184">
        <v>206.17</v>
      </c>
      <c r="C184" s="5">
        <f t="shared" si="2"/>
        <v>0.28142233142233142</v>
      </c>
      <c r="D184" t="str" cm="1">
        <f t="array" ref="D184">_xlfn.IFS(AND(C184&gt;20%, A184&gt;2000),"Excellent", AND(C184&lt;20%, C184&gt;10%),"Good",TRUE,"BAD")</f>
        <v>BAD</v>
      </c>
    </row>
    <row r="185" spans="1:4" x14ac:dyDescent="0.3">
      <c r="A185" s="8">
        <v>72.239999999999995</v>
      </c>
      <c r="B185">
        <v>16.579999999999998</v>
      </c>
      <c r="C185" s="5">
        <f t="shared" si="2"/>
        <v>0.22951273532668881</v>
      </c>
      <c r="D185" t="str" cm="1">
        <f t="array" ref="D185">_xlfn.IFS(AND(C185&gt;20%, A185&gt;2000),"Excellent", AND(C185&lt;20%, C185&gt;10%),"Good",TRUE,"BAD")</f>
        <v>BAD</v>
      </c>
    </row>
    <row r="186" spans="1:4" x14ac:dyDescent="0.3">
      <c r="A186" s="8">
        <v>2223.6</v>
      </c>
      <c r="B186">
        <v>749.03</v>
      </c>
      <c r="C186" s="5">
        <f t="shared" si="2"/>
        <v>0.3368546501169275</v>
      </c>
      <c r="D186" t="str" cm="1">
        <f t="array" ref="D186">_xlfn.IFS(AND(C186&gt;20%, A186&gt;2000),"Excellent", AND(C186&lt;20%, C186&gt;10%),"Good",TRUE,"BAD")</f>
        <v>Excellent</v>
      </c>
    </row>
    <row r="187" spans="1:4" x14ac:dyDescent="0.3">
      <c r="A187" s="8">
        <v>157.9</v>
      </c>
      <c r="B187">
        <v>29.17</v>
      </c>
      <c r="C187" s="5">
        <f t="shared" si="2"/>
        <v>0.18473717542748574</v>
      </c>
      <c r="D187" t="str" cm="1">
        <f t="array" ref="D187">_xlfn.IFS(AND(C187&gt;20%, A187&gt;2000),"Excellent", AND(C187&lt;20%, C187&gt;10%),"Good",TRUE,"BAD")</f>
        <v>Good</v>
      </c>
    </row>
    <row r="188" spans="1:4" x14ac:dyDescent="0.3">
      <c r="A188" s="8">
        <v>1333.5</v>
      </c>
      <c r="B188">
        <v>353.35</v>
      </c>
      <c r="C188" s="5">
        <f t="shared" si="2"/>
        <v>0.26497937757780277</v>
      </c>
      <c r="D188" t="str" cm="1">
        <f t="array" ref="D188">_xlfn.IFS(AND(C188&gt;20%, A188&gt;2000),"Excellent", AND(C188&lt;20%, C188&gt;10%),"Good",TRUE,"BAD")</f>
        <v>BAD</v>
      </c>
    </row>
    <row r="189" spans="1:4" x14ac:dyDescent="0.3">
      <c r="A189" s="8">
        <v>351.56</v>
      </c>
      <c r="B189">
        <v>69.59</v>
      </c>
      <c r="C189" s="5">
        <f t="shared" si="2"/>
        <v>0.19794629650699738</v>
      </c>
      <c r="D189" t="str" cm="1">
        <f t="array" ref="D189">_xlfn.IFS(AND(C189&gt;20%, A189&gt;2000),"Excellent", AND(C189&lt;20%, C189&gt;10%),"Good",TRUE,"BAD")</f>
        <v>Good</v>
      </c>
    </row>
    <row r="190" spans="1:4" x14ac:dyDescent="0.3">
      <c r="A190" s="8">
        <v>1600.51</v>
      </c>
      <c r="B190">
        <v>482.45</v>
      </c>
      <c r="C190" s="5">
        <f t="shared" si="2"/>
        <v>0.30143516754034649</v>
      </c>
      <c r="D190" t="str" cm="1">
        <f t="array" ref="D190">_xlfn.IFS(AND(C190&gt;20%, A190&gt;2000),"Excellent", AND(C190&lt;20%, C190&gt;10%),"Good",TRUE,"BAD")</f>
        <v>BAD</v>
      </c>
    </row>
    <row r="191" spans="1:4" x14ac:dyDescent="0.3">
      <c r="A191" s="8">
        <v>2095.08</v>
      </c>
      <c r="B191">
        <v>824.95</v>
      </c>
      <c r="C191" s="5">
        <f t="shared" si="2"/>
        <v>0.39375584703209426</v>
      </c>
      <c r="D191" t="str" cm="1">
        <f t="array" ref="D191">_xlfn.IFS(AND(C191&gt;20%, A191&gt;2000),"Excellent", AND(C191&lt;20%, C191&gt;10%),"Good",TRUE,"BAD")</f>
        <v>Excellent</v>
      </c>
    </row>
    <row r="192" spans="1:4" x14ac:dyDescent="0.3">
      <c r="A192" s="8">
        <v>400.3</v>
      </c>
      <c r="B192">
        <v>149.5</v>
      </c>
      <c r="C192" s="5">
        <f t="shared" si="2"/>
        <v>0.37346989757681737</v>
      </c>
      <c r="D192" t="str" cm="1">
        <f t="array" ref="D192">_xlfn.IFS(AND(C192&gt;20%, A192&gt;2000),"Excellent", AND(C192&lt;20%, C192&gt;10%),"Good",TRUE,"BAD")</f>
        <v>BAD</v>
      </c>
    </row>
    <row r="193" spans="1:4" x14ac:dyDescent="0.3">
      <c r="A193" s="8">
        <v>719.9</v>
      </c>
      <c r="B193">
        <v>212.02</v>
      </c>
      <c r="C193" s="5">
        <f t="shared" si="2"/>
        <v>0.29451312682316994</v>
      </c>
      <c r="D193" t="str" cm="1">
        <f t="array" ref="D193">_xlfn.IFS(AND(C193&gt;20%, A193&gt;2000),"Excellent", AND(C193&lt;20%, C193&gt;10%),"Good",TRUE,"BAD")</f>
        <v>BAD</v>
      </c>
    </row>
    <row r="194" spans="1:4" x14ac:dyDescent="0.3">
      <c r="A194" s="8">
        <v>1864.43</v>
      </c>
      <c r="B194">
        <v>509.37</v>
      </c>
      <c r="C194" s="5">
        <f t="shared" si="2"/>
        <v>0.27320414282113031</v>
      </c>
      <c r="D194" t="str" cm="1">
        <f t="array" ref="D194">_xlfn.IFS(AND(C194&gt;20%, A194&gt;2000),"Excellent", AND(C194&lt;20%, C194&gt;10%),"Good",TRUE,"BAD")</f>
        <v>BAD</v>
      </c>
    </row>
    <row r="195" spans="1:4" x14ac:dyDescent="0.3">
      <c r="A195" s="8">
        <v>644.86</v>
      </c>
      <c r="B195">
        <v>120.36</v>
      </c>
      <c r="C195" s="5">
        <f t="shared" ref="C195:C258" si="3">B195/A195</f>
        <v>0.18664516329125702</v>
      </c>
      <c r="D195" t="str" cm="1">
        <f t="array" ref="D195">_xlfn.IFS(AND(C195&gt;20%, A195&gt;2000),"Excellent", AND(C195&lt;20%, C195&gt;10%),"Good",TRUE,"BAD")</f>
        <v>Good</v>
      </c>
    </row>
    <row r="196" spans="1:4" x14ac:dyDescent="0.3">
      <c r="A196" s="8">
        <v>71.84</v>
      </c>
      <c r="B196">
        <v>29.5</v>
      </c>
      <c r="C196" s="5">
        <f t="shared" si="3"/>
        <v>0.41063474387527837</v>
      </c>
      <c r="D196" t="str" cm="1">
        <f t="array" ref="D196">_xlfn.IFS(AND(C196&gt;20%, A196&gt;2000),"Excellent", AND(C196&lt;20%, C196&gt;10%),"Good",TRUE,"BAD")</f>
        <v>BAD</v>
      </c>
    </row>
    <row r="197" spans="1:4" x14ac:dyDescent="0.3">
      <c r="A197" s="8">
        <v>1529.76</v>
      </c>
      <c r="B197">
        <v>479.91</v>
      </c>
      <c r="C197" s="5">
        <f t="shared" si="3"/>
        <v>0.31371587700031378</v>
      </c>
      <c r="D197" t="str" cm="1">
        <f t="array" ref="D197">_xlfn.IFS(AND(C197&gt;20%, A197&gt;2000),"Excellent", AND(C197&lt;20%, C197&gt;10%),"Good",TRUE,"BAD")</f>
        <v>BAD</v>
      </c>
    </row>
    <row r="198" spans="1:4" x14ac:dyDescent="0.3">
      <c r="A198" s="8">
        <v>3220</v>
      </c>
      <c r="B198">
        <v>1219.8900000000001</v>
      </c>
      <c r="C198" s="5">
        <f t="shared" si="3"/>
        <v>0.37884782608695655</v>
      </c>
      <c r="D198" t="str" cm="1">
        <f t="array" ref="D198">_xlfn.IFS(AND(C198&gt;20%, A198&gt;2000),"Excellent", AND(C198&lt;20%, C198&gt;10%),"Good",TRUE,"BAD")</f>
        <v>Excellent</v>
      </c>
    </row>
    <row r="199" spans="1:4" x14ac:dyDescent="0.3">
      <c r="A199" s="8">
        <v>2596.5</v>
      </c>
      <c r="B199">
        <v>918.98</v>
      </c>
      <c r="C199" s="5">
        <f t="shared" si="3"/>
        <v>0.35393029077604471</v>
      </c>
      <c r="D199" t="str" cm="1">
        <f t="array" ref="D199">_xlfn.IFS(AND(C199&gt;20%, A199&gt;2000),"Excellent", AND(C199&lt;20%, C199&gt;10%),"Good",TRUE,"BAD")</f>
        <v>Excellent</v>
      </c>
    </row>
    <row r="200" spans="1:4" x14ac:dyDescent="0.3">
      <c r="A200" s="8">
        <v>465.29</v>
      </c>
      <c r="B200">
        <v>154.75</v>
      </c>
      <c r="C200" s="5">
        <f t="shared" si="3"/>
        <v>0.33258827827806314</v>
      </c>
      <c r="D200" t="str" cm="1">
        <f t="array" ref="D200">_xlfn.IFS(AND(C200&gt;20%, A200&gt;2000),"Excellent", AND(C200&lt;20%, C200&gt;10%),"Good",TRUE,"BAD")</f>
        <v>BAD</v>
      </c>
    </row>
    <row r="201" spans="1:4" x14ac:dyDescent="0.3">
      <c r="A201" s="8">
        <v>229.6</v>
      </c>
      <c r="B201">
        <v>31.34</v>
      </c>
      <c r="C201" s="5">
        <f t="shared" si="3"/>
        <v>0.13649825783972125</v>
      </c>
      <c r="D201" t="str" cm="1">
        <f t="array" ref="D201">_xlfn.IFS(AND(C201&gt;20%, A201&gt;2000),"Excellent", AND(C201&lt;20%, C201&gt;10%),"Good",TRUE,"BAD")</f>
        <v>Good</v>
      </c>
    </row>
    <row r="202" spans="1:4" x14ac:dyDescent="0.3">
      <c r="A202" s="8">
        <v>2193.6</v>
      </c>
      <c r="B202">
        <v>704.34</v>
      </c>
      <c r="C202" s="5">
        <f t="shared" si="3"/>
        <v>0.32108862144420136</v>
      </c>
      <c r="D202" t="str" cm="1">
        <f t="array" ref="D202">_xlfn.IFS(AND(C202&gt;20%, A202&gt;2000),"Excellent", AND(C202&lt;20%, C202&gt;10%),"Good",TRUE,"BAD")</f>
        <v>Excellent</v>
      </c>
    </row>
    <row r="203" spans="1:4" x14ac:dyDescent="0.3">
      <c r="A203" s="8">
        <v>255.01</v>
      </c>
      <c r="B203">
        <v>73.709999999999994</v>
      </c>
      <c r="C203" s="5">
        <f t="shared" si="3"/>
        <v>0.28904748833379079</v>
      </c>
      <c r="D203" t="str" cm="1">
        <f t="array" ref="D203">_xlfn.IFS(AND(C203&gt;20%, A203&gt;2000),"Excellent", AND(C203&lt;20%, C203&gt;10%),"Good",TRUE,"BAD")</f>
        <v>BAD</v>
      </c>
    </row>
    <row r="204" spans="1:4" x14ac:dyDescent="0.3">
      <c r="A204" s="8">
        <v>759.72</v>
      </c>
      <c r="B204">
        <v>222.38</v>
      </c>
      <c r="C204" s="5">
        <f t="shared" si="3"/>
        <v>0.29271310482809454</v>
      </c>
      <c r="D204" t="str" cm="1">
        <f t="array" ref="D204">_xlfn.IFS(AND(C204&gt;20%, A204&gt;2000),"Excellent", AND(C204&lt;20%, C204&gt;10%),"Good",TRUE,"BAD")</f>
        <v>BAD</v>
      </c>
    </row>
    <row r="205" spans="1:4" x14ac:dyDescent="0.3">
      <c r="A205" s="8">
        <v>1359.05</v>
      </c>
      <c r="B205">
        <v>477.63</v>
      </c>
      <c r="C205" s="5">
        <f t="shared" si="3"/>
        <v>0.35144402339869762</v>
      </c>
      <c r="D205" t="str" cm="1">
        <f t="array" ref="D205">_xlfn.IFS(AND(C205&gt;20%, A205&gt;2000),"Excellent", AND(C205&lt;20%, C205&gt;10%),"Good",TRUE,"BAD")</f>
        <v>BAD</v>
      </c>
    </row>
    <row r="206" spans="1:4" x14ac:dyDescent="0.3">
      <c r="A206" s="8">
        <v>1277.6400000000001</v>
      </c>
      <c r="B206">
        <v>461.83</v>
      </c>
      <c r="C206" s="5">
        <f t="shared" si="3"/>
        <v>0.36147114993268836</v>
      </c>
      <c r="D206" t="str" cm="1">
        <f t="array" ref="D206">_xlfn.IFS(AND(C206&gt;20%, A206&gt;2000),"Excellent", AND(C206&lt;20%, C206&gt;10%),"Good",TRUE,"BAD")</f>
        <v>BAD</v>
      </c>
    </row>
    <row r="207" spans="1:4" x14ac:dyDescent="0.3">
      <c r="A207" s="8">
        <v>318.95999999999998</v>
      </c>
      <c r="B207">
        <v>47.01</v>
      </c>
      <c r="C207" s="5">
        <f t="shared" si="3"/>
        <v>0.14738525206922498</v>
      </c>
      <c r="D207" t="str" cm="1">
        <f t="array" ref="D207">_xlfn.IFS(AND(C207&gt;20%, A207&gt;2000),"Excellent", AND(C207&lt;20%, C207&gt;10%),"Good",TRUE,"BAD")</f>
        <v>Good</v>
      </c>
    </row>
    <row r="208" spans="1:4" x14ac:dyDescent="0.3">
      <c r="A208" s="8">
        <v>631</v>
      </c>
      <c r="B208">
        <v>204.07</v>
      </c>
      <c r="C208" s="5">
        <f t="shared" si="3"/>
        <v>0.32340729001584784</v>
      </c>
      <c r="D208" t="str" cm="1">
        <f t="array" ref="D208">_xlfn.IFS(AND(C208&gt;20%, A208&gt;2000),"Excellent", AND(C208&lt;20%, C208&gt;10%),"Good",TRUE,"BAD")</f>
        <v>BAD</v>
      </c>
    </row>
    <row r="209" spans="1:4" x14ac:dyDescent="0.3">
      <c r="A209" s="8">
        <v>165.3</v>
      </c>
      <c r="B209">
        <v>60.13</v>
      </c>
      <c r="C209" s="5">
        <f t="shared" si="3"/>
        <v>0.36376285541439807</v>
      </c>
      <c r="D209" t="str" cm="1">
        <f t="array" ref="D209">_xlfn.IFS(AND(C209&gt;20%, A209&gt;2000),"Excellent", AND(C209&lt;20%, C209&gt;10%),"Good",TRUE,"BAD")</f>
        <v>BAD</v>
      </c>
    </row>
    <row r="210" spans="1:4" x14ac:dyDescent="0.3">
      <c r="A210" s="8">
        <v>515.05999999999995</v>
      </c>
      <c r="B210">
        <v>101.76</v>
      </c>
      <c r="C210" s="5">
        <f t="shared" si="3"/>
        <v>0.19756921523705978</v>
      </c>
      <c r="D210" t="str" cm="1">
        <f t="array" ref="D210">_xlfn.IFS(AND(C210&gt;20%, A210&gt;2000),"Excellent", AND(C210&lt;20%, C210&gt;10%),"Good",TRUE,"BAD")</f>
        <v>Good</v>
      </c>
    </row>
    <row r="211" spans="1:4" x14ac:dyDescent="0.3">
      <c r="A211" s="8">
        <v>906.78</v>
      </c>
      <c r="B211">
        <v>196.18</v>
      </c>
      <c r="C211" s="5">
        <f t="shared" si="3"/>
        <v>0.21634795650543684</v>
      </c>
      <c r="D211" t="str" cm="1">
        <f t="array" ref="D211">_xlfn.IFS(AND(C211&gt;20%, A211&gt;2000),"Excellent", AND(C211&lt;20%, C211&gt;10%),"Good",TRUE,"BAD")</f>
        <v>BAD</v>
      </c>
    </row>
    <row r="212" spans="1:4" x14ac:dyDescent="0.3">
      <c r="A212" s="8">
        <v>479.91</v>
      </c>
      <c r="B212">
        <v>108.03</v>
      </c>
      <c r="C212" s="5">
        <f t="shared" si="3"/>
        <v>0.22510470713258734</v>
      </c>
      <c r="D212" t="str" cm="1">
        <f t="array" ref="D212">_xlfn.IFS(AND(C212&gt;20%, A212&gt;2000),"Excellent", AND(C212&lt;20%, C212&gt;10%),"Good",TRUE,"BAD")</f>
        <v>BAD</v>
      </c>
    </row>
    <row r="213" spans="1:4" x14ac:dyDescent="0.3">
      <c r="A213" s="8">
        <v>1060.92</v>
      </c>
      <c r="B213">
        <v>227.87</v>
      </c>
      <c r="C213" s="5">
        <f t="shared" si="3"/>
        <v>0.21478528069976999</v>
      </c>
      <c r="D213" t="str" cm="1">
        <f t="array" ref="D213">_xlfn.IFS(AND(C213&gt;20%, A213&gt;2000),"Excellent", AND(C213&lt;20%, C213&gt;10%),"Good",TRUE,"BAD")</f>
        <v>BAD</v>
      </c>
    </row>
    <row r="214" spans="1:4" x14ac:dyDescent="0.3">
      <c r="A214" s="8">
        <v>54.54</v>
      </c>
      <c r="B214">
        <v>17.09</v>
      </c>
      <c r="C214" s="5">
        <f t="shared" si="3"/>
        <v>0.31334800146681335</v>
      </c>
      <c r="D214" t="str" cm="1">
        <f t="array" ref="D214">_xlfn.IFS(AND(C214&gt;20%, A214&gt;2000),"Excellent", AND(C214&lt;20%, C214&gt;10%),"Good",TRUE,"BAD")</f>
        <v>BAD</v>
      </c>
    </row>
    <row r="215" spans="1:4" x14ac:dyDescent="0.3">
      <c r="A215" s="8">
        <v>2157.6</v>
      </c>
      <c r="B215">
        <v>665.19</v>
      </c>
      <c r="C215" s="5">
        <f t="shared" si="3"/>
        <v>0.30830088987764187</v>
      </c>
      <c r="D215" t="str" cm="1">
        <f t="array" ref="D215">_xlfn.IFS(AND(C215&gt;20%, A215&gt;2000),"Excellent", AND(C215&lt;20%, C215&gt;10%),"Good",TRUE,"BAD")</f>
        <v>Excellent</v>
      </c>
    </row>
    <row r="216" spans="1:4" x14ac:dyDescent="0.3">
      <c r="A216" s="8">
        <v>657.8</v>
      </c>
      <c r="B216">
        <v>184.44</v>
      </c>
      <c r="C216" s="5">
        <f t="shared" si="3"/>
        <v>0.28038917604135</v>
      </c>
      <c r="D216" t="str" cm="1">
        <f t="array" ref="D216">_xlfn.IFS(AND(C216&gt;20%, A216&gt;2000),"Excellent", AND(C216&lt;20%, C216&gt;10%),"Good",TRUE,"BAD")</f>
        <v>BAD</v>
      </c>
    </row>
    <row r="217" spans="1:4" x14ac:dyDescent="0.3">
      <c r="A217" s="8">
        <v>469.8</v>
      </c>
      <c r="B217">
        <v>171.28</v>
      </c>
      <c r="C217" s="5">
        <f t="shared" si="3"/>
        <v>0.36458067262664962</v>
      </c>
      <c r="D217" t="str" cm="1">
        <f t="array" ref="D217">_xlfn.IFS(AND(C217&gt;20%, A217&gt;2000),"Excellent", AND(C217&lt;20%, C217&gt;10%),"Good",TRUE,"BAD")</f>
        <v>BAD</v>
      </c>
    </row>
    <row r="218" spans="1:4" x14ac:dyDescent="0.3">
      <c r="A218" s="8">
        <v>786.45</v>
      </c>
      <c r="B218">
        <v>136.05000000000001</v>
      </c>
      <c r="C218" s="5">
        <f t="shared" si="3"/>
        <v>0.17299256151058554</v>
      </c>
      <c r="D218" t="str" cm="1">
        <f t="array" ref="D218">_xlfn.IFS(AND(C218&gt;20%, A218&gt;2000),"Excellent", AND(C218&lt;20%, C218&gt;10%),"Good",TRUE,"BAD")</f>
        <v>Good</v>
      </c>
    </row>
    <row r="219" spans="1:4" x14ac:dyDescent="0.3">
      <c r="A219" s="8">
        <v>713.5</v>
      </c>
      <c r="B219">
        <v>163.12</v>
      </c>
      <c r="C219" s="5">
        <f t="shared" si="3"/>
        <v>0.22861948142957253</v>
      </c>
      <c r="D219" t="str" cm="1">
        <f t="array" ref="D219">_xlfn.IFS(AND(C219&gt;20%, A219&gt;2000),"Excellent", AND(C219&lt;20%, C219&gt;10%),"Good",TRUE,"BAD")</f>
        <v>BAD</v>
      </c>
    </row>
    <row r="220" spans="1:4" x14ac:dyDescent="0.3">
      <c r="A220" s="8">
        <v>418.77</v>
      </c>
      <c r="B220">
        <v>114.75</v>
      </c>
      <c r="C220" s="5">
        <f t="shared" si="3"/>
        <v>0.27401676337846553</v>
      </c>
      <c r="D220" t="str" cm="1">
        <f t="array" ref="D220">_xlfn.IFS(AND(C220&gt;20%, A220&gt;2000),"Excellent", AND(C220&lt;20%, C220&gt;10%),"Good",TRUE,"BAD")</f>
        <v>BAD</v>
      </c>
    </row>
    <row r="221" spans="1:4" x14ac:dyDescent="0.3">
      <c r="A221" s="8">
        <v>347.76</v>
      </c>
      <c r="B221">
        <v>47.42</v>
      </c>
      <c r="C221" s="5">
        <f t="shared" si="3"/>
        <v>0.13635840809753855</v>
      </c>
      <c r="D221" t="str" cm="1">
        <f t="array" ref="D221">_xlfn.IFS(AND(C221&gt;20%, A221&gt;2000),"Excellent", AND(C221&lt;20%, C221&gt;10%),"Good",TRUE,"BAD")</f>
        <v>Good</v>
      </c>
    </row>
    <row r="222" spans="1:4" x14ac:dyDescent="0.3">
      <c r="A222" s="8">
        <v>2100.84</v>
      </c>
      <c r="B222">
        <v>835.19</v>
      </c>
      <c r="C222" s="5">
        <f t="shared" si="3"/>
        <v>0.39755050360808059</v>
      </c>
      <c r="D222" t="str" cm="1">
        <f t="array" ref="D222">_xlfn.IFS(AND(C222&gt;20%, A222&gt;2000),"Excellent", AND(C222&lt;20%, C222&gt;10%),"Good",TRUE,"BAD")</f>
        <v>Excellent</v>
      </c>
    </row>
    <row r="223" spans="1:4" x14ac:dyDescent="0.3">
      <c r="A223" s="8">
        <v>642.07000000000005</v>
      </c>
      <c r="B223">
        <v>239.75</v>
      </c>
      <c r="C223" s="5">
        <f t="shared" si="3"/>
        <v>0.37340165402526199</v>
      </c>
      <c r="D223" t="str" cm="1">
        <f t="array" ref="D223">_xlfn.IFS(AND(C223&gt;20%, A223&gt;2000),"Excellent", AND(C223&lt;20%, C223&gt;10%),"Good",TRUE,"BAD")</f>
        <v>BAD</v>
      </c>
    </row>
    <row r="224" spans="1:4" x14ac:dyDescent="0.3">
      <c r="A224" s="8">
        <v>342.9</v>
      </c>
      <c r="B224">
        <v>45.74</v>
      </c>
      <c r="C224" s="5">
        <f t="shared" si="3"/>
        <v>0.13339165937591135</v>
      </c>
      <c r="D224" t="str" cm="1">
        <f t="array" ref="D224">_xlfn.IFS(AND(C224&gt;20%, A224&gt;2000),"Excellent", AND(C224&lt;20%, C224&gt;10%),"Good",TRUE,"BAD")</f>
        <v>Good</v>
      </c>
    </row>
    <row r="225" spans="1:4" x14ac:dyDescent="0.3">
      <c r="A225" s="8">
        <v>1378.99</v>
      </c>
      <c r="B225">
        <v>361.07</v>
      </c>
      <c r="C225" s="5">
        <f t="shared" si="3"/>
        <v>0.26183656154141799</v>
      </c>
      <c r="D225" t="str" cm="1">
        <f t="array" ref="D225">_xlfn.IFS(AND(C225&gt;20%, A225&gt;2000),"Excellent", AND(C225&lt;20%, C225&gt;10%),"Good",TRUE,"BAD")</f>
        <v>BAD</v>
      </c>
    </row>
    <row r="226" spans="1:4" x14ac:dyDescent="0.3">
      <c r="A226" s="8">
        <v>2648.45</v>
      </c>
      <c r="B226">
        <v>866.65</v>
      </c>
      <c r="C226" s="5">
        <f t="shared" si="3"/>
        <v>0.32722913402178633</v>
      </c>
      <c r="D226" t="str" cm="1">
        <f t="array" ref="D226">_xlfn.IFS(AND(C226&gt;20%, A226&gt;2000),"Excellent", AND(C226&lt;20%, C226&gt;10%),"Good",TRUE,"BAD")</f>
        <v>Excellent</v>
      </c>
    </row>
    <row r="227" spans="1:4" x14ac:dyDescent="0.3">
      <c r="A227" s="8">
        <v>661.98</v>
      </c>
      <c r="B227">
        <v>191.21</v>
      </c>
      <c r="C227" s="5">
        <f t="shared" si="3"/>
        <v>0.28884558445874498</v>
      </c>
      <c r="D227" t="str" cm="1">
        <f t="array" ref="D227">_xlfn.IFS(AND(C227&gt;20%, A227&gt;2000),"Excellent", AND(C227&lt;20%, C227&gt;10%),"Good",TRUE,"BAD")</f>
        <v>BAD</v>
      </c>
    </row>
    <row r="228" spans="1:4" x14ac:dyDescent="0.3">
      <c r="A228" s="8">
        <v>1748.32</v>
      </c>
      <c r="B228">
        <v>251.85</v>
      </c>
      <c r="C228" s="5">
        <f t="shared" si="3"/>
        <v>0.14405257618742565</v>
      </c>
      <c r="D228" t="str" cm="1">
        <f t="array" ref="D228">_xlfn.IFS(AND(C228&gt;20%, A228&gt;2000),"Excellent", AND(C228&lt;20%, C228&gt;10%),"Good",TRUE,"BAD")</f>
        <v>Good</v>
      </c>
    </row>
    <row r="229" spans="1:4" x14ac:dyDescent="0.3">
      <c r="A229" s="8">
        <v>710.47</v>
      </c>
      <c r="B229">
        <v>116.73</v>
      </c>
      <c r="C229" s="5">
        <f t="shared" si="3"/>
        <v>0.16429968893830843</v>
      </c>
      <c r="D229" t="str" cm="1">
        <f t="array" ref="D229">_xlfn.IFS(AND(C229&gt;20%, A229&gt;2000),"Excellent", AND(C229&lt;20%, C229&gt;10%),"Good",TRUE,"BAD")</f>
        <v>Good</v>
      </c>
    </row>
    <row r="230" spans="1:4" x14ac:dyDescent="0.3">
      <c r="A230" s="8">
        <v>834.4</v>
      </c>
      <c r="B230">
        <v>325.29000000000002</v>
      </c>
      <c r="C230" s="5">
        <f t="shared" si="3"/>
        <v>0.38984899328859063</v>
      </c>
      <c r="D230" t="str" cm="1">
        <f t="array" ref="D230">_xlfn.IFS(AND(C230&gt;20%, A230&gt;2000),"Excellent", AND(C230&lt;20%, C230&gt;10%),"Good",TRUE,"BAD")</f>
        <v>BAD</v>
      </c>
    </row>
    <row r="231" spans="1:4" x14ac:dyDescent="0.3">
      <c r="A231" s="8">
        <v>85.08</v>
      </c>
      <c r="B231">
        <v>13.12</v>
      </c>
      <c r="C231" s="5">
        <f t="shared" si="3"/>
        <v>0.15420780441936999</v>
      </c>
      <c r="D231" t="str" cm="1">
        <f t="array" ref="D231">_xlfn.IFS(AND(C231&gt;20%, A231&gt;2000),"Excellent", AND(C231&lt;20%, C231&gt;10%),"Good",TRUE,"BAD")</f>
        <v>Good</v>
      </c>
    </row>
    <row r="232" spans="1:4" x14ac:dyDescent="0.3">
      <c r="A232" s="8">
        <v>619.64</v>
      </c>
      <c r="B232">
        <v>245.44</v>
      </c>
      <c r="C232" s="5">
        <f t="shared" si="3"/>
        <v>0.39610096184881544</v>
      </c>
      <c r="D232" t="str" cm="1">
        <f t="array" ref="D232">_xlfn.IFS(AND(C232&gt;20%, A232&gt;2000),"Excellent", AND(C232&lt;20%, C232&gt;10%),"Good",TRUE,"BAD")</f>
        <v>BAD</v>
      </c>
    </row>
    <row r="233" spans="1:4" x14ac:dyDescent="0.3">
      <c r="A233" s="8">
        <v>773.36</v>
      </c>
      <c r="B233">
        <v>239.48</v>
      </c>
      <c r="C233" s="5">
        <f t="shared" si="3"/>
        <v>0.30966173580221368</v>
      </c>
      <c r="D233" t="str" cm="1">
        <f t="array" ref="D233">_xlfn.IFS(AND(C233&gt;20%, A233&gt;2000),"Excellent", AND(C233&lt;20%, C233&gt;10%),"Good",TRUE,"BAD")</f>
        <v>BAD</v>
      </c>
    </row>
    <row r="234" spans="1:4" x14ac:dyDescent="0.3">
      <c r="A234" s="8">
        <v>1369.2</v>
      </c>
      <c r="B234">
        <v>291.17</v>
      </c>
      <c r="C234" s="5">
        <f t="shared" si="3"/>
        <v>0.21265702600058428</v>
      </c>
      <c r="D234" t="str" cm="1">
        <f t="array" ref="D234">_xlfn.IFS(AND(C234&gt;20%, A234&gt;2000),"Excellent", AND(C234&lt;20%, C234&gt;10%),"Good",TRUE,"BAD")</f>
        <v>BAD</v>
      </c>
    </row>
    <row r="235" spans="1:4" x14ac:dyDescent="0.3">
      <c r="A235" s="8">
        <v>469.8</v>
      </c>
      <c r="B235">
        <v>78.3</v>
      </c>
      <c r="C235" s="5">
        <f t="shared" si="3"/>
        <v>0.16666666666666666</v>
      </c>
      <c r="D235" t="str" cm="1">
        <f t="array" ref="D235">_xlfn.IFS(AND(C235&gt;20%, A235&gt;2000),"Excellent", AND(C235&lt;20%, C235&gt;10%),"Good",TRUE,"BAD")</f>
        <v>Good</v>
      </c>
    </row>
    <row r="236" spans="1:4" x14ac:dyDescent="0.3">
      <c r="A236" s="8">
        <v>1349.74</v>
      </c>
      <c r="B236">
        <v>474.88</v>
      </c>
      <c r="C236" s="5">
        <f t="shared" si="3"/>
        <v>0.35183072295405038</v>
      </c>
      <c r="D236" t="str" cm="1">
        <f t="array" ref="D236">_xlfn.IFS(AND(C236&gt;20%, A236&gt;2000),"Excellent", AND(C236&lt;20%, C236&gt;10%),"Good",TRUE,"BAD")</f>
        <v>BAD</v>
      </c>
    </row>
    <row r="237" spans="1:4" x14ac:dyDescent="0.3">
      <c r="A237" s="8">
        <v>577.53</v>
      </c>
      <c r="B237">
        <v>60.38</v>
      </c>
      <c r="C237" s="5">
        <f t="shared" si="3"/>
        <v>0.1045486814537773</v>
      </c>
      <c r="D237" t="str" cm="1">
        <f t="array" ref="D237">_xlfn.IFS(AND(C237&gt;20%, A237&gt;2000),"Excellent", AND(C237&lt;20%, C237&gt;10%),"Good",TRUE,"BAD")</f>
        <v>Good</v>
      </c>
    </row>
    <row r="238" spans="1:4" x14ac:dyDescent="0.3">
      <c r="A238" s="8">
        <v>1036.6400000000001</v>
      </c>
      <c r="B238">
        <v>237.87</v>
      </c>
      <c r="C238" s="5">
        <f t="shared" si="3"/>
        <v>0.22946249421206974</v>
      </c>
      <c r="D238" t="str" cm="1">
        <f t="array" ref="D238">_xlfn.IFS(AND(C238&gt;20%, A238&gt;2000),"Excellent", AND(C238&lt;20%, C238&gt;10%),"Good",TRUE,"BAD")</f>
        <v>BAD</v>
      </c>
    </row>
    <row r="239" spans="1:4" x14ac:dyDescent="0.3">
      <c r="A239" s="8">
        <v>1548.5</v>
      </c>
      <c r="B239">
        <v>566.41</v>
      </c>
      <c r="C239" s="5">
        <f t="shared" si="3"/>
        <v>0.36577978689053919</v>
      </c>
      <c r="D239" t="str" cm="1">
        <f t="array" ref="D239">_xlfn.IFS(AND(C239&gt;20%, A239&gt;2000),"Excellent", AND(C239&lt;20%, C239&gt;10%),"Good",TRUE,"BAD")</f>
        <v>BAD</v>
      </c>
    </row>
    <row r="240" spans="1:4" x14ac:dyDescent="0.3">
      <c r="A240" s="8">
        <v>1035.47</v>
      </c>
      <c r="B240">
        <v>301.38</v>
      </c>
      <c r="C240" s="5">
        <f t="shared" si="3"/>
        <v>0.29105623533274744</v>
      </c>
      <c r="D240" t="str" cm="1">
        <f t="array" ref="D240">_xlfn.IFS(AND(C240&gt;20%, A240&gt;2000),"Excellent", AND(C240&lt;20%, C240&gt;10%),"Good",TRUE,"BAD")</f>
        <v>BAD</v>
      </c>
    </row>
    <row r="241" spans="1:4" x14ac:dyDescent="0.3">
      <c r="A241" s="8">
        <v>778.75</v>
      </c>
      <c r="B241">
        <v>231.3</v>
      </c>
      <c r="C241" s="5">
        <f t="shared" si="3"/>
        <v>0.29701444622792939</v>
      </c>
      <c r="D241" t="str" cm="1">
        <f t="array" ref="D241">_xlfn.IFS(AND(C241&gt;20%, A241&gt;2000),"Excellent", AND(C241&lt;20%, C241&gt;10%),"Good",TRUE,"BAD")</f>
        <v>BAD</v>
      </c>
    </row>
    <row r="242" spans="1:4" x14ac:dyDescent="0.3">
      <c r="A242" s="8">
        <v>933.6</v>
      </c>
      <c r="B242">
        <v>342.72</v>
      </c>
      <c r="C242" s="5">
        <f t="shared" si="3"/>
        <v>0.36709511568123393</v>
      </c>
      <c r="D242" t="str" cm="1">
        <f t="array" ref="D242">_xlfn.IFS(AND(C242&gt;20%, A242&gt;2000),"Excellent", AND(C242&lt;20%, C242&gt;10%),"Good",TRUE,"BAD")</f>
        <v>BAD</v>
      </c>
    </row>
    <row r="243" spans="1:4" x14ac:dyDescent="0.3">
      <c r="A243" s="8">
        <v>333.88</v>
      </c>
      <c r="B243">
        <v>48.15</v>
      </c>
      <c r="C243" s="5">
        <f t="shared" si="3"/>
        <v>0.14421348987660237</v>
      </c>
      <c r="D243" t="str" cm="1">
        <f t="array" ref="D243">_xlfn.IFS(AND(C243&gt;20%, A243&gt;2000),"Excellent", AND(C243&lt;20%, C243&gt;10%),"Good",TRUE,"BAD")</f>
        <v>Good</v>
      </c>
    </row>
    <row r="244" spans="1:4" x14ac:dyDescent="0.3">
      <c r="A244" s="8">
        <v>2121.9499999999998</v>
      </c>
      <c r="B244">
        <v>790.56</v>
      </c>
      <c r="C244" s="5">
        <f t="shared" si="3"/>
        <v>0.37256297273734068</v>
      </c>
      <c r="D244" t="str" cm="1">
        <f t="array" ref="D244">_xlfn.IFS(AND(C244&gt;20%, A244&gt;2000),"Excellent", AND(C244&lt;20%, C244&gt;10%),"Good",TRUE,"BAD")</f>
        <v>Excellent</v>
      </c>
    </row>
    <row r="245" spans="1:4" x14ac:dyDescent="0.3">
      <c r="A245" s="8">
        <v>1917</v>
      </c>
      <c r="B245">
        <v>237.73</v>
      </c>
      <c r="C245" s="5">
        <f t="shared" si="3"/>
        <v>0.12401147626499738</v>
      </c>
      <c r="D245" t="str" cm="1">
        <f t="array" ref="D245">_xlfn.IFS(AND(C245&gt;20%, A245&gt;2000),"Excellent", AND(C245&lt;20%, C245&gt;10%),"Good",TRUE,"BAD")</f>
        <v>Good</v>
      </c>
    </row>
    <row r="246" spans="1:4" x14ac:dyDescent="0.3">
      <c r="A246" s="8">
        <v>795.5</v>
      </c>
      <c r="B246">
        <v>258.17</v>
      </c>
      <c r="C246" s="5">
        <f t="shared" si="3"/>
        <v>0.32453802639849155</v>
      </c>
      <c r="D246" t="str" cm="1">
        <f t="array" ref="D246">_xlfn.IFS(AND(C246&gt;20%, A246&gt;2000),"Excellent", AND(C246&lt;20%, C246&gt;10%),"Good",TRUE,"BAD")</f>
        <v>BAD</v>
      </c>
    </row>
    <row r="247" spans="1:4" x14ac:dyDescent="0.3">
      <c r="A247" s="8">
        <v>616.59</v>
      </c>
      <c r="B247">
        <v>168.83</v>
      </c>
      <c r="C247" s="5">
        <f t="shared" si="3"/>
        <v>0.27381241992247685</v>
      </c>
      <c r="D247" t="str" cm="1">
        <f t="array" ref="D247">_xlfn.IFS(AND(C247&gt;20%, A247&gt;2000),"Excellent", AND(C247&lt;20%, C247&gt;10%),"Good",TRUE,"BAD")</f>
        <v>BAD</v>
      </c>
    </row>
    <row r="248" spans="1:4" x14ac:dyDescent="0.3">
      <c r="A248" s="8">
        <v>108.04</v>
      </c>
      <c r="B248">
        <v>31.31</v>
      </c>
      <c r="C248" s="5">
        <f t="shared" si="3"/>
        <v>0.28980007404664937</v>
      </c>
      <c r="D248" t="str" cm="1">
        <f t="array" ref="D248">_xlfn.IFS(AND(C248&gt;20%, A248&gt;2000),"Excellent", AND(C248&lt;20%, C248&gt;10%),"Good",TRUE,"BAD")</f>
        <v>BAD</v>
      </c>
    </row>
    <row r="249" spans="1:4" x14ac:dyDescent="0.3">
      <c r="A249" s="8">
        <v>1267.2</v>
      </c>
      <c r="B249">
        <v>461.88</v>
      </c>
      <c r="C249" s="5">
        <f t="shared" si="3"/>
        <v>0.36448863636363632</v>
      </c>
      <c r="D249" t="str" cm="1">
        <f t="array" ref="D249">_xlfn.IFS(AND(C249&gt;20%, A249&gt;2000),"Excellent", AND(C249&lt;20%, C249&gt;10%),"Good",TRUE,"BAD")</f>
        <v>BAD</v>
      </c>
    </row>
    <row r="250" spans="1:4" x14ac:dyDescent="0.3">
      <c r="A250" s="8">
        <v>1040.1600000000001</v>
      </c>
      <c r="B250">
        <v>398.98</v>
      </c>
      <c r="C250" s="5">
        <f t="shared" si="3"/>
        <v>0.38357560375326871</v>
      </c>
      <c r="D250" t="str" cm="1">
        <f t="array" ref="D250">_xlfn.IFS(AND(C250&gt;20%, A250&gt;2000),"Excellent", AND(C250&lt;20%, C250&gt;10%),"Good",TRUE,"BAD")</f>
        <v>BAD</v>
      </c>
    </row>
    <row r="251" spans="1:4" x14ac:dyDescent="0.3">
      <c r="A251" s="8">
        <v>2656.6</v>
      </c>
      <c r="B251">
        <v>1116.3</v>
      </c>
      <c r="C251" s="5">
        <f t="shared" si="3"/>
        <v>0.42019875028231574</v>
      </c>
      <c r="D251" t="str" cm="1">
        <f t="array" ref="D251">_xlfn.IFS(AND(C251&gt;20%, A251&gt;2000),"Excellent", AND(C251&lt;20%, C251&gt;10%),"Good",TRUE,"BAD")</f>
        <v>Excellent</v>
      </c>
    </row>
    <row r="252" spans="1:4" x14ac:dyDescent="0.3">
      <c r="A252" s="8">
        <v>698.64</v>
      </c>
      <c r="B252">
        <v>164.65</v>
      </c>
      <c r="C252" s="5">
        <f t="shared" si="3"/>
        <v>0.23567216305965877</v>
      </c>
      <c r="D252" t="str" cm="1">
        <f t="array" ref="D252">_xlfn.IFS(AND(C252&gt;20%, A252&gt;2000),"Excellent", AND(C252&lt;20%, C252&gt;10%),"Good",TRUE,"BAD")</f>
        <v>BAD</v>
      </c>
    </row>
    <row r="253" spans="1:4" x14ac:dyDescent="0.3">
      <c r="A253" s="8">
        <v>167.46</v>
      </c>
      <c r="B253">
        <v>22.45</v>
      </c>
      <c r="C253" s="5">
        <f t="shared" si="3"/>
        <v>0.1340618655201242</v>
      </c>
      <c r="D253" t="str" cm="1">
        <f t="array" ref="D253">_xlfn.IFS(AND(C253&gt;20%, A253&gt;2000),"Excellent", AND(C253&lt;20%, C253&gt;10%),"Good",TRUE,"BAD")</f>
        <v>Good</v>
      </c>
    </row>
    <row r="254" spans="1:4" x14ac:dyDescent="0.3">
      <c r="A254" s="8">
        <v>764.12</v>
      </c>
      <c r="B254">
        <v>108.34</v>
      </c>
      <c r="C254" s="5">
        <f t="shared" si="3"/>
        <v>0.1417840129822541</v>
      </c>
      <c r="D254" t="str" cm="1">
        <f t="array" ref="D254">_xlfn.IFS(AND(C254&gt;20%, A254&gt;2000),"Excellent", AND(C254&lt;20%, C254&gt;10%),"Good",TRUE,"BAD")</f>
        <v>Good</v>
      </c>
    </row>
    <row r="255" spans="1:4" x14ac:dyDescent="0.3">
      <c r="A255" s="8">
        <v>1686.36</v>
      </c>
      <c r="B255">
        <v>558.55999999999995</v>
      </c>
      <c r="C255" s="5">
        <f t="shared" si="3"/>
        <v>0.33122227756825351</v>
      </c>
      <c r="D255" t="str" cm="1">
        <f t="array" ref="D255">_xlfn.IFS(AND(C255&gt;20%, A255&gt;2000),"Excellent", AND(C255&lt;20%, C255&gt;10%),"Good",TRUE,"BAD")</f>
        <v>BAD</v>
      </c>
    </row>
    <row r="256" spans="1:4" x14ac:dyDescent="0.3">
      <c r="A256" s="8">
        <v>521.92999999999995</v>
      </c>
      <c r="B256">
        <v>196.14</v>
      </c>
      <c r="C256" s="5">
        <f t="shared" si="3"/>
        <v>0.37579752074032918</v>
      </c>
      <c r="D256" t="str" cm="1">
        <f t="array" ref="D256">_xlfn.IFS(AND(C256&gt;20%, A256&gt;2000),"Excellent", AND(C256&lt;20%, C256&gt;10%),"Good",TRUE,"BAD")</f>
        <v>BAD</v>
      </c>
    </row>
    <row r="257" spans="1:4" x14ac:dyDescent="0.3">
      <c r="A257" s="8">
        <v>380.38</v>
      </c>
      <c r="B257">
        <v>110.91</v>
      </c>
      <c r="C257" s="5">
        <f t="shared" si="3"/>
        <v>0.29157684420842317</v>
      </c>
      <c r="D257" t="str" cm="1">
        <f t="array" ref="D257">_xlfn.IFS(AND(C257&gt;20%, A257&gt;2000),"Excellent", AND(C257&lt;20%, C257&gt;10%),"Good",TRUE,"BAD")</f>
        <v>BAD</v>
      </c>
    </row>
    <row r="258" spans="1:4" x14ac:dyDescent="0.3">
      <c r="A258" s="8">
        <v>104.68</v>
      </c>
      <c r="B258">
        <v>26.35</v>
      </c>
      <c r="C258" s="5">
        <f t="shared" si="3"/>
        <v>0.25171952617500953</v>
      </c>
      <c r="D258" t="str" cm="1">
        <f t="array" ref="D258">_xlfn.IFS(AND(C258&gt;20%, A258&gt;2000),"Excellent", AND(C258&lt;20%, C258&gt;10%),"Good",TRUE,"BAD")</f>
        <v>BAD</v>
      </c>
    </row>
    <row r="259" spans="1:4" x14ac:dyDescent="0.3">
      <c r="A259" s="8">
        <v>1604.76</v>
      </c>
      <c r="B259">
        <v>576.25</v>
      </c>
      <c r="C259" s="5">
        <f t="shared" ref="C259:C322" si="4">B259/A259</f>
        <v>0.35908796330915527</v>
      </c>
      <c r="D259" t="str" cm="1">
        <f t="array" ref="D259">_xlfn.IFS(AND(C259&gt;20%, A259&gt;2000),"Excellent", AND(C259&lt;20%, C259&gt;10%),"Good",TRUE,"BAD")</f>
        <v>BAD</v>
      </c>
    </row>
    <row r="260" spans="1:4" x14ac:dyDescent="0.3">
      <c r="A260" s="8">
        <v>622.35</v>
      </c>
      <c r="B260">
        <v>115.91</v>
      </c>
      <c r="C260" s="5">
        <f t="shared" si="4"/>
        <v>0.18624568169036715</v>
      </c>
      <c r="D260" t="str" cm="1">
        <f t="array" ref="D260">_xlfn.IFS(AND(C260&gt;20%, A260&gt;2000),"Excellent", AND(C260&lt;20%, C260&gt;10%),"Good",TRUE,"BAD")</f>
        <v>Good</v>
      </c>
    </row>
    <row r="261" spans="1:4" x14ac:dyDescent="0.3">
      <c r="A261" s="8">
        <v>722.76</v>
      </c>
      <c r="B261">
        <v>223.63</v>
      </c>
      <c r="C261" s="5">
        <f t="shared" si="4"/>
        <v>0.30941114616193482</v>
      </c>
      <c r="D261" t="str" cm="1">
        <f t="array" ref="D261">_xlfn.IFS(AND(C261&gt;20%, A261&gt;2000),"Excellent", AND(C261&lt;20%, C261&gt;10%),"Good",TRUE,"BAD")</f>
        <v>BAD</v>
      </c>
    </row>
    <row r="262" spans="1:4" x14ac:dyDescent="0.3">
      <c r="A262" s="8">
        <v>709.4</v>
      </c>
      <c r="B262">
        <v>290.76</v>
      </c>
      <c r="C262" s="5">
        <f t="shared" si="4"/>
        <v>0.40986749365661124</v>
      </c>
      <c r="D262" t="str" cm="1">
        <f t="array" ref="D262">_xlfn.IFS(AND(C262&gt;20%, A262&gt;2000),"Excellent", AND(C262&lt;20%, C262&gt;10%),"Good",TRUE,"BAD")</f>
        <v>BAD</v>
      </c>
    </row>
    <row r="263" spans="1:4" x14ac:dyDescent="0.3">
      <c r="A263" s="8">
        <v>650.76</v>
      </c>
      <c r="B263">
        <v>187.33</v>
      </c>
      <c r="C263" s="5">
        <f t="shared" si="4"/>
        <v>0.28786342123056119</v>
      </c>
      <c r="D263" t="str" cm="1">
        <f t="array" ref="D263">_xlfn.IFS(AND(C263&gt;20%, A263&gt;2000),"Excellent", AND(C263&lt;20%, C263&gt;10%),"Good",TRUE,"BAD")</f>
        <v>BAD</v>
      </c>
    </row>
    <row r="264" spans="1:4" x14ac:dyDescent="0.3">
      <c r="A264" s="8">
        <v>388</v>
      </c>
      <c r="B264">
        <v>51.61</v>
      </c>
      <c r="C264" s="5">
        <f t="shared" si="4"/>
        <v>0.13301546391752578</v>
      </c>
      <c r="D264" t="str" cm="1">
        <f t="array" ref="D264">_xlfn.IFS(AND(C264&gt;20%, A264&gt;2000),"Excellent", AND(C264&lt;20%, C264&gt;10%),"Good",TRUE,"BAD")</f>
        <v>Good</v>
      </c>
    </row>
    <row r="265" spans="1:4" x14ac:dyDescent="0.3">
      <c r="A265" s="8">
        <v>101.52</v>
      </c>
      <c r="B265">
        <v>24.2</v>
      </c>
      <c r="C265" s="5">
        <f t="shared" si="4"/>
        <v>0.23837667454688732</v>
      </c>
      <c r="D265" t="str" cm="1">
        <f t="array" ref="D265">_xlfn.IFS(AND(C265&gt;20%, A265&gt;2000),"Excellent", AND(C265&lt;20%, C265&gt;10%),"Good",TRUE,"BAD")</f>
        <v>BAD</v>
      </c>
    </row>
    <row r="266" spans="1:4" x14ac:dyDescent="0.3">
      <c r="A266" s="8">
        <v>422.4</v>
      </c>
      <c r="B266">
        <v>90.32</v>
      </c>
      <c r="C266" s="5">
        <f t="shared" si="4"/>
        <v>0.21382575757575756</v>
      </c>
      <c r="D266" t="str" cm="1">
        <f t="array" ref="D266">_xlfn.IFS(AND(C266&gt;20%, A266&gt;2000),"Excellent", AND(C266&lt;20%, C266&gt;10%),"Good",TRUE,"BAD")</f>
        <v>BAD</v>
      </c>
    </row>
    <row r="267" spans="1:4" x14ac:dyDescent="0.3">
      <c r="A267" s="8">
        <v>58.15</v>
      </c>
      <c r="B267">
        <v>18.95</v>
      </c>
      <c r="C267" s="5">
        <f t="shared" si="4"/>
        <v>0.32588134135855545</v>
      </c>
      <c r="D267" t="str" cm="1">
        <f t="array" ref="D267">_xlfn.IFS(AND(C267&gt;20%, A267&gt;2000),"Excellent", AND(C267&lt;20%, C267&gt;10%),"Good",TRUE,"BAD")</f>
        <v>BAD</v>
      </c>
    </row>
    <row r="268" spans="1:4" x14ac:dyDescent="0.3">
      <c r="A268" s="8">
        <v>1470.72</v>
      </c>
      <c r="B268">
        <v>363.95</v>
      </c>
      <c r="C268" s="5">
        <f t="shared" si="4"/>
        <v>0.24746382724107918</v>
      </c>
      <c r="D268" t="str" cm="1">
        <f t="array" ref="D268">_xlfn.IFS(AND(C268&gt;20%, A268&gt;2000),"Excellent", AND(C268&lt;20%, C268&gt;10%),"Good",TRUE,"BAD")</f>
        <v>BAD</v>
      </c>
    </row>
    <row r="269" spans="1:4" x14ac:dyDescent="0.3">
      <c r="A269" s="8">
        <v>622.34</v>
      </c>
      <c r="B269">
        <v>117.69</v>
      </c>
      <c r="C269" s="5">
        <f t="shared" si="4"/>
        <v>0.18910884725391264</v>
      </c>
      <c r="D269" t="str" cm="1">
        <f t="array" ref="D269">_xlfn.IFS(AND(C269&gt;20%, A269&gt;2000),"Excellent", AND(C269&lt;20%, C269&gt;10%),"Good",TRUE,"BAD")</f>
        <v>Good</v>
      </c>
    </row>
    <row r="270" spans="1:4" x14ac:dyDescent="0.3">
      <c r="A270" s="8">
        <v>983.16</v>
      </c>
      <c r="B270">
        <v>384.55</v>
      </c>
      <c r="C270" s="5">
        <f t="shared" si="4"/>
        <v>0.39113674274787424</v>
      </c>
      <c r="D270" t="str" cm="1">
        <f t="array" ref="D270">_xlfn.IFS(AND(C270&gt;20%, A270&gt;2000),"Excellent", AND(C270&lt;20%, C270&gt;10%),"Good",TRUE,"BAD")</f>
        <v>BAD</v>
      </c>
    </row>
    <row r="271" spans="1:4" x14ac:dyDescent="0.3">
      <c r="A271" s="8">
        <v>684.9</v>
      </c>
      <c r="B271">
        <v>270.08999999999997</v>
      </c>
      <c r="C271" s="5">
        <f t="shared" si="4"/>
        <v>0.3943495400788436</v>
      </c>
      <c r="D271" t="str" cm="1">
        <f t="array" ref="D271">_xlfn.IFS(AND(C271&gt;20%, A271&gt;2000),"Excellent", AND(C271&lt;20%, C271&gt;10%),"Good",TRUE,"BAD")</f>
        <v>BAD</v>
      </c>
    </row>
    <row r="272" spans="1:4" x14ac:dyDescent="0.3">
      <c r="A272" s="8">
        <v>1833.78</v>
      </c>
      <c r="B272">
        <v>535.77</v>
      </c>
      <c r="C272" s="5">
        <f t="shared" si="4"/>
        <v>0.29216699931289469</v>
      </c>
      <c r="D272" t="str" cm="1">
        <f t="array" ref="D272">_xlfn.IFS(AND(C272&gt;20%, A272&gt;2000),"Excellent", AND(C272&lt;20%, C272&gt;10%),"Good",TRUE,"BAD")</f>
        <v>BAD</v>
      </c>
    </row>
    <row r="273" spans="1:4" x14ac:dyDescent="0.3">
      <c r="A273" s="8">
        <v>953.04</v>
      </c>
      <c r="B273">
        <v>265.74</v>
      </c>
      <c r="C273" s="5">
        <f t="shared" si="4"/>
        <v>0.27883404683958701</v>
      </c>
      <c r="D273" t="str" cm="1">
        <f t="array" ref="D273">_xlfn.IFS(AND(C273&gt;20%, A273&gt;2000),"Excellent", AND(C273&lt;20%, C273&gt;10%),"Good",TRUE,"BAD")</f>
        <v>BAD</v>
      </c>
    </row>
    <row r="274" spans="1:4" x14ac:dyDescent="0.3">
      <c r="A274" s="8">
        <v>190.14</v>
      </c>
      <c r="B274">
        <v>42.62</v>
      </c>
      <c r="C274" s="5">
        <f t="shared" si="4"/>
        <v>0.22415062585463344</v>
      </c>
      <c r="D274" t="str" cm="1">
        <f t="array" ref="D274">_xlfn.IFS(AND(C274&gt;20%, A274&gt;2000),"Excellent", AND(C274&lt;20%, C274&gt;10%),"Good",TRUE,"BAD")</f>
        <v>BAD</v>
      </c>
    </row>
    <row r="275" spans="1:4" x14ac:dyDescent="0.3">
      <c r="A275" s="8">
        <v>1012.32</v>
      </c>
      <c r="B275">
        <v>320.08</v>
      </c>
      <c r="C275" s="5">
        <f t="shared" si="4"/>
        <v>0.31618460565828982</v>
      </c>
      <c r="D275" t="str" cm="1">
        <f t="array" ref="D275">_xlfn.IFS(AND(C275&gt;20%, A275&gt;2000),"Excellent", AND(C275&lt;20%, C275&gt;10%),"Good",TRUE,"BAD")</f>
        <v>BAD</v>
      </c>
    </row>
    <row r="276" spans="1:4" x14ac:dyDescent="0.3">
      <c r="A276" s="8">
        <v>2233.91</v>
      </c>
      <c r="B276">
        <v>460</v>
      </c>
      <c r="C276" s="5">
        <f t="shared" si="4"/>
        <v>0.20591697964555422</v>
      </c>
      <c r="D276" t="str" cm="1">
        <f t="array" ref="D276">_xlfn.IFS(AND(C276&gt;20%, A276&gt;2000),"Excellent", AND(C276&lt;20%, C276&gt;10%),"Good",TRUE,"BAD")</f>
        <v>Excellent</v>
      </c>
    </row>
    <row r="277" spans="1:4" x14ac:dyDescent="0.3">
      <c r="A277" s="8">
        <v>288.24</v>
      </c>
      <c r="B277">
        <v>38.44</v>
      </c>
      <c r="C277" s="5">
        <f t="shared" si="4"/>
        <v>0.133361087982237</v>
      </c>
      <c r="D277" t="str" cm="1">
        <f t="array" ref="D277">_xlfn.IFS(AND(C277&gt;20%, A277&gt;2000),"Excellent", AND(C277&lt;20%, C277&gt;10%),"Good",TRUE,"BAD")</f>
        <v>Good</v>
      </c>
    </row>
    <row r="278" spans="1:4" x14ac:dyDescent="0.3">
      <c r="A278" s="8">
        <v>500.48</v>
      </c>
      <c r="B278">
        <v>67.790000000000006</v>
      </c>
      <c r="C278" s="5">
        <f t="shared" si="4"/>
        <v>0.13544996803069054</v>
      </c>
      <c r="D278" t="str" cm="1">
        <f t="array" ref="D278">_xlfn.IFS(AND(C278&gt;20%, A278&gt;2000),"Excellent", AND(C278&lt;20%, C278&gt;10%),"Good",TRUE,"BAD")</f>
        <v>Good</v>
      </c>
    </row>
    <row r="279" spans="1:4" x14ac:dyDescent="0.3">
      <c r="A279" s="8">
        <v>935.88</v>
      </c>
      <c r="B279">
        <v>186.51</v>
      </c>
      <c r="C279" s="5">
        <f t="shared" si="4"/>
        <v>0.1992883703038851</v>
      </c>
      <c r="D279" t="str" cm="1">
        <f t="array" ref="D279">_xlfn.IFS(AND(C279&gt;20%, A279&gt;2000),"Excellent", AND(C279&lt;20%, C279&gt;10%),"Good",TRUE,"BAD")</f>
        <v>Good</v>
      </c>
    </row>
    <row r="280" spans="1:4" x14ac:dyDescent="0.3">
      <c r="A280" s="8">
        <v>1611.35</v>
      </c>
      <c r="B280">
        <v>618.57000000000005</v>
      </c>
      <c r="C280" s="5">
        <f t="shared" si="4"/>
        <v>0.38388307940546751</v>
      </c>
      <c r="D280" t="str" cm="1">
        <f t="array" ref="D280">_xlfn.IFS(AND(C280&gt;20%, A280&gt;2000),"Excellent", AND(C280&lt;20%, C280&gt;10%),"Good",TRUE,"BAD")</f>
        <v>BAD</v>
      </c>
    </row>
    <row r="281" spans="1:4" x14ac:dyDescent="0.3">
      <c r="A281" s="8">
        <v>850.92</v>
      </c>
      <c r="B281">
        <v>177.49</v>
      </c>
      <c r="C281" s="5">
        <f t="shared" si="4"/>
        <v>0.20858600103417479</v>
      </c>
      <c r="D281" t="str" cm="1">
        <f t="array" ref="D281">_xlfn.IFS(AND(C281&gt;20%, A281&gt;2000),"Excellent", AND(C281&lt;20%, C281&gt;10%),"Good",TRUE,"BAD")</f>
        <v>BAD</v>
      </c>
    </row>
    <row r="282" spans="1:4" x14ac:dyDescent="0.3">
      <c r="A282" s="8">
        <v>1035.44</v>
      </c>
      <c r="B282">
        <v>226.37</v>
      </c>
      <c r="C282" s="5">
        <f t="shared" si="4"/>
        <v>0.21862203507687553</v>
      </c>
      <c r="D282" t="str" cm="1">
        <f t="array" ref="D282">_xlfn.IFS(AND(C282&gt;20%, A282&gt;2000),"Excellent", AND(C282&lt;20%, C282&gt;10%),"Good",TRUE,"BAD")</f>
        <v>BAD</v>
      </c>
    </row>
    <row r="283" spans="1:4" x14ac:dyDescent="0.3">
      <c r="A283" s="8">
        <v>966.14</v>
      </c>
      <c r="B283">
        <v>373.47</v>
      </c>
      <c r="C283" s="5">
        <f t="shared" si="4"/>
        <v>0.38655888380565967</v>
      </c>
      <c r="D283" t="str" cm="1">
        <f t="array" ref="D283">_xlfn.IFS(AND(C283&gt;20%, A283&gt;2000),"Excellent", AND(C283&lt;20%, C283&gt;10%),"Good",TRUE,"BAD")</f>
        <v>BAD</v>
      </c>
    </row>
    <row r="284" spans="1:4" x14ac:dyDescent="0.3">
      <c r="A284" s="8">
        <v>820.41</v>
      </c>
      <c r="B284">
        <v>177.26</v>
      </c>
      <c r="C284" s="5">
        <f t="shared" si="4"/>
        <v>0.21606270035713851</v>
      </c>
      <c r="D284" t="str" cm="1">
        <f t="array" ref="D284">_xlfn.IFS(AND(C284&gt;20%, A284&gt;2000),"Excellent", AND(C284&lt;20%, C284&gt;10%),"Good",TRUE,"BAD")</f>
        <v>BAD</v>
      </c>
    </row>
    <row r="285" spans="1:4" x14ac:dyDescent="0.3">
      <c r="A285" s="8">
        <v>768.79</v>
      </c>
      <c r="B285">
        <v>303.63</v>
      </c>
      <c r="C285" s="5">
        <f t="shared" si="4"/>
        <v>0.3949453036589966</v>
      </c>
      <c r="D285" t="str" cm="1">
        <f t="array" ref="D285">_xlfn.IFS(AND(C285&gt;20%, A285&gt;2000),"Excellent", AND(C285&lt;20%, C285&gt;10%),"Good",TRUE,"BAD")</f>
        <v>BAD</v>
      </c>
    </row>
    <row r="286" spans="1:4" x14ac:dyDescent="0.3">
      <c r="A286" s="8">
        <v>638.77</v>
      </c>
      <c r="B286">
        <v>209.88</v>
      </c>
      <c r="C286" s="5">
        <f t="shared" si="4"/>
        <v>0.32856896848630962</v>
      </c>
      <c r="D286" t="str" cm="1">
        <f t="array" ref="D286">_xlfn.IFS(AND(C286&gt;20%, A286&gt;2000),"Excellent", AND(C286&lt;20%, C286&gt;10%),"Good",TRUE,"BAD")</f>
        <v>BAD</v>
      </c>
    </row>
    <row r="287" spans="1:4" x14ac:dyDescent="0.3">
      <c r="A287" s="8">
        <v>146.28</v>
      </c>
      <c r="B287">
        <v>39.83</v>
      </c>
      <c r="C287" s="5">
        <f t="shared" si="4"/>
        <v>0.2722860267979218</v>
      </c>
      <c r="D287" t="str" cm="1">
        <f t="array" ref="D287">_xlfn.IFS(AND(C287&gt;20%, A287&gt;2000),"Excellent", AND(C287&lt;20%, C287&gt;10%),"Good",TRUE,"BAD")</f>
        <v>BAD</v>
      </c>
    </row>
    <row r="288" spans="1:4" x14ac:dyDescent="0.3">
      <c r="A288" s="8">
        <v>1492.54</v>
      </c>
      <c r="B288">
        <v>460.72</v>
      </c>
      <c r="C288" s="5">
        <f t="shared" si="4"/>
        <v>0.30868184437268015</v>
      </c>
      <c r="D288" t="str" cm="1">
        <f t="array" ref="D288">_xlfn.IFS(AND(C288&gt;20%, A288&gt;2000),"Excellent", AND(C288&lt;20%, C288&gt;10%),"Good",TRUE,"BAD")</f>
        <v>BAD</v>
      </c>
    </row>
    <row r="289" spans="1:4" x14ac:dyDescent="0.3">
      <c r="A289" s="8">
        <v>880.25</v>
      </c>
      <c r="B289">
        <v>140.44999999999999</v>
      </c>
      <c r="C289" s="5">
        <f t="shared" si="4"/>
        <v>0.1595569440499858</v>
      </c>
      <c r="D289" t="str" cm="1">
        <f t="array" ref="D289">_xlfn.IFS(AND(C289&gt;20%, A289&gt;2000),"Excellent", AND(C289&lt;20%, C289&gt;10%),"Good",TRUE,"BAD")</f>
        <v>Good</v>
      </c>
    </row>
    <row r="290" spans="1:4" x14ac:dyDescent="0.3">
      <c r="A290" s="8">
        <v>1658.34</v>
      </c>
      <c r="B290">
        <v>556.59</v>
      </c>
      <c r="C290" s="5">
        <f t="shared" si="4"/>
        <v>0.33563081153442603</v>
      </c>
      <c r="D290" t="str" cm="1">
        <f t="array" ref="D290">_xlfn.IFS(AND(C290&gt;20%, A290&gt;2000),"Excellent", AND(C290&lt;20%, C290&gt;10%),"Good",TRUE,"BAD")</f>
        <v>BAD</v>
      </c>
    </row>
    <row r="291" spans="1:4" x14ac:dyDescent="0.3">
      <c r="A291" s="8">
        <v>206.25</v>
      </c>
      <c r="B291">
        <v>24.08</v>
      </c>
      <c r="C291" s="5">
        <f t="shared" si="4"/>
        <v>0.11675151515151515</v>
      </c>
      <c r="D291" t="str" cm="1">
        <f t="array" ref="D291">_xlfn.IFS(AND(C291&gt;20%, A291&gt;2000),"Excellent", AND(C291&lt;20%, C291&gt;10%),"Good",TRUE,"BAD")</f>
        <v>Good</v>
      </c>
    </row>
    <row r="292" spans="1:4" x14ac:dyDescent="0.3">
      <c r="A292" s="8">
        <v>1171.42</v>
      </c>
      <c r="B292">
        <v>372.47</v>
      </c>
      <c r="C292" s="5">
        <f t="shared" si="4"/>
        <v>0.31796452169162215</v>
      </c>
      <c r="D292" t="str" cm="1">
        <f t="array" ref="D292">_xlfn.IFS(AND(C292&gt;20%, A292&gt;2000),"Excellent", AND(C292&lt;20%, C292&gt;10%),"Good",TRUE,"BAD")</f>
        <v>BAD</v>
      </c>
    </row>
    <row r="293" spans="1:4" x14ac:dyDescent="0.3">
      <c r="A293" s="8">
        <v>556.58000000000004</v>
      </c>
      <c r="B293">
        <v>201.9</v>
      </c>
      <c r="C293" s="5">
        <f t="shared" si="4"/>
        <v>0.36275108699558012</v>
      </c>
      <c r="D293" t="str" cm="1">
        <f t="array" ref="D293">_xlfn.IFS(AND(C293&gt;20%, A293&gt;2000),"Excellent", AND(C293&lt;20%, C293&gt;10%),"Good",TRUE,"BAD")</f>
        <v>BAD</v>
      </c>
    </row>
    <row r="294" spans="1:4" x14ac:dyDescent="0.3">
      <c r="A294" s="8">
        <v>326.48</v>
      </c>
      <c r="B294">
        <v>105.29</v>
      </c>
      <c r="C294" s="5">
        <f t="shared" si="4"/>
        <v>0.32250061259495222</v>
      </c>
      <c r="D294" t="str" cm="1">
        <f t="array" ref="D294">_xlfn.IFS(AND(C294&gt;20%, A294&gt;2000),"Excellent", AND(C294&lt;20%, C294&gt;10%),"Good",TRUE,"BAD")</f>
        <v>BAD</v>
      </c>
    </row>
    <row r="295" spans="1:4" x14ac:dyDescent="0.3">
      <c r="A295" s="8">
        <v>396.32</v>
      </c>
      <c r="B295">
        <v>92.72</v>
      </c>
      <c r="C295" s="5">
        <f t="shared" si="4"/>
        <v>0.23395236172789666</v>
      </c>
      <c r="D295" t="str" cm="1">
        <f t="array" ref="D295">_xlfn.IFS(AND(C295&gt;20%, A295&gt;2000),"Excellent", AND(C295&lt;20%, C295&gt;10%),"Good",TRUE,"BAD")</f>
        <v>BAD</v>
      </c>
    </row>
    <row r="296" spans="1:4" x14ac:dyDescent="0.3">
      <c r="A296" s="8">
        <v>2203.5</v>
      </c>
      <c r="B296">
        <v>501.92</v>
      </c>
      <c r="C296" s="5">
        <f t="shared" si="4"/>
        <v>0.2277830723848423</v>
      </c>
      <c r="D296" t="str" cm="1">
        <f t="array" ref="D296">_xlfn.IFS(AND(C296&gt;20%, A296&gt;2000),"Excellent", AND(C296&lt;20%, C296&gt;10%),"Good",TRUE,"BAD")</f>
        <v>Excellent</v>
      </c>
    </row>
    <row r="297" spans="1:4" x14ac:dyDescent="0.3">
      <c r="A297" s="8">
        <v>24.01</v>
      </c>
      <c r="B297">
        <v>6.93</v>
      </c>
      <c r="C297" s="5">
        <f t="shared" si="4"/>
        <v>0.28862973760932942</v>
      </c>
      <c r="D297" t="str" cm="1">
        <f t="array" ref="D297">_xlfn.IFS(AND(C297&gt;20%, A297&gt;2000),"Excellent", AND(C297&lt;20%, C297&gt;10%),"Good",TRUE,"BAD")</f>
        <v>BAD</v>
      </c>
    </row>
    <row r="298" spans="1:4" x14ac:dyDescent="0.3">
      <c r="A298" s="8">
        <v>1619.55</v>
      </c>
      <c r="B298">
        <v>444.6</v>
      </c>
      <c r="C298" s="5">
        <f t="shared" si="4"/>
        <v>0.27452070019449848</v>
      </c>
      <c r="D298" t="str" cm="1">
        <f t="array" ref="D298">_xlfn.IFS(AND(C298&gt;20%, A298&gt;2000),"Excellent", AND(C298&lt;20%, C298&gt;10%),"Good",TRUE,"BAD")</f>
        <v>BAD</v>
      </c>
    </row>
    <row r="299" spans="1:4" x14ac:dyDescent="0.3">
      <c r="A299" s="8">
        <v>127.25</v>
      </c>
      <c r="B299">
        <v>20.03</v>
      </c>
      <c r="C299" s="5">
        <f t="shared" si="4"/>
        <v>0.15740667976424363</v>
      </c>
      <c r="D299" t="str" cm="1">
        <f t="array" ref="D299">_xlfn.IFS(AND(C299&gt;20%, A299&gt;2000),"Excellent", AND(C299&lt;20%, C299&gt;10%),"Good",TRUE,"BAD")</f>
        <v>Good</v>
      </c>
    </row>
    <row r="300" spans="1:4" x14ac:dyDescent="0.3">
      <c r="A300" s="8">
        <v>468.72</v>
      </c>
      <c r="B300">
        <v>82.6</v>
      </c>
      <c r="C300" s="5">
        <f t="shared" si="4"/>
        <v>0.17622461170848266</v>
      </c>
      <c r="D300" t="str" cm="1">
        <f t="array" ref="D300">_xlfn.IFS(AND(C300&gt;20%, A300&gt;2000),"Excellent", AND(C300&lt;20%, C300&gt;10%),"Good",TRUE,"BAD")</f>
        <v>Good</v>
      </c>
    </row>
    <row r="301" spans="1:4" x14ac:dyDescent="0.3">
      <c r="A301" s="8">
        <v>625.24</v>
      </c>
      <c r="B301">
        <v>224</v>
      </c>
      <c r="C301" s="5">
        <f t="shared" si="4"/>
        <v>0.35826242722794449</v>
      </c>
      <c r="D301" t="str" cm="1">
        <f t="array" ref="D301">_xlfn.IFS(AND(C301&gt;20%, A301&gt;2000),"Excellent", AND(C301&lt;20%, C301&gt;10%),"Good",TRUE,"BAD")</f>
        <v>BAD</v>
      </c>
    </row>
    <row r="302" spans="1:4" x14ac:dyDescent="0.3">
      <c r="A302" s="8">
        <v>1926.19</v>
      </c>
      <c r="B302">
        <v>288.49</v>
      </c>
      <c r="C302" s="5">
        <f t="shared" si="4"/>
        <v>0.14977234852221225</v>
      </c>
      <c r="D302" t="str" cm="1">
        <f t="array" ref="D302">_xlfn.IFS(AND(C302&gt;20%, A302&gt;2000),"Excellent", AND(C302&lt;20%, C302&gt;10%),"Good",TRUE,"BAD")</f>
        <v>Good</v>
      </c>
    </row>
    <row r="303" spans="1:4" x14ac:dyDescent="0.3">
      <c r="A303" s="8">
        <v>137.69999999999999</v>
      </c>
      <c r="B303">
        <v>39.07</v>
      </c>
      <c r="C303" s="5">
        <f t="shared" si="4"/>
        <v>0.28373275236020334</v>
      </c>
      <c r="D303" t="str" cm="1">
        <f t="array" ref="D303">_xlfn.IFS(AND(C303&gt;20%, A303&gt;2000),"Excellent", AND(C303&lt;20%, C303&gt;10%),"Good",TRUE,"BAD")</f>
        <v>BAD</v>
      </c>
    </row>
    <row r="304" spans="1:4" x14ac:dyDescent="0.3">
      <c r="A304" s="8">
        <v>970.2</v>
      </c>
      <c r="B304">
        <v>208.46</v>
      </c>
      <c r="C304" s="5">
        <f t="shared" si="4"/>
        <v>0.21486291486291487</v>
      </c>
      <c r="D304" t="str" cm="1">
        <f t="array" ref="D304">_xlfn.IFS(AND(C304&gt;20%, A304&gt;2000),"Excellent", AND(C304&lt;20%, C304&gt;10%),"Good",TRUE,"BAD")</f>
        <v>BAD</v>
      </c>
    </row>
    <row r="305" spans="1:4" x14ac:dyDescent="0.3">
      <c r="A305" s="8">
        <v>2201.5</v>
      </c>
      <c r="B305">
        <v>773.45</v>
      </c>
      <c r="C305" s="5">
        <f t="shared" si="4"/>
        <v>0.35132863956393368</v>
      </c>
      <c r="D305" t="str" cm="1">
        <f t="array" ref="D305">_xlfn.IFS(AND(C305&gt;20%, A305&gt;2000),"Excellent", AND(C305&lt;20%, C305&gt;10%),"Good",TRUE,"BAD")</f>
        <v>Excellent</v>
      </c>
    </row>
    <row r="306" spans="1:4" x14ac:dyDescent="0.3">
      <c r="A306" s="8">
        <v>1274.98</v>
      </c>
      <c r="B306">
        <v>233.14</v>
      </c>
      <c r="C306" s="5">
        <f t="shared" si="4"/>
        <v>0.18285777031796577</v>
      </c>
      <c r="D306" t="str" cm="1">
        <f t="array" ref="D306">_xlfn.IFS(AND(C306&gt;20%, A306&gt;2000),"Excellent", AND(C306&lt;20%, C306&gt;10%),"Good",TRUE,"BAD")</f>
        <v>Good</v>
      </c>
    </row>
    <row r="307" spans="1:4" x14ac:dyDescent="0.3">
      <c r="A307" s="8">
        <v>32.979999999999997</v>
      </c>
      <c r="B307">
        <v>6.09</v>
      </c>
      <c r="C307" s="5">
        <f t="shared" si="4"/>
        <v>0.18465736810187994</v>
      </c>
      <c r="D307" t="str" cm="1">
        <f t="array" ref="D307">_xlfn.IFS(AND(C307&gt;20%, A307&gt;2000),"Excellent", AND(C307&lt;20%, C307&gt;10%),"Good",TRUE,"BAD")</f>
        <v>Good</v>
      </c>
    </row>
    <row r="308" spans="1:4" x14ac:dyDescent="0.3">
      <c r="A308" s="8">
        <v>361.62</v>
      </c>
      <c r="B308">
        <v>123.74</v>
      </c>
      <c r="C308" s="5">
        <f t="shared" si="4"/>
        <v>0.34218240141585088</v>
      </c>
      <c r="D308" t="str" cm="1">
        <f t="array" ref="D308">_xlfn.IFS(AND(C308&gt;20%, A308&gt;2000),"Excellent", AND(C308&lt;20%, C308&gt;10%),"Good",TRUE,"BAD")</f>
        <v>BAD</v>
      </c>
    </row>
    <row r="309" spans="1:4" x14ac:dyDescent="0.3">
      <c r="A309" s="8">
        <v>1934.01</v>
      </c>
      <c r="B309">
        <v>506.22</v>
      </c>
      <c r="C309" s="5">
        <f t="shared" si="4"/>
        <v>0.26174631982254487</v>
      </c>
      <c r="D309" t="str" cm="1">
        <f t="array" ref="D309">_xlfn.IFS(AND(C309&gt;20%, A309&gt;2000),"Excellent", AND(C309&lt;20%, C309&gt;10%),"Good",TRUE,"BAD")</f>
        <v>BAD</v>
      </c>
    </row>
    <row r="310" spans="1:4" x14ac:dyDescent="0.3">
      <c r="A310" s="8">
        <v>251.94</v>
      </c>
      <c r="B310">
        <v>49.18</v>
      </c>
      <c r="C310" s="5">
        <f t="shared" si="4"/>
        <v>0.19520520758910853</v>
      </c>
      <c r="D310" t="str" cm="1">
        <f t="array" ref="D310">_xlfn.IFS(AND(C310&gt;20%, A310&gt;2000),"Excellent", AND(C310&lt;20%, C310&gt;10%),"Good",TRUE,"BAD")</f>
        <v>Good</v>
      </c>
    </row>
    <row r="311" spans="1:4" x14ac:dyDescent="0.3">
      <c r="A311" s="8">
        <v>568.79999999999995</v>
      </c>
      <c r="B311">
        <v>125.49</v>
      </c>
      <c r="C311" s="5">
        <f t="shared" si="4"/>
        <v>0.22062236286919831</v>
      </c>
      <c r="D311" t="str" cm="1">
        <f t="array" ref="D311">_xlfn.IFS(AND(C311&gt;20%, A311&gt;2000),"Excellent", AND(C311&lt;20%, C311&gt;10%),"Good",TRUE,"BAD")</f>
        <v>BAD</v>
      </c>
    </row>
    <row r="312" spans="1:4" x14ac:dyDescent="0.3">
      <c r="A312" s="8">
        <v>1714</v>
      </c>
      <c r="B312">
        <v>654.16</v>
      </c>
      <c r="C312" s="5">
        <f t="shared" si="4"/>
        <v>0.38165694282380397</v>
      </c>
      <c r="D312" t="str" cm="1">
        <f t="array" ref="D312">_xlfn.IFS(AND(C312&gt;20%, A312&gt;2000),"Excellent", AND(C312&lt;20%, C312&gt;10%),"Good",TRUE,"BAD")</f>
        <v>BAD</v>
      </c>
    </row>
    <row r="313" spans="1:4" x14ac:dyDescent="0.3">
      <c r="A313" s="8">
        <v>1469.5</v>
      </c>
      <c r="B313">
        <v>467.99</v>
      </c>
      <c r="C313" s="5">
        <f t="shared" si="4"/>
        <v>0.31846886696155158</v>
      </c>
      <c r="D313" t="str" cm="1">
        <f t="array" ref="D313">_xlfn.IFS(AND(C313&gt;20%, A313&gt;2000),"Excellent", AND(C313&lt;20%, C313&gt;10%),"Good",TRUE,"BAD")</f>
        <v>BAD</v>
      </c>
    </row>
    <row r="314" spans="1:4" x14ac:dyDescent="0.3">
      <c r="A314" s="8">
        <v>1395.64</v>
      </c>
      <c r="B314">
        <v>463.44</v>
      </c>
      <c r="C314" s="5">
        <f t="shared" si="4"/>
        <v>0.33206270958126732</v>
      </c>
      <c r="D314" t="str" cm="1">
        <f t="array" ref="D314">_xlfn.IFS(AND(C314&gt;20%, A314&gt;2000),"Excellent", AND(C314&lt;20%, C314&gt;10%),"Good",TRUE,"BAD")</f>
        <v>BAD</v>
      </c>
    </row>
    <row r="315" spans="1:4" x14ac:dyDescent="0.3">
      <c r="A315" s="8">
        <v>940.5</v>
      </c>
      <c r="B315">
        <v>262.75</v>
      </c>
      <c r="C315" s="5">
        <f t="shared" si="4"/>
        <v>0.27937267410951622</v>
      </c>
      <c r="D315" t="str" cm="1">
        <f t="array" ref="D315">_xlfn.IFS(AND(C315&gt;20%, A315&gt;2000),"Excellent", AND(C315&lt;20%, C315&gt;10%),"Good",TRUE,"BAD")</f>
        <v>BAD</v>
      </c>
    </row>
    <row r="316" spans="1:4" x14ac:dyDescent="0.3">
      <c r="A316" s="8">
        <v>59.28</v>
      </c>
      <c r="B316">
        <v>9.69</v>
      </c>
      <c r="C316" s="5">
        <f t="shared" si="4"/>
        <v>0.16346153846153846</v>
      </c>
      <c r="D316" t="str" cm="1">
        <f t="array" ref="D316">_xlfn.IFS(AND(C316&gt;20%, A316&gt;2000),"Excellent", AND(C316&lt;20%, C316&gt;10%),"Good",TRUE,"BAD")</f>
        <v>Good</v>
      </c>
    </row>
    <row r="317" spans="1:4" x14ac:dyDescent="0.3">
      <c r="A317" s="8">
        <v>1339.2</v>
      </c>
      <c r="B317">
        <v>192.89</v>
      </c>
      <c r="C317" s="5">
        <f t="shared" si="4"/>
        <v>0.1440337514934289</v>
      </c>
      <c r="D317" t="str" cm="1">
        <f t="array" ref="D317">_xlfn.IFS(AND(C317&gt;20%, A317&gt;2000),"Excellent", AND(C317&lt;20%, C317&gt;10%),"Good",TRUE,"BAD")</f>
        <v>Good</v>
      </c>
    </row>
    <row r="318" spans="1:4" x14ac:dyDescent="0.3">
      <c r="A318" s="8">
        <v>1078.56</v>
      </c>
      <c r="B318">
        <v>314.05</v>
      </c>
      <c r="C318" s="5">
        <f t="shared" si="4"/>
        <v>0.29117527073134553</v>
      </c>
      <c r="D318" t="str" cm="1">
        <f t="array" ref="D318">_xlfn.IFS(AND(C318&gt;20%, A318&gt;2000),"Excellent", AND(C318&lt;20%, C318&gt;10%),"Good",TRUE,"BAD")</f>
        <v>BAD</v>
      </c>
    </row>
    <row r="319" spans="1:4" x14ac:dyDescent="0.3">
      <c r="A319" s="8">
        <v>341.88</v>
      </c>
      <c r="B319">
        <v>77.2</v>
      </c>
      <c r="C319" s="5">
        <f t="shared" si="4"/>
        <v>0.22581022581022583</v>
      </c>
      <c r="D319" t="str" cm="1">
        <f t="array" ref="D319">_xlfn.IFS(AND(C319&gt;20%, A319&gt;2000),"Excellent", AND(C319&lt;20%, C319&gt;10%),"Good",TRUE,"BAD")</f>
        <v>BAD</v>
      </c>
    </row>
    <row r="320" spans="1:4" x14ac:dyDescent="0.3">
      <c r="A320" s="8">
        <v>1089.9000000000001</v>
      </c>
      <c r="B320">
        <v>222.4</v>
      </c>
      <c r="C320" s="5">
        <f t="shared" si="4"/>
        <v>0.2040554179282503</v>
      </c>
      <c r="D320" t="str" cm="1">
        <f t="array" ref="D320">_xlfn.IFS(AND(C320&gt;20%, A320&gt;2000),"Excellent", AND(C320&lt;20%, C320&gt;10%),"Good",TRUE,"BAD")</f>
        <v>BAD</v>
      </c>
    </row>
    <row r="321" spans="1:4" x14ac:dyDescent="0.3">
      <c r="A321" s="8">
        <v>904.8</v>
      </c>
      <c r="B321">
        <v>84.67</v>
      </c>
      <c r="C321" s="5">
        <f t="shared" si="4"/>
        <v>9.3578691423519017E-2</v>
      </c>
      <c r="D321" t="str" cm="1">
        <f t="array" ref="D321">_xlfn.IFS(AND(C321&gt;20%, A321&gt;2000),"Excellent", AND(C321&lt;20%, C321&gt;10%),"Good",TRUE,"BAD")</f>
        <v>BAD</v>
      </c>
    </row>
    <row r="322" spans="1:4" x14ac:dyDescent="0.3">
      <c r="A322" s="8">
        <v>1201.2</v>
      </c>
      <c r="B322">
        <v>329.23</v>
      </c>
      <c r="C322" s="5">
        <f t="shared" si="4"/>
        <v>0.27408424908424911</v>
      </c>
      <c r="D322" t="str" cm="1">
        <f t="array" ref="D322">_xlfn.IFS(AND(C322&gt;20%, A322&gt;2000),"Excellent", AND(C322&lt;20%, C322&gt;10%),"Good",TRUE,"BAD")</f>
        <v>BAD</v>
      </c>
    </row>
    <row r="323" spans="1:4" x14ac:dyDescent="0.3">
      <c r="A323" s="8">
        <v>406.8</v>
      </c>
      <c r="B323">
        <v>82.52</v>
      </c>
      <c r="C323" s="5">
        <f t="shared" ref="C323:C386" si="5">B323/A323</f>
        <v>0.20285152409046212</v>
      </c>
      <c r="D323" t="str" cm="1">
        <f t="array" ref="D323">_xlfn.IFS(AND(C323&gt;20%, A323&gt;2000),"Excellent", AND(C323&lt;20%, C323&gt;10%),"Good",TRUE,"BAD")</f>
        <v>BAD</v>
      </c>
    </row>
    <row r="324" spans="1:4" x14ac:dyDescent="0.3">
      <c r="A324" s="8">
        <v>642.25</v>
      </c>
      <c r="B324">
        <v>166.65</v>
      </c>
      <c r="C324" s="5">
        <f t="shared" si="5"/>
        <v>0.2594783962631374</v>
      </c>
      <c r="D324" t="str" cm="1">
        <f t="array" ref="D324">_xlfn.IFS(AND(C324&gt;20%, A324&gt;2000),"Excellent", AND(C324&lt;20%, C324&gt;10%),"Good",TRUE,"BAD")</f>
        <v>BAD</v>
      </c>
    </row>
    <row r="325" spans="1:4" x14ac:dyDescent="0.3">
      <c r="A325" s="8">
        <v>1104.3900000000001</v>
      </c>
      <c r="B325">
        <v>312.33</v>
      </c>
      <c r="C325" s="5">
        <f t="shared" si="5"/>
        <v>0.28280770380028791</v>
      </c>
      <c r="D325" t="str" cm="1">
        <f t="array" ref="D325">_xlfn.IFS(AND(C325&gt;20%, A325&gt;2000),"Excellent", AND(C325&lt;20%, C325&gt;10%),"Good",TRUE,"BAD")</f>
        <v>BAD</v>
      </c>
    </row>
    <row r="326" spans="1:4" x14ac:dyDescent="0.3">
      <c r="A326" s="8">
        <v>442</v>
      </c>
      <c r="B326">
        <v>143.55000000000001</v>
      </c>
      <c r="C326" s="5">
        <f t="shared" si="5"/>
        <v>0.32477375565610861</v>
      </c>
      <c r="D326" t="str" cm="1">
        <f t="array" ref="D326">_xlfn.IFS(AND(C326&gt;20%, A326&gt;2000),"Excellent", AND(C326&lt;20%, C326&gt;10%),"Good",TRUE,"BAD")</f>
        <v>BAD</v>
      </c>
    </row>
    <row r="327" spans="1:4" x14ac:dyDescent="0.3">
      <c r="A327" s="8">
        <v>669.9</v>
      </c>
      <c r="B327">
        <v>258.62</v>
      </c>
      <c r="C327" s="5">
        <f t="shared" si="5"/>
        <v>0.38605762054037918</v>
      </c>
      <c r="D327" t="str" cm="1">
        <f t="array" ref="D327">_xlfn.IFS(AND(C327&gt;20%, A327&gt;2000),"Excellent", AND(C327&lt;20%, C327&gt;10%),"Good",TRUE,"BAD")</f>
        <v>BAD</v>
      </c>
    </row>
    <row r="328" spans="1:4" x14ac:dyDescent="0.3">
      <c r="A328" s="8">
        <v>580.32000000000005</v>
      </c>
      <c r="B328">
        <v>203.74</v>
      </c>
      <c r="C328" s="5">
        <f t="shared" si="5"/>
        <v>0.3510821615660325</v>
      </c>
      <c r="D328" t="str" cm="1">
        <f t="array" ref="D328">_xlfn.IFS(AND(C328&gt;20%, A328&gt;2000),"Excellent", AND(C328&lt;20%, C328&gt;10%),"Good",TRUE,"BAD")</f>
        <v>BAD</v>
      </c>
    </row>
    <row r="329" spans="1:4" x14ac:dyDescent="0.3">
      <c r="A329" s="8">
        <v>1926.94</v>
      </c>
      <c r="B329">
        <v>541.54999999999995</v>
      </c>
      <c r="C329" s="5">
        <f t="shared" si="5"/>
        <v>0.28104144394739844</v>
      </c>
      <c r="D329" t="str" cm="1">
        <f t="array" ref="D329">_xlfn.IFS(AND(C329&gt;20%, A329&gt;2000),"Excellent", AND(C329&lt;20%, C329&gt;10%),"Good",TRUE,"BAD")</f>
        <v>BAD</v>
      </c>
    </row>
    <row r="330" spans="1:4" x14ac:dyDescent="0.3">
      <c r="A330" s="8">
        <v>913.32</v>
      </c>
      <c r="B330">
        <v>314.75</v>
      </c>
      <c r="C330" s="5">
        <f t="shared" si="5"/>
        <v>0.34462181929663205</v>
      </c>
      <c r="D330" t="str" cm="1">
        <f t="array" ref="D330">_xlfn.IFS(AND(C330&gt;20%, A330&gt;2000),"Excellent", AND(C330&lt;20%, C330&gt;10%),"Good",TRUE,"BAD")</f>
        <v>BAD</v>
      </c>
    </row>
    <row r="331" spans="1:4" x14ac:dyDescent="0.3">
      <c r="A331" s="8">
        <v>943.6</v>
      </c>
      <c r="B331">
        <v>293.43</v>
      </c>
      <c r="C331" s="5">
        <f t="shared" si="5"/>
        <v>0.31096863077575243</v>
      </c>
      <c r="D331" t="str" cm="1">
        <f t="array" ref="D331">_xlfn.IFS(AND(C331&gt;20%, A331&gt;2000),"Excellent", AND(C331&lt;20%, C331&gt;10%),"Good",TRUE,"BAD")</f>
        <v>BAD</v>
      </c>
    </row>
    <row r="332" spans="1:4" x14ac:dyDescent="0.3">
      <c r="A332" s="8">
        <v>1752.34</v>
      </c>
      <c r="B332">
        <v>225.25</v>
      </c>
      <c r="C332" s="5">
        <f t="shared" si="5"/>
        <v>0.12854240615405688</v>
      </c>
      <c r="D332" t="str" cm="1">
        <f t="array" ref="D332">_xlfn.IFS(AND(C332&gt;20%, A332&gt;2000),"Excellent", AND(C332&lt;20%, C332&gt;10%),"Good",TRUE,"BAD")</f>
        <v>Good</v>
      </c>
    </row>
    <row r="333" spans="1:4" x14ac:dyDescent="0.3">
      <c r="A333" s="8">
        <v>724.32</v>
      </c>
      <c r="B333">
        <v>199.35</v>
      </c>
      <c r="C333" s="5">
        <f t="shared" si="5"/>
        <v>0.27522365805168986</v>
      </c>
      <c r="D333" t="str" cm="1">
        <f t="array" ref="D333">_xlfn.IFS(AND(C333&gt;20%, A333&gt;2000),"Excellent", AND(C333&lt;20%, C333&gt;10%),"Good",TRUE,"BAD")</f>
        <v>BAD</v>
      </c>
    </row>
    <row r="334" spans="1:4" x14ac:dyDescent="0.3">
      <c r="A334" s="8">
        <v>880.88</v>
      </c>
      <c r="B334">
        <v>138.61000000000001</v>
      </c>
      <c r="C334" s="5">
        <f t="shared" si="5"/>
        <v>0.15735400962673693</v>
      </c>
      <c r="D334" t="str" cm="1">
        <f t="array" ref="D334">_xlfn.IFS(AND(C334&gt;20%, A334&gt;2000),"Excellent", AND(C334&lt;20%, C334&gt;10%),"Good",TRUE,"BAD")</f>
        <v>Good</v>
      </c>
    </row>
    <row r="335" spans="1:4" x14ac:dyDescent="0.3">
      <c r="A335" s="8">
        <v>329.4</v>
      </c>
      <c r="B335">
        <v>76.180000000000007</v>
      </c>
      <c r="C335" s="5">
        <f t="shared" si="5"/>
        <v>0.23126897389192475</v>
      </c>
      <c r="D335" t="str" cm="1">
        <f t="array" ref="D335">_xlfn.IFS(AND(C335&gt;20%, A335&gt;2000),"Excellent", AND(C335&lt;20%, C335&gt;10%),"Good",TRUE,"BAD")</f>
        <v>BAD</v>
      </c>
    </row>
    <row r="336" spans="1:4" x14ac:dyDescent="0.3">
      <c r="A336" s="8">
        <v>794.82</v>
      </c>
      <c r="B336">
        <v>255.37</v>
      </c>
      <c r="C336" s="5">
        <f t="shared" si="5"/>
        <v>0.32129287134193907</v>
      </c>
      <c r="D336" t="str" cm="1">
        <f t="array" ref="D336">_xlfn.IFS(AND(C336&gt;20%, A336&gt;2000),"Excellent", AND(C336&lt;20%, C336&gt;10%),"Good",TRUE,"BAD")</f>
        <v>BAD</v>
      </c>
    </row>
    <row r="337" spans="1:4" x14ac:dyDescent="0.3">
      <c r="A337" s="8">
        <v>1480.74</v>
      </c>
      <c r="B337">
        <v>219.61</v>
      </c>
      <c r="C337" s="5">
        <f t="shared" si="5"/>
        <v>0.14831097964531248</v>
      </c>
      <c r="D337" t="str" cm="1">
        <f t="array" ref="D337">_xlfn.IFS(AND(C337&gt;20%, A337&gt;2000),"Excellent", AND(C337&lt;20%, C337&gt;10%),"Good",TRUE,"BAD")</f>
        <v>Good</v>
      </c>
    </row>
    <row r="338" spans="1:4" x14ac:dyDescent="0.3">
      <c r="A338" s="8">
        <v>635.79999999999995</v>
      </c>
      <c r="B338">
        <v>237.37</v>
      </c>
      <c r="C338" s="5">
        <f t="shared" si="5"/>
        <v>0.37334067316766284</v>
      </c>
      <c r="D338" t="str" cm="1">
        <f t="array" ref="D338">_xlfn.IFS(AND(C338&gt;20%, A338&gt;2000),"Excellent", AND(C338&lt;20%, C338&gt;10%),"Good",TRUE,"BAD")</f>
        <v>BAD</v>
      </c>
    </row>
    <row r="339" spans="1:4" x14ac:dyDescent="0.3">
      <c r="A339" s="8">
        <v>231.52</v>
      </c>
      <c r="B339">
        <v>80.52</v>
      </c>
      <c r="C339" s="5">
        <f t="shared" si="5"/>
        <v>0.34778852798894261</v>
      </c>
      <c r="D339" t="str" cm="1">
        <f t="array" ref="D339">_xlfn.IFS(AND(C339&gt;20%, A339&gt;2000),"Excellent", AND(C339&lt;20%, C339&gt;10%),"Good",TRUE,"BAD")</f>
        <v>BAD</v>
      </c>
    </row>
    <row r="340" spans="1:4" x14ac:dyDescent="0.3">
      <c r="A340" s="8">
        <v>1226.4000000000001</v>
      </c>
      <c r="B340">
        <v>421.16</v>
      </c>
      <c r="C340" s="5">
        <f t="shared" si="5"/>
        <v>0.34341161121983038</v>
      </c>
      <c r="D340" t="str" cm="1">
        <f t="array" ref="D340">_xlfn.IFS(AND(C340&gt;20%, A340&gt;2000),"Excellent", AND(C340&lt;20%, C340&gt;10%),"Good",TRUE,"BAD")</f>
        <v>BAD</v>
      </c>
    </row>
    <row r="341" spans="1:4" x14ac:dyDescent="0.3">
      <c r="A341" s="8">
        <v>2379.96</v>
      </c>
      <c r="B341">
        <v>865.57</v>
      </c>
      <c r="C341" s="5">
        <f t="shared" si="5"/>
        <v>0.36369098640313285</v>
      </c>
      <c r="D341" t="str" cm="1">
        <f t="array" ref="D341">_xlfn.IFS(AND(C341&gt;20%, A341&gt;2000),"Excellent", AND(C341&lt;20%, C341&gt;10%),"Good",TRUE,"BAD")</f>
        <v>Excellent</v>
      </c>
    </row>
    <row r="342" spans="1:4" x14ac:dyDescent="0.3">
      <c r="A342" s="8">
        <v>2204.48</v>
      </c>
      <c r="B342">
        <v>772.43</v>
      </c>
      <c r="C342" s="5">
        <f t="shared" si="5"/>
        <v>0.35039102191900129</v>
      </c>
      <c r="D342" t="str" cm="1">
        <f t="array" ref="D342">_xlfn.IFS(AND(C342&gt;20%, A342&gt;2000),"Excellent", AND(C342&lt;20%, C342&gt;10%),"Good",TRUE,"BAD")</f>
        <v>Excellent</v>
      </c>
    </row>
    <row r="343" spans="1:4" x14ac:dyDescent="0.3">
      <c r="A343" s="8">
        <v>1907.4</v>
      </c>
      <c r="B343">
        <v>268.35000000000002</v>
      </c>
      <c r="C343" s="5">
        <f t="shared" si="5"/>
        <v>0.1406888958792073</v>
      </c>
      <c r="D343" t="str" cm="1">
        <f t="array" ref="D343">_xlfn.IFS(AND(C343&gt;20%, A343&gt;2000),"Excellent", AND(C343&lt;20%, C343&gt;10%),"Good",TRUE,"BAD")</f>
        <v>Good</v>
      </c>
    </row>
    <row r="344" spans="1:4" x14ac:dyDescent="0.3">
      <c r="A344" s="8">
        <v>816</v>
      </c>
      <c r="B344">
        <v>101.85</v>
      </c>
      <c r="C344" s="5">
        <f t="shared" si="5"/>
        <v>0.12481617647058822</v>
      </c>
      <c r="D344" t="str" cm="1">
        <f t="array" ref="D344">_xlfn.IFS(AND(C344&gt;20%, A344&gt;2000),"Excellent", AND(C344&lt;20%, C344&gt;10%),"Good",TRUE,"BAD")</f>
        <v>Good</v>
      </c>
    </row>
    <row r="345" spans="1:4" x14ac:dyDescent="0.3">
      <c r="A345" s="8">
        <v>1240.25</v>
      </c>
      <c r="B345">
        <v>409.39</v>
      </c>
      <c r="C345" s="5">
        <f t="shared" si="5"/>
        <v>0.33008667607337228</v>
      </c>
      <c r="D345" t="str" cm="1">
        <f t="array" ref="D345">_xlfn.IFS(AND(C345&gt;20%, A345&gt;2000),"Excellent", AND(C345&lt;20%, C345&gt;10%),"Good",TRUE,"BAD")</f>
        <v>BAD</v>
      </c>
    </row>
    <row r="346" spans="1:4" x14ac:dyDescent="0.3">
      <c r="A346" s="8">
        <v>355.65</v>
      </c>
      <c r="B346">
        <v>115.93</v>
      </c>
      <c r="C346" s="5">
        <f t="shared" si="5"/>
        <v>0.32596654013777593</v>
      </c>
      <c r="D346" t="str" cm="1">
        <f t="array" ref="D346">_xlfn.IFS(AND(C346&gt;20%, A346&gt;2000),"Excellent", AND(C346&lt;20%, C346&gt;10%),"Good",TRUE,"BAD")</f>
        <v>BAD</v>
      </c>
    </row>
    <row r="347" spans="1:4" x14ac:dyDescent="0.3">
      <c r="A347" s="8">
        <v>1605.12</v>
      </c>
      <c r="B347">
        <v>450.41</v>
      </c>
      <c r="C347" s="5">
        <f t="shared" si="5"/>
        <v>0.28060830342902715</v>
      </c>
      <c r="D347" t="str" cm="1">
        <f t="array" ref="D347">_xlfn.IFS(AND(C347&gt;20%, A347&gt;2000),"Excellent", AND(C347&lt;20%, C347&gt;10%),"Good",TRUE,"BAD")</f>
        <v>BAD</v>
      </c>
    </row>
    <row r="348" spans="1:4" x14ac:dyDescent="0.3">
      <c r="A348" s="8">
        <v>356.58</v>
      </c>
      <c r="B348">
        <v>100.39</v>
      </c>
      <c r="C348" s="5">
        <f t="shared" si="5"/>
        <v>0.28153570026361546</v>
      </c>
      <c r="D348" t="str" cm="1">
        <f t="array" ref="D348">_xlfn.IFS(AND(C348&gt;20%, A348&gt;2000),"Excellent", AND(C348&lt;20%, C348&gt;10%),"Good",TRUE,"BAD")</f>
        <v>BAD</v>
      </c>
    </row>
    <row r="349" spans="1:4" x14ac:dyDescent="0.3">
      <c r="A349" s="8">
        <v>31.4</v>
      </c>
      <c r="B349">
        <v>10.26</v>
      </c>
      <c r="C349" s="5">
        <f t="shared" si="5"/>
        <v>0.32675159235668788</v>
      </c>
      <c r="D349" t="str" cm="1">
        <f t="array" ref="D349">_xlfn.IFS(AND(C349&gt;20%, A349&gt;2000),"Excellent", AND(C349&lt;20%, C349&gt;10%),"Good",TRUE,"BAD")</f>
        <v>BAD</v>
      </c>
    </row>
    <row r="350" spans="1:4" x14ac:dyDescent="0.3">
      <c r="A350" s="8">
        <v>520.52</v>
      </c>
      <c r="B350">
        <v>149.44</v>
      </c>
      <c r="C350" s="5">
        <f t="shared" si="5"/>
        <v>0.28709751786674864</v>
      </c>
      <c r="D350" t="str" cm="1">
        <f t="array" ref="D350">_xlfn.IFS(AND(C350&gt;20%, A350&gt;2000),"Excellent", AND(C350&lt;20%, C350&gt;10%),"Good",TRUE,"BAD")</f>
        <v>BAD</v>
      </c>
    </row>
    <row r="351" spans="1:4" x14ac:dyDescent="0.3">
      <c r="A351" s="8">
        <v>1033</v>
      </c>
      <c r="B351">
        <v>223.87</v>
      </c>
      <c r="C351" s="5">
        <f t="shared" si="5"/>
        <v>0.21671829622458857</v>
      </c>
      <c r="D351" t="str" cm="1">
        <f t="array" ref="D351">_xlfn.IFS(AND(C351&gt;20%, A351&gt;2000),"Excellent", AND(C351&lt;20%, C351&gt;10%),"Good",TRUE,"BAD")</f>
        <v>BAD</v>
      </c>
    </row>
    <row r="352" spans="1:4" x14ac:dyDescent="0.3">
      <c r="A352" s="8">
        <v>186.48</v>
      </c>
      <c r="B352">
        <v>33.19</v>
      </c>
      <c r="C352" s="5">
        <f t="shared" si="5"/>
        <v>0.17798155298155299</v>
      </c>
      <c r="D352" t="str" cm="1">
        <f t="array" ref="D352">_xlfn.IFS(AND(C352&gt;20%, A352&gt;2000),"Excellent", AND(C352&lt;20%, C352&gt;10%),"Good",TRUE,"BAD")</f>
        <v>Good</v>
      </c>
    </row>
    <row r="353" spans="1:4" x14ac:dyDescent="0.3">
      <c r="A353" s="8">
        <v>806.97</v>
      </c>
      <c r="B353">
        <v>213.84</v>
      </c>
      <c r="C353" s="5">
        <f t="shared" si="5"/>
        <v>0.26499126361574782</v>
      </c>
      <c r="D353" t="str" cm="1">
        <f t="array" ref="D353">_xlfn.IFS(AND(C353&gt;20%, A353&gt;2000),"Excellent", AND(C353&lt;20%, C353&gt;10%),"Good",TRUE,"BAD")</f>
        <v>BAD</v>
      </c>
    </row>
    <row r="354" spans="1:4" x14ac:dyDescent="0.3">
      <c r="A354" s="8">
        <v>1280.6400000000001</v>
      </c>
      <c r="B354">
        <v>481.28</v>
      </c>
      <c r="C354" s="5">
        <f t="shared" si="5"/>
        <v>0.37581209395302345</v>
      </c>
      <c r="D354" t="str" cm="1">
        <f t="array" ref="D354">_xlfn.IFS(AND(C354&gt;20%, A354&gt;2000),"Excellent", AND(C354&lt;20%, C354&gt;10%),"Good",TRUE,"BAD")</f>
        <v>BAD</v>
      </c>
    </row>
    <row r="355" spans="1:4" x14ac:dyDescent="0.3">
      <c r="A355" s="8">
        <v>1027.68</v>
      </c>
      <c r="B355">
        <v>357.73</v>
      </c>
      <c r="C355" s="5">
        <f t="shared" si="5"/>
        <v>0.34809473766152887</v>
      </c>
      <c r="D355" t="str" cm="1">
        <f t="array" ref="D355">_xlfn.IFS(AND(C355&gt;20%, A355&gt;2000),"Excellent", AND(C355&lt;20%, C355&gt;10%),"Good",TRUE,"BAD")</f>
        <v>BAD</v>
      </c>
    </row>
    <row r="356" spans="1:4" x14ac:dyDescent="0.3">
      <c r="A356" s="8">
        <v>894.4</v>
      </c>
      <c r="B356">
        <v>268.98</v>
      </c>
      <c r="C356" s="5">
        <f t="shared" si="5"/>
        <v>0.3007379248658319</v>
      </c>
      <c r="D356" t="str" cm="1">
        <f t="array" ref="D356">_xlfn.IFS(AND(C356&gt;20%, A356&gt;2000),"Excellent", AND(C356&lt;20%, C356&gt;10%),"Good",TRUE,"BAD")</f>
        <v>BAD</v>
      </c>
    </row>
    <row r="357" spans="1:4" x14ac:dyDescent="0.3">
      <c r="A357" s="8">
        <v>2109.83</v>
      </c>
      <c r="B357">
        <v>418.92</v>
      </c>
      <c r="C357" s="5">
        <f t="shared" si="5"/>
        <v>0.19855628178573631</v>
      </c>
      <c r="D357" t="str" cm="1">
        <f t="array" ref="D357">_xlfn.IFS(AND(C357&gt;20%, A357&gt;2000),"Excellent", AND(C357&lt;20%, C357&gt;10%),"Good",TRUE,"BAD")</f>
        <v>Good</v>
      </c>
    </row>
    <row r="358" spans="1:4" x14ac:dyDescent="0.3">
      <c r="A358" s="8">
        <v>18.739999999999998</v>
      </c>
      <c r="B358">
        <v>2.74</v>
      </c>
      <c r="C358" s="5">
        <f t="shared" si="5"/>
        <v>0.14621131270010676</v>
      </c>
      <c r="D358" t="str" cm="1">
        <f t="array" ref="D358">_xlfn.IFS(AND(C358&gt;20%, A358&gt;2000),"Excellent", AND(C358&lt;20%, C358&gt;10%),"Good",TRUE,"BAD")</f>
        <v>Good</v>
      </c>
    </row>
    <row r="359" spans="1:4" x14ac:dyDescent="0.3">
      <c r="A359" s="8">
        <v>979.29</v>
      </c>
      <c r="B359">
        <v>317.20999999999998</v>
      </c>
      <c r="C359" s="5">
        <f t="shared" si="5"/>
        <v>0.32391834900795474</v>
      </c>
      <c r="D359" t="str" cm="1">
        <f t="array" ref="D359">_xlfn.IFS(AND(C359&gt;20%, A359&gt;2000),"Excellent", AND(C359&lt;20%, C359&gt;10%),"Good",TRUE,"BAD")</f>
        <v>BAD</v>
      </c>
    </row>
    <row r="360" spans="1:4" x14ac:dyDescent="0.3">
      <c r="A360" s="8">
        <v>244.66</v>
      </c>
      <c r="B360">
        <v>72.42</v>
      </c>
      <c r="C360" s="5">
        <f t="shared" si="5"/>
        <v>0.29600261587509197</v>
      </c>
      <c r="D360" t="str" cm="1">
        <f t="array" ref="D360">_xlfn.IFS(AND(C360&gt;20%, A360&gt;2000),"Excellent", AND(C360&lt;20%, C360&gt;10%),"Good",TRUE,"BAD")</f>
        <v>BAD</v>
      </c>
    </row>
    <row r="361" spans="1:4" x14ac:dyDescent="0.3">
      <c r="A361" s="8">
        <v>1770.79</v>
      </c>
      <c r="B361">
        <v>539.51</v>
      </c>
      <c r="C361" s="5">
        <f t="shared" si="5"/>
        <v>0.30467192608948551</v>
      </c>
      <c r="D361" t="str" cm="1">
        <f t="array" ref="D361">_xlfn.IFS(AND(C361&gt;20%, A361&gt;2000),"Excellent", AND(C361&lt;20%, C361&gt;10%),"Good",TRUE,"BAD")</f>
        <v>BAD</v>
      </c>
    </row>
    <row r="362" spans="1:4" x14ac:dyDescent="0.3">
      <c r="A362" s="8">
        <v>1692.4</v>
      </c>
      <c r="B362">
        <v>453.81</v>
      </c>
      <c r="C362" s="5">
        <f t="shared" si="5"/>
        <v>0.26814582840935947</v>
      </c>
      <c r="D362" t="str" cm="1">
        <f t="array" ref="D362">_xlfn.IFS(AND(C362&gt;20%, A362&gt;2000),"Excellent", AND(C362&lt;20%, C362&gt;10%),"Good",TRUE,"BAD")</f>
        <v>BAD</v>
      </c>
    </row>
    <row r="363" spans="1:4" x14ac:dyDescent="0.3">
      <c r="A363" s="8">
        <v>57.15</v>
      </c>
      <c r="B363">
        <v>-21</v>
      </c>
      <c r="C363" s="5">
        <f t="shared" si="5"/>
        <v>-0.36745406824146981</v>
      </c>
      <c r="D363" t="str" cm="1">
        <f t="array" ref="D363">_xlfn.IFS(AND(C363&gt;20%, A363&gt;2000),"Excellent", AND(C363&lt;20%, C363&gt;10%),"Good",TRUE,"BAD")</f>
        <v>BAD</v>
      </c>
    </row>
    <row r="364" spans="1:4" x14ac:dyDescent="0.3">
      <c r="A364" s="8">
        <v>450.45</v>
      </c>
      <c r="B364">
        <v>120.46</v>
      </c>
      <c r="C364" s="5">
        <f t="shared" si="5"/>
        <v>0.26742146742146744</v>
      </c>
      <c r="D364" t="str" cm="1">
        <f t="array" ref="D364">_xlfn.IFS(AND(C364&gt;20%, A364&gt;2000),"Excellent", AND(C364&lt;20%, C364&gt;10%),"Good",TRUE,"BAD")</f>
        <v>BAD</v>
      </c>
    </row>
    <row r="365" spans="1:4" x14ac:dyDescent="0.3">
      <c r="A365" s="8">
        <v>1483.68</v>
      </c>
      <c r="B365">
        <v>438.18</v>
      </c>
      <c r="C365" s="5">
        <f t="shared" si="5"/>
        <v>0.29533322549336782</v>
      </c>
      <c r="D365" t="str" cm="1">
        <f t="array" ref="D365">_xlfn.IFS(AND(C365&gt;20%, A365&gt;2000),"Excellent", AND(C365&lt;20%, C365&gt;10%),"Good",TRUE,"BAD")</f>
        <v>BAD</v>
      </c>
    </row>
    <row r="366" spans="1:4" x14ac:dyDescent="0.3">
      <c r="A366" s="8">
        <v>257.52</v>
      </c>
      <c r="B366">
        <v>65.67</v>
      </c>
      <c r="C366" s="5">
        <f t="shared" si="5"/>
        <v>0.25500931966449208</v>
      </c>
      <c r="D366" t="str" cm="1">
        <f t="array" ref="D366">_xlfn.IFS(AND(C366&gt;20%, A366&gt;2000),"Excellent", AND(C366&lt;20%, C366&gt;10%),"Good",TRUE,"BAD")</f>
        <v>BAD</v>
      </c>
    </row>
    <row r="367" spans="1:4" x14ac:dyDescent="0.3">
      <c r="A367" s="8">
        <v>1336.5</v>
      </c>
      <c r="B367">
        <v>418.16</v>
      </c>
      <c r="C367" s="5">
        <f t="shared" si="5"/>
        <v>0.3128769173213618</v>
      </c>
      <c r="D367" t="str" cm="1">
        <f t="array" ref="D367">_xlfn.IFS(AND(C367&gt;20%, A367&gt;2000),"Excellent", AND(C367&lt;20%, C367&gt;10%),"Good",TRUE,"BAD")</f>
        <v>BAD</v>
      </c>
    </row>
    <row r="368" spans="1:4" x14ac:dyDescent="0.3">
      <c r="A368" s="8">
        <v>2510.2800000000002</v>
      </c>
      <c r="B368">
        <v>939.91</v>
      </c>
      <c r="C368" s="5">
        <f t="shared" si="5"/>
        <v>0.37442436700288412</v>
      </c>
      <c r="D368" t="str" cm="1">
        <f t="array" ref="D368">_xlfn.IFS(AND(C368&gt;20%, A368&gt;2000),"Excellent", AND(C368&lt;20%, C368&gt;10%),"Good",TRUE,"BAD")</f>
        <v>Excellent</v>
      </c>
    </row>
    <row r="369" spans="1:4" x14ac:dyDescent="0.3">
      <c r="A369" s="8">
        <v>1679.04</v>
      </c>
      <c r="B369">
        <v>462.56</v>
      </c>
      <c r="C369" s="5">
        <f t="shared" si="5"/>
        <v>0.27549075662283212</v>
      </c>
      <c r="D369" t="str" cm="1">
        <f t="array" ref="D369">_xlfn.IFS(AND(C369&gt;20%, A369&gt;2000),"Excellent", AND(C369&lt;20%, C369&gt;10%),"Good",TRUE,"BAD")</f>
        <v>BAD</v>
      </c>
    </row>
    <row r="370" spans="1:4" x14ac:dyDescent="0.3">
      <c r="A370" s="8">
        <v>1689.52</v>
      </c>
      <c r="B370">
        <v>264.45999999999998</v>
      </c>
      <c r="C370" s="5">
        <f t="shared" si="5"/>
        <v>0.15652966523036127</v>
      </c>
      <c r="D370" t="str" cm="1">
        <f t="array" ref="D370">_xlfn.IFS(AND(C370&gt;20%, A370&gt;2000),"Excellent", AND(C370&lt;20%, C370&gt;10%),"Good",TRUE,"BAD")</f>
        <v>Good</v>
      </c>
    </row>
    <row r="371" spans="1:4" x14ac:dyDescent="0.3">
      <c r="A371" s="8">
        <v>788.33</v>
      </c>
      <c r="B371">
        <v>110.52</v>
      </c>
      <c r="C371" s="5">
        <f t="shared" si="5"/>
        <v>0.14019509596235077</v>
      </c>
      <c r="D371" t="str" cm="1">
        <f t="array" ref="D371">_xlfn.IFS(AND(C371&gt;20%, A371&gt;2000),"Excellent", AND(C371&lt;20%, C371&gt;10%),"Good",TRUE,"BAD")</f>
        <v>Good</v>
      </c>
    </row>
    <row r="372" spans="1:4" x14ac:dyDescent="0.3">
      <c r="A372" s="8">
        <v>918.72</v>
      </c>
      <c r="B372">
        <v>316.5</v>
      </c>
      <c r="C372" s="5">
        <f t="shared" si="5"/>
        <v>0.34450104493207939</v>
      </c>
      <c r="D372" t="str" cm="1">
        <f t="array" ref="D372">_xlfn.IFS(AND(C372&gt;20%, A372&gt;2000),"Excellent", AND(C372&lt;20%, C372&gt;10%),"Good",TRUE,"BAD")</f>
        <v>BAD</v>
      </c>
    </row>
    <row r="373" spans="1:4" x14ac:dyDescent="0.3">
      <c r="A373" s="8">
        <v>1423.38</v>
      </c>
      <c r="B373">
        <v>161.97999999999999</v>
      </c>
      <c r="C373" s="5">
        <f t="shared" si="5"/>
        <v>0.11379954755581782</v>
      </c>
      <c r="D373" t="str" cm="1">
        <f t="array" ref="D373">_xlfn.IFS(AND(C373&gt;20%, A373&gt;2000),"Excellent", AND(C373&lt;20%, C373&gt;10%),"Good",TRUE,"BAD")</f>
        <v>Good</v>
      </c>
    </row>
    <row r="374" spans="1:4" x14ac:dyDescent="0.3">
      <c r="A374" s="8">
        <v>282.75</v>
      </c>
      <c r="B374">
        <v>36.25</v>
      </c>
      <c r="C374" s="5">
        <f t="shared" si="5"/>
        <v>0.12820512820512819</v>
      </c>
      <c r="D374" t="str" cm="1">
        <f t="array" ref="D374">_xlfn.IFS(AND(C374&gt;20%, A374&gt;2000),"Excellent", AND(C374&lt;20%, C374&gt;10%),"Good",TRUE,"BAD")</f>
        <v>Good</v>
      </c>
    </row>
    <row r="375" spans="1:4" x14ac:dyDescent="0.3">
      <c r="A375" s="8">
        <v>939.5</v>
      </c>
      <c r="B375">
        <v>328.56</v>
      </c>
      <c r="C375" s="5">
        <f t="shared" si="5"/>
        <v>0.34971793507184673</v>
      </c>
      <c r="D375" t="str" cm="1">
        <f t="array" ref="D375">_xlfn.IFS(AND(C375&gt;20%, A375&gt;2000),"Excellent", AND(C375&lt;20%, C375&gt;10%),"Good",TRUE,"BAD")</f>
        <v>BAD</v>
      </c>
    </row>
    <row r="376" spans="1:4" x14ac:dyDescent="0.3">
      <c r="A376" s="8">
        <v>404</v>
      </c>
      <c r="B376">
        <v>65.25</v>
      </c>
      <c r="C376" s="5">
        <f t="shared" si="5"/>
        <v>0.16150990099009901</v>
      </c>
      <c r="D376" t="str" cm="1">
        <f t="array" ref="D376">_xlfn.IFS(AND(C376&gt;20%, A376&gt;2000),"Excellent", AND(C376&lt;20%, C376&gt;10%),"Good",TRUE,"BAD")</f>
        <v>Good</v>
      </c>
    </row>
    <row r="377" spans="1:4" x14ac:dyDescent="0.3">
      <c r="A377" s="8">
        <v>956.45</v>
      </c>
      <c r="B377">
        <v>351.25</v>
      </c>
      <c r="C377" s="5">
        <f t="shared" si="5"/>
        <v>0.3672434523498353</v>
      </c>
      <c r="D377" t="str" cm="1">
        <f t="array" ref="D377">_xlfn.IFS(AND(C377&gt;20%, A377&gt;2000),"Excellent", AND(C377&lt;20%, C377&gt;10%),"Good",TRUE,"BAD")</f>
        <v>BAD</v>
      </c>
    </row>
    <row r="378" spans="1:4" x14ac:dyDescent="0.3">
      <c r="A378" s="8">
        <v>25.72</v>
      </c>
      <c r="B378">
        <v>3.68</v>
      </c>
      <c r="C378" s="5">
        <f t="shared" si="5"/>
        <v>0.14307931570762053</v>
      </c>
      <c r="D378" t="str" cm="1">
        <f t="array" ref="D378">_xlfn.IFS(AND(C378&gt;20%, A378&gt;2000),"Excellent", AND(C378&lt;20%, C378&gt;10%),"Good",TRUE,"BAD")</f>
        <v>Good</v>
      </c>
    </row>
    <row r="379" spans="1:4" x14ac:dyDescent="0.3">
      <c r="A379" s="8">
        <v>2258.4</v>
      </c>
      <c r="B379">
        <v>734.96</v>
      </c>
      <c r="C379" s="5">
        <f t="shared" si="5"/>
        <v>0.32543393552957844</v>
      </c>
      <c r="D379" t="str" cm="1">
        <f t="array" ref="D379">_xlfn.IFS(AND(C379&gt;20%, A379&gt;2000),"Excellent", AND(C379&lt;20%, C379&gt;10%),"Good",TRUE,"BAD")</f>
        <v>Excellent</v>
      </c>
    </row>
    <row r="380" spans="1:4" x14ac:dyDescent="0.3">
      <c r="A380" s="8">
        <v>1437.12</v>
      </c>
      <c r="B380">
        <v>446.98</v>
      </c>
      <c r="C380" s="5">
        <f t="shared" si="5"/>
        <v>0.31102482743264309</v>
      </c>
      <c r="D380" t="str" cm="1">
        <f t="array" ref="D380">_xlfn.IFS(AND(C380&gt;20%, A380&gt;2000),"Excellent", AND(C380&lt;20%, C380&gt;10%),"Good",TRUE,"BAD")</f>
        <v>BAD</v>
      </c>
    </row>
    <row r="381" spans="1:4" x14ac:dyDescent="0.3">
      <c r="A381" s="8">
        <v>428.16</v>
      </c>
      <c r="B381">
        <v>145.09</v>
      </c>
      <c r="C381" s="5">
        <f t="shared" si="5"/>
        <v>0.33886864723467863</v>
      </c>
      <c r="D381" t="str" cm="1">
        <f t="array" ref="D381">_xlfn.IFS(AND(C381&gt;20%, A381&gt;2000),"Excellent", AND(C381&lt;20%, C381&gt;10%),"Good",TRUE,"BAD")</f>
        <v>BAD</v>
      </c>
    </row>
    <row r="382" spans="1:4" x14ac:dyDescent="0.3">
      <c r="A382" s="8">
        <v>1479.6</v>
      </c>
      <c r="B382">
        <v>413.63</v>
      </c>
      <c r="C382" s="5">
        <f t="shared" si="5"/>
        <v>0.27955528521221951</v>
      </c>
      <c r="D382" t="str" cm="1">
        <f t="array" ref="D382">_xlfn.IFS(AND(C382&gt;20%, A382&gt;2000),"Excellent", AND(C382&lt;20%, C382&gt;10%),"Good",TRUE,"BAD")</f>
        <v>BAD</v>
      </c>
    </row>
    <row r="383" spans="1:4" x14ac:dyDescent="0.3">
      <c r="A383" s="8">
        <v>1017.36</v>
      </c>
      <c r="B383">
        <v>180.62</v>
      </c>
      <c r="C383" s="5">
        <f t="shared" si="5"/>
        <v>0.17753794133836598</v>
      </c>
      <c r="D383" t="str" cm="1">
        <f t="array" ref="D383">_xlfn.IFS(AND(C383&gt;20%, A383&gt;2000),"Excellent", AND(C383&lt;20%, C383&gt;10%),"Good",TRUE,"BAD")</f>
        <v>Good</v>
      </c>
    </row>
    <row r="384" spans="1:4" x14ac:dyDescent="0.3">
      <c r="A384" s="8">
        <v>1417.26</v>
      </c>
      <c r="B384">
        <v>375.26</v>
      </c>
      <c r="C384" s="5">
        <f t="shared" si="5"/>
        <v>0.26477851629200005</v>
      </c>
      <c r="D384" t="str" cm="1">
        <f t="array" ref="D384">_xlfn.IFS(AND(C384&gt;20%, A384&gt;2000),"Excellent", AND(C384&lt;20%, C384&gt;10%),"Good",TRUE,"BAD")</f>
        <v>BAD</v>
      </c>
    </row>
    <row r="385" spans="1:4" x14ac:dyDescent="0.3">
      <c r="A385" s="8">
        <v>389.28</v>
      </c>
      <c r="B385">
        <v>118.95</v>
      </c>
      <c r="C385" s="5">
        <f t="shared" si="5"/>
        <v>0.30556411837237979</v>
      </c>
      <c r="D385" t="str" cm="1">
        <f t="array" ref="D385">_xlfn.IFS(AND(C385&gt;20%, A385&gt;2000),"Excellent", AND(C385&lt;20%, C385&gt;10%),"Good",TRUE,"BAD")</f>
        <v>BAD</v>
      </c>
    </row>
    <row r="386" spans="1:4" x14ac:dyDescent="0.3">
      <c r="A386" s="8">
        <v>891.2</v>
      </c>
      <c r="B386">
        <v>238.47</v>
      </c>
      <c r="C386" s="5">
        <f t="shared" si="5"/>
        <v>0.26758303411131057</v>
      </c>
      <c r="D386" t="str" cm="1">
        <f t="array" ref="D386">_xlfn.IFS(AND(C386&gt;20%, A386&gt;2000),"Excellent", AND(C386&lt;20%, C386&gt;10%),"Good",TRUE,"BAD")</f>
        <v>BAD</v>
      </c>
    </row>
    <row r="387" spans="1:4" x14ac:dyDescent="0.3">
      <c r="A387" s="8">
        <v>976.95</v>
      </c>
      <c r="B387">
        <v>351.6</v>
      </c>
      <c r="C387" s="5">
        <f t="shared" ref="C387:C450" si="6">B387/A387</f>
        <v>0.35989559342852756</v>
      </c>
      <c r="D387" t="str" cm="1">
        <f t="array" ref="D387">_xlfn.IFS(AND(C387&gt;20%, A387&gt;2000),"Excellent", AND(C387&lt;20%, C387&gt;10%),"Good",TRUE,"BAD")</f>
        <v>BAD</v>
      </c>
    </row>
    <row r="388" spans="1:4" x14ac:dyDescent="0.3">
      <c r="A388" s="8">
        <v>248.56</v>
      </c>
      <c r="B388">
        <v>37.590000000000003</v>
      </c>
      <c r="C388" s="5">
        <f t="shared" si="6"/>
        <v>0.15123109108464758</v>
      </c>
      <c r="D388" t="str" cm="1">
        <f t="array" ref="D388">_xlfn.IFS(AND(C388&gt;20%, A388&gt;2000),"Excellent", AND(C388&lt;20%, C388&gt;10%),"Good",TRUE,"BAD")</f>
        <v>Good</v>
      </c>
    </row>
    <row r="389" spans="1:4" x14ac:dyDescent="0.3">
      <c r="A389" s="8">
        <v>1030.71</v>
      </c>
      <c r="B389">
        <v>360.47</v>
      </c>
      <c r="C389" s="5">
        <f t="shared" si="6"/>
        <v>0.3497297979062976</v>
      </c>
      <c r="D389" t="str" cm="1">
        <f t="array" ref="D389">_xlfn.IFS(AND(C389&gt;20%, A389&gt;2000),"Excellent", AND(C389&lt;20%, C389&gt;10%),"Good",TRUE,"BAD")</f>
        <v>BAD</v>
      </c>
    </row>
    <row r="390" spans="1:4" x14ac:dyDescent="0.3">
      <c r="A390" s="8">
        <v>987.16</v>
      </c>
      <c r="B390">
        <v>379.02</v>
      </c>
      <c r="C390" s="5">
        <f t="shared" si="6"/>
        <v>0.38394991693342517</v>
      </c>
      <c r="D390" t="str" cm="1">
        <f t="array" ref="D390">_xlfn.IFS(AND(C390&gt;20%, A390&gt;2000),"Excellent", AND(C390&lt;20%, C390&gt;10%),"Good",TRUE,"BAD")</f>
        <v>BAD</v>
      </c>
    </row>
    <row r="391" spans="1:4" x14ac:dyDescent="0.3">
      <c r="A391" s="8">
        <v>2119.5</v>
      </c>
      <c r="B391">
        <v>739.34</v>
      </c>
      <c r="C391" s="5">
        <f t="shared" si="6"/>
        <v>0.34882755366831802</v>
      </c>
      <c r="D391" t="str" cm="1">
        <f t="array" ref="D391">_xlfn.IFS(AND(C391&gt;20%, A391&gt;2000),"Excellent", AND(C391&lt;20%, C391&gt;10%),"Good",TRUE,"BAD")</f>
        <v>Excellent</v>
      </c>
    </row>
    <row r="392" spans="1:4" x14ac:dyDescent="0.3">
      <c r="A392" s="8">
        <v>116.64</v>
      </c>
      <c r="B392">
        <v>37.65</v>
      </c>
      <c r="C392" s="5">
        <f t="shared" si="6"/>
        <v>0.32278806584362141</v>
      </c>
      <c r="D392" t="str" cm="1">
        <f t="array" ref="D392">_xlfn.IFS(AND(C392&gt;20%, A392&gt;2000),"Excellent", AND(C392&lt;20%, C392&gt;10%),"Good",TRUE,"BAD")</f>
        <v>BAD</v>
      </c>
    </row>
    <row r="393" spans="1:4" x14ac:dyDescent="0.3">
      <c r="A393" s="8">
        <v>1901.54</v>
      </c>
      <c r="B393">
        <v>669.11</v>
      </c>
      <c r="C393" s="5">
        <f t="shared" si="6"/>
        <v>0.35187795155505541</v>
      </c>
      <c r="D393" t="str" cm="1">
        <f t="array" ref="D393">_xlfn.IFS(AND(C393&gt;20%, A393&gt;2000),"Excellent", AND(C393&lt;20%, C393&gt;10%),"Good",TRUE,"BAD")</f>
        <v>BAD</v>
      </c>
    </row>
    <row r="394" spans="1:4" x14ac:dyDescent="0.3">
      <c r="A394" s="8">
        <v>658.5</v>
      </c>
      <c r="B394">
        <v>247.02</v>
      </c>
      <c r="C394" s="5">
        <f t="shared" si="6"/>
        <v>0.37512528473804102</v>
      </c>
      <c r="D394" t="str" cm="1">
        <f t="array" ref="D394">_xlfn.IFS(AND(C394&gt;20%, A394&gt;2000),"Excellent", AND(C394&lt;20%, C394&gt;10%),"Good",TRUE,"BAD")</f>
        <v>BAD</v>
      </c>
    </row>
    <row r="395" spans="1:4" x14ac:dyDescent="0.3">
      <c r="A395" s="8">
        <v>82.12</v>
      </c>
      <c r="B395">
        <v>27.07</v>
      </c>
      <c r="C395" s="5">
        <f t="shared" si="6"/>
        <v>0.32963955187530442</v>
      </c>
      <c r="D395" t="str" cm="1">
        <f t="array" ref="D395">_xlfn.IFS(AND(C395&gt;20%, A395&gt;2000),"Excellent", AND(C395&lt;20%, C395&gt;10%),"Good",TRUE,"BAD")</f>
        <v>BAD</v>
      </c>
    </row>
    <row r="396" spans="1:4" x14ac:dyDescent="0.3">
      <c r="A396" s="8">
        <v>148.19999999999999</v>
      </c>
      <c r="B396">
        <v>24.44</v>
      </c>
      <c r="C396" s="5">
        <f t="shared" si="6"/>
        <v>0.1649122807017544</v>
      </c>
      <c r="D396" t="str" cm="1">
        <f t="array" ref="D396">_xlfn.IFS(AND(C396&gt;20%, A396&gt;2000),"Excellent", AND(C396&lt;20%, C396&gt;10%),"Good",TRUE,"BAD")</f>
        <v>Good</v>
      </c>
    </row>
    <row r="397" spans="1:4" x14ac:dyDescent="0.3">
      <c r="A397" s="8">
        <v>364.23</v>
      </c>
      <c r="B397">
        <v>106.82</v>
      </c>
      <c r="C397" s="5">
        <f t="shared" si="6"/>
        <v>0.29327622656014052</v>
      </c>
      <c r="D397" t="str" cm="1">
        <f t="array" ref="D397">_xlfn.IFS(AND(C397&gt;20%, A397&gt;2000),"Excellent", AND(C397&lt;20%, C397&gt;10%),"Good",TRUE,"BAD")</f>
        <v>BAD</v>
      </c>
    </row>
    <row r="398" spans="1:4" x14ac:dyDescent="0.3">
      <c r="A398" s="8">
        <v>110.56</v>
      </c>
      <c r="B398">
        <v>25.19</v>
      </c>
      <c r="C398" s="5">
        <f t="shared" si="6"/>
        <v>0.22784008683068019</v>
      </c>
      <c r="D398" t="str" cm="1">
        <f t="array" ref="D398">_xlfn.IFS(AND(C398&gt;20%, A398&gt;2000),"Excellent", AND(C398&lt;20%, C398&gt;10%),"Good",TRUE,"BAD")</f>
        <v>BAD</v>
      </c>
    </row>
    <row r="399" spans="1:4" x14ac:dyDescent="0.3">
      <c r="A399" s="8">
        <v>2151.59</v>
      </c>
      <c r="B399">
        <v>863.04</v>
      </c>
      <c r="C399" s="5">
        <f t="shared" si="6"/>
        <v>0.40111731324276462</v>
      </c>
      <c r="D399" t="str" cm="1">
        <f t="array" ref="D399">_xlfn.IFS(AND(C399&gt;20%, A399&gt;2000),"Excellent", AND(C399&lt;20%, C399&gt;10%),"Good",TRUE,"BAD")</f>
        <v>Excellent</v>
      </c>
    </row>
    <row r="400" spans="1:4" x14ac:dyDescent="0.3">
      <c r="A400" s="8">
        <v>1213.3599999999999</v>
      </c>
      <c r="B400">
        <v>431.53</v>
      </c>
      <c r="C400" s="5">
        <f t="shared" si="6"/>
        <v>0.35564877694995717</v>
      </c>
      <c r="D400" t="str" cm="1">
        <f t="array" ref="D400">_xlfn.IFS(AND(C400&gt;20%, A400&gt;2000),"Excellent", AND(C400&lt;20%, C400&gt;10%),"Good",TRUE,"BAD")</f>
        <v>BAD</v>
      </c>
    </row>
    <row r="401" spans="1:4" x14ac:dyDescent="0.3">
      <c r="A401" s="8">
        <v>1178.6300000000001</v>
      </c>
      <c r="B401">
        <v>456.31</v>
      </c>
      <c r="C401" s="5">
        <f t="shared" si="6"/>
        <v>0.38715288088713162</v>
      </c>
      <c r="D401" t="str" cm="1">
        <f t="array" ref="D401">_xlfn.IFS(AND(C401&gt;20%, A401&gt;2000),"Excellent", AND(C401&lt;20%, C401&gt;10%),"Good",TRUE,"BAD")</f>
        <v>BAD</v>
      </c>
    </row>
    <row r="402" spans="1:4" x14ac:dyDescent="0.3">
      <c r="A402" s="8">
        <v>891.52</v>
      </c>
      <c r="B402">
        <v>277.27999999999997</v>
      </c>
      <c r="C402" s="5">
        <f t="shared" si="6"/>
        <v>0.31101938262742279</v>
      </c>
      <c r="D402" t="str" cm="1">
        <f t="array" ref="D402">_xlfn.IFS(AND(C402&gt;20%, A402&gt;2000),"Excellent", AND(C402&lt;20%, C402&gt;10%),"Good",TRUE,"BAD")</f>
        <v>BAD</v>
      </c>
    </row>
    <row r="403" spans="1:4" x14ac:dyDescent="0.3">
      <c r="A403" s="8">
        <v>1505.28</v>
      </c>
      <c r="B403">
        <v>394.63</v>
      </c>
      <c r="C403" s="5">
        <f t="shared" si="6"/>
        <v>0.262163849914966</v>
      </c>
      <c r="D403" t="str" cm="1">
        <f t="array" ref="D403">_xlfn.IFS(AND(C403&gt;20%, A403&gt;2000),"Excellent", AND(C403&lt;20%, C403&gt;10%),"Good",TRUE,"BAD")</f>
        <v>BAD</v>
      </c>
    </row>
    <row r="404" spans="1:4" x14ac:dyDescent="0.3">
      <c r="A404" s="8">
        <v>672.1</v>
      </c>
      <c r="B404">
        <v>130.30000000000001</v>
      </c>
      <c r="C404" s="5">
        <f t="shared" si="6"/>
        <v>0.19386995982740665</v>
      </c>
      <c r="D404" t="str" cm="1">
        <f t="array" ref="D404">_xlfn.IFS(AND(C404&gt;20%, A404&gt;2000),"Excellent", AND(C404&lt;20%, C404&gt;10%),"Good",TRUE,"BAD")</f>
        <v>Good</v>
      </c>
    </row>
    <row r="405" spans="1:4" x14ac:dyDescent="0.3">
      <c r="A405" s="8">
        <v>587.08000000000004</v>
      </c>
      <c r="B405">
        <v>193.4</v>
      </c>
      <c r="C405" s="5">
        <f t="shared" si="6"/>
        <v>0.32942699461742864</v>
      </c>
      <c r="D405" t="str" cm="1">
        <f t="array" ref="D405">_xlfn.IFS(AND(C405&gt;20%, A405&gt;2000),"Excellent", AND(C405&lt;20%, C405&gt;10%),"Good",TRUE,"BAD")</f>
        <v>BAD</v>
      </c>
    </row>
    <row r="406" spans="1:4" x14ac:dyDescent="0.3">
      <c r="A406" s="8">
        <v>1809.2</v>
      </c>
      <c r="B406">
        <v>272.95</v>
      </c>
      <c r="C406" s="5">
        <f t="shared" si="6"/>
        <v>0.15086778686712357</v>
      </c>
      <c r="D406" t="str" cm="1">
        <f t="array" ref="D406">_xlfn.IFS(AND(C406&gt;20%, A406&gt;2000),"Excellent", AND(C406&lt;20%, C406&gt;10%),"Good",TRUE,"BAD")</f>
        <v>Good</v>
      </c>
    </row>
    <row r="407" spans="1:4" x14ac:dyDescent="0.3">
      <c r="A407" s="8">
        <v>933.98</v>
      </c>
      <c r="B407">
        <v>157.61000000000001</v>
      </c>
      <c r="C407" s="5">
        <f t="shared" si="6"/>
        <v>0.16875093685089618</v>
      </c>
      <c r="D407" t="str" cm="1">
        <f t="array" ref="D407">_xlfn.IFS(AND(C407&gt;20%, A407&gt;2000),"Excellent", AND(C407&lt;20%, C407&gt;10%),"Good",TRUE,"BAD")</f>
        <v>Good</v>
      </c>
    </row>
    <row r="408" spans="1:4" x14ac:dyDescent="0.3">
      <c r="A408" s="8">
        <v>823.14</v>
      </c>
      <c r="B408">
        <v>237.89</v>
      </c>
      <c r="C408" s="5">
        <f t="shared" si="6"/>
        <v>0.28900308574483075</v>
      </c>
      <c r="D408" t="str" cm="1">
        <f t="array" ref="D408">_xlfn.IFS(AND(C408&gt;20%, A408&gt;2000),"Excellent", AND(C408&lt;20%, C408&gt;10%),"Good",TRUE,"BAD")</f>
        <v>BAD</v>
      </c>
    </row>
    <row r="409" spans="1:4" x14ac:dyDescent="0.3">
      <c r="A409" s="8">
        <v>1593.44</v>
      </c>
      <c r="B409">
        <v>627.51</v>
      </c>
      <c r="C409" s="5">
        <f t="shared" si="6"/>
        <v>0.39380836429360377</v>
      </c>
      <c r="D409" t="str" cm="1">
        <f t="array" ref="D409">_xlfn.IFS(AND(C409&gt;20%, A409&gt;2000),"Excellent", AND(C409&lt;20%, C409&gt;10%),"Good",TRUE,"BAD")</f>
        <v>BAD</v>
      </c>
    </row>
    <row r="410" spans="1:4" x14ac:dyDescent="0.3">
      <c r="A410" s="8">
        <v>270.60000000000002</v>
      </c>
      <c r="B410">
        <v>55.25</v>
      </c>
      <c r="C410" s="5">
        <f t="shared" si="6"/>
        <v>0.20417590539541758</v>
      </c>
      <c r="D410" t="str" cm="1">
        <f t="array" ref="D410">_xlfn.IFS(AND(C410&gt;20%, A410&gt;2000),"Excellent", AND(C410&lt;20%, C410&gt;10%),"Good",TRUE,"BAD")</f>
        <v>BAD</v>
      </c>
    </row>
    <row r="411" spans="1:4" x14ac:dyDescent="0.3">
      <c r="A411" s="8">
        <v>305.14</v>
      </c>
      <c r="B411">
        <v>96.33</v>
      </c>
      <c r="C411" s="5">
        <f t="shared" si="6"/>
        <v>0.31569115815691157</v>
      </c>
      <c r="D411" t="str" cm="1">
        <f t="array" ref="D411">_xlfn.IFS(AND(C411&gt;20%, A411&gt;2000),"Excellent", AND(C411&lt;20%, C411&gt;10%),"Good",TRUE,"BAD")</f>
        <v>BAD</v>
      </c>
    </row>
    <row r="412" spans="1:4" x14ac:dyDescent="0.3">
      <c r="A412" s="8">
        <v>1104.32</v>
      </c>
      <c r="B412">
        <v>266.69</v>
      </c>
      <c r="C412" s="5">
        <f t="shared" si="6"/>
        <v>0.24149702984642135</v>
      </c>
      <c r="D412" t="str" cm="1">
        <f t="array" ref="D412">_xlfn.IFS(AND(C412&gt;20%, A412&gt;2000),"Excellent", AND(C412&lt;20%, C412&gt;10%),"Good",TRUE,"BAD")</f>
        <v>BAD</v>
      </c>
    </row>
    <row r="413" spans="1:4" x14ac:dyDescent="0.3">
      <c r="A413" s="8">
        <v>785.7</v>
      </c>
      <c r="B413">
        <v>227.18</v>
      </c>
      <c r="C413" s="5">
        <f t="shared" si="6"/>
        <v>0.28914343897161765</v>
      </c>
      <c r="D413" t="str" cm="1">
        <f t="array" ref="D413">_xlfn.IFS(AND(C413&gt;20%, A413&gt;2000),"Excellent", AND(C413&lt;20%, C413&gt;10%),"Good",TRUE,"BAD")</f>
        <v>BAD</v>
      </c>
    </row>
    <row r="414" spans="1:4" x14ac:dyDescent="0.3">
      <c r="A414" s="8">
        <v>2546.5300000000002</v>
      </c>
      <c r="B414">
        <v>719.27</v>
      </c>
      <c r="C414" s="5">
        <f t="shared" si="6"/>
        <v>0.28245102158623692</v>
      </c>
      <c r="D414" t="str" cm="1">
        <f t="array" ref="D414">_xlfn.IFS(AND(C414&gt;20%, A414&gt;2000),"Excellent", AND(C414&lt;20%, C414&gt;10%),"Good",TRUE,"BAD")</f>
        <v>Excellent</v>
      </c>
    </row>
    <row r="415" spans="1:4" x14ac:dyDescent="0.3">
      <c r="A415" s="8">
        <v>479.05</v>
      </c>
      <c r="B415">
        <v>143.9</v>
      </c>
      <c r="C415" s="5">
        <f t="shared" si="6"/>
        <v>0.30038618098319592</v>
      </c>
      <c r="D415" t="str" cm="1">
        <f t="array" ref="D415">_xlfn.IFS(AND(C415&gt;20%, A415&gt;2000),"Excellent", AND(C415&lt;20%, C415&gt;10%),"Good",TRUE,"BAD")</f>
        <v>BAD</v>
      </c>
    </row>
    <row r="416" spans="1:4" x14ac:dyDescent="0.3">
      <c r="A416" s="8">
        <v>1271.1600000000001</v>
      </c>
      <c r="B416">
        <v>133.69999999999999</v>
      </c>
      <c r="C416" s="5">
        <f t="shared" si="6"/>
        <v>0.10517952106737152</v>
      </c>
      <c r="D416" t="str" cm="1">
        <f t="array" ref="D416">_xlfn.IFS(AND(C416&gt;20%, A416&gt;2000),"Excellent", AND(C416&lt;20%, C416&gt;10%),"Good",TRUE,"BAD")</f>
        <v>Good</v>
      </c>
    </row>
    <row r="417" spans="1:4" x14ac:dyDescent="0.3">
      <c r="A417" s="8">
        <v>1106.18</v>
      </c>
      <c r="B417">
        <v>418.91</v>
      </c>
      <c r="C417" s="5">
        <f t="shared" si="6"/>
        <v>0.37869966913160608</v>
      </c>
      <c r="D417" t="str" cm="1">
        <f t="array" ref="D417">_xlfn.IFS(AND(C417&gt;20%, A417&gt;2000),"Excellent", AND(C417&lt;20%, C417&gt;10%),"Good",TRUE,"BAD")</f>
        <v>BAD</v>
      </c>
    </row>
    <row r="418" spans="1:4" x14ac:dyDescent="0.3">
      <c r="A418" s="8">
        <v>94.24</v>
      </c>
      <c r="B418">
        <v>25.21</v>
      </c>
      <c r="C418" s="5">
        <f t="shared" si="6"/>
        <v>0.26750848896434637</v>
      </c>
      <c r="D418" t="str" cm="1">
        <f t="array" ref="D418">_xlfn.IFS(AND(C418&gt;20%, A418&gt;2000),"Excellent", AND(C418&lt;20%, C418&gt;10%),"Good",TRUE,"BAD")</f>
        <v>BAD</v>
      </c>
    </row>
    <row r="419" spans="1:4" x14ac:dyDescent="0.3">
      <c r="A419" s="8">
        <v>971.38</v>
      </c>
      <c r="B419">
        <v>357.37</v>
      </c>
      <c r="C419" s="5">
        <f t="shared" si="6"/>
        <v>0.36789927731680705</v>
      </c>
      <c r="D419" t="str" cm="1">
        <f t="array" ref="D419">_xlfn.IFS(AND(C419&gt;20%, A419&gt;2000),"Excellent", AND(C419&lt;20%, C419&gt;10%),"Good",TRUE,"BAD")</f>
        <v>BAD</v>
      </c>
    </row>
    <row r="420" spans="1:4" x14ac:dyDescent="0.3">
      <c r="A420" s="8">
        <v>1678.16</v>
      </c>
      <c r="B420">
        <v>453.67</v>
      </c>
      <c r="C420" s="5">
        <f t="shared" si="6"/>
        <v>0.27033775087000045</v>
      </c>
      <c r="D420" t="str" cm="1">
        <f t="array" ref="D420">_xlfn.IFS(AND(C420&gt;20%, A420&gt;2000),"Excellent", AND(C420&lt;20%, C420&gt;10%),"Good",TRUE,"BAD")</f>
        <v>BAD</v>
      </c>
    </row>
    <row r="421" spans="1:4" x14ac:dyDescent="0.3">
      <c r="A421" s="8">
        <v>336</v>
      </c>
      <c r="B421">
        <v>61.12</v>
      </c>
      <c r="C421" s="5">
        <f t="shared" si="6"/>
        <v>0.1819047619047619</v>
      </c>
      <c r="D421" t="str" cm="1">
        <f t="array" ref="D421">_xlfn.IFS(AND(C421&gt;20%, A421&gt;2000),"Excellent", AND(C421&lt;20%, C421&gt;10%),"Good",TRUE,"BAD")</f>
        <v>Good</v>
      </c>
    </row>
    <row r="422" spans="1:4" x14ac:dyDescent="0.3">
      <c r="A422" s="8">
        <v>1345.5</v>
      </c>
      <c r="B422">
        <v>478.8</v>
      </c>
      <c r="C422" s="5">
        <f t="shared" si="6"/>
        <v>0.35585284280936458</v>
      </c>
      <c r="D422" t="str" cm="1">
        <f t="array" ref="D422">_xlfn.IFS(AND(C422&gt;20%, A422&gt;2000),"Excellent", AND(C422&lt;20%, C422&gt;10%),"Good",TRUE,"BAD")</f>
        <v>BAD</v>
      </c>
    </row>
    <row r="423" spans="1:4" x14ac:dyDescent="0.3">
      <c r="A423" s="8">
        <v>415.87</v>
      </c>
      <c r="B423">
        <v>110.36</v>
      </c>
      <c r="C423" s="5">
        <f t="shared" si="6"/>
        <v>0.26537139009786714</v>
      </c>
      <c r="D423" t="str" cm="1">
        <f t="array" ref="D423">_xlfn.IFS(AND(C423&gt;20%, A423&gt;2000),"Excellent", AND(C423&lt;20%, C423&gt;10%),"Good",TRUE,"BAD")</f>
        <v>BAD</v>
      </c>
    </row>
    <row r="424" spans="1:4" x14ac:dyDescent="0.3">
      <c r="A424" s="8">
        <v>1790.88</v>
      </c>
      <c r="B424">
        <v>523.42999999999995</v>
      </c>
      <c r="C424" s="5">
        <f t="shared" si="6"/>
        <v>0.29227530599481816</v>
      </c>
      <c r="D424" t="str" cm="1">
        <f t="array" ref="D424">_xlfn.IFS(AND(C424&gt;20%, A424&gt;2000),"Excellent", AND(C424&lt;20%, C424&gt;10%),"Good",TRUE,"BAD")</f>
        <v>BAD</v>
      </c>
    </row>
    <row r="425" spans="1:4" x14ac:dyDescent="0.3">
      <c r="A425" s="8">
        <v>2010.58</v>
      </c>
      <c r="B425">
        <v>396.36</v>
      </c>
      <c r="C425" s="5">
        <f t="shared" si="6"/>
        <v>0.19713714450556558</v>
      </c>
      <c r="D425" t="str" cm="1">
        <f t="array" ref="D425">_xlfn.IFS(AND(C425&gt;20%, A425&gt;2000),"Excellent", AND(C425&lt;20%, C425&gt;10%),"Good",TRUE,"BAD")</f>
        <v>Good</v>
      </c>
    </row>
    <row r="426" spans="1:4" x14ac:dyDescent="0.3">
      <c r="A426" s="8">
        <v>379.26</v>
      </c>
      <c r="B426">
        <v>112.84</v>
      </c>
      <c r="C426" s="5">
        <f t="shared" si="6"/>
        <v>0.29752676264304173</v>
      </c>
      <c r="D426" t="str" cm="1">
        <f t="array" ref="D426">_xlfn.IFS(AND(C426&gt;20%, A426&gt;2000),"Excellent", AND(C426&lt;20%, C426&gt;10%),"Good",TRUE,"BAD")</f>
        <v>BAD</v>
      </c>
    </row>
    <row r="427" spans="1:4" x14ac:dyDescent="0.3">
      <c r="A427" s="8">
        <v>1251.32</v>
      </c>
      <c r="B427">
        <v>271.94</v>
      </c>
      <c r="C427" s="5">
        <f t="shared" si="6"/>
        <v>0.21732250743215165</v>
      </c>
      <c r="D427" t="str" cm="1">
        <f t="array" ref="D427">_xlfn.IFS(AND(C427&gt;20%, A427&gt;2000),"Excellent", AND(C427&lt;20%, C427&gt;10%),"Good",TRUE,"BAD")</f>
        <v>BAD</v>
      </c>
    </row>
    <row r="428" spans="1:4" x14ac:dyDescent="0.3">
      <c r="A428" s="8">
        <v>941.62</v>
      </c>
      <c r="B428">
        <v>225.96</v>
      </c>
      <c r="C428" s="5">
        <f t="shared" si="6"/>
        <v>0.23996941441345768</v>
      </c>
      <c r="D428" t="str" cm="1">
        <f t="array" ref="D428">_xlfn.IFS(AND(C428&gt;20%, A428&gt;2000),"Excellent", AND(C428&lt;20%, C428&gt;10%),"Good",TRUE,"BAD")</f>
        <v>BAD</v>
      </c>
    </row>
    <row r="429" spans="1:4" x14ac:dyDescent="0.3">
      <c r="A429" s="8">
        <v>1420.18</v>
      </c>
      <c r="B429">
        <v>355.73</v>
      </c>
      <c r="C429" s="5">
        <f t="shared" si="6"/>
        <v>0.25048233322536578</v>
      </c>
      <c r="D429" t="str" cm="1">
        <f t="array" ref="D429">_xlfn.IFS(AND(C429&gt;20%, A429&gt;2000),"Excellent", AND(C429&lt;20%, C429&gt;10%),"Good",TRUE,"BAD")</f>
        <v>BAD</v>
      </c>
    </row>
    <row r="430" spans="1:4" x14ac:dyDescent="0.3">
      <c r="A430" s="8">
        <v>2239.36</v>
      </c>
      <c r="B430">
        <v>825.85</v>
      </c>
      <c r="C430" s="5">
        <f t="shared" si="6"/>
        <v>0.3687884038296656</v>
      </c>
      <c r="D430" t="str" cm="1">
        <f t="array" ref="D430">_xlfn.IFS(AND(C430&gt;20%, A430&gt;2000),"Excellent", AND(C430&lt;20%, C430&gt;10%),"Good",TRUE,"BAD")</f>
        <v>Excellent</v>
      </c>
    </row>
    <row r="431" spans="1:4" x14ac:dyDescent="0.3">
      <c r="A431" s="8">
        <v>1072.75</v>
      </c>
      <c r="B431">
        <v>117.73</v>
      </c>
      <c r="C431" s="5">
        <f t="shared" si="6"/>
        <v>0.10974597995805174</v>
      </c>
      <c r="D431" t="str" cm="1">
        <f t="array" ref="D431">_xlfn.IFS(AND(C431&gt;20%, A431&gt;2000),"Excellent", AND(C431&lt;20%, C431&gt;10%),"Good",TRUE,"BAD")</f>
        <v>Good</v>
      </c>
    </row>
    <row r="432" spans="1:4" x14ac:dyDescent="0.3">
      <c r="A432" s="8">
        <v>158.19999999999999</v>
      </c>
      <c r="B432">
        <v>61.91</v>
      </c>
      <c r="C432" s="5">
        <f t="shared" si="6"/>
        <v>0.39134007585335018</v>
      </c>
      <c r="D432" t="str" cm="1">
        <f t="array" ref="D432">_xlfn.IFS(AND(C432&gt;20%, A432&gt;2000),"Excellent", AND(C432&lt;20%, C432&gt;10%),"Good",TRUE,"BAD")</f>
        <v>BAD</v>
      </c>
    </row>
    <row r="433" spans="1:4" x14ac:dyDescent="0.3">
      <c r="A433" s="8">
        <v>936</v>
      </c>
      <c r="B433">
        <v>253.93</v>
      </c>
      <c r="C433" s="5">
        <f t="shared" si="6"/>
        <v>0.27129273504273504</v>
      </c>
      <c r="D433" t="str" cm="1">
        <f t="array" ref="D433">_xlfn.IFS(AND(C433&gt;20%, A433&gt;2000),"Excellent", AND(C433&lt;20%, C433&gt;10%),"Good",TRUE,"BAD")</f>
        <v>BAD</v>
      </c>
    </row>
    <row r="434" spans="1:4" x14ac:dyDescent="0.3">
      <c r="A434" s="8">
        <v>1599.04</v>
      </c>
      <c r="B434">
        <v>275.94</v>
      </c>
      <c r="C434" s="5">
        <f t="shared" si="6"/>
        <v>0.17256603962377426</v>
      </c>
      <c r="D434" t="str" cm="1">
        <f t="array" ref="D434">_xlfn.IFS(AND(C434&gt;20%, A434&gt;2000),"Excellent", AND(C434&lt;20%, C434&gt;10%),"Good",TRUE,"BAD")</f>
        <v>Good</v>
      </c>
    </row>
    <row r="435" spans="1:4" x14ac:dyDescent="0.3">
      <c r="A435" s="8">
        <v>1050.42</v>
      </c>
      <c r="B435">
        <v>335.72</v>
      </c>
      <c r="C435" s="5">
        <f t="shared" si="6"/>
        <v>0.31960549113687858</v>
      </c>
      <c r="D435" t="str" cm="1">
        <f t="array" ref="D435">_xlfn.IFS(AND(C435&gt;20%, A435&gt;2000),"Excellent", AND(C435&lt;20%, C435&gt;10%),"Good",TRUE,"BAD")</f>
        <v>BAD</v>
      </c>
    </row>
    <row r="436" spans="1:4" x14ac:dyDescent="0.3">
      <c r="A436" s="8">
        <v>771.88</v>
      </c>
      <c r="B436">
        <v>167.34</v>
      </c>
      <c r="C436" s="5">
        <f t="shared" si="6"/>
        <v>0.21679535679121106</v>
      </c>
      <c r="D436" t="str" cm="1">
        <f t="array" ref="D436">_xlfn.IFS(AND(C436&gt;20%, A436&gt;2000),"Excellent", AND(C436&lt;20%, C436&gt;10%),"Good",TRUE,"BAD")</f>
        <v>BAD</v>
      </c>
    </row>
    <row r="437" spans="1:4" x14ac:dyDescent="0.3">
      <c r="A437" s="8">
        <v>674.88</v>
      </c>
      <c r="B437">
        <v>143.78</v>
      </c>
      <c r="C437" s="5">
        <f t="shared" si="6"/>
        <v>0.21304528212422949</v>
      </c>
      <c r="D437" t="str" cm="1">
        <f t="array" ref="D437">_xlfn.IFS(AND(C437&gt;20%, A437&gt;2000),"Excellent", AND(C437&lt;20%, C437&gt;10%),"Good",TRUE,"BAD")</f>
        <v>BAD</v>
      </c>
    </row>
    <row r="438" spans="1:4" x14ac:dyDescent="0.3">
      <c r="A438" s="8">
        <v>419.64</v>
      </c>
      <c r="B438">
        <v>91.16</v>
      </c>
      <c r="C438" s="5">
        <f t="shared" si="6"/>
        <v>0.21723381946430273</v>
      </c>
      <c r="D438" t="str" cm="1">
        <f t="array" ref="D438">_xlfn.IFS(AND(C438&gt;20%, A438&gt;2000),"Excellent", AND(C438&lt;20%, C438&gt;10%),"Good",TRUE,"BAD")</f>
        <v>BAD</v>
      </c>
    </row>
    <row r="439" spans="1:4" x14ac:dyDescent="0.3">
      <c r="A439" s="8">
        <v>1042.22</v>
      </c>
      <c r="B439">
        <v>395.89</v>
      </c>
      <c r="C439" s="5">
        <f t="shared" si="6"/>
        <v>0.37985262228704109</v>
      </c>
      <c r="D439" t="str" cm="1">
        <f t="array" ref="D439">_xlfn.IFS(AND(C439&gt;20%, A439&gt;2000),"Excellent", AND(C439&lt;20%, C439&gt;10%),"Good",TRUE,"BAD")</f>
        <v>BAD</v>
      </c>
    </row>
    <row r="440" spans="1:4" x14ac:dyDescent="0.3">
      <c r="A440" s="8">
        <v>1222.4000000000001</v>
      </c>
      <c r="B440">
        <v>295.98</v>
      </c>
      <c r="C440" s="5">
        <f t="shared" si="6"/>
        <v>0.24213023560209423</v>
      </c>
      <c r="D440" t="str" cm="1">
        <f t="array" ref="D440">_xlfn.IFS(AND(C440&gt;20%, A440&gt;2000),"Excellent", AND(C440&lt;20%, C440&gt;10%),"Good",TRUE,"BAD")</f>
        <v>BAD</v>
      </c>
    </row>
    <row r="441" spans="1:4" x14ac:dyDescent="0.3">
      <c r="A441" s="8">
        <v>928.95</v>
      </c>
      <c r="B441">
        <v>378.27</v>
      </c>
      <c r="C441" s="5">
        <f t="shared" si="6"/>
        <v>0.407201679315356</v>
      </c>
      <c r="D441" t="str" cm="1">
        <f t="array" ref="D441">_xlfn.IFS(AND(C441&gt;20%, A441&gt;2000),"Excellent", AND(C441&lt;20%, C441&gt;10%),"Good",TRUE,"BAD")</f>
        <v>BAD</v>
      </c>
    </row>
    <row r="442" spans="1:4" x14ac:dyDescent="0.3">
      <c r="A442" s="8">
        <v>715.4</v>
      </c>
      <c r="B442">
        <v>276.17</v>
      </c>
      <c r="C442" s="5">
        <f t="shared" si="6"/>
        <v>0.38603578417668438</v>
      </c>
      <c r="D442" t="str" cm="1">
        <f t="array" ref="D442">_xlfn.IFS(AND(C442&gt;20%, A442&gt;2000),"Excellent", AND(C442&lt;20%, C442&gt;10%),"Good",TRUE,"BAD")</f>
        <v>BAD</v>
      </c>
    </row>
    <row r="443" spans="1:4" x14ac:dyDescent="0.3">
      <c r="A443" s="8">
        <v>472.08</v>
      </c>
      <c r="B443">
        <v>191.37</v>
      </c>
      <c r="C443" s="5">
        <f t="shared" si="6"/>
        <v>0.40537620742247077</v>
      </c>
      <c r="D443" t="str" cm="1">
        <f t="array" ref="D443">_xlfn.IFS(AND(C443&gt;20%, A443&gt;2000),"Excellent", AND(C443&lt;20%, C443&gt;10%),"Good",TRUE,"BAD")</f>
        <v>BAD</v>
      </c>
    </row>
    <row r="444" spans="1:4" x14ac:dyDescent="0.3">
      <c r="A444" s="8">
        <v>220.24</v>
      </c>
      <c r="B444">
        <v>63.58</v>
      </c>
      <c r="C444" s="5">
        <f t="shared" si="6"/>
        <v>0.28868507083181982</v>
      </c>
      <c r="D444" t="str" cm="1">
        <f t="array" ref="D444">_xlfn.IFS(AND(C444&gt;20%, A444&gt;2000),"Excellent", AND(C444&lt;20%, C444&gt;10%),"Good",TRUE,"BAD")</f>
        <v>BAD</v>
      </c>
    </row>
    <row r="445" spans="1:4" x14ac:dyDescent="0.3">
      <c r="A445" s="8">
        <v>1387.75</v>
      </c>
      <c r="B445">
        <v>539.29999999999995</v>
      </c>
      <c r="C445" s="5">
        <f t="shared" si="6"/>
        <v>0.38861466402450007</v>
      </c>
      <c r="D445" t="str" cm="1">
        <f t="array" ref="D445">_xlfn.IFS(AND(C445&gt;20%, A445&gt;2000),"Excellent", AND(C445&lt;20%, C445&gt;10%),"Good",TRUE,"BAD")</f>
        <v>BAD</v>
      </c>
    </row>
    <row r="446" spans="1:4" x14ac:dyDescent="0.3">
      <c r="A446" s="8">
        <v>1184</v>
      </c>
      <c r="B446">
        <v>362.38</v>
      </c>
      <c r="C446" s="5">
        <f t="shared" si="6"/>
        <v>0.30606418918918921</v>
      </c>
      <c r="D446" t="str" cm="1">
        <f t="array" ref="D446">_xlfn.IFS(AND(C446&gt;20%, A446&gt;2000),"Excellent", AND(C446&lt;20%, C446&gt;10%),"Good",TRUE,"BAD")</f>
        <v>BAD</v>
      </c>
    </row>
    <row r="447" spans="1:4" x14ac:dyDescent="0.3">
      <c r="A447" s="8">
        <v>99.05</v>
      </c>
      <c r="B447">
        <v>29.39</v>
      </c>
      <c r="C447" s="5">
        <f t="shared" si="6"/>
        <v>0.2967188288743059</v>
      </c>
      <c r="D447" t="str" cm="1">
        <f t="array" ref="D447">_xlfn.IFS(AND(C447&gt;20%, A447&gt;2000),"Excellent", AND(C447&lt;20%, C447&gt;10%),"Good",TRUE,"BAD")</f>
        <v>BAD</v>
      </c>
    </row>
    <row r="448" spans="1:4" x14ac:dyDescent="0.3">
      <c r="A448" s="8">
        <v>486.81</v>
      </c>
      <c r="B448">
        <v>105.93</v>
      </c>
      <c r="C448" s="5">
        <f t="shared" si="6"/>
        <v>0.21760029580329082</v>
      </c>
      <c r="D448" t="str" cm="1">
        <f t="array" ref="D448">_xlfn.IFS(AND(C448&gt;20%, A448&gt;2000),"Excellent", AND(C448&lt;20%, C448&gt;10%),"Good",TRUE,"BAD")</f>
        <v>BAD</v>
      </c>
    </row>
    <row r="449" spans="1:4" x14ac:dyDescent="0.3">
      <c r="A449" s="8">
        <v>1211.8499999999999</v>
      </c>
      <c r="B449">
        <v>339</v>
      </c>
      <c r="C449" s="5">
        <f t="shared" si="6"/>
        <v>0.2797375912860503</v>
      </c>
      <c r="D449" t="str" cm="1">
        <f t="array" ref="D449">_xlfn.IFS(AND(C449&gt;20%, A449&gt;2000),"Excellent", AND(C449&lt;20%, C449&gt;10%),"Good",TRUE,"BAD")</f>
        <v>BAD</v>
      </c>
    </row>
    <row r="450" spans="1:4" x14ac:dyDescent="0.3">
      <c r="A450" s="8">
        <v>1301.5999999999999</v>
      </c>
      <c r="B450">
        <v>454.54</v>
      </c>
      <c r="C450" s="5">
        <f t="shared" si="6"/>
        <v>0.34921634910878924</v>
      </c>
      <c r="D450" t="str" cm="1">
        <f t="array" ref="D450">_xlfn.IFS(AND(C450&gt;20%, A450&gt;2000),"Excellent", AND(C450&lt;20%, C450&gt;10%),"Good",TRUE,"BAD")</f>
        <v>BAD</v>
      </c>
    </row>
    <row r="451" spans="1:4" x14ac:dyDescent="0.3">
      <c r="A451" s="8">
        <v>918.32</v>
      </c>
      <c r="B451">
        <v>273.3</v>
      </c>
      <c r="C451" s="5">
        <f t="shared" ref="C451:C501" si="7">B451/A451</f>
        <v>0.29760867671399949</v>
      </c>
      <c r="D451" t="str" cm="1">
        <f t="array" ref="D451">_xlfn.IFS(AND(C451&gt;20%, A451&gt;2000),"Excellent", AND(C451&lt;20%, C451&gt;10%),"Good",TRUE,"BAD")</f>
        <v>BAD</v>
      </c>
    </row>
    <row r="452" spans="1:4" x14ac:dyDescent="0.3">
      <c r="A452" s="8">
        <v>263.04000000000002</v>
      </c>
      <c r="B452">
        <v>41.4</v>
      </c>
      <c r="C452" s="5">
        <f t="shared" si="7"/>
        <v>0.1573905109489051</v>
      </c>
      <c r="D452" t="str" cm="1">
        <f t="array" ref="D452">_xlfn.IFS(AND(C452&gt;20%, A452&gt;2000),"Excellent", AND(C452&lt;20%, C452&gt;10%),"Good",TRUE,"BAD")</f>
        <v>Good</v>
      </c>
    </row>
    <row r="453" spans="1:4" x14ac:dyDescent="0.3">
      <c r="A453" s="8">
        <v>1804.53</v>
      </c>
      <c r="B453">
        <v>673.96</v>
      </c>
      <c r="C453" s="5">
        <f t="shared" si="7"/>
        <v>0.37348229178788939</v>
      </c>
      <c r="D453" t="str" cm="1">
        <f t="array" ref="D453">_xlfn.IFS(AND(C453&gt;20%, A453&gt;2000),"Excellent", AND(C453&lt;20%, C453&gt;10%),"Good",TRUE,"BAD")</f>
        <v>BAD</v>
      </c>
    </row>
    <row r="454" spans="1:4" x14ac:dyDescent="0.3">
      <c r="A454" s="8">
        <v>498.3</v>
      </c>
      <c r="B454">
        <v>86.45</v>
      </c>
      <c r="C454" s="5">
        <f t="shared" si="7"/>
        <v>0.17348986554284568</v>
      </c>
      <c r="D454" t="str" cm="1">
        <f t="array" ref="D454">_xlfn.IFS(AND(C454&gt;20%, A454&gt;2000),"Excellent", AND(C454&lt;20%, C454&gt;10%),"Good",TRUE,"BAD")</f>
        <v>Good</v>
      </c>
    </row>
    <row r="455" spans="1:4" x14ac:dyDescent="0.3">
      <c r="A455" s="8">
        <v>2485.6999999999998</v>
      </c>
      <c r="B455">
        <v>948.48</v>
      </c>
      <c r="C455" s="5">
        <f t="shared" si="7"/>
        <v>0.38157460675061355</v>
      </c>
      <c r="D455" t="str" cm="1">
        <f t="array" ref="D455">_xlfn.IFS(AND(C455&gt;20%, A455&gt;2000),"Excellent", AND(C455&lt;20%, C455&gt;10%),"Good",TRUE,"BAD")</f>
        <v>Excellent</v>
      </c>
    </row>
    <row r="456" spans="1:4" x14ac:dyDescent="0.3">
      <c r="A456" s="8">
        <v>84.62</v>
      </c>
      <c r="B456">
        <v>24.34</v>
      </c>
      <c r="C456" s="5">
        <f t="shared" si="7"/>
        <v>0.28763885606239659</v>
      </c>
      <c r="D456" t="str" cm="1">
        <f t="array" ref="D456">_xlfn.IFS(AND(C456&gt;20%, A456&gt;2000),"Excellent", AND(C456&lt;20%, C456&gt;10%),"Good",TRUE,"BAD")</f>
        <v>BAD</v>
      </c>
    </row>
    <row r="457" spans="1:4" x14ac:dyDescent="0.3">
      <c r="A457" s="8">
        <v>330.88</v>
      </c>
      <c r="B457">
        <v>119.1</v>
      </c>
      <c r="C457" s="5">
        <f t="shared" si="7"/>
        <v>0.35994922630560927</v>
      </c>
      <c r="D457" t="str" cm="1">
        <f t="array" ref="D457">_xlfn.IFS(AND(C457&gt;20%, A457&gt;2000),"Excellent", AND(C457&lt;20%, C457&gt;10%),"Good",TRUE,"BAD")</f>
        <v>BAD</v>
      </c>
    </row>
    <row r="458" spans="1:4" x14ac:dyDescent="0.3">
      <c r="A458" s="8">
        <v>94.17</v>
      </c>
      <c r="B458">
        <v>37.65</v>
      </c>
      <c r="C458" s="5">
        <f t="shared" si="7"/>
        <v>0.39980885632366991</v>
      </c>
      <c r="D458" t="str" cm="1">
        <f t="array" ref="D458">_xlfn.IFS(AND(C458&gt;20%, A458&gt;2000),"Excellent", AND(C458&lt;20%, C458&gt;10%),"Good",TRUE,"BAD")</f>
        <v>BAD</v>
      </c>
    </row>
    <row r="459" spans="1:4" x14ac:dyDescent="0.3">
      <c r="A459" s="8">
        <v>1613.28</v>
      </c>
      <c r="B459">
        <v>423.36</v>
      </c>
      <c r="C459" s="5">
        <f t="shared" si="7"/>
        <v>0.26242189824457007</v>
      </c>
      <c r="D459" t="str" cm="1">
        <f t="array" ref="D459">_xlfn.IFS(AND(C459&gt;20%, A459&gt;2000),"Excellent", AND(C459&lt;20%, C459&gt;10%),"Good",TRUE,"BAD")</f>
        <v>BAD</v>
      </c>
    </row>
    <row r="460" spans="1:4" x14ac:dyDescent="0.3">
      <c r="A460" s="8">
        <v>452.61</v>
      </c>
      <c r="B460">
        <v>131.68</v>
      </c>
      <c r="C460" s="5">
        <f t="shared" si="7"/>
        <v>0.29093480038001812</v>
      </c>
      <c r="D460" t="str" cm="1">
        <f t="array" ref="D460">_xlfn.IFS(AND(C460&gt;20%, A460&gt;2000),"Excellent", AND(C460&lt;20%, C460&gt;10%),"Good",TRUE,"BAD")</f>
        <v>BAD</v>
      </c>
    </row>
    <row r="461" spans="1:4" x14ac:dyDescent="0.3">
      <c r="A461" s="8">
        <v>419.52</v>
      </c>
      <c r="B461">
        <v>134.09</v>
      </c>
      <c r="C461" s="5">
        <f t="shared" si="7"/>
        <v>0.31962719298245618</v>
      </c>
      <c r="D461" t="str" cm="1">
        <f t="array" ref="D461">_xlfn.IFS(AND(C461&gt;20%, A461&gt;2000),"Excellent", AND(C461&lt;20%, C461&gt;10%),"Good",TRUE,"BAD")</f>
        <v>BAD</v>
      </c>
    </row>
    <row r="462" spans="1:4" x14ac:dyDescent="0.3">
      <c r="A462" s="8">
        <v>1528.88</v>
      </c>
      <c r="B462">
        <v>416.97</v>
      </c>
      <c r="C462" s="5">
        <f t="shared" si="7"/>
        <v>0.27272905656428237</v>
      </c>
      <c r="D462" t="str" cm="1">
        <f t="array" ref="D462">_xlfn.IFS(AND(C462&gt;20%, A462&gt;2000),"Excellent", AND(C462&lt;20%, C462&gt;10%),"Good",TRUE,"BAD")</f>
        <v>BAD</v>
      </c>
    </row>
    <row r="463" spans="1:4" x14ac:dyDescent="0.3">
      <c r="A463" s="8">
        <v>865.02</v>
      </c>
      <c r="B463">
        <v>234.29</v>
      </c>
      <c r="C463" s="5">
        <f t="shared" si="7"/>
        <v>0.27084922891956253</v>
      </c>
      <c r="D463" t="str" cm="1">
        <f t="array" ref="D463">_xlfn.IFS(AND(C463&gt;20%, A463&gt;2000),"Excellent", AND(C463&lt;20%, C463&gt;10%),"Good",TRUE,"BAD")</f>
        <v>BAD</v>
      </c>
    </row>
    <row r="464" spans="1:4" x14ac:dyDescent="0.3">
      <c r="A464" s="8">
        <v>235.4</v>
      </c>
      <c r="B464">
        <v>53.26</v>
      </c>
      <c r="C464" s="5">
        <f t="shared" si="7"/>
        <v>0.22625318606627015</v>
      </c>
      <c r="D464" t="str" cm="1">
        <f t="array" ref="D464">_xlfn.IFS(AND(C464&gt;20%, A464&gt;2000),"Excellent", AND(C464&lt;20%, C464&gt;10%),"Good",TRUE,"BAD")</f>
        <v>BAD</v>
      </c>
    </row>
    <row r="465" spans="1:4" x14ac:dyDescent="0.3">
      <c r="A465" s="8">
        <v>761.46</v>
      </c>
      <c r="B465">
        <v>179.47</v>
      </c>
      <c r="C465" s="5">
        <f t="shared" si="7"/>
        <v>0.23569196018175609</v>
      </c>
      <c r="D465" t="str" cm="1">
        <f t="array" ref="D465">_xlfn.IFS(AND(C465&gt;20%, A465&gt;2000),"Excellent", AND(C465&lt;20%, C465&gt;10%),"Good",TRUE,"BAD")</f>
        <v>BAD</v>
      </c>
    </row>
    <row r="466" spans="1:4" x14ac:dyDescent="0.3">
      <c r="A466" s="8">
        <v>1380.99</v>
      </c>
      <c r="B466">
        <v>418.93</v>
      </c>
      <c r="C466" s="5">
        <f t="shared" si="7"/>
        <v>0.30335483964402349</v>
      </c>
      <c r="D466" t="str" cm="1">
        <f t="array" ref="D466">_xlfn.IFS(AND(C466&gt;20%, A466&gt;2000),"Excellent", AND(C466&lt;20%, C466&gt;10%),"Good",TRUE,"BAD")</f>
        <v>BAD</v>
      </c>
    </row>
    <row r="467" spans="1:4" x14ac:dyDescent="0.3">
      <c r="A467" s="8">
        <v>355.55</v>
      </c>
      <c r="B467">
        <v>95.32</v>
      </c>
      <c r="C467" s="5">
        <f t="shared" si="7"/>
        <v>0.26809168893263957</v>
      </c>
      <c r="D467" t="str" cm="1">
        <f t="array" ref="D467">_xlfn.IFS(AND(C467&gt;20%, A467&gt;2000),"Excellent", AND(C467&lt;20%, C467&gt;10%),"Good",TRUE,"BAD")</f>
        <v>BAD</v>
      </c>
    </row>
    <row r="468" spans="1:4" x14ac:dyDescent="0.3">
      <c r="A468" s="8">
        <v>843.2</v>
      </c>
      <c r="B468">
        <v>266.39</v>
      </c>
      <c r="C468" s="5">
        <f t="shared" si="7"/>
        <v>0.3159274193548387</v>
      </c>
      <c r="D468" t="str" cm="1">
        <f t="array" ref="D468">_xlfn.IFS(AND(C468&gt;20%, A468&gt;2000),"Excellent", AND(C468&lt;20%, C468&gt;10%),"Good",TRUE,"BAD")</f>
        <v>BAD</v>
      </c>
    </row>
    <row r="469" spans="1:4" x14ac:dyDescent="0.3">
      <c r="A469" s="8">
        <v>1294.3800000000001</v>
      </c>
      <c r="B469">
        <v>503.1</v>
      </c>
      <c r="C469" s="5">
        <f t="shared" si="7"/>
        <v>0.38868029481296062</v>
      </c>
      <c r="D469" t="str" cm="1">
        <f t="array" ref="D469">_xlfn.IFS(AND(C469&gt;20%, A469&gt;2000),"Excellent", AND(C469&lt;20%, C469&gt;10%),"Good",TRUE,"BAD")</f>
        <v>BAD</v>
      </c>
    </row>
    <row r="470" spans="1:4" x14ac:dyDescent="0.3">
      <c r="A470" s="8">
        <v>721.28</v>
      </c>
      <c r="B470">
        <v>187.67</v>
      </c>
      <c r="C470" s="5">
        <f t="shared" si="7"/>
        <v>0.26019021739130432</v>
      </c>
      <c r="D470" t="str" cm="1">
        <f t="array" ref="D470">_xlfn.IFS(AND(C470&gt;20%, A470&gt;2000),"Excellent", AND(C470&lt;20%, C470&gt;10%),"Good",TRUE,"BAD")</f>
        <v>BAD</v>
      </c>
    </row>
    <row r="471" spans="1:4" x14ac:dyDescent="0.3">
      <c r="A471" s="8">
        <v>1228.4000000000001</v>
      </c>
      <c r="B471">
        <v>354.56</v>
      </c>
      <c r="C471" s="5">
        <f t="shared" si="7"/>
        <v>0.28863562357538258</v>
      </c>
      <c r="D471" t="str" cm="1">
        <f t="array" ref="D471">_xlfn.IFS(AND(C471&gt;20%, A471&gt;2000),"Excellent", AND(C471&lt;20%, C471&gt;10%),"Good",TRUE,"BAD")</f>
        <v>BAD</v>
      </c>
    </row>
    <row r="472" spans="1:4" x14ac:dyDescent="0.3">
      <c r="A472" s="8">
        <v>218.48</v>
      </c>
      <c r="B472">
        <v>64.97</v>
      </c>
      <c r="C472" s="5">
        <f t="shared" si="7"/>
        <v>0.29737275723178325</v>
      </c>
      <c r="D472" t="str" cm="1">
        <f t="array" ref="D472">_xlfn.IFS(AND(C472&gt;20%, A472&gt;2000),"Excellent", AND(C472&lt;20%, C472&gt;10%),"Good",TRUE,"BAD")</f>
        <v>BAD</v>
      </c>
    </row>
    <row r="473" spans="1:4" x14ac:dyDescent="0.3">
      <c r="A473" s="8">
        <v>553.66</v>
      </c>
      <c r="B473">
        <v>191.96</v>
      </c>
      <c r="C473" s="5">
        <f t="shared" si="7"/>
        <v>0.34671097785644622</v>
      </c>
      <c r="D473" t="str" cm="1">
        <f t="array" ref="D473">_xlfn.IFS(AND(C473&gt;20%, A473&gt;2000),"Excellent", AND(C473&lt;20%, C473&gt;10%),"Good",TRUE,"BAD")</f>
        <v>BAD</v>
      </c>
    </row>
    <row r="474" spans="1:4" x14ac:dyDescent="0.3">
      <c r="A474" s="8">
        <v>332.46</v>
      </c>
      <c r="B474">
        <v>106.89</v>
      </c>
      <c r="C474" s="5">
        <f t="shared" si="7"/>
        <v>0.3215123623894604</v>
      </c>
      <c r="D474" t="str" cm="1">
        <f t="array" ref="D474">_xlfn.IFS(AND(C474&gt;20%, A474&gt;2000),"Excellent", AND(C474&lt;20%, C474&gt;10%),"Good",TRUE,"BAD")</f>
        <v>BAD</v>
      </c>
    </row>
    <row r="475" spans="1:4" x14ac:dyDescent="0.3">
      <c r="A475" s="8">
        <v>1395.36</v>
      </c>
      <c r="B475">
        <v>460.98</v>
      </c>
      <c r="C475" s="5">
        <f t="shared" si="7"/>
        <v>0.33036635706914347</v>
      </c>
      <c r="D475" t="str" cm="1">
        <f t="array" ref="D475">_xlfn.IFS(AND(C475&gt;20%, A475&gt;2000),"Excellent", AND(C475&lt;20%, C475&gt;10%),"Good",TRUE,"BAD")</f>
        <v>BAD</v>
      </c>
    </row>
    <row r="476" spans="1:4" x14ac:dyDescent="0.3">
      <c r="A476" s="8">
        <v>706.42</v>
      </c>
      <c r="B476">
        <v>87.48</v>
      </c>
      <c r="C476" s="5">
        <f t="shared" si="7"/>
        <v>0.12383567849154895</v>
      </c>
      <c r="D476" t="str" cm="1">
        <f t="array" ref="D476">_xlfn.IFS(AND(C476&gt;20%, A476&gt;2000),"Excellent", AND(C476&lt;20%, C476&gt;10%),"Good",TRUE,"BAD")</f>
        <v>Good</v>
      </c>
    </row>
    <row r="477" spans="1:4" x14ac:dyDescent="0.3">
      <c r="A477" s="8">
        <v>438.84</v>
      </c>
      <c r="B477">
        <v>106.93</v>
      </c>
      <c r="C477" s="5">
        <f t="shared" si="7"/>
        <v>0.24366511712697114</v>
      </c>
      <c r="D477" t="str" cm="1">
        <f t="array" ref="D477">_xlfn.IFS(AND(C477&gt;20%, A477&gt;2000),"Excellent", AND(C477&lt;20%, C477&gt;10%),"Good",TRUE,"BAD")</f>
        <v>BAD</v>
      </c>
    </row>
    <row r="478" spans="1:4" x14ac:dyDescent="0.3">
      <c r="A478" s="8">
        <v>1228.77</v>
      </c>
      <c r="B478">
        <v>300.14999999999998</v>
      </c>
      <c r="C478" s="5">
        <f t="shared" si="7"/>
        <v>0.24426865890280522</v>
      </c>
      <c r="D478" t="str" cm="1">
        <f t="array" ref="D478">_xlfn.IFS(AND(C478&gt;20%, A478&gt;2000),"Excellent", AND(C478&lt;20%, C478&gt;10%),"Good",TRUE,"BAD")</f>
        <v>BAD</v>
      </c>
    </row>
    <row r="479" spans="1:4" x14ac:dyDescent="0.3">
      <c r="A479" s="8">
        <v>479.66</v>
      </c>
      <c r="B479">
        <v>79.680000000000007</v>
      </c>
      <c r="C479" s="5">
        <f t="shared" si="7"/>
        <v>0.16611766668056541</v>
      </c>
      <c r="D479" t="str" cm="1">
        <f t="array" ref="D479">_xlfn.IFS(AND(C479&gt;20%, A479&gt;2000),"Excellent", AND(C479&lt;20%, C479&gt;10%),"Good",TRUE,"BAD")</f>
        <v>Good</v>
      </c>
    </row>
    <row r="480" spans="1:4" x14ac:dyDescent="0.3">
      <c r="A480" s="8">
        <v>490.16</v>
      </c>
      <c r="B480">
        <v>191.19</v>
      </c>
      <c r="C480" s="5">
        <f t="shared" si="7"/>
        <v>0.39005630814427938</v>
      </c>
      <c r="D480" t="str" cm="1">
        <f t="array" ref="D480">_xlfn.IFS(AND(C480&gt;20%, A480&gt;2000),"Excellent", AND(C480&lt;20%, C480&gt;10%),"Good",TRUE,"BAD")</f>
        <v>BAD</v>
      </c>
    </row>
    <row r="481" spans="1:4" x14ac:dyDescent="0.3">
      <c r="A481" s="8">
        <v>2239</v>
      </c>
      <c r="B481">
        <v>469.03</v>
      </c>
      <c r="C481" s="5">
        <f t="shared" si="7"/>
        <v>0.20948191156766413</v>
      </c>
      <c r="D481" t="str" cm="1">
        <f t="array" ref="D481">_xlfn.IFS(AND(C481&gt;20%, A481&gt;2000),"Excellent", AND(C481&lt;20%, C481&gt;10%),"Good",TRUE,"BAD")</f>
        <v>Excellent</v>
      </c>
    </row>
    <row r="482" spans="1:4" x14ac:dyDescent="0.3">
      <c r="A482" s="8">
        <v>675.3</v>
      </c>
      <c r="B482">
        <v>109.04</v>
      </c>
      <c r="C482" s="5">
        <f t="shared" si="7"/>
        <v>0.16146897675107361</v>
      </c>
      <c r="D482" t="str" cm="1">
        <f t="array" ref="D482">_xlfn.IFS(AND(C482&gt;20%, A482&gt;2000),"Excellent", AND(C482&lt;20%, C482&gt;10%),"Good",TRUE,"BAD")</f>
        <v>Good</v>
      </c>
    </row>
    <row r="483" spans="1:4" x14ac:dyDescent="0.3">
      <c r="A483" s="8">
        <v>1359</v>
      </c>
      <c r="B483">
        <v>538.33000000000004</v>
      </c>
      <c r="C483" s="5">
        <f t="shared" si="7"/>
        <v>0.39612214863870499</v>
      </c>
      <c r="D483" t="str" cm="1">
        <f t="array" ref="D483">_xlfn.IFS(AND(C483&gt;20%, A483&gt;2000),"Excellent", AND(C483&lt;20%, C483&gt;10%),"Good",TRUE,"BAD")</f>
        <v>BAD</v>
      </c>
    </row>
    <row r="484" spans="1:4" x14ac:dyDescent="0.3">
      <c r="A484" s="8">
        <v>1050.28</v>
      </c>
      <c r="B484">
        <v>220.45</v>
      </c>
      <c r="C484" s="5">
        <f t="shared" si="7"/>
        <v>0.20989640857676048</v>
      </c>
      <c r="D484" t="str" cm="1">
        <f t="array" ref="D484">_xlfn.IFS(AND(C484&gt;20%, A484&gt;2000),"Excellent", AND(C484&lt;20%, C484&gt;10%),"Good",TRUE,"BAD")</f>
        <v>BAD</v>
      </c>
    </row>
    <row r="485" spans="1:4" x14ac:dyDescent="0.3">
      <c r="A485" s="8">
        <v>2685.5</v>
      </c>
      <c r="B485">
        <v>487.61</v>
      </c>
      <c r="C485" s="5">
        <f t="shared" si="7"/>
        <v>0.18157140197356172</v>
      </c>
      <c r="D485" t="str" cm="1">
        <f t="array" ref="D485">_xlfn.IFS(AND(C485&gt;20%, A485&gt;2000),"Excellent", AND(C485&lt;20%, C485&gt;10%),"Good",TRUE,"BAD")</f>
        <v>Good</v>
      </c>
    </row>
    <row r="486" spans="1:4" x14ac:dyDescent="0.3">
      <c r="A486" s="8">
        <v>446.88</v>
      </c>
      <c r="B486">
        <v>47.97</v>
      </c>
      <c r="C486" s="5">
        <f t="shared" si="7"/>
        <v>0.10734425349087003</v>
      </c>
      <c r="D486" t="str" cm="1">
        <f t="array" ref="D486">_xlfn.IFS(AND(C486&gt;20%, A486&gt;2000),"Excellent", AND(C486&lt;20%, C486&gt;10%),"Good",TRUE,"BAD")</f>
        <v>Good</v>
      </c>
    </row>
    <row r="487" spans="1:4" x14ac:dyDescent="0.3">
      <c r="A487" s="8">
        <v>491.5</v>
      </c>
      <c r="B487">
        <v>78.2</v>
      </c>
      <c r="C487" s="5">
        <f t="shared" si="7"/>
        <v>0.15910478128179045</v>
      </c>
      <c r="D487" t="str" cm="1">
        <f t="array" ref="D487">_xlfn.IFS(AND(C487&gt;20%, A487&gt;2000),"Excellent", AND(C487&lt;20%, C487&gt;10%),"Good",TRUE,"BAD")</f>
        <v>Good</v>
      </c>
    </row>
    <row r="488" spans="1:4" x14ac:dyDescent="0.3">
      <c r="A488" s="8">
        <v>2140.3200000000002</v>
      </c>
      <c r="B488">
        <v>332.47</v>
      </c>
      <c r="C488" s="5">
        <f t="shared" si="7"/>
        <v>0.15533658518352397</v>
      </c>
      <c r="D488" t="str" cm="1">
        <f t="array" ref="D488">_xlfn.IFS(AND(C488&gt;20%, A488&gt;2000),"Excellent", AND(C488&lt;20%, C488&gt;10%),"Good",TRUE,"BAD")</f>
        <v>Good</v>
      </c>
    </row>
    <row r="489" spans="1:4" x14ac:dyDescent="0.3">
      <c r="A489" s="8">
        <v>1460.94</v>
      </c>
      <c r="B489">
        <v>403.69</v>
      </c>
      <c r="C489" s="5">
        <f t="shared" si="7"/>
        <v>0.27632209399427765</v>
      </c>
      <c r="D489" t="str" cm="1">
        <f t="array" ref="D489">_xlfn.IFS(AND(C489&gt;20%, A489&gt;2000),"Excellent", AND(C489&lt;20%, C489&gt;10%),"Good",TRUE,"BAD")</f>
        <v>BAD</v>
      </c>
    </row>
    <row r="490" spans="1:4" x14ac:dyDescent="0.3">
      <c r="A490" s="8">
        <v>141.4</v>
      </c>
      <c r="B490">
        <v>47.8</v>
      </c>
      <c r="C490" s="5">
        <f t="shared" si="7"/>
        <v>0.33804809052333801</v>
      </c>
      <c r="D490" t="str" cm="1">
        <f t="array" ref="D490">_xlfn.IFS(AND(C490&gt;20%, A490&gt;2000),"Excellent", AND(C490&lt;20%, C490&gt;10%),"Good",TRUE,"BAD")</f>
        <v>BAD</v>
      </c>
    </row>
    <row r="491" spans="1:4" x14ac:dyDescent="0.3">
      <c r="A491" s="8">
        <v>335.34</v>
      </c>
      <c r="B491">
        <v>79.66</v>
      </c>
      <c r="C491" s="5">
        <f t="shared" si="7"/>
        <v>0.23754994930518281</v>
      </c>
      <c r="D491" t="str" cm="1">
        <f t="array" ref="D491">_xlfn.IFS(AND(C491&gt;20%, A491&gt;2000),"Excellent", AND(C491&lt;20%, C491&gt;10%),"Good",TRUE,"BAD")</f>
        <v>BAD</v>
      </c>
    </row>
    <row r="492" spans="1:4" x14ac:dyDescent="0.3">
      <c r="A492" s="8">
        <v>324.95999999999998</v>
      </c>
      <c r="B492">
        <v>39.369999999999997</v>
      </c>
      <c r="C492" s="5">
        <f t="shared" si="7"/>
        <v>0.12115337272279665</v>
      </c>
      <c r="D492" t="str" cm="1">
        <f t="array" ref="D492">_xlfn.IFS(AND(C492&gt;20%, A492&gt;2000),"Excellent", AND(C492&lt;20%, C492&gt;10%),"Good",TRUE,"BAD")</f>
        <v>Good</v>
      </c>
    </row>
    <row r="493" spans="1:4" x14ac:dyDescent="0.3">
      <c r="A493" s="8">
        <v>1610.5</v>
      </c>
      <c r="B493">
        <v>327.82</v>
      </c>
      <c r="C493" s="5">
        <f t="shared" si="7"/>
        <v>0.20355169202111145</v>
      </c>
      <c r="D493" t="str" cm="1">
        <f t="array" ref="D493">_xlfn.IFS(AND(C493&gt;20%, A493&gt;2000),"Excellent", AND(C493&lt;20%, C493&gt;10%),"Good",TRUE,"BAD")</f>
        <v>BAD</v>
      </c>
    </row>
    <row r="494" spans="1:4" x14ac:dyDescent="0.3">
      <c r="A494" s="8">
        <v>1008.91</v>
      </c>
      <c r="B494">
        <v>306.13</v>
      </c>
      <c r="C494" s="5">
        <f t="shared" si="7"/>
        <v>0.30342647015095497</v>
      </c>
      <c r="D494" t="str" cm="1">
        <f t="array" ref="D494">_xlfn.IFS(AND(C494&gt;20%, A494&gt;2000),"Excellent", AND(C494&lt;20%, C494&gt;10%),"Good",TRUE,"BAD")</f>
        <v>BAD</v>
      </c>
    </row>
    <row r="495" spans="1:4" x14ac:dyDescent="0.3">
      <c r="A495" s="8">
        <v>629.86</v>
      </c>
      <c r="B495">
        <v>160.78</v>
      </c>
      <c r="C495" s="5">
        <f t="shared" si="7"/>
        <v>0.25526307433397899</v>
      </c>
      <c r="D495" t="str" cm="1">
        <f t="array" ref="D495">_xlfn.IFS(AND(C495&gt;20%, A495&gt;2000),"Excellent", AND(C495&lt;20%, C495&gt;10%),"Good",TRUE,"BAD")</f>
        <v>BAD</v>
      </c>
    </row>
    <row r="496" spans="1:4" x14ac:dyDescent="0.3">
      <c r="A496" s="8">
        <v>617.32000000000005</v>
      </c>
      <c r="B496">
        <v>139.06</v>
      </c>
      <c r="C496" s="5">
        <f t="shared" si="7"/>
        <v>0.22526404457979651</v>
      </c>
      <c r="D496" t="str" cm="1">
        <f t="array" ref="D496">_xlfn.IFS(AND(C496&gt;20%, A496&gt;2000),"Excellent", AND(C496&lt;20%, C496&gt;10%),"Good",TRUE,"BAD")</f>
        <v>BAD</v>
      </c>
    </row>
    <row r="497" spans="1:4" x14ac:dyDescent="0.3">
      <c r="A497" s="8">
        <v>61.76</v>
      </c>
      <c r="B497">
        <v>7.34</v>
      </c>
      <c r="C497" s="5">
        <f t="shared" si="7"/>
        <v>0.11884715025906736</v>
      </c>
      <c r="D497" t="str" cm="1">
        <f t="array" ref="D497">_xlfn.IFS(AND(C497&gt;20%, A497&gt;2000),"Excellent", AND(C497&lt;20%, C497&gt;10%),"Good",TRUE,"BAD")</f>
        <v>Good</v>
      </c>
    </row>
    <row r="498" spans="1:4" x14ac:dyDescent="0.3">
      <c r="A498" s="8">
        <v>2169.1999999999998</v>
      </c>
      <c r="B498">
        <v>739.55</v>
      </c>
      <c r="C498" s="5">
        <f t="shared" si="7"/>
        <v>0.34093214088143092</v>
      </c>
      <c r="D498" t="str" cm="1">
        <f t="array" ref="D498">_xlfn.IFS(AND(C498&gt;20%, A498&gt;2000),"Excellent", AND(C498&lt;20%, C498&gt;10%),"Good",TRUE,"BAD")</f>
        <v>Excellent</v>
      </c>
    </row>
    <row r="499" spans="1:4" x14ac:dyDescent="0.3">
      <c r="A499" s="8">
        <v>2230.5</v>
      </c>
      <c r="B499">
        <v>739.18</v>
      </c>
      <c r="C499" s="5">
        <f t="shared" si="7"/>
        <v>0.33139654785922434</v>
      </c>
      <c r="D499" t="str" cm="1">
        <f t="array" ref="D499">_xlfn.IFS(AND(C499&gt;20%, A499&gt;2000),"Excellent", AND(C499&lt;20%, C499&gt;10%),"Good",TRUE,"BAD")</f>
        <v>Excellent</v>
      </c>
    </row>
    <row r="500" spans="1:4" x14ac:dyDescent="0.3">
      <c r="A500" s="8">
        <v>260.54000000000002</v>
      </c>
      <c r="B500">
        <v>76.650000000000006</v>
      </c>
      <c r="C500" s="5">
        <f t="shared" si="7"/>
        <v>0.29419666845781839</v>
      </c>
      <c r="D500" t="str" cm="1">
        <f t="array" ref="D500">_xlfn.IFS(AND(C500&gt;20%, A500&gt;2000),"Excellent", AND(C500&lt;20%, C500&gt;10%),"Good",TRUE,"BAD")</f>
        <v>BAD</v>
      </c>
    </row>
    <row r="501" spans="1:4" x14ac:dyDescent="0.3">
      <c r="A501" s="8">
        <v>172.27</v>
      </c>
      <c r="B501">
        <v>54.13</v>
      </c>
      <c r="C501" s="5">
        <f t="shared" si="7"/>
        <v>0.31421605619086318</v>
      </c>
      <c r="D501" t="str" cm="1">
        <f t="array" ref="D501">_xlfn.IFS(AND(C501&gt;20%, A501&gt;2000),"Excellent", AND(C501&lt;20%, C501&gt;10%),"Good",TRUE,"BAD")</f>
        <v>BAD</v>
      </c>
    </row>
  </sheetData>
  <conditionalFormatting sqref="B1:B501">
    <cfRule type="cellIs" dxfId="5" priority="1" operator="less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90192-FD24-48BD-B58C-E620EA927776}">
  <dimension ref="B2:F12"/>
  <sheetViews>
    <sheetView workbookViewId="0">
      <selection activeCell="J22" sqref="J22"/>
    </sheetView>
  </sheetViews>
  <sheetFormatPr defaultRowHeight="14.4" x14ac:dyDescent="0.3"/>
  <cols>
    <col min="2" max="2" width="13.33203125" bestFit="1" customWidth="1"/>
    <col min="3" max="3" width="13.21875" bestFit="1" customWidth="1"/>
    <col min="5" max="5" width="11" bestFit="1" customWidth="1"/>
    <col min="6" max="6" width="12.88671875" bestFit="1" customWidth="1"/>
  </cols>
  <sheetData>
    <row r="2" spans="2:6" x14ac:dyDescent="0.3">
      <c r="B2" s="16" t="s">
        <v>722</v>
      </c>
      <c r="C2" s="16" t="s">
        <v>721</v>
      </c>
      <c r="E2" s="16" t="s">
        <v>795</v>
      </c>
      <c r="F2" s="16" t="s">
        <v>794</v>
      </c>
    </row>
    <row r="3" spans="2:6" x14ac:dyDescent="0.3">
      <c r="B3" t="s">
        <v>63</v>
      </c>
      <c r="C3" t="str">
        <f>IFERROR(INDEX(Product_Master!$A$2:$F$11,MATCH(B3,Product_Master!$E$2:$E$11,0),4),"Not Found")</f>
        <v>AudioTech Ltd.</v>
      </c>
      <c r="E3" t="s">
        <v>24</v>
      </c>
      <c r="F3" t="str">
        <f>IFERROR(VLOOKUP(E3,Region!$A$2:$D$7,2,0),"Not Found")</f>
        <v>North America</v>
      </c>
    </row>
    <row r="4" spans="2:6" x14ac:dyDescent="0.3">
      <c r="B4" t="s">
        <v>196</v>
      </c>
      <c r="C4" t="str">
        <f>INDEX(Product_Master!$A$2:$F$11,MATCH(B4,Product_Master!$E$2:$E$11,0),4)</f>
        <v>Artisans Co.</v>
      </c>
      <c r="E4" t="s">
        <v>32</v>
      </c>
      <c r="F4" t="str">
        <f>VLOOKUP(E4,Region!$A$2:$D$7,2,0)</f>
        <v>Europe</v>
      </c>
    </row>
    <row r="5" spans="2:6" x14ac:dyDescent="0.3">
      <c r="B5" t="s">
        <v>36</v>
      </c>
      <c r="C5" t="str">
        <f>INDEX(Product_Master!$A$2:$F$11,MATCH(B5,Product_Master!$E$2:$E$11,0),4)</f>
        <v>CraftLine</v>
      </c>
      <c r="E5" t="s">
        <v>66</v>
      </c>
      <c r="F5" t="str">
        <f>VLOOKUP(E5,Region!$A$2:$D$7,2,0)</f>
        <v>Asia</v>
      </c>
    </row>
    <row r="6" spans="2:6" x14ac:dyDescent="0.3">
      <c r="B6" t="s">
        <v>732</v>
      </c>
      <c r="C6" t="str">
        <f>INDEX(Product_Master!$A$2:$F$11,MATCH(B6,Product_Master!$E$2:$E$11,0),4)</f>
        <v>BrightHome</v>
      </c>
      <c r="E6" t="s">
        <v>102</v>
      </c>
      <c r="F6" t="str">
        <f>VLOOKUP(E6,Region!$A$2:$D$7,2,0)</f>
        <v>Africa</v>
      </c>
    </row>
    <row r="7" spans="2:6" x14ac:dyDescent="0.3">
      <c r="B7" t="s">
        <v>735</v>
      </c>
      <c r="C7" t="str">
        <f>INDEX(Product_Master!$A$2:$F$11,MATCH(B7,Product_Master!$E$2:$E$11,0),4)</f>
        <v>SoftWeave</v>
      </c>
      <c r="E7" t="s">
        <v>45</v>
      </c>
      <c r="F7" t="str">
        <f>VLOOKUP(E7,Region!$A$2:$D$7,2,0)</f>
        <v>South America</v>
      </c>
    </row>
    <row r="8" spans="2:6" x14ac:dyDescent="0.3">
      <c r="B8" t="s">
        <v>63</v>
      </c>
      <c r="C8" t="str">
        <f>INDEX(Product_Master!$A$2:$F$11,MATCH(B8,Product_Master!$E$2:$E$11,0),4)</f>
        <v>AudioTech Ltd.</v>
      </c>
      <c r="E8" t="s">
        <v>148</v>
      </c>
      <c r="F8" t="str">
        <f>VLOOKUP(E8,Region!$A$2:$D$7,2,0)</f>
        <v>Oceania</v>
      </c>
    </row>
    <row r="9" spans="2:6" x14ac:dyDescent="0.3">
      <c r="B9" t="s">
        <v>196</v>
      </c>
      <c r="C9" t="str">
        <f>INDEX(Product_Master!$A$2:$F$11,MATCH(B9,Product_Master!$E$2:$E$11,0),4)</f>
        <v>Artisans Co.</v>
      </c>
    </row>
    <row r="10" spans="2:6" x14ac:dyDescent="0.3">
      <c r="B10" t="s">
        <v>732</v>
      </c>
      <c r="C10" t="str">
        <f>INDEX(Product_Master!$A$2:$F$11,MATCH(B10,Product_Master!$E$2:$E$11,0),4)</f>
        <v>BrightHome</v>
      </c>
    </row>
    <row r="11" spans="2:6" x14ac:dyDescent="0.3">
      <c r="B11" t="s">
        <v>196</v>
      </c>
      <c r="C11" t="str">
        <f>INDEX(Product_Master!$A$2:$F$11,MATCH(B11,Product_Master!$E$2:$E$11,0),4)</f>
        <v>Artisans Co.</v>
      </c>
    </row>
    <row r="12" spans="2:6" x14ac:dyDescent="0.3">
      <c r="B12" t="s">
        <v>745</v>
      </c>
      <c r="C12" t="str">
        <f>INDEX(Product_Master!$A$2:$F$11,MATCH(B12,Product_Master!$E$2:$E$11,0),4)</f>
        <v>BlueWear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2E524-0D2C-4572-A46F-1B1F768A2C4A}">
  <dimension ref="A1:F501"/>
  <sheetViews>
    <sheetView workbookViewId="0">
      <selection activeCell="E3" sqref="E3"/>
    </sheetView>
  </sheetViews>
  <sheetFormatPr defaultRowHeight="14.4" x14ac:dyDescent="0.3"/>
  <cols>
    <col min="1" max="1" width="14" customWidth="1"/>
    <col min="2" max="2" width="11.21875" bestFit="1" customWidth="1"/>
    <col min="3" max="3" width="12.33203125" customWidth="1"/>
    <col min="4" max="4" width="12.21875" customWidth="1"/>
    <col min="5" max="6" width="12.21875" bestFit="1" customWidth="1"/>
  </cols>
  <sheetData>
    <row r="1" spans="1:6" x14ac:dyDescent="0.3">
      <c r="A1" t="s">
        <v>13</v>
      </c>
      <c r="B1" t="s">
        <v>5</v>
      </c>
      <c r="C1" t="s">
        <v>8</v>
      </c>
      <c r="D1" t="s">
        <v>796</v>
      </c>
      <c r="E1" t="s">
        <v>797</v>
      </c>
      <c r="F1" t="s">
        <v>798</v>
      </c>
    </row>
    <row r="2" spans="1:6" x14ac:dyDescent="0.3">
      <c r="A2" t="s">
        <v>24</v>
      </c>
      <c r="B2" t="s">
        <v>21</v>
      </c>
      <c r="C2" s="4">
        <f>SUMIFS(Global_trade!I2:I501,Global_trade!F2:F501,B2,Global_trade!N2:N501,A2)</f>
        <v>24079.71</v>
      </c>
      <c r="D2" s="4">
        <f>SUMIFS(Global_trade!K2:K501,Global_trade!F2:F501,'Q6'!B2,Global_trade!N2:N501,'Q6'!A2)</f>
        <v>6581.57</v>
      </c>
      <c r="E2" s="4">
        <f>AVERAGEIFS(Global_trade!I2:I501,Global_trade!F2:F501,'Q6'!B2,Global_trade!N2:N501,'Q6'!A2)</f>
        <v>1203.9855</v>
      </c>
      <c r="F2" s="4">
        <f>AVERAGEIFS(Global_trade!K2:K501,Global_trade!F2:F501,'Q6'!B2,Global_trade!N2:N501,'Q6'!A2)</f>
        <v>329.07849999999996</v>
      </c>
    </row>
    <row r="3" spans="1:6" x14ac:dyDescent="0.3">
      <c r="A3" t="s">
        <v>32</v>
      </c>
      <c r="B3" t="s">
        <v>21</v>
      </c>
      <c r="C3" s="22">
        <f>SUMIFS(Global_trade!I3:I502,Global_trade!F3:F502,B3,Global_trade!N3:N502,A3)</f>
        <v>30642.080000000002</v>
      </c>
      <c r="D3" s="22">
        <f>SUMIFS(Global_trade!K3:K502,Global_trade!F3:F502,'Q6'!B3,Global_trade!N3:N502,'Q6'!A3)</f>
        <v>8020.6899999999987</v>
      </c>
      <c r="E3" s="22">
        <f>AVERAGEIFS(Global_trade!I3:I502,Global_trade!F3:F502,'Q6'!B3,Global_trade!N3:N502,'Q6'!A3)</f>
        <v>1056.6234482758621</v>
      </c>
      <c r="F3" s="22">
        <f>AVERAGEIFS(Global_trade!K3:K502,Global_trade!F3:F502,'Q6'!B3,Global_trade!N3:N502,'Q6'!A3)</f>
        <v>276.57551724137926</v>
      </c>
    </row>
    <row r="4" spans="1:6" x14ac:dyDescent="0.3">
      <c r="A4" t="s">
        <v>32</v>
      </c>
      <c r="B4" t="s">
        <v>21</v>
      </c>
      <c r="C4" s="22">
        <f>SUMIFS(Global_trade!I4:I503,Global_trade!F4:F503,B4,Global_trade!N4:N503,A4)</f>
        <v>29585.090000000004</v>
      </c>
      <c r="D4" s="22">
        <f>SUMIFS(Global_trade!K4:K503,Global_trade!F4:F503,'Q6'!B4,Global_trade!N4:N503,'Q6'!A4)</f>
        <v>7617.2899999999991</v>
      </c>
      <c r="E4" s="22">
        <f>AVERAGEIFS(Global_trade!I4:I503,Global_trade!F4:F503,'Q6'!B4,Global_trade!N4:N503,'Q6'!A4)</f>
        <v>1056.6103571428573</v>
      </c>
      <c r="F4" s="22">
        <f>AVERAGEIFS(Global_trade!K4:K503,Global_trade!F4:F503,'Q6'!B4,Global_trade!N4:N503,'Q6'!A4)</f>
        <v>272.04607142857139</v>
      </c>
    </row>
    <row r="5" spans="1:6" x14ac:dyDescent="0.3">
      <c r="A5" t="s">
        <v>45</v>
      </c>
      <c r="B5" t="s">
        <v>43</v>
      </c>
      <c r="C5" s="22">
        <f>SUMIFS(Global_trade!I5:I504,Global_trade!F5:F504,B5,Global_trade!N5:N504,A5)</f>
        <v>16927.670000000002</v>
      </c>
      <c r="D5" s="22">
        <f>SUMIFS(Global_trade!K5:K504,Global_trade!F5:F504,'Q6'!B5,Global_trade!N5:N504,'Q6'!A5)</f>
        <v>4721.5000000000009</v>
      </c>
      <c r="E5" s="22">
        <f>AVERAGEIFS(Global_trade!I5:I504,Global_trade!F5:F504,'Q6'!B5,Global_trade!N5:N504,'Q6'!A5)</f>
        <v>890.93000000000006</v>
      </c>
      <c r="F5" s="22">
        <f>AVERAGEIFS(Global_trade!K5:K504,Global_trade!F5:F504,'Q6'!B5,Global_trade!N5:N504,'Q6'!A5)</f>
        <v>248.50000000000006</v>
      </c>
    </row>
    <row r="6" spans="1:6" x14ac:dyDescent="0.3">
      <c r="A6" t="s">
        <v>24</v>
      </c>
      <c r="B6" t="s">
        <v>50</v>
      </c>
      <c r="C6" s="22">
        <f>SUMIFS(Global_trade!I6:I505,Global_trade!F6:F505,B6,Global_trade!N6:N505,A6)</f>
        <v>9625.9699999999993</v>
      </c>
      <c r="D6" s="22">
        <f>SUMIFS(Global_trade!K6:K505,Global_trade!F6:F505,'Q6'!B6,Global_trade!N6:N505,'Q6'!A6)</f>
        <v>3119.2200000000003</v>
      </c>
      <c r="E6" s="22">
        <f>AVERAGEIFS(Global_trade!I6:I505,Global_trade!F6:F505,'Q6'!B6,Global_trade!N6:N505,'Q6'!A6)</f>
        <v>1925.194</v>
      </c>
      <c r="F6" s="22">
        <f>AVERAGEIFS(Global_trade!K6:K505,Global_trade!F6:F505,'Q6'!B6,Global_trade!N6:N505,'Q6'!A6)</f>
        <v>623.84400000000005</v>
      </c>
    </row>
    <row r="7" spans="1:6" x14ac:dyDescent="0.3">
      <c r="A7" t="s">
        <v>24</v>
      </c>
      <c r="B7" t="s">
        <v>43</v>
      </c>
      <c r="C7" s="22">
        <f>SUMIFS(Global_trade!I7:I506,Global_trade!F7:F506,B7,Global_trade!N7:N506,A7)</f>
        <v>22495.010000000002</v>
      </c>
      <c r="D7" s="22">
        <f>SUMIFS(Global_trade!K7:K506,Global_trade!F7:F506,'Q6'!B7,Global_trade!N7:N506,'Q6'!A7)</f>
        <v>5558.34</v>
      </c>
      <c r="E7" s="22">
        <f>AVERAGEIFS(Global_trade!I7:I506,Global_trade!F7:F506,'Q6'!B7,Global_trade!N7:N506,'Q6'!A7)</f>
        <v>775.69</v>
      </c>
      <c r="F7" s="22">
        <f>AVERAGEIFS(Global_trade!K7:K506,Global_trade!F7:F506,'Q6'!B7,Global_trade!N7:N506,'Q6'!A7)</f>
        <v>191.66689655172414</v>
      </c>
    </row>
    <row r="8" spans="1:6" x14ac:dyDescent="0.3">
      <c r="A8" t="s">
        <v>32</v>
      </c>
      <c r="B8" t="s">
        <v>59</v>
      </c>
      <c r="C8" s="22">
        <f>SUMIFS(Global_trade!I8:I507,Global_trade!F8:F507,B8,Global_trade!N8:N507,A8)</f>
        <v>33685.94</v>
      </c>
      <c r="D8" s="22">
        <f>SUMIFS(Global_trade!K8:K507,Global_trade!F8:F507,'Q6'!B8,Global_trade!N8:N507,'Q6'!A8)</f>
        <v>9028.2000000000007</v>
      </c>
      <c r="E8" s="22">
        <f>AVERAGEIFS(Global_trade!I8:I507,Global_trade!F8:F507,'Q6'!B8,Global_trade!N8:N507,'Q6'!A8)</f>
        <v>765.58954545454549</v>
      </c>
      <c r="F8" s="22">
        <f>AVERAGEIFS(Global_trade!K8:K507,Global_trade!F8:F507,'Q6'!B8,Global_trade!N8:N507,'Q6'!A8)</f>
        <v>205.18636363636367</v>
      </c>
    </row>
    <row r="9" spans="1:6" x14ac:dyDescent="0.3">
      <c r="A9" t="s">
        <v>66</v>
      </c>
      <c r="B9" t="s">
        <v>65</v>
      </c>
      <c r="C9" s="22">
        <f>SUMIFS(Global_trade!I9:I508,Global_trade!F9:F508,B9,Global_trade!N9:N508,A9)</f>
        <v>21644.309999999998</v>
      </c>
      <c r="D9" s="22">
        <f>SUMIFS(Global_trade!K9:K508,Global_trade!F9:F508,'Q6'!B9,Global_trade!N9:N508,'Q6'!A9)</f>
        <v>5965.63</v>
      </c>
      <c r="E9" s="22">
        <f>AVERAGEIFS(Global_trade!I9:I508,Global_trade!F9:F508,'Q6'!B9,Global_trade!N9:N508,'Q6'!A9)</f>
        <v>832.47346153846149</v>
      </c>
      <c r="F9" s="22">
        <f>AVERAGEIFS(Global_trade!K9:K508,Global_trade!F9:F508,'Q6'!B9,Global_trade!N9:N508,'Q6'!A9)</f>
        <v>229.4473076923077</v>
      </c>
    </row>
    <row r="10" spans="1:6" x14ac:dyDescent="0.3">
      <c r="A10" t="s">
        <v>24</v>
      </c>
      <c r="B10" t="s">
        <v>59</v>
      </c>
      <c r="C10" s="22">
        <f>SUMIFS(Global_trade!I10:I509,Global_trade!F10:F509,B10,Global_trade!N10:N509,A10)</f>
        <v>26924.320000000003</v>
      </c>
      <c r="D10" s="22">
        <f>SUMIFS(Global_trade!K10:K509,Global_trade!F10:F509,'Q6'!B10,Global_trade!N10:N509,'Q6'!A10)</f>
        <v>7966.090000000002</v>
      </c>
      <c r="E10" s="22">
        <f>AVERAGEIFS(Global_trade!I10:I509,Global_trade!F10:F509,'Q6'!B10,Global_trade!N10:N509,'Q6'!A10)</f>
        <v>997.19703703703715</v>
      </c>
      <c r="F10" s="22">
        <f>AVERAGEIFS(Global_trade!K10:K509,Global_trade!F10:F509,'Q6'!B10,Global_trade!N10:N509,'Q6'!A10)</f>
        <v>295.04037037037045</v>
      </c>
    </row>
    <row r="11" spans="1:6" x14ac:dyDescent="0.3">
      <c r="A11" t="s">
        <v>32</v>
      </c>
      <c r="B11" t="s">
        <v>43</v>
      </c>
      <c r="C11" s="22">
        <f>SUMIFS(Global_trade!I11:I510,Global_trade!F11:F510,B11,Global_trade!N11:N510,A11)</f>
        <v>25086.150000000005</v>
      </c>
      <c r="D11" s="22">
        <f>SUMIFS(Global_trade!K11:K510,Global_trade!F11:F510,'Q6'!B11,Global_trade!N11:N510,'Q6'!A11)</f>
        <v>7458.03</v>
      </c>
      <c r="E11" s="22">
        <f>AVERAGEIFS(Global_trade!I11:I510,Global_trade!F11:F510,'Q6'!B11,Global_trade!N11:N510,'Q6'!A11)</f>
        <v>696.83750000000009</v>
      </c>
      <c r="F11" s="22">
        <f>AVERAGEIFS(Global_trade!K11:K510,Global_trade!F11:F510,'Q6'!B11,Global_trade!N11:N510,'Q6'!A11)</f>
        <v>207.16749999999999</v>
      </c>
    </row>
    <row r="12" spans="1:6" x14ac:dyDescent="0.3">
      <c r="A12" t="s">
        <v>66</v>
      </c>
      <c r="B12" t="s">
        <v>21</v>
      </c>
      <c r="C12" s="22">
        <f>SUMIFS(Global_trade!I12:I511,Global_trade!F12:F511,B12,Global_trade!N12:N511,A12)</f>
        <v>33225.639999999992</v>
      </c>
      <c r="D12" s="22">
        <f>SUMIFS(Global_trade!K12:K511,Global_trade!F12:F511,'Q6'!B12,Global_trade!N12:N511,'Q6'!A12)</f>
        <v>9628.14</v>
      </c>
      <c r="E12" s="22">
        <f>AVERAGEIFS(Global_trade!I12:I511,Global_trade!F12:F511,'Q6'!B12,Global_trade!N12:N511,'Q6'!A12)</f>
        <v>977.22470588235274</v>
      </c>
      <c r="F12" s="22">
        <f>AVERAGEIFS(Global_trade!K12:K511,Global_trade!F12:F511,'Q6'!B12,Global_trade!N12:N511,'Q6'!A12)</f>
        <v>283.18058823529412</v>
      </c>
    </row>
    <row r="13" spans="1:6" x14ac:dyDescent="0.3">
      <c r="A13" t="s">
        <v>24</v>
      </c>
      <c r="B13" t="s">
        <v>50</v>
      </c>
      <c r="C13" s="22">
        <f>SUMIFS(Global_trade!I13:I512,Global_trade!F13:F512,B13,Global_trade!N13:N512,A13)</f>
        <v>8449.23</v>
      </c>
      <c r="D13" s="22">
        <f>SUMIFS(Global_trade!K13:K512,Global_trade!F13:F512,'Q6'!B13,Global_trade!N13:N512,'Q6'!A13)</f>
        <v>2688.42</v>
      </c>
      <c r="E13" s="22">
        <f>AVERAGEIFS(Global_trade!I13:I512,Global_trade!F13:F512,'Q6'!B13,Global_trade!N13:N512,'Q6'!A13)</f>
        <v>2112.3074999999999</v>
      </c>
      <c r="F13" s="22">
        <f>AVERAGEIFS(Global_trade!K13:K512,Global_trade!F13:F512,'Q6'!B13,Global_trade!N13:N512,'Q6'!A13)</f>
        <v>672.10500000000002</v>
      </c>
    </row>
    <row r="14" spans="1:6" x14ac:dyDescent="0.3">
      <c r="A14" t="s">
        <v>66</v>
      </c>
      <c r="B14" t="s">
        <v>21</v>
      </c>
      <c r="C14" s="22">
        <f>SUMIFS(Global_trade!I14:I513,Global_trade!F14:F513,B14,Global_trade!N14:N513,A14)</f>
        <v>31374.760000000002</v>
      </c>
      <c r="D14" s="22">
        <f>SUMIFS(Global_trade!K14:K513,Global_trade!F14:F513,'Q6'!B14,Global_trade!N14:N513,'Q6'!A14)</f>
        <v>8952.409999999998</v>
      </c>
      <c r="E14" s="22">
        <f>AVERAGEIFS(Global_trade!I14:I513,Global_trade!F14:F513,'Q6'!B14,Global_trade!N14:N513,'Q6'!A14)</f>
        <v>950.75030303030314</v>
      </c>
      <c r="F14" s="22">
        <f>AVERAGEIFS(Global_trade!K14:K513,Global_trade!F14:F513,'Q6'!B14,Global_trade!N14:N513,'Q6'!A14)</f>
        <v>271.28515151515148</v>
      </c>
    </row>
    <row r="15" spans="1:6" x14ac:dyDescent="0.3">
      <c r="A15" t="s">
        <v>32</v>
      </c>
      <c r="B15" t="s">
        <v>65</v>
      </c>
      <c r="C15" s="22">
        <f>SUMIFS(Global_trade!I15:I514,Global_trade!F15:F514,B15,Global_trade!N15:N514,A15)</f>
        <v>14367.099999999999</v>
      </c>
      <c r="D15" s="22">
        <f>SUMIFS(Global_trade!K15:K514,Global_trade!F15:F514,'Q6'!B15,Global_trade!N15:N514,'Q6'!A15)</f>
        <v>3892.48</v>
      </c>
      <c r="E15" s="22">
        <f>AVERAGEIFS(Global_trade!I15:I514,Global_trade!F15:F514,'Q6'!B15,Global_trade!N15:N514,'Q6'!A15)</f>
        <v>897.94374999999991</v>
      </c>
      <c r="F15" s="22">
        <f>AVERAGEIFS(Global_trade!K15:K514,Global_trade!F15:F514,'Q6'!B15,Global_trade!N15:N514,'Q6'!A15)</f>
        <v>243.28</v>
      </c>
    </row>
    <row r="16" spans="1:6" x14ac:dyDescent="0.3">
      <c r="A16" t="s">
        <v>66</v>
      </c>
      <c r="B16" t="s">
        <v>65</v>
      </c>
      <c r="C16" s="22">
        <f>SUMIFS(Global_trade!I16:I515,Global_trade!F16:F515,B16,Global_trade!N16:N515,A16)</f>
        <v>21214.37</v>
      </c>
      <c r="D16" s="22">
        <f>SUMIFS(Global_trade!K16:K515,Global_trade!F16:F515,'Q6'!B16,Global_trade!N16:N515,'Q6'!A16)</f>
        <v>5898.72</v>
      </c>
      <c r="E16" s="22">
        <f>AVERAGEIFS(Global_trade!I16:I515,Global_trade!F16:F515,'Q6'!B16,Global_trade!N16:N515,'Q6'!A16)</f>
        <v>848.57479999999998</v>
      </c>
      <c r="F16" s="22">
        <f>AVERAGEIFS(Global_trade!K16:K515,Global_trade!F16:F515,'Q6'!B16,Global_trade!N16:N515,'Q6'!A16)</f>
        <v>235.94880000000001</v>
      </c>
    </row>
    <row r="17" spans="1:6" x14ac:dyDescent="0.3">
      <c r="A17" t="s">
        <v>66</v>
      </c>
      <c r="B17" t="s">
        <v>43</v>
      </c>
      <c r="C17" s="22">
        <f>SUMIFS(Global_trade!I17:I516,Global_trade!F17:F516,B17,Global_trade!N17:N516,A17)</f>
        <v>34174.130000000005</v>
      </c>
      <c r="D17" s="22">
        <f>SUMIFS(Global_trade!K17:K516,Global_trade!F17:F516,'Q6'!B17,Global_trade!N17:N516,'Q6'!A17)</f>
        <v>9523.64</v>
      </c>
      <c r="E17" s="22">
        <f>AVERAGEIFS(Global_trade!I17:I516,Global_trade!F17:F516,'Q6'!B17,Global_trade!N17:N516,'Q6'!A17)</f>
        <v>876.25974358974372</v>
      </c>
      <c r="F17" s="22">
        <f>AVERAGEIFS(Global_trade!K17:K516,Global_trade!F17:F516,'Q6'!B17,Global_trade!N17:N516,'Q6'!A17)</f>
        <v>244.19589743589742</v>
      </c>
    </row>
    <row r="18" spans="1:6" x14ac:dyDescent="0.3">
      <c r="A18" t="s">
        <v>66</v>
      </c>
      <c r="B18" t="s">
        <v>21</v>
      </c>
      <c r="C18" s="22">
        <f>SUMIFS(Global_trade!I18:I517,Global_trade!F18:F517,B18,Global_trade!N18:N517,A18)</f>
        <v>28927.200000000001</v>
      </c>
      <c r="D18" s="22">
        <f>SUMIFS(Global_trade!K18:K517,Global_trade!F18:F517,'Q6'!B18,Global_trade!N18:N517,'Q6'!A18)</f>
        <v>8150.25</v>
      </c>
      <c r="E18" s="22">
        <f>AVERAGEIFS(Global_trade!I18:I517,Global_trade!F18:F517,'Q6'!B18,Global_trade!N18:N517,'Q6'!A18)</f>
        <v>903.97500000000002</v>
      </c>
      <c r="F18" s="22">
        <f>AVERAGEIFS(Global_trade!K18:K517,Global_trade!F18:F517,'Q6'!B18,Global_trade!N18:N517,'Q6'!A18)</f>
        <v>254.6953125</v>
      </c>
    </row>
    <row r="19" spans="1:6" x14ac:dyDescent="0.3">
      <c r="A19" t="s">
        <v>66</v>
      </c>
      <c r="B19" t="s">
        <v>43</v>
      </c>
      <c r="C19" s="22">
        <f>SUMIFS(Global_trade!I19:I518,Global_trade!F19:F518,B19,Global_trade!N19:N518,A19)</f>
        <v>32956.85</v>
      </c>
      <c r="D19" s="22">
        <f>SUMIFS(Global_trade!K19:K518,Global_trade!F19:F518,'Q6'!B19,Global_trade!N19:N518,'Q6'!A19)</f>
        <v>9316.0399999999991</v>
      </c>
      <c r="E19" s="22">
        <f>AVERAGEIFS(Global_trade!I19:I518,Global_trade!F19:F518,'Q6'!B19,Global_trade!N19:N518,'Q6'!A19)</f>
        <v>867.28552631578941</v>
      </c>
      <c r="F19" s="22">
        <f>AVERAGEIFS(Global_trade!K19:K518,Global_trade!F19:F518,'Q6'!B19,Global_trade!N19:N518,'Q6'!A19)</f>
        <v>245.15894736842102</v>
      </c>
    </row>
    <row r="20" spans="1:6" x14ac:dyDescent="0.3">
      <c r="A20" t="s">
        <v>66</v>
      </c>
      <c r="B20" t="s">
        <v>21</v>
      </c>
      <c r="C20" s="22">
        <f>SUMIFS(Global_trade!I20:I519,Global_trade!F20:F519,B20,Global_trade!N20:N519,A20)</f>
        <v>27483.840000000004</v>
      </c>
      <c r="D20" s="22">
        <f>SUMIFS(Global_trade!K20:K519,Global_trade!F20:F519,'Q6'!B20,Global_trade!N20:N519,'Q6'!A20)</f>
        <v>7673.2000000000007</v>
      </c>
      <c r="E20" s="22">
        <f>AVERAGEIFS(Global_trade!I20:I519,Global_trade!F20:F519,'Q6'!B20,Global_trade!N20:N519,'Q6'!A20)</f>
        <v>886.5754838709679</v>
      </c>
      <c r="F20" s="22">
        <f>AVERAGEIFS(Global_trade!K20:K519,Global_trade!F20:F519,'Q6'!B20,Global_trade!N20:N519,'Q6'!A20)</f>
        <v>247.52258064516133</v>
      </c>
    </row>
    <row r="21" spans="1:6" x14ac:dyDescent="0.3">
      <c r="A21" t="s">
        <v>32</v>
      </c>
      <c r="B21" t="s">
        <v>59</v>
      </c>
      <c r="C21" s="22">
        <f>SUMIFS(Global_trade!I21:I520,Global_trade!F21:F520,B21,Global_trade!N21:N520,A21)</f>
        <v>33591.379999999997</v>
      </c>
      <c r="D21" s="22">
        <f>SUMIFS(Global_trade!K21:K520,Global_trade!F21:F520,'Q6'!B21,Global_trade!N21:N520,'Q6'!A21)</f>
        <v>9008.1200000000008</v>
      </c>
      <c r="E21" s="22">
        <f>AVERAGEIFS(Global_trade!I21:I520,Global_trade!F21:F520,'Q6'!B21,Global_trade!N21:N520,'Q6'!A21)</f>
        <v>781.19488372093019</v>
      </c>
      <c r="F21" s="22">
        <f>AVERAGEIFS(Global_trade!K21:K520,Global_trade!F21:F520,'Q6'!B21,Global_trade!N21:N520,'Q6'!A21)</f>
        <v>209.4911627906977</v>
      </c>
    </row>
    <row r="22" spans="1:6" x14ac:dyDescent="0.3">
      <c r="A22" t="s">
        <v>102</v>
      </c>
      <c r="B22" t="s">
        <v>50</v>
      </c>
      <c r="C22" s="22">
        <f>SUMIFS(Global_trade!I22:I521,Global_trade!F22:F521,B22,Global_trade!N22:N521,A22)</f>
        <v>6721.25</v>
      </c>
      <c r="D22" s="22">
        <f>SUMIFS(Global_trade!K22:K521,Global_trade!F22:F521,'Q6'!B22,Global_trade!N22:N521,'Q6'!A22)</f>
        <v>2149.62</v>
      </c>
      <c r="E22" s="22">
        <f>AVERAGEIFS(Global_trade!I22:I521,Global_trade!F22:F521,'Q6'!B22,Global_trade!N22:N521,'Q6'!A22)</f>
        <v>1680.3125</v>
      </c>
      <c r="F22" s="22">
        <f>AVERAGEIFS(Global_trade!K22:K521,Global_trade!F22:F521,'Q6'!B22,Global_trade!N22:N521,'Q6'!A22)</f>
        <v>537.40499999999997</v>
      </c>
    </row>
    <row r="23" spans="1:6" x14ac:dyDescent="0.3">
      <c r="A23" t="s">
        <v>24</v>
      </c>
      <c r="B23" t="s">
        <v>43</v>
      </c>
      <c r="C23" s="22">
        <f>SUMIFS(Global_trade!I23:I522,Global_trade!F23:F522,B23,Global_trade!N23:N522,A23)</f>
        <v>22131.790000000005</v>
      </c>
      <c r="D23" s="22">
        <f>SUMIFS(Global_trade!K23:K522,Global_trade!F23:F522,'Q6'!B23,Global_trade!N23:N522,'Q6'!A23)</f>
        <v>5470.48</v>
      </c>
      <c r="E23" s="22">
        <f>AVERAGEIFS(Global_trade!I23:I522,Global_trade!F23:F522,'Q6'!B23,Global_trade!N23:N522,'Q6'!A23)</f>
        <v>790.42107142857162</v>
      </c>
      <c r="F23" s="22">
        <f>AVERAGEIFS(Global_trade!K23:K522,Global_trade!F23:F522,'Q6'!B23,Global_trade!N23:N522,'Q6'!A23)</f>
        <v>195.37428571428569</v>
      </c>
    </row>
    <row r="24" spans="1:6" x14ac:dyDescent="0.3">
      <c r="A24" t="s">
        <v>32</v>
      </c>
      <c r="B24" t="s">
        <v>59</v>
      </c>
      <c r="C24" s="22">
        <f>SUMIFS(Global_trade!I24:I523,Global_trade!F24:F523,B24,Global_trade!N24:N523,A24)</f>
        <v>32115.619999999995</v>
      </c>
      <c r="D24" s="22">
        <f>SUMIFS(Global_trade!K24:K523,Global_trade!F24:F523,'Q6'!B24,Global_trade!N24:N523,'Q6'!A24)</f>
        <v>8697.760000000002</v>
      </c>
      <c r="E24" s="22">
        <f>AVERAGEIFS(Global_trade!I24:I523,Global_trade!F24:F523,'Q6'!B24,Global_trade!N24:N523,'Q6'!A24)</f>
        <v>764.65761904761894</v>
      </c>
      <c r="F24" s="22">
        <f>AVERAGEIFS(Global_trade!K24:K523,Global_trade!F24:F523,'Q6'!B24,Global_trade!N24:N523,'Q6'!A24)</f>
        <v>207.08952380952385</v>
      </c>
    </row>
    <row r="25" spans="1:6" x14ac:dyDescent="0.3">
      <c r="A25" t="s">
        <v>24</v>
      </c>
      <c r="B25" t="s">
        <v>59</v>
      </c>
      <c r="C25" s="22">
        <f>SUMIFS(Global_trade!I25:I524,Global_trade!F25:F524,B25,Global_trade!N25:N524,A25)</f>
        <v>25774.230000000003</v>
      </c>
      <c r="D25" s="22">
        <f>SUMIFS(Global_trade!K25:K524,Global_trade!F25:F524,'Q6'!B25,Global_trade!N25:N524,'Q6'!A25)</f>
        <v>7605.800000000002</v>
      </c>
      <c r="E25" s="22">
        <f>AVERAGEIFS(Global_trade!I25:I524,Global_trade!F25:F524,'Q6'!B25,Global_trade!N25:N524,'Q6'!A25)</f>
        <v>991.31653846153858</v>
      </c>
      <c r="F25" s="22">
        <f>AVERAGEIFS(Global_trade!K25:K524,Global_trade!F25:F524,'Q6'!B25,Global_trade!N25:N524,'Q6'!A25)</f>
        <v>292.53076923076929</v>
      </c>
    </row>
    <row r="26" spans="1:6" x14ac:dyDescent="0.3">
      <c r="A26" t="s">
        <v>24</v>
      </c>
      <c r="B26" t="s">
        <v>43</v>
      </c>
      <c r="C26" s="22">
        <f>SUMIFS(Global_trade!I26:I525,Global_trade!F26:F525,B26,Global_trade!N26:N525,A26)</f>
        <v>22020.790000000005</v>
      </c>
      <c r="D26" s="22">
        <f>SUMIFS(Global_trade!K26:K525,Global_trade!F26:F525,'Q6'!B26,Global_trade!N26:N525,'Q6'!A26)</f>
        <v>5441.24</v>
      </c>
      <c r="E26" s="22">
        <f>AVERAGEIFS(Global_trade!I26:I525,Global_trade!F26:F525,'Q6'!B26,Global_trade!N26:N525,'Q6'!A26)</f>
        <v>815.58481481481499</v>
      </c>
      <c r="F26" s="22">
        <f>AVERAGEIFS(Global_trade!K26:K525,Global_trade!F26:F525,'Q6'!B26,Global_trade!N26:N525,'Q6'!A26)</f>
        <v>201.5274074074074</v>
      </c>
    </row>
    <row r="27" spans="1:6" x14ac:dyDescent="0.3">
      <c r="A27" t="s">
        <v>32</v>
      </c>
      <c r="B27" t="s">
        <v>59</v>
      </c>
      <c r="C27" s="22">
        <f>SUMIFS(Global_trade!I27:I526,Global_trade!F27:F526,B27,Global_trade!N27:N526,A27)</f>
        <v>31159.939999999995</v>
      </c>
      <c r="D27" s="22">
        <f>SUMIFS(Global_trade!K27:K526,Global_trade!F27:F526,'Q6'!B27,Global_trade!N27:N526,'Q6'!A27)</f>
        <v>8533.6500000000015</v>
      </c>
      <c r="E27" s="22">
        <f>AVERAGEIFS(Global_trade!I27:I526,Global_trade!F27:F526,'Q6'!B27,Global_trade!N27:N526,'Q6'!A27)</f>
        <v>759.99853658536574</v>
      </c>
      <c r="F27" s="22">
        <f>AVERAGEIFS(Global_trade!K27:K526,Global_trade!F27:F526,'Q6'!B27,Global_trade!N27:N526,'Q6'!A27)</f>
        <v>208.13780487804883</v>
      </c>
    </row>
    <row r="28" spans="1:6" x14ac:dyDescent="0.3">
      <c r="A28" t="s">
        <v>32</v>
      </c>
      <c r="B28" t="s">
        <v>59</v>
      </c>
      <c r="C28" s="22">
        <f>SUMIFS(Global_trade!I28:I527,Global_trade!F28:F527,B28,Global_trade!N28:N527,A28)</f>
        <v>30780.82</v>
      </c>
      <c r="D28" s="22">
        <f>SUMIFS(Global_trade!K28:K527,Global_trade!F28:F527,'Q6'!B28,Global_trade!N28:N527,'Q6'!A28)</f>
        <v>8382.65</v>
      </c>
      <c r="E28" s="22">
        <f>AVERAGEIFS(Global_trade!I28:I527,Global_trade!F28:F527,'Q6'!B28,Global_trade!N28:N527,'Q6'!A28)</f>
        <v>769.52049999999997</v>
      </c>
      <c r="F28" s="22">
        <f>AVERAGEIFS(Global_trade!K28:K527,Global_trade!F28:F527,'Q6'!B28,Global_trade!N28:N527,'Q6'!A28)</f>
        <v>209.56625</v>
      </c>
    </row>
    <row r="29" spans="1:6" x14ac:dyDescent="0.3">
      <c r="A29" t="s">
        <v>66</v>
      </c>
      <c r="B29" t="s">
        <v>59</v>
      </c>
      <c r="C29" s="22">
        <f>SUMIFS(Global_trade!I29:I528,Global_trade!F29:F528,B29,Global_trade!N29:N528,A29)</f>
        <v>51860.89</v>
      </c>
      <c r="D29" s="22">
        <f>SUMIFS(Global_trade!K29:K528,Global_trade!F29:F528,'Q6'!B29,Global_trade!N29:N528,'Q6'!A29)</f>
        <v>14439.739999999996</v>
      </c>
      <c r="E29" s="22">
        <f>AVERAGEIFS(Global_trade!I29:I528,Global_trade!F29:F528,'Q6'!B29,Global_trade!N29:N528,'Q6'!A29)</f>
        <v>894.15327586206899</v>
      </c>
      <c r="F29" s="22">
        <f>AVERAGEIFS(Global_trade!K29:K528,Global_trade!F29:F528,'Q6'!B29,Global_trade!N29:N528,'Q6'!A29)</f>
        <v>248.96103448275855</v>
      </c>
    </row>
    <row r="30" spans="1:6" x14ac:dyDescent="0.3">
      <c r="A30" t="s">
        <v>102</v>
      </c>
      <c r="B30" t="s">
        <v>50</v>
      </c>
      <c r="C30" s="22">
        <f>SUMIFS(Global_trade!I30:I529,Global_trade!F30:F529,B30,Global_trade!N30:N529,A30)</f>
        <v>6308.63</v>
      </c>
      <c r="D30" s="22">
        <f>SUMIFS(Global_trade!K30:K529,Global_trade!F30:F529,'Q6'!B30,Global_trade!N30:N529,'Q6'!A30)</f>
        <v>1994.18</v>
      </c>
      <c r="E30" s="22">
        <f>AVERAGEIFS(Global_trade!I30:I529,Global_trade!F30:F529,'Q6'!B30,Global_trade!N30:N529,'Q6'!A30)</f>
        <v>2102.8766666666666</v>
      </c>
      <c r="F30" s="22">
        <f>AVERAGEIFS(Global_trade!K30:K529,Global_trade!F30:F529,'Q6'!B30,Global_trade!N30:N529,'Q6'!A30)</f>
        <v>664.72666666666669</v>
      </c>
    </row>
    <row r="31" spans="1:6" x14ac:dyDescent="0.3">
      <c r="A31" t="s">
        <v>32</v>
      </c>
      <c r="B31" t="s">
        <v>65</v>
      </c>
      <c r="C31" s="22">
        <f>SUMIFS(Global_trade!I31:I530,Global_trade!F31:F530,B31,Global_trade!N31:N530,A31)</f>
        <v>12976.699999999999</v>
      </c>
      <c r="D31" s="22">
        <f>SUMIFS(Global_trade!K31:K530,Global_trade!F31:F530,'Q6'!B31,Global_trade!N31:N530,'Q6'!A31)</f>
        <v>3332.1200000000003</v>
      </c>
      <c r="E31" s="22">
        <f>AVERAGEIFS(Global_trade!I31:I530,Global_trade!F31:F530,'Q6'!B31,Global_trade!N31:N530,'Q6'!A31)</f>
        <v>865.11333333333323</v>
      </c>
      <c r="F31" s="22">
        <f>AVERAGEIFS(Global_trade!K31:K530,Global_trade!F31:F530,'Q6'!B31,Global_trade!N31:N530,'Q6'!A31)</f>
        <v>222.14133333333336</v>
      </c>
    </row>
    <row r="32" spans="1:6" x14ac:dyDescent="0.3">
      <c r="A32" t="s">
        <v>32</v>
      </c>
      <c r="B32" t="s">
        <v>59</v>
      </c>
      <c r="C32" s="22">
        <f>SUMIFS(Global_trade!I32:I531,Global_trade!F32:F531,B32,Global_trade!N32:N531,A32)</f>
        <v>29403.339999999997</v>
      </c>
      <c r="D32" s="22">
        <f>SUMIFS(Global_trade!K32:K531,Global_trade!F32:F531,'Q6'!B32,Global_trade!N32:N531,'Q6'!A32)</f>
        <v>8160.89</v>
      </c>
      <c r="E32" s="22">
        <f>AVERAGEIFS(Global_trade!I32:I531,Global_trade!F32:F531,'Q6'!B32,Global_trade!N32:N531,'Q6'!A32)</f>
        <v>753.93179487179475</v>
      </c>
      <c r="F32" s="22">
        <f>AVERAGEIFS(Global_trade!K32:K531,Global_trade!F32:F531,'Q6'!B32,Global_trade!N32:N531,'Q6'!A32)</f>
        <v>209.25358974358974</v>
      </c>
    </row>
    <row r="33" spans="1:6" x14ac:dyDescent="0.3">
      <c r="A33" t="s">
        <v>32</v>
      </c>
      <c r="B33" t="s">
        <v>65</v>
      </c>
      <c r="C33" s="22">
        <f>SUMIFS(Global_trade!I33:I532,Global_trade!F33:F532,B33,Global_trade!N33:N532,A33)</f>
        <v>12931.72</v>
      </c>
      <c r="D33" s="22">
        <f>SUMIFS(Global_trade!K33:K532,Global_trade!F33:F532,'Q6'!B33,Global_trade!N33:N532,'Q6'!A33)</f>
        <v>3314.9500000000003</v>
      </c>
      <c r="E33" s="22">
        <f>AVERAGEIFS(Global_trade!I33:I532,Global_trade!F33:F532,'Q6'!B33,Global_trade!N33:N532,'Q6'!A33)</f>
        <v>923.69428571428568</v>
      </c>
      <c r="F33" s="22">
        <f>AVERAGEIFS(Global_trade!K33:K532,Global_trade!F33:F532,'Q6'!B33,Global_trade!N33:N532,'Q6'!A33)</f>
        <v>236.78214285714287</v>
      </c>
    </row>
    <row r="34" spans="1:6" x14ac:dyDescent="0.3">
      <c r="A34" t="s">
        <v>66</v>
      </c>
      <c r="B34" t="s">
        <v>43</v>
      </c>
      <c r="C34" s="22">
        <f>SUMIFS(Global_trade!I34:I533,Global_trade!F34:F533,B34,Global_trade!N34:N533,A34)</f>
        <v>32763.83</v>
      </c>
      <c r="D34" s="22">
        <f>SUMIFS(Global_trade!K34:K533,Global_trade!F34:F533,'Q6'!B34,Global_trade!N34:N533,'Q6'!A34)</f>
        <v>9257.4699999999993</v>
      </c>
      <c r="E34" s="22">
        <f>AVERAGEIFS(Global_trade!I34:I533,Global_trade!F34:F533,'Q6'!B34,Global_trade!N34:N533,'Q6'!A34)</f>
        <v>885.50891891891899</v>
      </c>
      <c r="F34" s="22">
        <f>AVERAGEIFS(Global_trade!K34:K533,Global_trade!F34:F533,'Q6'!B34,Global_trade!N34:N533,'Q6'!A34)</f>
        <v>250.20189189189188</v>
      </c>
    </row>
    <row r="35" spans="1:6" x14ac:dyDescent="0.3">
      <c r="A35" t="s">
        <v>32</v>
      </c>
      <c r="B35" t="s">
        <v>50</v>
      </c>
      <c r="C35" s="22">
        <f>SUMIFS(Global_trade!I35:I534,Global_trade!F35:F534,B35,Global_trade!N35:N534,A35)</f>
        <v>11433.35</v>
      </c>
      <c r="D35" s="22">
        <f>SUMIFS(Global_trade!K35:K534,Global_trade!F35:F534,'Q6'!B35,Global_trade!N35:N534,'Q6'!A35)</f>
        <v>3735.35</v>
      </c>
      <c r="E35" s="22">
        <f>AVERAGEIFS(Global_trade!I35:I534,Global_trade!F35:F534,'Q6'!B35,Global_trade!N35:N534,'Q6'!A35)</f>
        <v>1270.3722222222223</v>
      </c>
      <c r="F35" s="22">
        <f>AVERAGEIFS(Global_trade!K35:K534,Global_trade!F35:F534,'Q6'!B35,Global_trade!N35:N534,'Q6'!A35)</f>
        <v>415.03888888888889</v>
      </c>
    </row>
    <row r="36" spans="1:6" x14ac:dyDescent="0.3">
      <c r="A36" t="s">
        <v>66</v>
      </c>
      <c r="B36" t="s">
        <v>65</v>
      </c>
      <c r="C36" s="22">
        <f>SUMIFS(Global_trade!I36:I535,Global_trade!F36:F535,B36,Global_trade!N36:N535,A36)</f>
        <v>20277.39</v>
      </c>
      <c r="D36" s="22">
        <f>SUMIFS(Global_trade!K36:K535,Global_trade!F36:F535,'Q6'!B36,Global_trade!N36:N535,'Q6'!A36)</f>
        <v>5541.6100000000006</v>
      </c>
      <c r="E36" s="22">
        <f>AVERAGEIFS(Global_trade!I36:I535,Global_trade!F36:F535,'Q6'!B36,Global_trade!N36:N535,'Q6'!A36)</f>
        <v>844.89125000000001</v>
      </c>
      <c r="F36" s="22">
        <f>AVERAGEIFS(Global_trade!K36:K535,Global_trade!F36:F535,'Q6'!B36,Global_trade!N36:N535,'Q6'!A36)</f>
        <v>230.9004166666667</v>
      </c>
    </row>
    <row r="37" spans="1:6" x14ac:dyDescent="0.3">
      <c r="A37" t="s">
        <v>32</v>
      </c>
      <c r="B37" t="s">
        <v>50</v>
      </c>
      <c r="C37" s="22">
        <f>SUMIFS(Global_trade!I37:I536,Global_trade!F37:F536,B37,Global_trade!N37:N536,A37)</f>
        <v>10305.570000000002</v>
      </c>
      <c r="D37" s="22">
        <f>SUMIFS(Global_trade!K37:K536,Global_trade!F37:F536,'Q6'!B37,Global_trade!N37:N536,'Q6'!A37)</f>
        <v>3368.72</v>
      </c>
      <c r="E37" s="22">
        <f>AVERAGEIFS(Global_trade!I37:I536,Global_trade!F37:F536,'Q6'!B37,Global_trade!N37:N536,'Q6'!A37)</f>
        <v>1288.1962500000002</v>
      </c>
      <c r="F37" s="22">
        <f>AVERAGEIFS(Global_trade!K37:K536,Global_trade!F37:F536,'Q6'!B37,Global_trade!N37:N536,'Q6'!A37)</f>
        <v>421.09</v>
      </c>
    </row>
    <row r="38" spans="1:6" x14ac:dyDescent="0.3">
      <c r="A38" t="s">
        <v>102</v>
      </c>
      <c r="B38" t="s">
        <v>59</v>
      </c>
      <c r="C38" s="22">
        <f>SUMIFS(Global_trade!I38:I537,Global_trade!F38:F537,B38,Global_trade!N38:N537,A38)</f>
        <v>8364.44</v>
      </c>
      <c r="D38" s="22">
        <f>SUMIFS(Global_trade!K38:K537,Global_trade!F38:F537,'Q6'!B38,Global_trade!N38:N537,'Q6'!A38)</f>
        <v>2435.5899999999997</v>
      </c>
      <c r="E38" s="22">
        <f>AVERAGEIFS(Global_trade!I38:I537,Global_trade!F38:F537,'Q6'!B38,Global_trade!N38:N537,'Q6'!A38)</f>
        <v>760.40363636363645</v>
      </c>
      <c r="F38" s="22">
        <f>AVERAGEIFS(Global_trade!K38:K537,Global_trade!F38:F537,'Q6'!B38,Global_trade!N38:N537,'Q6'!A38)</f>
        <v>221.41727272727269</v>
      </c>
    </row>
    <row r="39" spans="1:6" x14ac:dyDescent="0.3">
      <c r="A39" t="s">
        <v>24</v>
      </c>
      <c r="B39" t="s">
        <v>65</v>
      </c>
      <c r="C39" s="22">
        <f>SUMIFS(Global_trade!I39:I538,Global_trade!F39:F538,B39,Global_trade!N39:N538,A39)</f>
        <v>3820.0600000000004</v>
      </c>
      <c r="D39" s="22">
        <f>SUMIFS(Global_trade!K39:K538,Global_trade!F39:F538,'Q6'!B39,Global_trade!N39:N538,'Q6'!A39)</f>
        <v>828.0200000000001</v>
      </c>
      <c r="E39" s="22">
        <f>AVERAGEIFS(Global_trade!I39:I538,Global_trade!F39:F538,'Q6'!B39,Global_trade!N39:N538,'Q6'!A39)</f>
        <v>636.67666666666673</v>
      </c>
      <c r="F39" s="22">
        <f>AVERAGEIFS(Global_trade!K39:K538,Global_trade!F39:F538,'Q6'!B39,Global_trade!N39:N538,'Q6'!A39)</f>
        <v>138.00333333333336</v>
      </c>
    </row>
    <row r="40" spans="1:6" x14ac:dyDescent="0.3">
      <c r="A40" t="s">
        <v>32</v>
      </c>
      <c r="B40" t="s">
        <v>43</v>
      </c>
      <c r="C40" s="22">
        <f>SUMIFS(Global_trade!I40:I539,Global_trade!F40:F539,B40,Global_trade!N40:N539,A40)</f>
        <v>24573.690000000002</v>
      </c>
      <c r="D40" s="22">
        <f>SUMIFS(Global_trade!K40:K539,Global_trade!F40:F539,'Q6'!B40,Global_trade!N40:N539,'Q6'!A40)</f>
        <v>7318.71</v>
      </c>
      <c r="E40" s="22">
        <f>AVERAGEIFS(Global_trade!I40:I539,Global_trade!F40:F539,'Q6'!B40,Global_trade!N40:N539,'Q6'!A40)</f>
        <v>702.10542857142866</v>
      </c>
      <c r="F40" s="22">
        <f>AVERAGEIFS(Global_trade!K40:K539,Global_trade!F40:F539,'Q6'!B40,Global_trade!N40:N539,'Q6'!A40)</f>
        <v>209.10599999999999</v>
      </c>
    </row>
    <row r="41" spans="1:6" x14ac:dyDescent="0.3">
      <c r="A41" t="s">
        <v>24</v>
      </c>
      <c r="B41" t="s">
        <v>21</v>
      </c>
      <c r="C41" s="22">
        <f>SUMIFS(Global_trade!I41:I540,Global_trade!F41:F540,B41,Global_trade!N41:N540,A41)</f>
        <v>22975.309999999998</v>
      </c>
      <c r="D41" s="22">
        <f>SUMIFS(Global_trade!K41:K540,Global_trade!F41:F540,'Q6'!B41,Global_trade!N41:N540,'Q6'!A41)</f>
        <v>6226.53</v>
      </c>
      <c r="E41" s="22">
        <f>AVERAGEIFS(Global_trade!I41:I540,Global_trade!F41:F540,'Q6'!B41,Global_trade!N41:N540,'Q6'!A41)</f>
        <v>1209.2268421052631</v>
      </c>
      <c r="F41" s="22">
        <f>AVERAGEIFS(Global_trade!K41:K540,Global_trade!F41:F540,'Q6'!B41,Global_trade!N41:N540,'Q6'!A41)</f>
        <v>327.71210526315787</v>
      </c>
    </row>
    <row r="42" spans="1:6" x14ac:dyDescent="0.3">
      <c r="A42" t="s">
        <v>66</v>
      </c>
      <c r="B42" t="s">
        <v>59</v>
      </c>
      <c r="C42" s="22">
        <f>SUMIFS(Global_trade!I42:I541,Global_trade!F42:F541,B42,Global_trade!N42:N541,A42)</f>
        <v>51623.11</v>
      </c>
      <c r="D42" s="22">
        <f>SUMIFS(Global_trade!K42:K541,Global_trade!F42:F541,'Q6'!B42,Global_trade!N42:N541,'Q6'!A42)</f>
        <v>14345.039999999995</v>
      </c>
      <c r="E42" s="22">
        <f>AVERAGEIFS(Global_trade!I42:I541,Global_trade!F42:F541,'Q6'!B42,Global_trade!N42:N541,'Q6'!A42)</f>
        <v>905.66859649122807</v>
      </c>
      <c r="F42" s="22">
        <f>AVERAGEIFS(Global_trade!K42:K541,Global_trade!F42:F541,'Q6'!B42,Global_trade!N42:N541,'Q6'!A42)</f>
        <v>251.66736842105254</v>
      </c>
    </row>
    <row r="43" spans="1:6" x14ac:dyDescent="0.3">
      <c r="A43" t="s">
        <v>66</v>
      </c>
      <c r="B43" t="s">
        <v>59</v>
      </c>
      <c r="C43" s="22">
        <f>SUMIFS(Global_trade!I43:I542,Global_trade!F43:F542,B43,Global_trade!N43:N542,A43)</f>
        <v>50231.57</v>
      </c>
      <c r="D43" s="22">
        <f>SUMIFS(Global_trade!K43:K542,Global_trade!F43:F542,'Q6'!B43,Global_trade!N43:N542,'Q6'!A43)</f>
        <v>13909.259999999993</v>
      </c>
      <c r="E43" s="22">
        <f>AVERAGEIFS(Global_trade!I43:I542,Global_trade!F43:F542,'Q6'!B43,Global_trade!N43:N542,'Q6'!A43)</f>
        <v>896.99232142857147</v>
      </c>
      <c r="F43" s="22">
        <f>AVERAGEIFS(Global_trade!K43:K542,Global_trade!F43:F542,'Q6'!B43,Global_trade!N43:N542,'Q6'!A43)</f>
        <v>248.37964285714273</v>
      </c>
    </row>
    <row r="44" spans="1:6" x14ac:dyDescent="0.3">
      <c r="A44" t="s">
        <v>45</v>
      </c>
      <c r="B44" t="s">
        <v>65</v>
      </c>
      <c r="C44" s="22">
        <f>SUMIFS(Global_trade!I44:I543,Global_trade!F44:F543,B44,Global_trade!N44:N543,A44)</f>
        <v>5232.22</v>
      </c>
      <c r="D44" s="22">
        <f>SUMIFS(Global_trade!K44:K543,Global_trade!F44:F543,'Q6'!B44,Global_trade!N44:N543,'Q6'!A44)</f>
        <v>1868.77</v>
      </c>
      <c r="E44" s="22">
        <f>AVERAGEIFS(Global_trade!I44:I543,Global_trade!F44:F543,'Q6'!B44,Global_trade!N44:N543,'Q6'!A44)</f>
        <v>1046.444</v>
      </c>
      <c r="F44" s="22">
        <f>AVERAGEIFS(Global_trade!K44:K543,Global_trade!F44:F543,'Q6'!B44,Global_trade!N44:N543,'Q6'!A44)</f>
        <v>373.75400000000002</v>
      </c>
    </row>
    <row r="45" spans="1:6" x14ac:dyDescent="0.3">
      <c r="A45" t="s">
        <v>148</v>
      </c>
      <c r="B45" t="s">
        <v>50</v>
      </c>
      <c r="C45" s="22">
        <f>SUMIFS(Global_trade!I45:I544,Global_trade!F45:F544,B45,Global_trade!N45:N544,A45)</f>
        <v>12174.14</v>
      </c>
      <c r="D45" s="22">
        <f>SUMIFS(Global_trade!K45:K544,Global_trade!F45:F544,'Q6'!B45,Global_trade!N45:N544,'Q6'!A45)</f>
        <v>3656.58</v>
      </c>
      <c r="E45" s="22">
        <f>AVERAGEIFS(Global_trade!I45:I544,Global_trade!F45:F544,'Q6'!B45,Global_trade!N45:N544,'Q6'!A45)</f>
        <v>2434.828</v>
      </c>
      <c r="F45" s="22">
        <f>AVERAGEIFS(Global_trade!K45:K544,Global_trade!F45:F544,'Q6'!B45,Global_trade!N45:N544,'Q6'!A45)</f>
        <v>731.31600000000003</v>
      </c>
    </row>
    <row r="46" spans="1:6" x14ac:dyDescent="0.3">
      <c r="A46" t="s">
        <v>24</v>
      </c>
      <c r="B46" t="s">
        <v>21</v>
      </c>
      <c r="C46" s="22">
        <f>SUMIFS(Global_trade!I46:I545,Global_trade!F46:F545,B46,Global_trade!N46:N545,A46)</f>
        <v>21046.109999999997</v>
      </c>
      <c r="D46" s="22">
        <f>SUMIFS(Global_trade!K46:K545,Global_trade!F46:F545,'Q6'!B46,Global_trade!N46:N545,'Q6'!A46)</f>
        <v>5580.55</v>
      </c>
      <c r="E46" s="22">
        <f>AVERAGEIFS(Global_trade!I46:I545,Global_trade!F46:F545,'Q6'!B46,Global_trade!N46:N545,'Q6'!A46)</f>
        <v>1169.2283333333332</v>
      </c>
      <c r="F46" s="22">
        <f>AVERAGEIFS(Global_trade!K46:K545,Global_trade!F46:F545,'Q6'!B46,Global_trade!N46:N545,'Q6'!A46)</f>
        <v>310.03055555555557</v>
      </c>
    </row>
    <row r="47" spans="1:6" x14ac:dyDescent="0.3">
      <c r="A47" t="s">
        <v>32</v>
      </c>
      <c r="B47" t="s">
        <v>59</v>
      </c>
      <c r="C47" s="22">
        <f>SUMIFS(Global_trade!I47:I546,Global_trade!F47:F546,B47,Global_trade!N47:N546,A47)</f>
        <v>29290.119999999995</v>
      </c>
      <c r="D47" s="22">
        <f>SUMIFS(Global_trade!K47:K546,Global_trade!F47:F546,'Q6'!B47,Global_trade!N47:N546,'Q6'!A47)</f>
        <v>8135.71</v>
      </c>
      <c r="E47" s="22">
        <f>AVERAGEIFS(Global_trade!I47:I546,Global_trade!F47:F546,'Q6'!B47,Global_trade!N47:N546,'Q6'!A47)</f>
        <v>770.79263157894729</v>
      </c>
      <c r="F47" s="22">
        <f>AVERAGEIFS(Global_trade!K47:K546,Global_trade!F47:F546,'Q6'!B47,Global_trade!N47:N546,'Q6'!A47)</f>
        <v>214.09763157894736</v>
      </c>
    </row>
    <row r="48" spans="1:6" x14ac:dyDescent="0.3">
      <c r="A48" t="s">
        <v>32</v>
      </c>
      <c r="B48" t="s">
        <v>59</v>
      </c>
      <c r="C48" s="22">
        <f>SUMIFS(Global_trade!I48:I547,Global_trade!F48:F547,B48,Global_trade!N48:N547,A48)</f>
        <v>28063.299999999996</v>
      </c>
      <c r="D48" s="22">
        <f>SUMIFS(Global_trade!K48:K547,Global_trade!F48:F547,'Q6'!B48,Global_trade!N48:N547,'Q6'!A48)</f>
        <v>7705.44</v>
      </c>
      <c r="E48" s="22">
        <f>AVERAGEIFS(Global_trade!I48:I547,Global_trade!F48:F547,'Q6'!B48,Global_trade!N48:N547,'Q6'!A48)</f>
        <v>758.46756756756747</v>
      </c>
      <c r="F48" s="22">
        <f>AVERAGEIFS(Global_trade!K48:K547,Global_trade!F48:F547,'Q6'!B48,Global_trade!N48:N547,'Q6'!A48)</f>
        <v>208.25513513513513</v>
      </c>
    </row>
    <row r="49" spans="1:6" x14ac:dyDescent="0.3">
      <c r="A49" t="s">
        <v>66</v>
      </c>
      <c r="B49" t="s">
        <v>21</v>
      </c>
      <c r="C49" s="22">
        <f>SUMIFS(Global_trade!I49:I548,Global_trade!F49:F548,B49,Global_trade!N49:N548,A49)</f>
        <v>26590.66</v>
      </c>
      <c r="D49" s="22">
        <f>SUMIFS(Global_trade!K49:K548,Global_trade!F49:F548,'Q6'!B49,Global_trade!N49:N548,'Q6'!A49)</f>
        <v>7477.41</v>
      </c>
      <c r="E49" s="22">
        <f>AVERAGEIFS(Global_trade!I49:I548,Global_trade!F49:F548,'Q6'!B49,Global_trade!N49:N548,'Q6'!A49)</f>
        <v>886.35533333333331</v>
      </c>
      <c r="F49" s="22">
        <f>AVERAGEIFS(Global_trade!K49:K548,Global_trade!F49:F548,'Q6'!B49,Global_trade!N49:N548,'Q6'!A49)</f>
        <v>249.24699999999999</v>
      </c>
    </row>
    <row r="50" spans="1:6" x14ac:dyDescent="0.3">
      <c r="A50" t="s">
        <v>24</v>
      </c>
      <c r="B50" t="s">
        <v>21</v>
      </c>
      <c r="C50" s="22">
        <f>SUMIFS(Global_trade!I50:I549,Global_trade!F50:F549,B50,Global_trade!N50:N549,A50)</f>
        <v>20759.560000000001</v>
      </c>
      <c r="D50" s="22">
        <f>SUMIFS(Global_trade!K50:K549,Global_trade!F50:F549,'Q6'!B50,Global_trade!N50:N549,'Q6'!A50)</f>
        <v>5505.3899999999994</v>
      </c>
      <c r="E50" s="22">
        <f>AVERAGEIFS(Global_trade!I50:I549,Global_trade!F50:F549,'Q6'!B50,Global_trade!N50:N549,'Q6'!A50)</f>
        <v>1221.1505882352942</v>
      </c>
      <c r="F50" s="22">
        <f>AVERAGEIFS(Global_trade!K50:K549,Global_trade!F50:F549,'Q6'!B50,Global_trade!N50:N549,'Q6'!A50)</f>
        <v>323.84647058823526</v>
      </c>
    </row>
    <row r="51" spans="1:6" x14ac:dyDescent="0.3">
      <c r="A51" t="s">
        <v>148</v>
      </c>
      <c r="B51" t="s">
        <v>59</v>
      </c>
      <c r="C51" s="22">
        <f>SUMIFS(Global_trade!I51:I550,Global_trade!F51:F550,B51,Global_trade!N51:N550,A51)</f>
        <v>6972.93</v>
      </c>
      <c r="D51" s="22">
        <f>SUMIFS(Global_trade!K51:K550,Global_trade!F51:F550,'Q6'!B51,Global_trade!N51:N550,'Q6'!A51)</f>
        <v>2156.23</v>
      </c>
      <c r="E51" s="22">
        <f>AVERAGEIFS(Global_trade!I51:I550,Global_trade!F51:F550,'Q6'!B51,Global_trade!N51:N550,'Q6'!A51)</f>
        <v>774.77</v>
      </c>
      <c r="F51" s="22">
        <f>AVERAGEIFS(Global_trade!K51:K550,Global_trade!F51:F550,'Q6'!B51,Global_trade!N51:N550,'Q6'!A51)</f>
        <v>239.58111111111111</v>
      </c>
    </row>
    <row r="52" spans="1:6" x14ac:dyDescent="0.3">
      <c r="A52" t="s">
        <v>66</v>
      </c>
      <c r="B52" t="s">
        <v>21</v>
      </c>
      <c r="C52" s="22">
        <f>SUMIFS(Global_trade!I52:I551,Global_trade!F52:F551,B52,Global_trade!N52:N551,A52)</f>
        <v>26034.639999999999</v>
      </c>
      <c r="D52" s="22">
        <f>SUMIFS(Global_trade!K52:K551,Global_trade!F52:F551,'Q6'!B52,Global_trade!N52:N551,'Q6'!A52)</f>
        <v>7257.3899999999994</v>
      </c>
      <c r="E52" s="22">
        <f>AVERAGEIFS(Global_trade!I52:I551,Global_trade!F52:F551,'Q6'!B52,Global_trade!N52:N551,'Q6'!A52)</f>
        <v>897.74620689655171</v>
      </c>
      <c r="F52" s="22">
        <f>AVERAGEIFS(Global_trade!K52:K551,Global_trade!F52:F551,'Q6'!B52,Global_trade!N52:N551,'Q6'!A52)</f>
        <v>250.25482758620689</v>
      </c>
    </row>
    <row r="53" spans="1:6" x14ac:dyDescent="0.3">
      <c r="A53" t="s">
        <v>66</v>
      </c>
      <c r="B53" t="s">
        <v>59</v>
      </c>
      <c r="C53" s="22">
        <f>SUMIFS(Global_trade!I53:I552,Global_trade!F53:F552,B53,Global_trade!N53:N552,A53)</f>
        <v>49462.97</v>
      </c>
      <c r="D53" s="22">
        <f>SUMIFS(Global_trade!K53:K552,Global_trade!F53:F552,'Q6'!B53,Global_trade!N53:N552,'Q6'!A53)</f>
        <v>13650.729999999998</v>
      </c>
      <c r="E53" s="22">
        <f>AVERAGEIFS(Global_trade!I53:I552,Global_trade!F53:F552,'Q6'!B53,Global_trade!N53:N552,'Q6'!A53)</f>
        <v>899.32672727272734</v>
      </c>
      <c r="F53" s="22">
        <f>AVERAGEIFS(Global_trade!K53:K552,Global_trade!F53:F552,'Q6'!B53,Global_trade!N53:N552,'Q6'!A53)</f>
        <v>248.19509090909088</v>
      </c>
    </row>
    <row r="54" spans="1:6" x14ac:dyDescent="0.3">
      <c r="A54" t="s">
        <v>66</v>
      </c>
      <c r="B54" t="s">
        <v>50</v>
      </c>
      <c r="C54" s="22">
        <f>SUMIFS(Global_trade!I54:I553,Global_trade!F54:F553,B54,Global_trade!N54:N553,A54)</f>
        <v>30263.43</v>
      </c>
      <c r="D54" s="22">
        <f>SUMIFS(Global_trade!K54:K553,Global_trade!F54:F553,'Q6'!B54,Global_trade!N54:N553,'Q6'!A54)</f>
        <v>8316.67</v>
      </c>
      <c r="E54" s="22">
        <f>AVERAGEIFS(Global_trade!I54:I553,Global_trade!F54:F553,'Q6'!B54,Global_trade!N54:N553,'Q6'!A54)</f>
        <v>1375.6104545454546</v>
      </c>
      <c r="F54" s="22">
        <f>AVERAGEIFS(Global_trade!K54:K553,Global_trade!F54:F553,'Q6'!B54,Global_trade!N54:N553,'Q6'!A54)</f>
        <v>378.03045454545457</v>
      </c>
    </row>
    <row r="55" spans="1:6" x14ac:dyDescent="0.3">
      <c r="A55" t="s">
        <v>66</v>
      </c>
      <c r="B55" t="s">
        <v>50</v>
      </c>
      <c r="C55" s="22">
        <f>SUMIFS(Global_trade!I55:I554,Global_trade!F55:F554,B55,Global_trade!N55:N554,A55)</f>
        <v>28426.32</v>
      </c>
      <c r="D55" s="22">
        <f>SUMIFS(Global_trade!K55:K554,Global_trade!F55:F554,'Q6'!B55,Global_trade!N55:N554,'Q6'!A55)</f>
        <v>7943.88</v>
      </c>
      <c r="E55" s="22">
        <f>AVERAGEIFS(Global_trade!I55:I554,Global_trade!F55:F554,'Q6'!B55,Global_trade!N55:N554,'Q6'!A55)</f>
        <v>1353.6342857142856</v>
      </c>
      <c r="F55" s="22">
        <f>AVERAGEIFS(Global_trade!K55:K554,Global_trade!F55:F554,'Q6'!B55,Global_trade!N55:N554,'Q6'!A55)</f>
        <v>378.28000000000003</v>
      </c>
    </row>
    <row r="56" spans="1:6" x14ac:dyDescent="0.3">
      <c r="A56" t="s">
        <v>102</v>
      </c>
      <c r="B56" t="s">
        <v>59</v>
      </c>
      <c r="C56" s="22">
        <f>SUMIFS(Global_trade!I56:I555,Global_trade!F56:F555,B56,Global_trade!N56:N555,A56)</f>
        <v>8009.72</v>
      </c>
      <c r="D56" s="22">
        <f>SUMIFS(Global_trade!K56:K555,Global_trade!F56:F555,'Q6'!B56,Global_trade!N56:N555,'Q6'!A56)</f>
        <v>2372.27</v>
      </c>
      <c r="E56" s="22">
        <f>AVERAGEIFS(Global_trade!I56:I555,Global_trade!F56:F555,'Q6'!B56,Global_trade!N56:N555,'Q6'!A56)</f>
        <v>800.97199999999998</v>
      </c>
      <c r="F56" s="22">
        <f>AVERAGEIFS(Global_trade!K56:K555,Global_trade!F56:F555,'Q6'!B56,Global_trade!N56:N555,'Q6'!A56)</f>
        <v>237.227</v>
      </c>
    </row>
    <row r="57" spans="1:6" x14ac:dyDescent="0.3">
      <c r="A57" t="s">
        <v>24</v>
      </c>
      <c r="B57" t="s">
        <v>21</v>
      </c>
      <c r="C57" s="22">
        <f>SUMIFS(Global_trade!I57:I556,Global_trade!F57:F556,B57,Global_trade!N57:N556,A57)</f>
        <v>19658.95</v>
      </c>
      <c r="D57" s="22">
        <f>SUMIFS(Global_trade!K57:K556,Global_trade!F57:F556,'Q6'!B57,Global_trade!N57:N556,'Q6'!A57)</f>
        <v>5220.88</v>
      </c>
      <c r="E57" s="22">
        <f>AVERAGEIFS(Global_trade!I57:I556,Global_trade!F57:F556,'Q6'!B57,Global_trade!N57:N556,'Q6'!A57)</f>
        <v>1228.684375</v>
      </c>
      <c r="F57" s="22">
        <f>AVERAGEIFS(Global_trade!K57:K556,Global_trade!F57:F556,'Q6'!B57,Global_trade!N57:N556,'Q6'!A57)</f>
        <v>326.30500000000001</v>
      </c>
    </row>
    <row r="58" spans="1:6" x14ac:dyDescent="0.3">
      <c r="A58" t="s">
        <v>32</v>
      </c>
      <c r="B58" t="s">
        <v>21</v>
      </c>
      <c r="C58" s="22">
        <f>SUMIFS(Global_trade!I58:I557,Global_trade!F58:F557,B58,Global_trade!N58:N557,A58)</f>
        <v>28616.770000000004</v>
      </c>
      <c r="D58" s="22">
        <f>SUMIFS(Global_trade!K58:K557,Global_trade!F58:F557,'Q6'!B58,Global_trade!N58:N557,'Q6'!A58)</f>
        <v>7334.92</v>
      </c>
      <c r="E58" s="22">
        <f>AVERAGEIFS(Global_trade!I58:I557,Global_trade!F58:F557,'Q6'!B58,Global_trade!N58:N557,'Q6'!A58)</f>
        <v>1059.8803703703704</v>
      </c>
      <c r="F58" s="22">
        <f>AVERAGEIFS(Global_trade!K58:K557,Global_trade!F58:F557,'Q6'!B58,Global_trade!N58:N557,'Q6'!A58)</f>
        <v>271.66370370370373</v>
      </c>
    </row>
    <row r="59" spans="1:6" x14ac:dyDescent="0.3">
      <c r="A59" t="s">
        <v>148</v>
      </c>
      <c r="B59" t="s">
        <v>21</v>
      </c>
      <c r="C59" s="22">
        <f>SUMIFS(Global_trade!I59:I558,Global_trade!F59:F558,B59,Global_trade!N59:N558,A59)</f>
        <v>6810.06</v>
      </c>
      <c r="D59" s="22">
        <f>SUMIFS(Global_trade!K59:K558,Global_trade!F59:F558,'Q6'!B59,Global_trade!N59:N558,'Q6'!A59)</f>
        <v>1578.49</v>
      </c>
      <c r="E59" s="22">
        <f>AVERAGEIFS(Global_trade!I59:I558,Global_trade!F59:F558,'Q6'!B59,Global_trade!N59:N558,'Q6'!A59)</f>
        <v>1135.01</v>
      </c>
      <c r="F59" s="22">
        <f>AVERAGEIFS(Global_trade!K59:K558,Global_trade!F59:F558,'Q6'!B59,Global_trade!N59:N558,'Q6'!A59)</f>
        <v>263.08166666666665</v>
      </c>
    </row>
    <row r="60" spans="1:6" x14ac:dyDescent="0.3">
      <c r="A60" t="s">
        <v>32</v>
      </c>
      <c r="B60" t="s">
        <v>65</v>
      </c>
      <c r="C60" s="22">
        <f>SUMIFS(Global_trade!I60:I559,Global_trade!F60:F559,B60,Global_trade!N60:N559,A60)</f>
        <v>12454.119999999999</v>
      </c>
      <c r="D60" s="22">
        <f>SUMIFS(Global_trade!K60:K559,Global_trade!F60:F559,'Q6'!B60,Global_trade!N60:N559,'Q6'!A60)</f>
        <v>3157.89</v>
      </c>
      <c r="E60" s="22">
        <f>AVERAGEIFS(Global_trade!I60:I559,Global_trade!F60:F559,'Q6'!B60,Global_trade!N60:N559,'Q6'!A60)</f>
        <v>958.00923076923073</v>
      </c>
      <c r="F60" s="22">
        <f>AVERAGEIFS(Global_trade!K60:K559,Global_trade!F60:F559,'Q6'!B60,Global_trade!N60:N559,'Q6'!A60)</f>
        <v>242.91461538461539</v>
      </c>
    </row>
    <row r="61" spans="1:6" x14ac:dyDescent="0.3">
      <c r="A61" t="s">
        <v>45</v>
      </c>
      <c r="B61" t="s">
        <v>43</v>
      </c>
      <c r="C61" s="22">
        <f>SUMIFS(Global_trade!I61:I560,Global_trade!F61:F560,B61,Global_trade!N61:N560,A61)</f>
        <v>16589.510000000002</v>
      </c>
      <c r="D61" s="22">
        <f>SUMIFS(Global_trade!K61:K560,Global_trade!F61:F560,'Q6'!B61,Global_trade!N61:N560,'Q6'!A61)</f>
        <v>4586.7300000000005</v>
      </c>
      <c r="E61" s="22">
        <f>AVERAGEIFS(Global_trade!I61:I560,Global_trade!F61:F560,'Q6'!B61,Global_trade!N61:N560,'Q6'!A61)</f>
        <v>921.63944444444451</v>
      </c>
      <c r="F61" s="22">
        <f>AVERAGEIFS(Global_trade!K61:K560,Global_trade!F61:F560,'Q6'!B61,Global_trade!N61:N560,'Q6'!A61)</f>
        <v>254.81833333333336</v>
      </c>
    </row>
    <row r="62" spans="1:6" x14ac:dyDescent="0.3">
      <c r="A62" t="s">
        <v>66</v>
      </c>
      <c r="B62" t="s">
        <v>50</v>
      </c>
      <c r="C62" s="22">
        <f>SUMIFS(Global_trade!I62:I561,Global_trade!F62:F561,B62,Global_trade!N62:N561,A62)</f>
        <v>27510.660000000003</v>
      </c>
      <c r="D62" s="22">
        <f>SUMIFS(Global_trade!K62:K561,Global_trade!F62:F561,'Q6'!B62,Global_trade!N62:N561,'Q6'!A62)</f>
        <v>7798.1500000000005</v>
      </c>
      <c r="E62" s="22">
        <f>AVERAGEIFS(Global_trade!I62:I561,Global_trade!F62:F561,'Q6'!B62,Global_trade!N62:N561,'Q6'!A62)</f>
        <v>1375.5330000000001</v>
      </c>
      <c r="F62" s="22">
        <f>AVERAGEIFS(Global_trade!K62:K561,Global_trade!F62:F561,'Q6'!B62,Global_trade!N62:N561,'Q6'!A62)</f>
        <v>389.90750000000003</v>
      </c>
    </row>
    <row r="63" spans="1:6" x14ac:dyDescent="0.3">
      <c r="A63" t="s">
        <v>66</v>
      </c>
      <c r="B63" t="s">
        <v>50</v>
      </c>
      <c r="C63" s="22">
        <f>SUMIFS(Global_trade!I63:I562,Global_trade!F63:F562,B63,Global_trade!N63:N562,A63)</f>
        <v>24263.059999999998</v>
      </c>
      <c r="D63" s="22">
        <f>SUMIFS(Global_trade!K63:K562,Global_trade!F63:F562,'Q6'!B63,Global_trade!N63:N562,'Q6'!A63)</f>
        <v>6557.4600000000009</v>
      </c>
      <c r="E63" s="22">
        <f>AVERAGEIFS(Global_trade!I63:I562,Global_trade!F63:F562,'Q6'!B63,Global_trade!N63:N562,'Q6'!A63)</f>
        <v>1277.0031578947367</v>
      </c>
      <c r="F63" s="22">
        <f>AVERAGEIFS(Global_trade!K63:K562,Global_trade!F63:F562,'Q6'!B63,Global_trade!N63:N562,'Q6'!A63)</f>
        <v>345.12947368421055</v>
      </c>
    </row>
    <row r="64" spans="1:6" x14ac:dyDescent="0.3">
      <c r="A64" t="s">
        <v>148</v>
      </c>
      <c r="B64" t="s">
        <v>43</v>
      </c>
      <c r="C64" s="22">
        <f>SUMIFS(Global_trade!I64:I563,Global_trade!F64:F563,B64,Global_trade!N64:N563,A64)</f>
        <v>8892.01</v>
      </c>
      <c r="D64" s="22">
        <f>SUMIFS(Global_trade!K64:K563,Global_trade!F64:F563,'Q6'!B64,Global_trade!N64:N563,'Q6'!A64)</f>
        <v>2126.5400000000004</v>
      </c>
      <c r="E64" s="22">
        <f>AVERAGEIFS(Global_trade!I64:I563,Global_trade!F64:F563,'Q6'!B64,Global_trade!N64:N563,'Q6'!A64)</f>
        <v>889.20100000000002</v>
      </c>
      <c r="F64" s="22">
        <f>AVERAGEIFS(Global_trade!K64:K563,Global_trade!F64:F563,'Q6'!B64,Global_trade!N64:N563,'Q6'!A64)</f>
        <v>212.65400000000005</v>
      </c>
    </row>
    <row r="65" spans="1:6" x14ac:dyDescent="0.3">
      <c r="A65" t="s">
        <v>66</v>
      </c>
      <c r="B65" t="s">
        <v>65</v>
      </c>
      <c r="C65" s="22">
        <f>SUMIFS(Global_trade!I65:I564,Global_trade!F65:F564,B65,Global_trade!N65:N564,A65)</f>
        <v>20141.909999999996</v>
      </c>
      <c r="D65" s="22">
        <f>SUMIFS(Global_trade!K65:K564,Global_trade!F65:F564,'Q6'!B65,Global_trade!N65:N564,'Q6'!A65)</f>
        <v>5512.72</v>
      </c>
      <c r="E65" s="22">
        <f>AVERAGEIFS(Global_trade!I65:I564,Global_trade!F65:F564,'Q6'!B65,Global_trade!N65:N564,'Q6'!A65)</f>
        <v>875.73521739130422</v>
      </c>
      <c r="F65" s="22">
        <f>AVERAGEIFS(Global_trade!K65:K564,Global_trade!F65:F564,'Q6'!B65,Global_trade!N65:N564,'Q6'!A65)</f>
        <v>239.68347826086958</v>
      </c>
    </row>
    <row r="66" spans="1:6" x14ac:dyDescent="0.3">
      <c r="A66" t="s">
        <v>32</v>
      </c>
      <c r="B66" t="s">
        <v>59</v>
      </c>
      <c r="C66" s="22">
        <f>SUMIFS(Global_trade!I66:I565,Global_trade!F66:F565,B66,Global_trade!N66:N565,A66)</f>
        <v>27549.219999999994</v>
      </c>
      <c r="D66" s="22">
        <f>SUMIFS(Global_trade!K66:K565,Global_trade!F66:F565,'Q6'!B66,Global_trade!N66:N565,'Q6'!A66)</f>
        <v>7550.0999999999995</v>
      </c>
      <c r="E66" s="22">
        <f>AVERAGEIFS(Global_trade!I66:I565,Global_trade!F66:F565,'Q6'!B66,Global_trade!N66:N565,'Q6'!A66)</f>
        <v>765.25611111111095</v>
      </c>
      <c r="F66" s="22">
        <f>AVERAGEIFS(Global_trade!K66:K565,Global_trade!F66:F565,'Q6'!B66,Global_trade!N66:N565,'Q6'!A66)</f>
        <v>209.72499999999999</v>
      </c>
    </row>
    <row r="67" spans="1:6" x14ac:dyDescent="0.3">
      <c r="A67" t="s">
        <v>66</v>
      </c>
      <c r="B67" t="s">
        <v>43</v>
      </c>
      <c r="C67" s="22">
        <f>SUMIFS(Global_trade!I67:I566,Global_trade!F67:F566,B67,Global_trade!N67:N566,A67)</f>
        <v>31639.850000000002</v>
      </c>
      <c r="D67" s="22">
        <f>SUMIFS(Global_trade!K67:K566,Global_trade!F67:F566,'Q6'!B67,Global_trade!N67:N566,'Q6'!A67)</f>
        <v>9022.6899999999987</v>
      </c>
      <c r="E67" s="22">
        <f>AVERAGEIFS(Global_trade!I67:I566,Global_trade!F67:F566,'Q6'!B67,Global_trade!N67:N566,'Q6'!A67)</f>
        <v>878.88472222222231</v>
      </c>
      <c r="F67" s="22">
        <f>AVERAGEIFS(Global_trade!K67:K566,Global_trade!F67:F566,'Q6'!B67,Global_trade!N67:N566,'Q6'!A67)</f>
        <v>250.63027777777774</v>
      </c>
    </row>
    <row r="68" spans="1:6" x14ac:dyDescent="0.3">
      <c r="A68" t="s">
        <v>66</v>
      </c>
      <c r="B68" t="s">
        <v>43</v>
      </c>
      <c r="C68" s="22">
        <f>SUMIFS(Global_trade!I68:I567,Global_trade!F68:F567,B68,Global_trade!N68:N567,A68)</f>
        <v>29767.45</v>
      </c>
      <c r="D68" s="22">
        <f>SUMIFS(Global_trade!K68:K567,Global_trade!F68:F567,'Q6'!B68,Global_trade!N68:N567,'Q6'!A68)</f>
        <v>8473.2999999999993</v>
      </c>
      <c r="E68" s="22">
        <f>AVERAGEIFS(Global_trade!I68:I567,Global_trade!F68:F567,'Q6'!B68,Global_trade!N68:N567,'Q6'!A68)</f>
        <v>850.49857142857149</v>
      </c>
      <c r="F68" s="22">
        <f>AVERAGEIFS(Global_trade!K68:K567,Global_trade!F68:F567,'Q6'!B68,Global_trade!N68:N567,'Q6'!A68)</f>
        <v>242.09428571428569</v>
      </c>
    </row>
    <row r="69" spans="1:6" x14ac:dyDescent="0.3">
      <c r="A69" t="s">
        <v>24</v>
      </c>
      <c r="B69" t="s">
        <v>43</v>
      </c>
      <c r="C69" s="22">
        <f>SUMIFS(Global_trade!I69:I568,Global_trade!F69:F568,B69,Global_trade!N69:N568,A69)</f>
        <v>21231.540000000005</v>
      </c>
      <c r="D69" s="22">
        <f>SUMIFS(Global_trade!K69:K568,Global_trade!F69:F568,'Q6'!B69,Global_trade!N69:N568,'Q6'!A69)</f>
        <v>5208.46</v>
      </c>
      <c r="E69" s="22">
        <f>AVERAGEIFS(Global_trade!I69:I568,Global_trade!F69:F568,'Q6'!B69,Global_trade!N69:N568,'Q6'!A69)</f>
        <v>816.59769230769245</v>
      </c>
      <c r="F69" s="22">
        <f>AVERAGEIFS(Global_trade!K69:K568,Global_trade!F69:F568,'Q6'!B69,Global_trade!N69:N568,'Q6'!A69)</f>
        <v>200.32538461538462</v>
      </c>
    </row>
    <row r="70" spans="1:6" x14ac:dyDescent="0.3">
      <c r="A70" t="s">
        <v>32</v>
      </c>
      <c r="B70" t="s">
        <v>59</v>
      </c>
      <c r="C70" s="22">
        <f>SUMIFS(Global_trade!I70:I569,Global_trade!F70:F569,B70,Global_trade!N70:N569,A70)</f>
        <v>27503.039999999994</v>
      </c>
      <c r="D70" s="22">
        <f>SUMIFS(Global_trade!K70:K569,Global_trade!F70:F569,'Q6'!B70,Global_trade!N70:N569,'Q6'!A70)</f>
        <v>7537.44</v>
      </c>
      <c r="E70" s="22">
        <f>AVERAGEIFS(Global_trade!I70:I569,Global_trade!F70:F569,'Q6'!B70,Global_trade!N70:N569,'Q6'!A70)</f>
        <v>785.80114285714262</v>
      </c>
      <c r="F70" s="22">
        <f>AVERAGEIFS(Global_trade!K70:K569,Global_trade!F70:F569,'Q6'!B70,Global_trade!N70:N569,'Q6'!A70)</f>
        <v>215.35542857142855</v>
      </c>
    </row>
    <row r="71" spans="1:6" x14ac:dyDescent="0.3">
      <c r="A71" t="s">
        <v>32</v>
      </c>
      <c r="B71" t="s">
        <v>59</v>
      </c>
      <c r="C71" s="22">
        <f>SUMIFS(Global_trade!I71:I570,Global_trade!F71:F570,B71,Global_trade!N71:N570,A71)</f>
        <v>27214.589999999997</v>
      </c>
      <c r="D71" s="22">
        <f>SUMIFS(Global_trade!K71:K570,Global_trade!F71:F570,'Q6'!B71,Global_trade!N71:N570,'Q6'!A71)</f>
        <v>7501.71</v>
      </c>
      <c r="E71" s="22">
        <f>AVERAGEIFS(Global_trade!I71:I570,Global_trade!F71:F570,'Q6'!B71,Global_trade!N71:N570,'Q6'!A71)</f>
        <v>800.42911764705877</v>
      </c>
      <c r="F71" s="22">
        <f>AVERAGEIFS(Global_trade!K71:K570,Global_trade!F71:F570,'Q6'!B71,Global_trade!N71:N570,'Q6'!A71)</f>
        <v>220.63852941176469</v>
      </c>
    </row>
    <row r="72" spans="1:6" x14ac:dyDescent="0.3">
      <c r="A72" t="s">
        <v>32</v>
      </c>
      <c r="B72" t="s">
        <v>50</v>
      </c>
      <c r="C72" s="22">
        <f>SUMIFS(Global_trade!I72:I571,Global_trade!F72:F571,B72,Global_trade!N72:N571,A72)</f>
        <v>9659.0700000000015</v>
      </c>
      <c r="D72" s="22">
        <f>SUMIFS(Global_trade!K72:K571,Global_trade!F72:F571,'Q6'!B72,Global_trade!N72:N571,'Q6'!A72)</f>
        <v>3140.11</v>
      </c>
      <c r="E72" s="22">
        <f>AVERAGEIFS(Global_trade!I72:I571,Global_trade!F72:F571,'Q6'!B72,Global_trade!N72:N571,'Q6'!A72)</f>
        <v>1379.8671428571431</v>
      </c>
      <c r="F72" s="22">
        <f>AVERAGEIFS(Global_trade!K72:K571,Global_trade!F72:F571,'Q6'!B72,Global_trade!N72:N571,'Q6'!A72)</f>
        <v>448.58714285714285</v>
      </c>
    </row>
    <row r="73" spans="1:6" x14ac:dyDescent="0.3">
      <c r="A73" t="s">
        <v>32</v>
      </c>
      <c r="B73" t="s">
        <v>21</v>
      </c>
      <c r="C73" s="22">
        <f>SUMIFS(Global_trade!I73:I572,Global_trade!F73:F572,B73,Global_trade!N73:N572,A73)</f>
        <v>27534.36</v>
      </c>
      <c r="D73" s="22">
        <f>SUMIFS(Global_trade!K73:K572,Global_trade!F73:F572,'Q6'!B73,Global_trade!N73:N572,'Q6'!A73)</f>
        <v>7148.6299999999992</v>
      </c>
      <c r="E73" s="22">
        <f>AVERAGEIFS(Global_trade!I73:I572,Global_trade!F73:F572,'Q6'!B73,Global_trade!N73:N572,'Q6'!A73)</f>
        <v>1059.0138461538461</v>
      </c>
      <c r="F73" s="22">
        <f>AVERAGEIFS(Global_trade!K73:K572,Global_trade!F73:F572,'Q6'!B73,Global_trade!N73:N572,'Q6'!A73)</f>
        <v>274.94730769230767</v>
      </c>
    </row>
    <row r="74" spans="1:6" x14ac:dyDescent="0.3">
      <c r="A74" t="s">
        <v>66</v>
      </c>
      <c r="B74" t="s">
        <v>65</v>
      </c>
      <c r="C74" s="22">
        <f>SUMIFS(Global_trade!I74:I573,Global_trade!F74:F573,B74,Global_trade!N74:N573,A74)</f>
        <v>18955.849999999999</v>
      </c>
      <c r="D74" s="22">
        <f>SUMIFS(Global_trade!K74:K573,Global_trade!F74:F573,'Q6'!B74,Global_trade!N74:N573,'Q6'!A74)</f>
        <v>5170.9900000000007</v>
      </c>
      <c r="E74" s="22">
        <f>AVERAGEIFS(Global_trade!I74:I573,Global_trade!F74:F573,'Q6'!B74,Global_trade!N74:N573,'Q6'!A74)</f>
        <v>861.62954545454534</v>
      </c>
      <c r="F74" s="22">
        <f>AVERAGEIFS(Global_trade!K74:K573,Global_trade!F74:F573,'Q6'!B74,Global_trade!N74:N573,'Q6'!A74)</f>
        <v>235.04500000000004</v>
      </c>
    </row>
    <row r="75" spans="1:6" x14ac:dyDescent="0.3">
      <c r="A75" t="s">
        <v>102</v>
      </c>
      <c r="B75" t="s">
        <v>43</v>
      </c>
      <c r="C75" s="22">
        <f>SUMIFS(Global_trade!I75:I574,Global_trade!F75:F574,B75,Global_trade!N75:N574,A75)</f>
        <v>7452.9400000000005</v>
      </c>
      <c r="D75" s="22">
        <f>SUMIFS(Global_trade!K75:K574,Global_trade!F75:F574,'Q6'!B75,Global_trade!N75:N574,'Q6'!A75)</f>
        <v>2392.4</v>
      </c>
      <c r="E75" s="22">
        <f>AVERAGEIFS(Global_trade!I75:I574,Global_trade!F75:F574,'Q6'!B75,Global_trade!N75:N574,'Q6'!A75)</f>
        <v>745.2940000000001</v>
      </c>
      <c r="F75" s="22">
        <f>AVERAGEIFS(Global_trade!K75:K574,Global_trade!F75:F574,'Q6'!B75,Global_trade!N75:N574,'Q6'!A75)</f>
        <v>239.24</v>
      </c>
    </row>
    <row r="76" spans="1:6" x14ac:dyDescent="0.3">
      <c r="A76" t="s">
        <v>66</v>
      </c>
      <c r="B76" t="s">
        <v>59</v>
      </c>
      <c r="C76" s="22">
        <f>SUMIFS(Global_trade!I76:I575,Global_trade!F76:F575,B76,Global_trade!N76:N575,A76)</f>
        <v>47776.640000000007</v>
      </c>
      <c r="D76" s="22">
        <f>SUMIFS(Global_trade!K76:K575,Global_trade!F76:F575,'Q6'!B76,Global_trade!N76:N575,'Q6'!A76)</f>
        <v>13192.519999999995</v>
      </c>
      <c r="E76" s="22">
        <f>AVERAGEIFS(Global_trade!I76:I575,Global_trade!F76:F575,'Q6'!B76,Global_trade!N76:N575,'Q6'!A76)</f>
        <v>884.75259259259269</v>
      </c>
      <c r="F76" s="22">
        <f>AVERAGEIFS(Global_trade!K76:K575,Global_trade!F76:F575,'Q6'!B76,Global_trade!N76:N575,'Q6'!A76)</f>
        <v>244.30592592592583</v>
      </c>
    </row>
    <row r="77" spans="1:6" x14ac:dyDescent="0.3">
      <c r="A77" t="s">
        <v>24</v>
      </c>
      <c r="B77" t="s">
        <v>21</v>
      </c>
      <c r="C77" s="22">
        <f>SUMIFS(Global_trade!I77:I576,Global_trade!F77:F576,B77,Global_trade!N77:N576,A77)</f>
        <v>19195.59</v>
      </c>
      <c r="D77" s="22">
        <f>SUMIFS(Global_trade!K77:K576,Global_trade!F77:F576,'Q6'!B77,Global_trade!N77:N576,'Q6'!A77)</f>
        <v>5081.17</v>
      </c>
      <c r="E77" s="22">
        <f>AVERAGEIFS(Global_trade!I77:I576,Global_trade!F77:F576,'Q6'!B77,Global_trade!N77:N576,'Q6'!A77)</f>
        <v>1279.7059999999999</v>
      </c>
      <c r="F77" s="22">
        <f>AVERAGEIFS(Global_trade!K77:K576,Global_trade!F77:F576,'Q6'!B77,Global_trade!N77:N576,'Q6'!A77)</f>
        <v>338.74466666666666</v>
      </c>
    </row>
    <row r="78" spans="1:6" x14ac:dyDescent="0.3">
      <c r="A78" t="s">
        <v>66</v>
      </c>
      <c r="B78" t="s">
        <v>21</v>
      </c>
      <c r="C78" s="22">
        <f>SUMIFS(Global_trade!I78:I577,Global_trade!F78:F577,B78,Global_trade!N78:N577,A78)</f>
        <v>24977.25</v>
      </c>
      <c r="D78" s="22">
        <f>SUMIFS(Global_trade!K78:K577,Global_trade!F78:F577,'Q6'!B78,Global_trade!N78:N577,'Q6'!A78)</f>
        <v>7009.2199999999993</v>
      </c>
      <c r="E78" s="22">
        <f>AVERAGEIFS(Global_trade!I78:I577,Global_trade!F78:F577,'Q6'!B78,Global_trade!N78:N577,'Q6'!A78)</f>
        <v>892.04464285714289</v>
      </c>
      <c r="F78" s="22">
        <f>AVERAGEIFS(Global_trade!K78:K577,Global_trade!F78:F577,'Q6'!B78,Global_trade!N78:N577,'Q6'!A78)</f>
        <v>250.3292857142857</v>
      </c>
    </row>
    <row r="79" spans="1:6" x14ac:dyDescent="0.3">
      <c r="A79" t="s">
        <v>24</v>
      </c>
      <c r="B79" t="s">
        <v>43</v>
      </c>
      <c r="C79" s="22">
        <f>SUMIFS(Global_trade!I79:I578,Global_trade!F79:F578,B79,Global_trade!N79:N578,A79)</f>
        <v>20898.090000000004</v>
      </c>
      <c r="D79" s="22">
        <f>SUMIFS(Global_trade!K79:K578,Global_trade!F79:F578,'Q6'!B79,Global_trade!N79:N578,'Q6'!A79)</f>
        <v>5083.1499999999996</v>
      </c>
      <c r="E79" s="22">
        <f>AVERAGEIFS(Global_trade!I79:I578,Global_trade!F79:F578,'Q6'!B79,Global_trade!N79:N578,'Q6'!A79)</f>
        <v>835.92360000000019</v>
      </c>
      <c r="F79" s="22">
        <f>AVERAGEIFS(Global_trade!K79:K578,Global_trade!F79:F578,'Q6'!B79,Global_trade!N79:N578,'Q6'!A79)</f>
        <v>203.32599999999999</v>
      </c>
    </row>
    <row r="80" spans="1:6" x14ac:dyDescent="0.3">
      <c r="A80" t="s">
        <v>66</v>
      </c>
      <c r="B80" t="s">
        <v>59</v>
      </c>
      <c r="C80" s="22">
        <f>SUMIFS(Global_trade!I80:I579,Global_trade!F80:F579,B80,Global_trade!N80:N579,A80)</f>
        <v>46729.51</v>
      </c>
      <c r="D80" s="22">
        <f>SUMIFS(Global_trade!K80:K579,Global_trade!F80:F579,'Q6'!B80,Global_trade!N80:N579,'Q6'!A80)</f>
        <v>12970.869999999997</v>
      </c>
      <c r="E80" s="22">
        <f>AVERAGEIFS(Global_trade!I80:I579,Global_trade!F80:F579,'Q6'!B80,Global_trade!N80:N579,'Q6'!A80)</f>
        <v>881.68886792452838</v>
      </c>
      <c r="F80" s="22">
        <f>AVERAGEIFS(Global_trade!K80:K579,Global_trade!F80:F579,'Q6'!B80,Global_trade!N80:N579,'Q6'!A80)</f>
        <v>244.73339622641504</v>
      </c>
    </row>
    <row r="81" spans="1:6" x14ac:dyDescent="0.3">
      <c r="A81" t="s">
        <v>66</v>
      </c>
      <c r="B81" t="s">
        <v>59</v>
      </c>
      <c r="C81" s="22">
        <f>SUMIFS(Global_trade!I81:I580,Global_trade!F81:F580,B81,Global_trade!N81:N580,A81)</f>
        <v>45927.670000000006</v>
      </c>
      <c r="D81" s="22">
        <f>SUMIFS(Global_trade!K81:K580,Global_trade!F81:F580,'Q6'!B81,Global_trade!N81:N580,'Q6'!A81)</f>
        <v>12817.079999999996</v>
      </c>
      <c r="E81" s="22">
        <f>AVERAGEIFS(Global_trade!I81:I580,Global_trade!F81:F580,'Q6'!B81,Global_trade!N81:N580,'Q6'!A81)</f>
        <v>883.22442307692313</v>
      </c>
      <c r="F81" s="22">
        <f>AVERAGEIFS(Global_trade!K81:K580,Global_trade!F81:F580,'Q6'!B81,Global_trade!N81:N580,'Q6'!A81)</f>
        <v>246.48230769230761</v>
      </c>
    </row>
    <row r="82" spans="1:6" x14ac:dyDescent="0.3">
      <c r="A82" t="s">
        <v>32</v>
      </c>
      <c r="B82" t="s">
        <v>59</v>
      </c>
      <c r="C82" s="22">
        <f>SUMIFS(Global_trade!I82:I581,Global_trade!F82:F581,B82,Global_trade!N82:N581,A82)</f>
        <v>25666.229999999996</v>
      </c>
      <c r="D82" s="22">
        <f>SUMIFS(Global_trade!K82:K581,Global_trade!F82:F581,'Q6'!B82,Global_trade!N82:N581,'Q6'!A82)</f>
        <v>6942.11</v>
      </c>
      <c r="E82" s="22">
        <f>AVERAGEIFS(Global_trade!I82:I581,Global_trade!F82:F581,'Q6'!B82,Global_trade!N82:N581,'Q6'!A82)</f>
        <v>777.76454545454533</v>
      </c>
      <c r="F82" s="22">
        <f>AVERAGEIFS(Global_trade!K82:K581,Global_trade!F82:F581,'Q6'!B82,Global_trade!N82:N581,'Q6'!A82)</f>
        <v>210.36696969696968</v>
      </c>
    </row>
    <row r="83" spans="1:6" x14ac:dyDescent="0.3">
      <c r="A83" t="s">
        <v>66</v>
      </c>
      <c r="B83" t="s">
        <v>59</v>
      </c>
      <c r="C83" s="22">
        <f>SUMIFS(Global_trade!I83:I582,Global_trade!F83:F582,B83,Global_trade!N83:N582,A83)</f>
        <v>44758.390000000007</v>
      </c>
      <c r="D83" s="22">
        <f>SUMIFS(Global_trade!K83:K582,Global_trade!F83:F582,'Q6'!B83,Global_trade!N83:N582,'Q6'!A83)</f>
        <v>12473.399999999998</v>
      </c>
      <c r="E83" s="22">
        <f>AVERAGEIFS(Global_trade!I83:I582,Global_trade!F83:F582,'Q6'!B83,Global_trade!N83:N582,'Q6'!A83)</f>
        <v>877.61549019607855</v>
      </c>
      <c r="F83" s="22">
        <f>AVERAGEIFS(Global_trade!K83:K582,Global_trade!F83:F582,'Q6'!B83,Global_trade!N83:N582,'Q6'!A83)</f>
        <v>244.57647058823525</v>
      </c>
    </row>
    <row r="84" spans="1:6" x14ac:dyDescent="0.3">
      <c r="A84" t="s">
        <v>66</v>
      </c>
      <c r="B84" t="s">
        <v>43</v>
      </c>
      <c r="C84" s="22">
        <f>SUMIFS(Global_trade!I84:I583,Global_trade!F84:F583,B84,Global_trade!N84:N583,A84)</f>
        <v>27316.020000000004</v>
      </c>
      <c r="D84" s="22">
        <f>SUMIFS(Global_trade!K84:K583,Global_trade!F84:F583,'Q6'!B84,Global_trade!N84:N583,'Q6'!A84)</f>
        <v>7512.9100000000008</v>
      </c>
      <c r="E84" s="22">
        <f>AVERAGEIFS(Global_trade!I84:I583,Global_trade!F84:F583,'Q6'!B84,Global_trade!N84:N583,'Q6'!A84)</f>
        <v>803.41235294117655</v>
      </c>
      <c r="F84" s="22">
        <f>AVERAGEIFS(Global_trade!K84:K583,Global_trade!F84:F583,'Q6'!B84,Global_trade!N84:N583,'Q6'!A84)</f>
        <v>220.96794117647062</v>
      </c>
    </row>
    <row r="85" spans="1:6" x14ac:dyDescent="0.3">
      <c r="A85" t="s">
        <v>45</v>
      </c>
      <c r="B85" t="s">
        <v>43</v>
      </c>
      <c r="C85" s="22">
        <f>SUMIFS(Global_trade!I85:I584,Global_trade!F85:F584,B85,Global_trade!N85:N584,A85)</f>
        <v>15417.43</v>
      </c>
      <c r="D85" s="22">
        <f>SUMIFS(Global_trade!K85:K584,Global_trade!F85:F584,'Q6'!B85,Global_trade!N85:N584,'Q6'!A85)</f>
        <v>4211.6500000000005</v>
      </c>
      <c r="E85" s="22">
        <f>AVERAGEIFS(Global_trade!I85:I584,Global_trade!F85:F584,'Q6'!B85,Global_trade!N85:N584,'Q6'!A85)</f>
        <v>906.9076470588235</v>
      </c>
      <c r="F85" s="22">
        <f>AVERAGEIFS(Global_trade!K85:K584,Global_trade!F85:F584,'Q6'!B85,Global_trade!N85:N584,'Q6'!A85)</f>
        <v>247.74411764705886</v>
      </c>
    </row>
    <row r="86" spans="1:6" x14ac:dyDescent="0.3">
      <c r="A86" t="s">
        <v>24</v>
      </c>
      <c r="B86" t="s">
        <v>43</v>
      </c>
      <c r="C86" s="22">
        <f>SUMIFS(Global_trade!I86:I585,Global_trade!F86:F585,B86,Global_trade!N86:N585,A86)</f>
        <v>19411.590000000004</v>
      </c>
      <c r="D86" s="22">
        <f>SUMIFS(Global_trade!K86:K585,Global_trade!F86:F585,'Q6'!B86,Global_trade!N86:N585,'Q6'!A86)</f>
        <v>4693.4199999999992</v>
      </c>
      <c r="E86" s="22">
        <f>AVERAGEIFS(Global_trade!I86:I585,Global_trade!F86:F585,'Q6'!B86,Global_trade!N86:N585,'Q6'!A86)</f>
        <v>808.8162500000002</v>
      </c>
      <c r="F86" s="22">
        <f>AVERAGEIFS(Global_trade!K86:K585,Global_trade!F86:F585,'Q6'!B86,Global_trade!N86:N585,'Q6'!A86)</f>
        <v>195.55916666666664</v>
      </c>
    </row>
    <row r="87" spans="1:6" x14ac:dyDescent="0.3">
      <c r="A87" t="s">
        <v>66</v>
      </c>
      <c r="B87" t="s">
        <v>50</v>
      </c>
      <c r="C87" s="22">
        <f>SUMIFS(Global_trade!I87:I586,Global_trade!F87:F586,B87,Global_trade!N87:N586,A87)</f>
        <v>23462.659999999996</v>
      </c>
      <c r="D87" s="22">
        <f>SUMIFS(Global_trade!K87:K586,Global_trade!F87:F586,'Q6'!B87,Global_trade!N87:N586,'Q6'!A87)</f>
        <v>6413.35</v>
      </c>
      <c r="E87" s="22">
        <f>AVERAGEIFS(Global_trade!I87:I586,Global_trade!F87:F586,'Q6'!B87,Global_trade!N87:N586,'Q6'!A87)</f>
        <v>1303.481111111111</v>
      </c>
      <c r="F87" s="22">
        <f>AVERAGEIFS(Global_trade!K87:K586,Global_trade!F87:F586,'Q6'!B87,Global_trade!N87:N586,'Q6'!A87)</f>
        <v>356.29722222222222</v>
      </c>
    </row>
    <row r="88" spans="1:6" x14ac:dyDescent="0.3">
      <c r="A88" t="s">
        <v>66</v>
      </c>
      <c r="B88" t="s">
        <v>59</v>
      </c>
      <c r="C88" s="22">
        <f>SUMIFS(Global_trade!I88:I587,Global_trade!F88:F587,B88,Global_trade!N88:N587,A88)</f>
        <v>43914.400000000016</v>
      </c>
      <c r="D88" s="22">
        <f>SUMIFS(Global_trade!K88:K587,Global_trade!F88:F587,'Q6'!B88,Global_trade!N88:N587,'Q6'!A88)</f>
        <v>12249.809999999998</v>
      </c>
      <c r="E88" s="22">
        <f>AVERAGEIFS(Global_trade!I88:I587,Global_trade!F88:F587,'Q6'!B88,Global_trade!N88:N587,'Q6'!A88)</f>
        <v>878.28800000000035</v>
      </c>
      <c r="F88" s="22">
        <f>AVERAGEIFS(Global_trade!K88:K587,Global_trade!F88:F587,'Q6'!B88,Global_trade!N88:N587,'Q6'!A88)</f>
        <v>244.99619999999996</v>
      </c>
    </row>
    <row r="89" spans="1:6" x14ac:dyDescent="0.3">
      <c r="A89" t="s">
        <v>32</v>
      </c>
      <c r="B89" t="s">
        <v>21</v>
      </c>
      <c r="C89" s="22">
        <f>SUMIFS(Global_trade!I89:I588,Global_trade!F89:F588,B89,Global_trade!N89:N588,A89)</f>
        <v>26544.54</v>
      </c>
      <c r="D89" s="22">
        <f>SUMIFS(Global_trade!K89:K588,Global_trade!F89:F588,'Q6'!B89,Global_trade!N89:N588,'Q6'!A89)</f>
        <v>6911.6299999999992</v>
      </c>
      <c r="E89" s="22">
        <f>AVERAGEIFS(Global_trade!I89:I588,Global_trade!F89:F588,'Q6'!B89,Global_trade!N89:N588,'Q6'!A89)</f>
        <v>1061.7816</v>
      </c>
      <c r="F89" s="22">
        <f>AVERAGEIFS(Global_trade!K89:K588,Global_trade!F89:F588,'Q6'!B89,Global_trade!N89:N588,'Q6'!A89)</f>
        <v>276.46519999999998</v>
      </c>
    </row>
    <row r="90" spans="1:6" x14ac:dyDescent="0.3">
      <c r="A90" t="s">
        <v>32</v>
      </c>
      <c r="B90" t="s">
        <v>59</v>
      </c>
      <c r="C90" s="22">
        <f>SUMIFS(Global_trade!I90:I589,Global_trade!F90:F589,B90,Global_trade!N90:N589,A90)</f>
        <v>24548.229999999996</v>
      </c>
      <c r="D90" s="22">
        <f>SUMIFS(Global_trade!K90:K589,Global_trade!F90:F589,'Q6'!B90,Global_trade!N90:N589,'Q6'!A90)</f>
        <v>6761.7</v>
      </c>
      <c r="E90" s="22">
        <f>AVERAGEIFS(Global_trade!I90:I589,Global_trade!F90:F589,'Q6'!B90,Global_trade!N90:N589,'Q6'!A90)</f>
        <v>767.13218749999987</v>
      </c>
      <c r="F90" s="22">
        <f>AVERAGEIFS(Global_trade!K90:K589,Global_trade!F90:F589,'Q6'!B90,Global_trade!N90:N589,'Q6'!A90)</f>
        <v>211.30312499999999</v>
      </c>
    </row>
    <row r="91" spans="1:6" x14ac:dyDescent="0.3">
      <c r="A91" t="s">
        <v>102</v>
      </c>
      <c r="B91" t="s">
        <v>59</v>
      </c>
      <c r="C91" s="22">
        <f>SUMIFS(Global_trade!I91:I590,Global_trade!F91:F590,B91,Global_trade!N91:N590,A91)</f>
        <v>7635.92</v>
      </c>
      <c r="D91" s="22">
        <f>SUMIFS(Global_trade!K91:K590,Global_trade!F91:F590,'Q6'!B91,Global_trade!N91:N590,'Q6'!A91)</f>
        <v>2227.31</v>
      </c>
      <c r="E91" s="22">
        <f>AVERAGEIFS(Global_trade!I91:I590,Global_trade!F91:F590,'Q6'!B91,Global_trade!N91:N590,'Q6'!A91)</f>
        <v>848.43555555555554</v>
      </c>
      <c r="F91" s="22">
        <f>AVERAGEIFS(Global_trade!K91:K590,Global_trade!F91:F590,'Q6'!B91,Global_trade!N91:N590,'Q6'!A91)</f>
        <v>247.47888888888889</v>
      </c>
    </row>
    <row r="92" spans="1:6" x14ac:dyDescent="0.3">
      <c r="A92" t="s">
        <v>32</v>
      </c>
      <c r="B92" t="s">
        <v>21</v>
      </c>
      <c r="C92" s="22">
        <f>SUMIFS(Global_trade!I92:I591,Global_trade!F92:F591,B92,Global_trade!N92:N591,A92)</f>
        <v>24576.239999999998</v>
      </c>
      <c r="D92" s="22">
        <f>SUMIFS(Global_trade!K92:K591,Global_trade!F92:F591,'Q6'!B92,Global_trade!N92:N591,'Q6'!A92)</f>
        <v>6598.8799999999992</v>
      </c>
      <c r="E92" s="22">
        <f>AVERAGEIFS(Global_trade!I92:I591,Global_trade!F92:F591,'Q6'!B92,Global_trade!N92:N591,'Q6'!A92)</f>
        <v>1024.01</v>
      </c>
      <c r="F92" s="22">
        <f>AVERAGEIFS(Global_trade!K92:K591,Global_trade!F92:F591,'Q6'!B92,Global_trade!N92:N591,'Q6'!A92)</f>
        <v>274.95333333333332</v>
      </c>
    </row>
    <row r="93" spans="1:6" x14ac:dyDescent="0.3">
      <c r="A93" t="s">
        <v>66</v>
      </c>
      <c r="B93" t="s">
        <v>50</v>
      </c>
      <c r="C93" s="22">
        <f>SUMIFS(Global_trade!I93:I592,Global_trade!F93:F592,B93,Global_trade!N93:N592,A93)</f>
        <v>21961.86</v>
      </c>
      <c r="D93" s="22">
        <f>SUMIFS(Global_trade!K93:K592,Global_trade!F93:F592,'Q6'!B93,Global_trade!N93:N592,'Q6'!A93)</f>
        <v>6101.1</v>
      </c>
      <c r="E93" s="22">
        <f>AVERAGEIFS(Global_trade!I93:I592,Global_trade!F93:F592,'Q6'!B93,Global_trade!N93:N592,'Q6'!A93)</f>
        <v>1291.8741176470589</v>
      </c>
      <c r="F93" s="22">
        <f>AVERAGEIFS(Global_trade!K93:K592,Global_trade!F93:F592,'Q6'!B93,Global_trade!N93:N592,'Q6'!A93)</f>
        <v>358.88823529411769</v>
      </c>
    </row>
    <row r="94" spans="1:6" x14ac:dyDescent="0.3">
      <c r="A94" t="s">
        <v>32</v>
      </c>
      <c r="B94" t="s">
        <v>21</v>
      </c>
      <c r="C94" s="22">
        <f>SUMIFS(Global_trade!I94:I593,Global_trade!F94:F593,B94,Global_trade!N94:N593,A94)</f>
        <v>23232.35</v>
      </c>
      <c r="D94" s="22">
        <f>SUMIFS(Global_trade!K94:K593,Global_trade!F94:F593,'Q6'!B94,Global_trade!N94:N593,'Q6'!A94)</f>
        <v>6098.7199999999993</v>
      </c>
      <c r="E94" s="22">
        <f>AVERAGEIFS(Global_trade!I94:I593,Global_trade!F94:F593,'Q6'!B94,Global_trade!N94:N593,'Q6'!A94)</f>
        <v>1010.1021739130434</v>
      </c>
      <c r="F94" s="22">
        <f>AVERAGEIFS(Global_trade!K94:K593,Global_trade!F94:F593,'Q6'!B94,Global_trade!N94:N593,'Q6'!A94)</f>
        <v>265.16173913043474</v>
      </c>
    </row>
    <row r="95" spans="1:6" x14ac:dyDescent="0.3">
      <c r="A95" t="s">
        <v>32</v>
      </c>
      <c r="B95" t="s">
        <v>59</v>
      </c>
      <c r="C95" s="22">
        <f>SUMIFS(Global_trade!I95:I594,Global_trade!F95:F594,B95,Global_trade!N95:N594,A95)</f>
        <v>24326.559999999998</v>
      </c>
      <c r="D95" s="22">
        <f>SUMIFS(Global_trade!K95:K594,Global_trade!F95:F594,'Q6'!B95,Global_trade!N95:N594,'Q6'!A95)</f>
        <v>6693.0599999999986</v>
      </c>
      <c r="E95" s="22">
        <f>AVERAGEIFS(Global_trade!I95:I594,Global_trade!F95:F594,'Q6'!B95,Global_trade!N95:N594,'Q6'!A95)</f>
        <v>784.72774193548378</v>
      </c>
      <c r="F95" s="22">
        <f>AVERAGEIFS(Global_trade!K95:K594,Global_trade!F95:F594,'Q6'!B95,Global_trade!N95:N594,'Q6'!A95)</f>
        <v>215.90516129032252</v>
      </c>
    </row>
    <row r="96" spans="1:6" x14ac:dyDescent="0.3">
      <c r="A96" t="s">
        <v>102</v>
      </c>
      <c r="B96" t="s">
        <v>43</v>
      </c>
      <c r="C96" s="22">
        <f>SUMIFS(Global_trade!I96:I595,Global_trade!F96:F595,B96,Global_trade!N96:N595,A96)</f>
        <v>6950.9</v>
      </c>
      <c r="D96" s="22">
        <f>SUMIFS(Global_trade!K96:K595,Global_trade!F96:F595,'Q6'!B96,Global_trade!N96:N595,'Q6'!A96)</f>
        <v>2210.4900000000002</v>
      </c>
      <c r="E96" s="22">
        <f>AVERAGEIFS(Global_trade!I96:I595,Global_trade!F96:F595,'Q6'!B96,Global_trade!N96:N595,'Q6'!A96)</f>
        <v>772.32222222222219</v>
      </c>
      <c r="F96" s="22">
        <f>AVERAGEIFS(Global_trade!K96:K595,Global_trade!F96:F595,'Q6'!B96,Global_trade!N96:N595,'Q6'!A96)</f>
        <v>245.61</v>
      </c>
    </row>
    <row r="97" spans="1:6" x14ac:dyDescent="0.3">
      <c r="A97" t="s">
        <v>66</v>
      </c>
      <c r="B97" t="s">
        <v>59</v>
      </c>
      <c r="C97" s="22">
        <f>SUMIFS(Global_trade!I97:I596,Global_trade!F97:F596,B97,Global_trade!N97:N596,A97)</f>
        <v>42432.55000000001</v>
      </c>
      <c r="D97" s="22">
        <f>SUMIFS(Global_trade!K97:K596,Global_trade!F97:F596,'Q6'!B97,Global_trade!N97:N596,'Q6'!A97)</f>
        <v>11849.559999999996</v>
      </c>
      <c r="E97" s="22">
        <f>AVERAGEIFS(Global_trade!I97:I596,Global_trade!F97:F596,'Q6'!B97,Global_trade!N97:N596,'Q6'!A97)</f>
        <v>865.97040816326546</v>
      </c>
      <c r="F97" s="22">
        <f>AVERAGEIFS(Global_trade!K97:K596,Global_trade!F97:F596,'Q6'!B97,Global_trade!N97:N596,'Q6'!A97)</f>
        <v>241.82775510204073</v>
      </c>
    </row>
    <row r="98" spans="1:6" x14ac:dyDescent="0.3">
      <c r="A98" t="s">
        <v>66</v>
      </c>
      <c r="B98" t="s">
        <v>21</v>
      </c>
      <c r="C98" s="22">
        <f>SUMIFS(Global_trade!I98:I597,Global_trade!F98:F597,B98,Global_trade!N98:N597,A98)</f>
        <v>23868.87</v>
      </c>
      <c r="D98" s="22">
        <f>SUMIFS(Global_trade!K98:K597,Global_trade!F98:F597,'Q6'!B98,Global_trade!N98:N597,'Q6'!A98)</f>
        <v>6701.4</v>
      </c>
      <c r="E98" s="22">
        <f>AVERAGEIFS(Global_trade!I98:I597,Global_trade!F98:F597,'Q6'!B98,Global_trade!N98:N597,'Q6'!A98)</f>
        <v>884.03222222222223</v>
      </c>
      <c r="F98" s="22">
        <f>AVERAGEIFS(Global_trade!K98:K597,Global_trade!F98:F597,'Q6'!B98,Global_trade!N98:N597,'Q6'!A98)</f>
        <v>248.2</v>
      </c>
    </row>
    <row r="99" spans="1:6" x14ac:dyDescent="0.3">
      <c r="A99" t="s">
        <v>66</v>
      </c>
      <c r="B99" t="s">
        <v>59</v>
      </c>
      <c r="C99" s="22">
        <f>SUMIFS(Global_trade!I99:I598,Global_trade!F99:F598,B99,Global_trade!N99:N598,A99)</f>
        <v>40754.650000000016</v>
      </c>
      <c r="D99" s="22">
        <f>SUMIFS(Global_trade!K99:K598,Global_trade!F99:F598,'Q6'!B99,Global_trade!N99:N598,'Q6'!A99)</f>
        <v>11210.609999999997</v>
      </c>
      <c r="E99" s="22">
        <f>AVERAGEIFS(Global_trade!I99:I598,Global_trade!F99:F598,'Q6'!B99,Global_trade!N99:N598,'Q6'!A99)</f>
        <v>849.05520833333367</v>
      </c>
      <c r="F99" s="22">
        <f>AVERAGEIFS(Global_trade!K99:K598,Global_trade!F99:F598,'Q6'!B99,Global_trade!N99:N598,'Q6'!A99)</f>
        <v>233.55437499999994</v>
      </c>
    </row>
    <row r="100" spans="1:6" x14ac:dyDescent="0.3">
      <c r="A100" t="s">
        <v>148</v>
      </c>
      <c r="B100" t="s">
        <v>21</v>
      </c>
      <c r="C100" s="22">
        <f>SUMIFS(Global_trade!I100:I599,Global_trade!F100:F599,B100,Global_trade!N100:N599,A100)</f>
        <v>5909.52</v>
      </c>
      <c r="D100" s="22">
        <f>SUMIFS(Global_trade!K100:K599,Global_trade!F100:F599,'Q6'!B100,Global_trade!N100:N599,'Q6'!A100)</f>
        <v>1376.39</v>
      </c>
      <c r="E100" s="22">
        <f>AVERAGEIFS(Global_trade!I100:I599,Global_trade!F100:F599,'Q6'!B100,Global_trade!N100:N599,'Q6'!A100)</f>
        <v>1181.904</v>
      </c>
      <c r="F100" s="22">
        <f>AVERAGEIFS(Global_trade!K100:K599,Global_trade!F100:F599,'Q6'!B100,Global_trade!N100:N599,'Q6'!A100)</f>
        <v>275.27800000000002</v>
      </c>
    </row>
    <row r="101" spans="1:6" x14ac:dyDescent="0.3">
      <c r="A101" t="s">
        <v>32</v>
      </c>
      <c r="B101" t="s">
        <v>65</v>
      </c>
      <c r="C101" s="22">
        <f>SUMIFS(Global_trade!I101:I600,Global_trade!F101:F600,B101,Global_trade!N101:N600,A101)</f>
        <v>11235.46</v>
      </c>
      <c r="D101" s="22">
        <f>SUMIFS(Global_trade!K101:K600,Global_trade!F101:F600,'Q6'!B101,Global_trade!N101:N600,'Q6'!A101)</f>
        <v>2943.72</v>
      </c>
      <c r="E101" s="22">
        <f>AVERAGEIFS(Global_trade!I101:I600,Global_trade!F101:F600,'Q6'!B101,Global_trade!N101:N600,'Q6'!A101)</f>
        <v>936.2883333333333</v>
      </c>
      <c r="F101" s="22">
        <f>AVERAGEIFS(Global_trade!K101:K600,Global_trade!F101:F600,'Q6'!B101,Global_trade!N101:N600,'Q6'!A101)</f>
        <v>245.30999999999997</v>
      </c>
    </row>
    <row r="102" spans="1:6" x14ac:dyDescent="0.3">
      <c r="A102" t="s">
        <v>32</v>
      </c>
      <c r="B102" t="s">
        <v>43</v>
      </c>
      <c r="C102" s="22">
        <f>SUMIFS(Global_trade!I102:I601,Global_trade!F102:F601,B102,Global_trade!N102:N601,A102)</f>
        <v>23693.93</v>
      </c>
      <c r="D102" s="22">
        <f>SUMIFS(Global_trade!K102:K601,Global_trade!F102:F601,'Q6'!B102,Global_trade!N102:N601,'Q6'!A102)</f>
        <v>7068.2699999999995</v>
      </c>
      <c r="E102" s="22">
        <f>AVERAGEIFS(Global_trade!I102:I601,Global_trade!F102:F601,'Q6'!B102,Global_trade!N102:N601,'Q6'!A102)</f>
        <v>696.88029411764705</v>
      </c>
      <c r="F102" s="22">
        <f>AVERAGEIFS(Global_trade!K102:K601,Global_trade!F102:F601,'Q6'!B102,Global_trade!N102:N601,'Q6'!A102)</f>
        <v>207.89029411764704</v>
      </c>
    </row>
    <row r="103" spans="1:6" x14ac:dyDescent="0.3">
      <c r="A103" t="s">
        <v>148</v>
      </c>
      <c r="B103" t="s">
        <v>59</v>
      </c>
      <c r="C103" s="22">
        <f>SUMIFS(Global_trade!I103:I602,Global_trade!F103:F602,B103,Global_trade!N103:N602,A103)</f>
        <v>6316.05</v>
      </c>
      <c r="D103" s="22">
        <f>SUMIFS(Global_trade!K103:K602,Global_trade!F103:F602,'Q6'!B103,Global_trade!N103:N602,'Q6'!A103)</f>
        <v>1989.21</v>
      </c>
      <c r="E103" s="22">
        <f>AVERAGEIFS(Global_trade!I103:I602,Global_trade!F103:F602,'Q6'!B103,Global_trade!N103:N602,'Q6'!A103)</f>
        <v>789.50625000000002</v>
      </c>
      <c r="F103" s="22">
        <f>AVERAGEIFS(Global_trade!K103:K602,Global_trade!F103:F602,'Q6'!B103,Global_trade!N103:N602,'Q6'!A103)</f>
        <v>248.65125</v>
      </c>
    </row>
    <row r="104" spans="1:6" x14ac:dyDescent="0.3">
      <c r="A104" t="s">
        <v>32</v>
      </c>
      <c r="B104" t="s">
        <v>59</v>
      </c>
      <c r="C104" s="22">
        <f>SUMIFS(Global_trade!I104:I603,Global_trade!F104:F603,B104,Global_trade!N104:N603,A104)</f>
        <v>23823.719999999994</v>
      </c>
      <c r="D104" s="22">
        <f>SUMIFS(Global_trade!K104:K603,Global_trade!F104:F603,'Q6'!B104,Global_trade!N104:N603,'Q6'!A104)</f>
        <v>6619.7299999999987</v>
      </c>
      <c r="E104" s="22">
        <f>AVERAGEIFS(Global_trade!I104:I603,Global_trade!F104:F603,'Q6'!B104,Global_trade!N104:N603,'Q6'!A104)</f>
        <v>794.1239999999998</v>
      </c>
      <c r="F104" s="22">
        <f>AVERAGEIFS(Global_trade!K104:K603,Global_trade!F104:F603,'Q6'!B104,Global_trade!N104:N603,'Q6'!A104)</f>
        <v>220.65766666666661</v>
      </c>
    </row>
    <row r="105" spans="1:6" x14ac:dyDescent="0.3">
      <c r="A105" t="s">
        <v>32</v>
      </c>
      <c r="B105" t="s">
        <v>59</v>
      </c>
      <c r="C105" s="22">
        <f>SUMIFS(Global_trade!I105:I604,Global_trade!F105:F604,B105,Global_trade!N105:N604,A105)</f>
        <v>23307.369999999995</v>
      </c>
      <c r="D105" s="22">
        <f>SUMIFS(Global_trade!K105:K604,Global_trade!F105:F604,'Q6'!B105,Global_trade!N105:N604,'Q6'!A105)</f>
        <v>6475.5599999999986</v>
      </c>
      <c r="E105" s="22">
        <f>AVERAGEIFS(Global_trade!I105:I604,Global_trade!F105:F604,'Q6'!B105,Global_trade!N105:N604,'Q6'!A105)</f>
        <v>803.70241379310323</v>
      </c>
      <c r="F105" s="22">
        <f>AVERAGEIFS(Global_trade!K105:K604,Global_trade!F105:F604,'Q6'!B105,Global_trade!N105:N604,'Q6'!A105)</f>
        <v>223.29517241379307</v>
      </c>
    </row>
    <row r="106" spans="1:6" x14ac:dyDescent="0.3">
      <c r="A106" t="s">
        <v>66</v>
      </c>
      <c r="B106" t="s">
        <v>43</v>
      </c>
      <c r="C106" s="22">
        <f>SUMIFS(Global_trade!I106:I605,Global_trade!F106:F605,B106,Global_trade!N106:N605,A106)</f>
        <v>26882.600000000002</v>
      </c>
      <c r="D106" s="22">
        <f>SUMIFS(Global_trade!K106:K605,Global_trade!F106:F605,'Q6'!B106,Global_trade!N106:N605,'Q6'!A106)</f>
        <v>7443.7800000000007</v>
      </c>
      <c r="E106" s="22">
        <f>AVERAGEIFS(Global_trade!I106:I605,Global_trade!F106:F605,'Q6'!B106,Global_trade!N106:N605,'Q6'!A106)</f>
        <v>814.62424242424254</v>
      </c>
      <c r="F106" s="22">
        <f>AVERAGEIFS(Global_trade!K106:K605,Global_trade!F106:F605,'Q6'!B106,Global_trade!N106:N605,'Q6'!A106)</f>
        <v>225.56909090909093</v>
      </c>
    </row>
    <row r="107" spans="1:6" x14ac:dyDescent="0.3">
      <c r="A107" t="s">
        <v>45</v>
      </c>
      <c r="B107" t="s">
        <v>50</v>
      </c>
      <c r="C107" s="22">
        <f>SUMIFS(Global_trade!I107:I606,Global_trade!F107:F606,B107,Global_trade!N107:N606,A107)</f>
        <v>2134.23</v>
      </c>
      <c r="D107" s="22">
        <f>SUMIFS(Global_trade!K107:K606,Global_trade!F107:F606,'Q6'!B107,Global_trade!N107:N606,'Q6'!A107)</f>
        <v>416.33</v>
      </c>
      <c r="E107" s="22">
        <f>AVERAGEIFS(Global_trade!I107:I606,Global_trade!F107:F606,'Q6'!B107,Global_trade!N107:N606,'Q6'!A107)</f>
        <v>1067.115</v>
      </c>
      <c r="F107" s="22">
        <f>AVERAGEIFS(Global_trade!K107:K606,Global_trade!F107:F606,'Q6'!B107,Global_trade!N107:N606,'Q6'!A107)</f>
        <v>208.16499999999999</v>
      </c>
    </row>
    <row r="108" spans="1:6" x14ac:dyDescent="0.3">
      <c r="A108" t="s">
        <v>32</v>
      </c>
      <c r="B108" t="s">
        <v>43</v>
      </c>
      <c r="C108" s="22">
        <f>SUMIFS(Global_trade!I108:I607,Global_trade!F108:F607,B108,Global_trade!N108:N607,A108)</f>
        <v>23493.5</v>
      </c>
      <c r="D108" s="22">
        <f>SUMIFS(Global_trade!K108:K607,Global_trade!F108:F607,'Q6'!B108,Global_trade!N108:N607,'Q6'!A108)</f>
        <v>6995.8</v>
      </c>
      <c r="E108" s="22">
        <f>AVERAGEIFS(Global_trade!I108:I607,Global_trade!F108:F607,'Q6'!B108,Global_trade!N108:N607,'Q6'!A108)</f>
        <v>711.92424242424238</v>
      </c>
      <c r="F108" s="22">
        <f>AVERAGEIFS(Global_trade!K108:K607,Global_trade!F108:F607,'Q6'!B108,Global_trade!N108:N607,'Q6'!A108)</f>
        <v>211.9939393939394</v>
      </c>
    </row>
    <row r="109" spans="1:6" x14ac:dyDescent="0.3">
      <c r="A109" t="s">
        <v>102</v>
      </c>
      <c r="B109" t="s">
        <v>59</v>
      </c>
      <c r="C109" s="22">
        <f>SUMIFS(Global_trade!I109:I608,Global_trade!F109:F608,B109,Global_trade!N109:N608,A109)</f>
        <v>7505.18</v>
      </c>
      <c r="D109" s="22">
        <f>SUMIFS(Global_trade!K109:K608,Global_trade!F109:F608,'Q6'!B109,Global_trade!N109:N608,'Q6'!A109)</f>
        <v>2197.3199999999997</v>
      </c>
      <c r="E109" s="22">
        <f>AVERAGEIFS(Global_trade!I109:I608,Global_trade!F109:F608,'Q6'!B109,Global_trade!N109:N608,'Q6'!A109)</f>
        <v>938.14750000000004</v>
      </c>
      <c r="F109" s="22">
        <f>AVERAGEIFS(Global_trade!K109:K608,Global_trade!F109:F608,'Q6'!B109,Global_trade!N109:N608,'Q6'!A109)</f>
        <v>274.66499999999996</v>
      </c>
    </row>
    <row r="110" spans="1:6" x14ac:dyDescent="0.3">
      <c r="A110" t="s">
        <v>45</v>
      </c>
      <c r="B110" t="s">
        <v>43</v>
      </c>
      <c r="C110" s="22">
        <f>SUMIFS(Global_trade!I110:I609,Global_trade!F110:F609,B110,Global_trade!N110:N609,A110)</f>
        <v>14301.630000000001</v>
      </c>
      <c r="D110" s="22">
        <f>SUMIFS(Global_trade!K110:K609,Global_trade!F110:F609,'Q6'!B110,Global_trade!N110:N609,'Q6'!A110)</f>
        <v>4035.7199999999993</v>
      </c>
      <c r="E110" s="22">
        <f>AVERAGEIFS(Global_trade!I110:I609,Global_trade!F110:F609,'Q6'!B110,Global_trade!N110:N609,'Q6'!A110)</f>
        <v>893.85187500000006</v>
      </c>
      <c r="F110" s="22">
        <f>AVERAGEIFS(Global_trade!K110:K609,Global_trade!F110:F609,'Q6'!B110,Global_trade!N110:N609,'Q6'!A110)</f>
        <v>252.23249999999996</v>
      </c>
    </row>
    <row r="111" spans="1:6" x14ac:dyDescent="0.3">
      <c r="A111" t="s">
        <v>32</v>
      </c>
      <c r="B111" t="s">
        <v>21</v>
      </c>
      <c r="C111" s="22">
        <f>SUMIFS(Global_trade!I111:I610,Global_trade!F111:F610,B111,Global_trade!N111:N610,A111)</f>
        <v>23131.829999999998</v>
      </c>
      <c r="D111" s="22">
        <f>SUMIFS(Global_trade!K111:K610,Global_trade!F111:F610,'Q6'!B111,Global_trade!N111:N610,'Q6'!A111)</f>
        <v>6075.7999999999993</v>
      </c>
      <c r="E111" s="22">
        <f>AVERAGEIFS(Global_trade!I111:I610,Global_trade!F111:F610,'Q6'!B111,Global_trade!N111:N610,'Q6'!A111)</f>
        <v>1051.4468181818181</v>
      </c>
      <c r="F111" s="22">
        <f>AVERAGEIFS(Global_trade!K111:K610,Global_trade!F111:F610,'Q6'!B111,Global_trade!N111:N610,'Q6'!A111)</f>
        <v>276.17272727272723</v>
      </c>
    </row>
    <row r="112" spans="1:6" x14ac:dyDescent="0.3">
      <c r="A112" t="s">
        <v>45</v>
      </c>
      <c r="B112" t="s">
        <v>43</v>
      </c>
      <c r="C112" s="22">
        <f>SUMIFS(Global_trade!I112:I611,Global_trade!F112:F611,B112,Global_trade!N112:N611,A112)</f>
        <v>14165.55</v>
      </c>
      <c r="D112" s="22">
        <f>SUMIFS(Global_trade!K112:K611,Global_trade!F112:F611,'Q6'!B112,Global_trade!N112:N611,'Q6'!A112)</f>
        <v>4010.4799999999996</v>
      </c>
      <c r="E112" s="22">
        <f>AVERAGEIFS(Global_trade!I112:I611,Global_trade!F112:F611,'Q6'!B112,Global_trade!N112:N611,'Q6'!A112)</f>
        <v>944.37</v>
      </c>
      <c r="F112" s="22">
        <f>AVERAGEIFS(Global_trade!K112:K611,Global_trade!F112:F611,'Q6'!B112,Global_trade!N112:N611,'Q6'!A112)</f>
        <v>267.3653333333333</v>
      </c>
    </row>
    <row r="113" spans="1:6" x14ac:dyDescent="0.3">
      <c r="A113" t="s">
        <v>148</v>
      </c>
      <c r="B113" t="s">
        <v>59</v>
      </c>
      <c r="C113" s="22">
        <f>SUMIFS(Global_trade!I113:I612,Global_trade!F113:F612,B113,Global_trade!N113:N612,A113)</f>
        <v>5597.1500000000005</v>
      </c>
      <c r="D113" s="22">
        <f>SUMIFS(Global_trade!K113:K612,Global_trade!F113:F612,'Q6'!B113,Global_trade!N113:N612,'Q6'!A113)</f>
        <v>1719.56</v>
      </c>
      <c r="E113" s="22">
        <f>AVERAGEIFS(Global_trade!I113:I612,Global_trade!F113:F612,'Q6'!B113,Global_trade!N113:N612,'Q6'!A113)</f>
        <v>799.59285714285727</v>
      </c>
      <c r="F113" s="22">
        <f>AVERAGEIFS(Global_trade!K113:K612,Global_trade!F113:F612,'Q6'!B113,Global_trade!N113:N612,'Q6'!A113)</f>
        <v>245.65142857142857</v>
      </c>
    </row>
    <row r="114" spans="1:6" x14ac:dyDescent="0.3">
      <c r="A114" t="s">
        <v>32</v>
      </c>
      <c r="B114" t="s">
        <v>50</v>
      </c>
      <c r="C114" s="22">
        <f>SUMIFS(Global_trade!I114:I613,Global_trade!F114:F613,B114,Global_trade!N114:N613,A114)</f>
        <v>7551.03</v>
      </c>
      <c r="D114" s="22">
        <f>SUMIFS(Global_trade!K114:K613,Global_trade!F114:F613,'Q6'!B114,Global_trade!N114:N613,'Q6'!A114)</f>
        <v>2463.77</v>
      </c>
      <c r="E114" s="22">
        <f>AVERAGEIFS(Global_trade!I114:I613,Global_trade!F114:F613,'Q6'!B114,Global_trade!N114:N613,'Q6'!A114)</f>
        <v>1258.5049999999999</v>
      </c>
      <c r="F114" s="22">
        <f>AVERAGEIFS(Global_trade!K114:K613,Global_trade!F114:F613,'Q6'!B114,Global_trade!N114:N613,'Q6'!A114)</f>
        <v>410.62833333333333</v>
      </c>
    </row>
    <row r="115" spans="1:6" x14ac:dyDescent="0.3">
      <c r="A115" t="s">
        <v>66</v>
      </c>
      <c r="B115" t="s">
        <v>59</v>
      </c>
      <c r="C115" s="22">
        <f>SUMIFS(Global_trade!I115:I614,Global_trade!F115:F614,B115,Global_trade!N115:N614,A115)</f>
        <v>40708.810000000012</v>
      </c>
      <c r="D115" s="22">
        <f>SUMIFS(Global_trade!K115:K614,Global_trade!F115:F614,'Q6'!B115,Global_trade!N115:N614,'Q6'!A115)</f>
        <v>11194.029999999997</v>
      </c>
      <c r="E115" s="22">
        <f>AVERAGEIFS(Global_trade!I115:I614,Global_trade!F115:F614,'Q6'!B115,Global_trade!N115:N614,'Q6'!A115)</f>
        <v>866.14489361702158</v>
      </c>
      <c r="F115" s="22">
        <f>AVERAGEIFS(Global_trade!K115:K614,Global_trade!F115:F614,'Q6'!B115,Global_trade!N115:N614,'Q6'!A115)</f>
        <v>238.17085106382973</v>
      </c>
    </row>
    <row r="116" spans="1:6" x14ac:dyDescent="0.3">
      <c r="A116" t="s">
        <v>32</v>
      </c>
      <c r="B116" t="s">
        <v>43</v>
      </c>
      <c r="C116" s="22">
        <f>SUMIFS(Global_trade!I116:I615,Global_trade!F116:F615,B116,Global_trade!N116:N615,A116)</f>
        <v>22983.98</v>
      </c>
      <c r="D116" s="22">
        <f>SUMIFS(Global_trade!K116:K615,Global_trade!F116:F615,'Q6'!B116,Global_trade!N116:N615,'Q6'!A116)</f>
        <v>6926.7300000000005</v>
      </c>
      <c r="E116" s="22">
        <f>AVERAGEIFS(Global_trade!I116:I615,Global_trade!F116:F615,'Q6'!B116,Global_trade!N116:N615,'Q6'!A116)</f>
        <v>718.24937499999999</v>
      </c>
      <c r="F116" s="22">
        <f>AVERAGEIFS(Global_trade!K116:K615,Global_trade!F116:F615,'Q6'!B116,Global_trade!N116:N615,'Q6'!A116)</f>
        <v>216.46031250000001</v>
      </c>
    </row>
    <row r="117" spans="1:6" x14ac:dyDescent="0.3">
      <c r="A117" t="s">
        <v>102</v>
      </c>
      <c r="B117" t="s">
        <v>43</v>
      </c>
      <c r="C117" s="22">
        <f>SUMIFS(Global_trade!I117:I616,Global_trade!F117:F616,B117,Global_trade!N117:N616,A117)</f>
        <v>6019.84</v>
      </c>
      <c r="D117" s="22">
        <f>SUMIFS(Global_trade!K117:K616,Global_trade!F117:F616,'Q6'!B117,Global_trade!N117:N616,'Q6'!A117)</f>
        <v>1860.4900000000002</v>
      </c>
      <c r="E117" s="22">
        <f>AVERAGEIFS(Global_trade!I117:I616,Global_trade!F117:F616,'Q6'!B117,Global_trade!N117:N616,'Q6'!A117)</f>
        <v>752.48</v>
      </c>
      <c r="F117" s="22">
        <f>AVERAGEIFS(Global_trade!K117:K616,Global_trade!F117:F616,'Q6'!B117,Global_trade!N117:N616,'Q6'!A117)</f>
        <v>232.56125000000003</v>
      </c>
    </row>
    <row r="118" spans="1:6" x14ac:dyDescent="0.3">
      <c r="A118" t="s">
        <v>32</v>
      </c>
      <c r="B118" t="s">
        <v>21</v>
      </c>
      <c r="C118" s="22">
        <f>SUMIFS(Global_trade!I118:I617,Global_trade!F118:F617,B118,Global_trade!N118:N617,A118)</f>
        <v>22708.309999999998</v>
      </c>
      <c r="D118" s="22">
        <f>SUMIFS(Global_trade!K118:K617,Global_trade!F118:F617,'Q6'!B118,Global_trade!N118:N617,'Q6'!A118)</f>
        <v>5956.15</v>
      </c>
      <c r="E118" s="22">
        <f>AVERAGEIFS(Global_trade!I118:I617,Global_trade!F118:F617,'Q6'!B118,Global_trade!N118:N617,'Q6'!A118)</f>
        <v>1081.3480952380951</v>
      </c>
      <c r="F118" s="22">
        <f>AVERAGEIFS(Global_trade!K118:K617,Global_trade!F118:F617,'Q6'!B118,Global_trade!N118:N617,'Q6'!A118)</f>
        <v>283.62619047619046</v>
      </c>
    </row>
    <row r="119" spans="1:6" x14ac:dyDescent="0.3">
      <c r="A119" t="s">
        <v>66</v>
      </c>
      <c r="B119" t="s">
        <v>43</v>
      </c>
      <c r="C119" s="22">
        <f>SUMIFS(Global_trade!I119:I618,Global_trade!F119:F618,B119,Global_trade!N119:N618,A119)</f>
        <v>25940.04</v>
      </c>
      <c r="D119" s="22">
        <f>SUMIFS(Global_trade!K119:K618,Global_trade!F119:F618,'Q6'!B119,Global_trade!N119:N618,'Q6'!A119)</f>
        <v>7100.6200000000008</v>
      </c>
      <c r="E119" s="22">
        <f>AVERAGEIFS(Global_trade!I119:I618,Global_trade!F119:F618,'Q6'!B119,Global_trade!N119:N618,'Q6'!A119)</f>
        <v>810.62625000000003</v>
      </c>
      <c r="F119" s="22">
        <f>AVERAGEIFS(Global_trade!K119:K618,Global_trade!F119:F618,'Q6'!B119,Global_trade!N119:N618,'Q6'!A119)</f>
        <v>221.89437500000003</v>
      </c>
    </row>
    <row r="120" spans="1:6" x14ac:dyDescent="0.3">
      <c r="A120" t="s">
        <v>148</v>
      </c>
      <c r="B120" t="s">
        <v>21</v>
      </c>
      <c r="C120" s="22">
        <f>SUMIFS(Global_trade!I120:I619,Global_trade!F120:F619,B120,Global_trade!N120:N619,A120)</f>
        <v>4908.6000000000004</v>
      </c>
      <c r="D120" s="22">
        <f>SUMIFS(Global_trade!K120:K619,Global_trade!F120:F619,'Q6'!B120,Global_trade!N120:N619,'Q6'!A120)</f>
        <v>1107.3499999999999</v>
      </c>
      <c r="E120" s="22">
        <f>AVERAGEIFS(Global_trade!I120:I619,Global_trade!F120:F619,'Q6'!B120,Global_trade!N120:N619,'Q6'!A120)</f>
        <v>1227.1500000000001</v>
      </c>
      <c r="F120" s="22">
        <f>AVERAGEIFS(Global_trade!K120:K619,Global_trade!F120:F619,'Q6'!B120,Global_trade!N120:N619,'Q6'!A120)</f>
        <v>276.83749999999998</v>
      </c>
    </row>
    <row r="121" spans="1:6" x14ac:dyDescent="0.3">
      <c r="A121" t="s">
        <v>24</v>
      </c>
      <c r="B121" t="s">
        <v>59</v>
      </c>
      <c r="C121" s="22">
        <f>SUMIFS(Global_trade!I121:I620,Global_trade!F121:F620,B121,Global_trade!N121:N620,A121)</f>
        <v>24688.610000000004</v>
      </c>
      <c r="D121" s="22">
        <f>SUMIFS(Global_trade!K121:K620,Global_trade!F121:F620,'Q6'!B121,Global_trade!N121:N620,'Q6'!A121)</f>
        <v>7292.3300000000017</v>
      </c>
      <c r="E121" s="22">
        <f>AVERAGEIFS(Global_trade!I121:I620,Global_trade!F121:F620,'Q6'!B121,Global_trade!N121:N620,'Q6'!A121)</f>
        <v>987.54440000000022</v>
      </c>
      <c r="F121" s="22">
        <f>AVERAGEIFS(Global_trade!K121:K620,Global_trade!F121:F620,'Q6'!B121,Global_trade!N121:N620,'Q6'!A121)</f>
        <v>291.69320000000005</v>
      </c>
    </row>
    <row r="122" spans="1:6" x14ac:dyDescent="0.3">
      <c r="A122" t="s">
        <v>102</v>
      </c>
      <c r="B122" t="s">
        <v>43</v>
      </c>
      <c r="C122" s="22">
        <f>SUMIFS(Global_trade!I122:I621,Global_trade!F122:F621,B122,Global_trade!N122:N621,A122)</f>
        <v>4784.3200000000006</v>
      </c>
      <c r="D122" s="22">
        <f>SUMIFS(Global_trade!K122:K621,Global_trade!F122:F621,'Q6'!B122,Global_trade!N122:N621,'Q6'!A122)</f>
        <v>1488.38</v>
      </c>
      <c r="E122" s="22">
        <f>AVERAGEIFS(Global_trade!I122:I621,Global_trade!F122:F621,'Q6'!B122,Global_trade!N122:N621,'Q6'!A122)</f>
        <v>683.47428571428577</v>
      </c>
      <c r="F122" s="22">
        <f>AVERAGEIFS(Global_trade!K122:K621,Global_trade!F122:F621,'Q6'!B122,Global_trade!N122:N621,'Q6'!A122)</f>
        <v>212.62571428571431</v>
      </c>
    </row>
    <row r="123" spans="1:6" x14ac:dyDescent="0.3">
      <c r="A123" t="s">
        <v>24</v>
      </c>
      <c r="B123" t="s">
        <v>59</v>
      </c>
      <c r="C123" s="22">
        <f>SUMIFS(Global_trade!I123:I622,Global_trade!F123:F622,B123,Global_trade!N123:N622,A123)</f>
        <v>24013.610000000004</v>
      </c>
      <c r="D123" s="22">
        <f>SUMIFS(Global_trade!K123:K622,Global_trade!F123:F622,'Q6'!B123,Global_trade!N123:N622,'Q6'!A123)</f>
        <v>7051.3200000000006</v>
      </c>
      <c r="E123" s="22">
        <f>AVERAGEIFS(Global_trade!I123:I622,Global_trade!F123:F622,'Q6'!B123,Global_trade!N123:N622,'Q6'!A123)</f>
        <v>1000.5670833333335</v>
      </c>
      <c r="F123" s="22">
        <f>AVERAGEIFS(Global_trade!K123:K622,Global_trade!F123:F622,'Q6'!B123,Global_trade!N123:N622,'Q6'!A123)</f>
        <v>293.80500000000001</v>
      </c>
    </row>
    <row r="124" spans="1:6" x14ac:dyDescent="0.3">
      <c r="A124" t="s">
        <v>66</v>
      </c>
      <c r="B124" t="s">
        <v>65</v>
      </c>
      <c r="C124" s="22">
        <f>SUMIFS(Global_trade!I124:I623,Global_trade!F124:F623,B124,Global_trade!N124:N623,A124)</f>
        <v>18605.03</v>
      </c>
      <c r="D124" s="22">
        <f>SUMIFS(Global_trade!K124:K623,Global_trade!F124:F623,'Q6'!B124,Global_trade!N124:N623,'Q6'!A124)</f>
        <v>5070.7300000000005</v>
      </c>
      <c r="E124" s="22">
        <f>AVERAGEIFS(Global_trade!I124:I623,Global_trade!F124:F623,'Q6'!B124,Global_trade!N124:N623,'Q6'!A124)</f>
        <v>885.95380952380947</v>
      </c>
      <c r="F124" s="22">
        <f>AVERAGEIFS(Global_trade!K124:K623,Global_trade!F124:F623,'Q6'!B124,Global_trade!N124:N623,'Q6'!A124)</f>
        <v>241.46333333333337</v>
      </c>
    </row>
    <row r="125" spans="1:6" x14ac:dyDescent="0.3">
      <c r="A125" t="s">
        <v>24</v>
      </c>
      <c r="B125" t="s">
        <v>65</v>
      </c>
      <c r="C125" s="22">
        <f>SUMIFS(Global_trade!I125:I624,Global_trade!F125:F624,B125,Global_trade!N125:N624,A125)</f>
        <v>3678.6200000000003</v>
      </c>
      <c r="D125" s="22">
        <f>SUMIFS(Global_trade!K125:K624,Global_trade!F125:F624,'Q6'!B125,Global_trade!N125:N624,'Q6'!A125)</f>
        <v>795.24</v>
      </c>
      <c r="E125" s="22">
        <f>AVERAGEIFS(Global_trade!I125:I624,Global_trade!F125:F624,'Q6'!B125,Global_trade!N125:N624,'Q6'!A125)</f>
        <v>735.72400000000005</v>
      </c>
      <c r="F125" s="22">
        <f>AVERAGEIFS(Global_trade!K125:K624,Global_trade!F125:F624,'Q6'!B125,Global_trade!N125:N624,'Q6'!A125)</f>
        <v>159.048</v>
      </c>
    </row>
    <row r="126" spans="1:6" x14ac:dyDescent="0.3">
      <c r="A126" t="s">
        <v>32</v>
      </c>
      <c r="B126" t="s">
        <v>59</v>
      </c>
      <c r="C126" s="22">
        <f>SUMIFS(Global_trade!I126:I625,Global_trade!F126:F625,B126,Global_trade!N126:N625,A126)</f>
        <v>22649.469999999998</v>
      </c>
      <c r="D126" s="22">
        <f>SUMIFS(Global_trade!K126:K625,Global_trade!F126:F625,'Q6'!B126,Global_trade!N126:N625,'Q6'!A126)</f>
        <v>6307.3199999999988</v>
      </c>
      <c r="E126" s="22">
        <f>AVERAGEIFS(Global_trade!I126:I625,Global_trade!F126:F625,'Q6'!B126,Global_trade!N126:N625,'Q6'!A126)</f>
        <v>808.90964285714279</v>
      </c>
      <c r="F126" s="22">
        <f>AVERAGEIFS(Global_trade!K126:K625,Global_trade!F126:F625,'Q6'!B126,Global_trade!N126:N625,'Q6'!A126)</f>
        <v>225.26142857142852</v>
      </c>
    </row>
    <row r="127" spans="1:6" x14ac:dyDescent="0.3">
      <c r="A127" t="s">
        <v>24</v>
      </c>
      <c r="B127" t="s">
        <v>59</v>
      </c>
      <c r="C127" s="22">
        <f>SUMIFS(Global_trade!I127:I626,Global_trade!F127:F626,B127,Global_trade!N127:N626,A127)</f>
        <v>23374.49</v>
      </c>
      <c r="D127" s="22">
        <f>SUMIFS(Global_trade!K127:K626,Global_trade!F127:F626,'Q6'!B127,Global_trade!N127:N626,'Q6'!A127)</f>
        <v>6816.1200000000008</v>
      </c>
      <c r="E127" s="22">
        <f>AVERAGEIFS(Global_trade!I127:I626,Global_trade!F127:F626,'Q6'!B127,Global_trade!N127:N626,'Q6'!A127)</f>
        <v>1016.2821739130435</v>
      </c>
      <c r="F127" s="22">
        <f>AVERAGEIFS(Global_trade!K127:K626,Global_trade!F127:F626,'Q6'!B127,Global_trade!N127:N626,'Q6'!A127)</f>
        <v>296.35304347826093</v>
      </c>
    </row>
    <row r="128" spans="1:6" x14ac:dyDescent="0.3">
      <c r="A128" t="s">
        <v>66</v>
      </c>
      <c r="B128" t="s">
        <v>50</v>
      </c>
      <c r="C128" s="22">
        <f>SUMIFS(Global_trade!I128:I627,Global_trade!F128:F627,B128,Global_trade!N128:N627,A128)</f>
        <v>20687.719999999998</v>
      </c>
      <c r="D128" s="22">
        <f>SUMIFS(Global_trade!K128:K627,Global_trade!F128:F627,'Q6'!B128,Global_trade!N128:N627,'Q6'!A128)</f>
        <v>5672.6900000000005</v>
      </c>
      <c r="E128" s="22">
        <f>AVERAGEIFS(Global_trade!I128:I627,Global_trade!F128:F627,'Q6'!B128,Global_trade!N128:N627,'Q6'!A128)</f>
        <v>1292.9824999999998</v>
      </c>
      <c r="F128" s="22">
        <f>AVERAGEIFS(Global_trade!K128:K627,Global_trade!F128:F627,'Q6'!B128,Global_trade!N128:N627,'Q6'!A128)</f>
        <v>354.54312500000003</v>
      </c>
    </row>
    <row r="129" spans="1:6" x14ac:dyDescent="0.3">
      <c r="A129" t="s">
        <v>66</v>
      </c>
      <c r="B129" t="s">
        <v>59</v>
      </c>
      <c r="C129" s="22">
        <f>SUMIFS(Global_trade!I129:I628,Global_trade!F129:F628,B129,Global_trade!N129:N628,A129)</f>
        <v>40415.860000000015</v>
      </c>
      <c r="D129" s="22">
        <f>SUMIFS(Global_trade!K129:K628,Global_trade!F129:F628,'Q6'!B129,Global_trade!N129:N628,'Q6'!A129)</f>
        <v>11140.729999999998</v>
      </c>
      <c r="E129" s="22">
        <f>AVERAGEIFS(Global_trade!I129:I628,Global_trade!F129:F628,'Q6'!B129,Global_trade!N129:N628,'Q6'!A129)</f>
        <v>878.60565217391343</v>
      </c>
      <c r="F129" s="22">
        <f>AVERAGEIFS(Global_trade!K129:K628,Global_trade!F129:F628,'Q6'!B129,Global_trade!N129:N628,'Q6'!A129)</f>
        <v>242.18978260869559</v>
      </c>
    </row>
    <row r="130" spans="1:6" x14ac:dyDescent="0.3">
      <c r="A130" t="s">
        <v>66</v>
      </c>
      <c r="B130" t="s">
        <v>43</v>
      </c>
      <c r="C130" s="22">
        <f>SUMIFS(Global_trade!I130:I629,Global_trade!F130:F629,B130,Global_trade!N130:N629,A130)</f>
        <v>25816.420000000002</v>
      </c>
      <c r="D130" s="22">
        <f>SUMIFS(Global_trade!K130:K629,Global_trade!F130:F629,'Q6'!B130,Global_trade!N130:N629,'Q6'!A130)</f>
        <v>7073.2000000000007</v>
      </c>
      <c r="E130" s="22">
        <f>AVERAGEIFS(Global_trade!I130:I629,Global_trade!F130:F629,'Q6'!B130,Global_trade!N130:N629,'Q6'!A130)</f>
        <v>832.78774193548395</v>
      </c>
      <c r="F130" s="22">
        <f>AVERAGEIFS(Global_trade!K130:K629,Global_trade!F130:F629,'Q6'!B130,Global_trade!N130:N629,'Q6'!A130)</f>
        <v>228.16774193548389</v>
      </c>
    </row>
    <row r="131" spans="1:6" x14ac:dyDescent="0.3">
      <c r="A131" t="s">
        <v>24</v>
      </c>
      <c r="B131" t="s">
        <v>43</v>
      </c>
      <c r="C131" s="22">
        <f>SUMIFS(Global_trade!I131:I630,Global_trade!F131:F630,B131,Global_trade!N131:N630,A131)</f>
        <v>18661.000000000004</v>
      </c>
      <c r="D131" s="22">
        <f>SUMIFS(Global_trade!K131:K630,Global_trade!F131:F630,'Q6'!B131,Global_trade!N131:N630,'Q6'!A131)</f>
        <v>4590.6299999999992</v>
      </c>
      <c r="E131" s="22">
        <f>AVERAGEIFS(Global_trade!I131:I630,Global_trade!F131:F630,'Q6'!B131,Global_trade!N131:N630,'Q6'!A131)</f>
        <v>811.34782608695673</v>
      </c>
      <c r="F131" s="22">
        <f>AVERAGEIFS(Global_trade!K131:K630,Global_trade!F131:F630,'Q6'!B131,Global_trade!N131:N630,'Q6'!A131)</f>
        <v>199.59260869565213</v>
      </c>
    </row>
    <row r="132" spans="1:6" x14ac:dyDescent="0.3">
      <c r="A132" t="s">
        <v>66</v>
      </c>
      <c r="B132" t="s">
        <v>21</v>
      </c>
      <c r="C132" s="22">
        <f>SUMIFS(Global_trade!I132:I631,Global_trade!F132:F631,B132,Global_trade!N132:N631,A132)</f>
        <v>21969.629999999997</v>
      </c>
      <c r="D132" s="22">
        <f>SUMIFS(Global_trade!K132:K631,Global_trade!F132:F631,'Q6'!B132,Global_trade!N132:N631,'Q6'!A132)</f>
        <v>6245.07</v>
      </c>
      <c r="E132" s="22">
        <f>AVERAGEIFS(Global_trade!I132:I631,Global_trade!F132:F631,'Q6'!B132,Global_trade!N132:N631,'Q6'!A132)</f>
        <v>844.98576923076917</v>
      </c>
      <c r="F132" s="22">
        <f>AVERAGEIFS(Global_trade!K132:K631,Global_trade!F132:F631,'Q6'!B132,Global_trade!N132:N631,'Q6'!A132)</f>
        <v>240.19499999999999</v>
      </c>
    </row>
    <row r="133" spans="1:6" x14ac:dyDescent="0.3">
      <c r="A133" t="s">
        <v>32</v>
      </c>
      <c r="B133" t="s">
        <v>50</v>
      </c>
      <c r="C133" s="22">
        <f>SUMIFS(Global_trade!I133:I632,Global_trade!F133:F632,B133,Global_trade!N133:N632,A133)</f>
        <v>6520.63</v>
      </c>
      <c r="D133" s="22">
        <f>SUMIFS(Global_trade!K133:K632,Global_trade!F133:F632,'Q6'!B133,Global_trade!N133:N632,'Q6'!A133)</f>
        <v>2135.09</v>
      </c>
      <c r="E133" s="22">
        <f>AVERAGEIFS(Global_trade!I133:I632,Global_trade!F133:F632,'Q6'!B133,Global_trade!N133:N632,'Q6'!A133)</f>
        <v>1304.126</v>
      </c>
      <c r="F133" s="22">
        <f>AVERAGEIFS(Global_trade!K133:K632,Global_trade!F133:F632,'Q6'!B133,Global_trade!N133:N632,'Q6'!A133)</f>
        <v>427.01800000000003</v>
      </c>
    </row>
    <row r="134" spans="1:6" x14ac:dyDescent="0.3">
      <c r="A134" t="s">
        <v>32</v>
      </c>
      <c r="B134" t="s">
        <v>50</v>
      </c>
      <c r="C134" s="22">
        <f>SUMIFS(Global_trade!I134:I633,Global_trade!F134:F633,B134,Global_trade!N134:N633,A134)</f>
        <v>5215.1500000000005</v>
      </c>
      <c r="D134" s="22">
        <f>SUMIFS(Global_trade!K134:K633,Global_trade!F134:F633,'Q6'!B134,Global_trade!N134:N633,'Q6'!A134)</f>
        <v>1812.5399999999997</v>
      </c>
      <c r="E134" s="22">
        <f>AVERAGEIFS(Global_trade!I134:I633,Global_trade!F134:F633,'Q6'!B134,Global_trade!N134:N633,'Q6'!A134)</f>
        <v>1303.7875000000001</v>
      </c>
      <c r="F134" s="22">
        <f>AVERAGEIFS(Global_trade!K134:K633,Global_trade!F134:F633,'Q6'!B134,Global_trade!N134:N633,'Q6'!A134)</f>
        <v>453.13499999999993</v>
      </c>
    </row>
    <row r="135" spans="1:6" x14ac:dyDescent="0.3">
      <c r="A135" t="s">
        <v>66</v>
      </c>
      <c r="B135" t="s">
        <v>65</v>
      </c>
      <c r="C135" s="22">
        <f>SUMIFS(Global_trade!I135:I634,Global_trade!F135:F634,B135,Global_trade!N135:N634,A135)</f>
        <v>17483.39</v>
      </c>
      <c r="D135" s="22">
        <f>SUMIFS(Global_trade!K135:K634,Global_trade!F135:F634,'Q6'!B135,Global_trade!N135:N634,'Q6'!A135)</f>
        <v>4647.17</v>
      </c>
      <c r="E135" s="22">
        <f>AVERAGEIFS(Global_trade!I135:I634,Global_trade!F135:F634,'Q6'!B135,Global_trade!N135:N634,'Q6'!A135)</f>
        <v>874.16949999999997</v>
      </c>
      <c r="F135" s="22">
        <f>AVERAGEIFS(Global_trade!K135:K634,Global_trade!F135:F634,'Q6'!B135,Global_trade!N135:N634,'Q6'!A135)</f>
        <v>232.35849999999999</v>
      </c>
    </row>
    <row r="136" spans="1:6" x14ac:dyDescent="0.3">
      <c r="A136" t="s">
        <v>45</v>
      </c>
      <c r="B136" t="s">
        <v>50</v>
      </c>
      <c r="C136" s="22">
        <f>SUMIFS(Global_trade!I136:I635,Global_trade!F136:F635,B136,Global_trade!N136:N635,A136)</f>
        <v>1965.6</v>
      </c>
      <c r="D136" s="22">
        <f>SUMIFS(Global_trade!K136:K635,Global_trade!F136:F635,'Q6'!B136,Global_trade!N136:N635,'Q6'!A136)</f>
        <v>375.26</v>
      </c>
      <c r="E136" s="22">
        <f>AVERAGEIFS(Global_trade!I136:I635,Global_trade!F136:F635,'Q6'!B136,Global_trade!N136:N635,'Q6'!A136)</f>
        <v>1965.6</v>
      </c>
      <c r="F136" s="22">
        <f>AVERAGEIFS(Global_trade!K136:K635,Global_trade!F136:F635,'Q6'!B136,Global_trade!N136:N635,'Q6'!A136)</f>
        <v>375.26</v>
      </c>
    </row>
    <row r="137" spans="1:6" x14ac:dyDescent="0.3">
      <c r="A137" t="s">
        <v>32</v>
      </c>
      <c r="B137" t="s">
        <v>59</v>
      </c>
      <c r="C137" s="22">
        <f>SUMIFS(Global_trade!I137:I636,Global_trade!F137:F636,B137,Global_trade!N137:N636,A137)</f>
        <v>22492.92</v>
      </c>
      <c r="D137" s="22">
        <f>SUMIFS(Global_trade!K137:K636,Global_trade!F137:F636,'Q6'!B137,Global_trade!N137:N636,'Q6'!A137)</f>
        <v>6267.3099999999986</v>
      </c>
      <c r="E137" s="22">
        <f>AVERAGEIFS(Global_trade!I137:I636,Global_trade!F137:F636,'Q6'!B137,Global_trade!N137:N636,'Q6'!A137)</f>
        <v>833.07111111111101</v>
      </c>
      <c r="F137" s="22">
        <f>AVERAGEIFS(Global_trade!K137:K636,Global_trade!F137:F636,'Q6'!B137,Global_trade!N137:N636,'Q6'!A137)</f>
        <v>232.12259259259255</v>
      </c>
    </row>
    <row r="138" spans="1:6" x14ac:dyDescent="0.3">
      <c r="A138" t="s">
        <v>66</v>
      </c>
      <c r="B138" t="s">
        <v>43</v>
      </c>
      <c r="C138" s="22">
        <f>SUMIFS(Global_trade!I138:I637,Global_trade!F138:F637,B138,Global_trade!N138:N637,A138)</f>
        <v>24362.320000000003</v>
      </c>
      <c r="D138" s="22">
        <f>SUMIFS(Global_trade!K138:K637,Global_trade!F138:F637,'Q6'!B138,Global_trade!N138:N637,'Q6'!A138)</f>
        <v>6870.1800000000012</v>
      </c>
      <c r="E138" s="22">
        <f>AVERAGEIFS(Global_trade!I138:I637,Global_trade!F138:F637,'Q6'!B138,Global_trade!N138:N637,'Q6'!A138)</f>
        <v>812.0773333333334</v>
      </c>
      <c r="F138" s="22">
        <f>AVERAGEIFS(Global_trade!K138:K637,Global_trade!F138:F637,'Q6'!B138,Global_trade!N138:N637,'Q6'!A138)</f>
        <v>229.00600000000003</v>
      </c>
    </row>
    <row r="139" spans="1:6" x14ac:dyDescent="0.3">
      <c r="A139" t="s">
        <v>66</v>
      </c>
      <c r="B139" t="s">
        <v>59</v>
      </c>
      <c r="C139" s="22">
        <f>SUMIFS(Global_trade!I139:I638,Global_trade!F139:F638,B139,Global_trade!N139:N638,A139)</f>
        <v>39893.520000000019</v>
      </c>
      <c r="D139" s="22">
        <f>SUMIFS(Global_trade!K139:K638,Global_trade!F139:F638,'Q6'!B139,Global_trade!N139:N638,'Q6'!A139)</f>
        <v>11019.759999999998</v>
      </c>
      <c r="E139" s="22">
        <f>AVERAGEIFS(Global_trade!I139:I638,Global_trade!F139:F638,'Q6'!B139,Global_trade!N139:N638,'Q6'!A139)</f>
        <v>886.52266666666708</v>
      </c>
      <c r="F139" s="22">
        <f>AVERAGEIFS(Global_trade!K139:K638,Global_trade!F139:F638,'Q6'!B139,Global_trade!N139:N638,'Q6'!A139)</f>
        <v>244.88355555555552</v>
      </c>
    </row>
    <row r="140" spans="1:6" x14ac:dyDescent="0.3">
      <c r="A140" t="s">
        <v>66</v>
      </c>
      <c r="B140" t="s">
        <v>59</v>
      </c>
      <c r="C140" s="22">
        <f>SUMIFS(Global_trade!I140:I639,Global_trade!F140:F639,B140,Global_trade!N140:N639,A140)</f>
        <v>39433.800000000017</v>
      </c>
      <c r="D140" s="22">
        <f>SUMIFS(Global_trade!K140:K639,Global_trade!F140:F639,'Q6'!B140,Global_trade!N140:N639,'Q6'!A140)</f>
        <v>10866.06</v>
      </c>
      <c r="E140" s="22">
        <f>AVERAGEIFS(Global_trade!I140:I639,Global_trade!F140:F639,'Q6'!B140,Global_trade!N140:N639,'Q6'!A140)</f>
        <v>896.22272727272764</v>
      </c>
      <c r="F140" s="22">
        <f>AVERAGEIFS(Global_trade!K140:K639,Global_trade!F140:F639,'Q6'!B140,Global_trade!N140:N639,'Q6'!A140)</f>
        <v>246.95590909090907</v>
      </c>
    </row>
    <row r="141" spans="1:6" x14ac:dyDescent="0.3">
      <c r="A141" t="s">
        <v>32</v>
      </c>
      <c r="B141" t="s">
        <v>65</v>
      </c>
      <c r="C141" s="22">
        <f>SUMIFS(Global_trade!I141:I640,Global_trade!F141:F640,B141,Global_trade!N141:N640,A141)</f>
        <v>10142.56</v>
      </c>
      <c r="D141" s="22">
        <f>SUMIFS(Global_trade!K141:K640,Global_trade!F141:F640,'Q6'!B141,Global_trade!N141:N640,'Q6'!A141)</f>
        <v>2662.79</v>
      </c>
      <c r="E141" s="22">
        <f>AVERAGEIFS(Global_trade!I141:I640,Global_trade!F141:F640,'Q6'!B141,Global_trade!N141:N640,'Q6'!A141)</f>
        <v>922.05090909090904</v>
      </c>
      <c r="F141" s="22">
        <f>AVERAGEIFS(Global_trade!K141:K640,Global_trade!F141:F640,'Q6'!B141,Global_trade!N141:N640,'Q6'!A141)</f>
        <v>242.07181818181817</v>
      </c>
    </row>
    <row r="142" spans="1:6" x14ac:dyDescent="0.3">
      <c r="A142" t="s">
        <v>102</v>
      </c>
      <c r="B142" t="s">
        <v>50</v>
      </c>
      <c r="C142" s="22">
        <f>SUMIFS(Global_trade!I142:I641,Global_trade!F142:F641,B142,Global_trade!N142:N641,A142)</f>
        <v>3846.2299999999996</v>
      </c>
      <c r="D142" s="22">
        <f>SUMIFS(Global_trade!K142:K641,Global_trade!F142:F641,'Q6'!B142,Global_trade!N142:N641,'Q6'!A142)</f>
        <v>1122.6100000000001</v>
      </c>
      <c r="E142" s="22">
        <f>AVERAGEIFS(Global_trade!I142:I641,Global_trade!F142:F641,'Q6'!B142,Global_trade!N142:N641,'Q6'!A142)</f>
        <v>1923.1149999999998</v>
      </c>
      <c r="F142" s="22">
        <f>AVERAGEIFS(Global_trade!K142:K641,Global_trade!F142:F641,'Q6'!B142,Global_trade!N142:N641,'Q6'!A142)</f>
        <v>561.30500000000006</v>
      </c>
    </row>
    <row r="143" spans="1:6" x14ac:dyDescent="0.3">
      <c r="A143" t="s">
        <v>32</v>
      </c>
      <c r="B143" t="s">
        <v>65</v>
      </c>
      <c r="C143" s="22">
        <f>SUMIFS(Global_trade!I143:I642,Global_trade!F143:F642,B143,Global_trade!N143:N642,A143)</f>
        <v>9258.64</v>
      </c>
      <c r="D143" s="22">
        <f>SUMIFS(Global_trade!K143:K642,Global_trade!F143:F642,'Q6'!B143,Global_trade!N143:N642,'Q6'!A143)</f>
        <v>2537.02</v>
      </c>
      <c r="E143" s="22">
        <f>AVERAGEIFS(Global_trade!I143:I642,Global_trade!F143:F642,'Q6'!B143,Global_trade!N143:N642,'Q6'!A143)</f>
        <v>925.86399999999992</v>
      </c>
      <c r="F143" s="22">
        <f>AVERAGEIFS(Global_trade!K143:K642,Global_trade!F143:F642,'Q6'!B143,Global_trade!N143:N642,'Q6'!A143)</f>
        <v>253.702</v>
      </c>
    </row>
    <row r="144" spans="1:6" x14ac:dyDescent="0.3">
      <c r="A144" t="s">
        <v>66</v>
      </c>
      <c r="B144" t="s">
        <v>65</v>
      </c>
      <c r="C144" s="22">
        <f>SUMIFS(Global_trade!I144:I643,Global_trade!F144:F643,B144,Global_trade!N144:N643,A144)</f>
        <v>16622.810000000001</v>
      </c>
      <c r="D144" s="22">
        <f>SUMIFS(Global_trade!K144:K643,Global_trade!F144:F643,'Q6'!B144,Global_trade!N144:N643,'Q6'!A144)</f>
        <v>4348.5999999999995</v>
      </c>
      <c r="E144" s="22">
        <f>AVERAGEIFS(Global_trade!I144:I643,Global_trade!F144:F643,'Q6'!B144,Global_trade!N144:N643,'Q6'!A144)</f>
        <v>874.88473684210533</v>
      </c>
      <c r="F144" s="22">
        <f>AVERAGEIFS(Global_trade!K144:K643,Global_trade!F144:F643,'Q6'!B144,Global_trade!N144:N643,'Q6'!A144)</f>
        <v>228.87368421052628</v>
      </c>
    </row>
    <row r="145" spans="1:6" x14ac:dyDescent="0.3">
      <c r="A145" t="s">
        <v>24</v>
      </c>
      <c r="B145" t="s">
        <v>43</v>
      </c>
      <c r="C145" s="22">
        <f>SUMIFS(Global_trade!I145:I644,Global_trade!F145:F644,B145,Global_trade!N145:N644,A145)</f>
        <v>17925.240000000002</v>
      </c>
      <c r="D145" s="22">
        <f>SUMIFS(Global_trade!K145:K644,Global_trade!F145:F644,'Q6'!B145,Global_trade!N145:N644,'Q6'!A145)</f>
        <v>4449.829999999999</v>
      </c>
      <c r="E145" s="22">
        <f>AVERAGEIFS(Global_trade!I145:I644,Global_trade!F145:F644,'Q6'!B145,Global_trade!N145:N644,'Q6'!A145)</f>
        <v>814.78363636363645</v>
      </c>
      <c r="F145" s="22">
        <f>AVERAGEIFS(Global_trade!K145:K644,Global_trade!F145:F644,'Q6'!B145,Global_trade!N145:N644,'Q6'!A145)</f>
        <v>202.26499999999996</v>
      </c>
    </row>
    <row r="146" spans="1:6" x14ac:dyDescent="0.3">
      <c r="A146" t="s">
        <v>32</v>
      </c>
      <c r="B146" t="s">
        <v>59</v>
      </c>
      <c r="C146" s="22">
        <f>SUMIFS(Global_trade!I146:I645,Global_trade!F146:F645,B146,Global_trade!N146:N645,A146)</f>
        <v>22465.429999999997</v>
      </c>
      <c r="D146" s="22">
        <f>SUMIFS(Global_trade!K146:K645,Global_trade!F146:F645,'Q6'!B146,Global_trade!N146:N645,'Q6'!A146)</f>
        <v>6255.9499999999989</v>
      </c>
      <c r="E146" s="22">
        <f>AVERAGEIFS(Global_trade!I146:I645,Global_trade!F146:F645,'Q6'!B146,Global_trade!N146:N645,'Q6'!A146)</f>
        <v>864.05499999999984</v>
      </c>
      <c r="F146" s="22">
        <f>AVERAGEIFS(Global_trade!K146:K645,Global_trade!F146:F645,'Q6'!B146,Global_trade!N146:N645,'Q6'!A146)</f>
        <v>240.61346153846151</v>
      </c>
    </row>
    <row r="147" spans="1:6" x14ac:dyDescent="0.3">
      <c r="A147" t="s">
        <v>66</v>
      </c>
      <c r="B147" t="s">
        <v>59</v>
      </c>
      <c r="C147" s="22">
        <f>SUMIFS(Global_trade!I147:I646,Global_trade!F147:F646,B147,Global_trade!N147:N646,A147)</f>
        <v>39243.720000000016</v>
      </c>
      <c r="D147" s="22">
        <f>SUMIFS(Global_trade!K147:K646,Global_trade!F147:F646,'Q6'!B147,Global_trade!N147:N646,'Q6'!A147)</f>
        <v>10798.21</v>
      </c>
      <c r="E147" s="22">
        <f>AVERAGEIFS(Global_trade!I147:I646,Global_trade!F147:F646,'Q6'!B147,Global_trade!N147:N646,'Q6'!A147)</f>
        <v>912.64465116279109</v>
      </c>
      <c r="F147" s="22">
        <f>AVERAGEIFS(Global_trade!K147:K646,Global_trade!F147:F646,'Q6'!B147,Global_trade!N147:N646,'Q6'!A147)</f>
        <v>251.12116279069767</v>
      </c>
    </row>
    <row r="148" spans="1:6" x14ac:dyDescent="0.3">
      <c r="A148" t="s">
        <v>45</v>
      </c>
      <c r="B148" t="s">
        <v>59</v>
      </c>
      <c r="C148" s="22">
        <f>SUMIFS(Global_trade!I148:I647,Global_trade!F148:F647,B148,Global_trade!N148:N647,A148)</f>
        <v>2088.92</v>
      </c>
      <c r="D148" s="22">
        <f>SUMIFS(Global_trade!K148:K647,Global_trade!F148:F647,'Q6'!B148,Global_trade!N148:N647,'Q6'!A148)</f>
        <v>451.49</v>
      </c>
      <c r="E148" s="22">
        <f>AVERAGEIFS(Global_trade!I148:I647,Global_trade!F148:F647,'Q6'!B148,Global_trade!N148:N647,'Q6'!A148)</f>
        <v>522.23</v>
      </c>
      <c r="F148" s="22">
        <f>AVERAGEIFS(Global_trade!K148:K647,Global_trade!F148:F647,'Q6'!B148,Global_trade!N148:N647,'Q6'!A148)</f>
        <v>112.8725</v>
      </c>
    </row>
    <row r="149" spans="1:6" x14ac:dyDescent="0.3">
      <c r="A149" t="s">
        <v>66</v>
      </c>
      <c r="B149" t="s">
        <v>43</v>
      </c>
      <c r="C149" s="22">
        <f>SUMIFS(Global_trade!I149:I648,Global_trade!F149:F648,B149,Global_trade!N149:N648,A149)</f>
        <v>22306.820000000003</v>
      </c>
      <c r="D149" s="22">
        <f>SUMIFS(Global_trade!K149:K648,Global_trade!F149:F648,'Q6'!B149,Global_trade!N149:N648,'Q6'!A149)</f>
        <v>6510.2900000000018</v>
      </c>
      <c r="E149" s="22">
        <f>AVERAGEIFS(Global_trade!I149:I648,Global_trade!F149:F648,'Q6'!B149,Global_trade!N149:N648,'Q6'!A149)</f>
        <v>769.20068965517248</v>
      </c>
      <c r="F149" s="22">
        <f>AVERAGEIFS(Global_trade!K149:K648,Global_trade!F149:F648,'Q6'!B149,Global_trade!N149:N648,'Q6'!A149)</f>
        <v>224.49275862068973</v>
      </c>
    </row>
    <row r="150" spans="1:6" x14ac:dyDescent="0.3">
      <c r="A150" t="s">
        <v>24</v>
      </c>
      <c r="B150" t="s">
        <v>59</v>
      </c>
      <c r="C150" s="22">
        <f>SUMIFS(Global_trade!I150:I649,Global_trade!F150:F649,B150,Global_trade!N150:N649,A150)</f>
        <v>21822.59</v>
      </c>
      <c r="D150" s="22">
        <f>SUMIFS(Global_trade!K150:K649,Global_trade!F150:F649,'Q6'!B150,Global_trade!N150:N649,'Q6'!A150)</f>
        <v>6514.4800000000005</v>
      </c>
      <c r="E150" s="22">
        <f>AVERAGEIFS(Global_trade!I150:I649,Global_trade!F150:F649,'Q6'!B150,Global_trade!N150:N649,'Q6'!A150)</f>
        <v>991.93590909090915</v>
      </c>
      <c r="F150" s="22">
        <f>AVERAGEIFS(Global_trade!K150:K649,Global_trade!F150:F649,'Q6'!B150,Global_trade!N150:N649,'Q6'!A150)</f>
        <v>296.11272727272728</v>
      </c>
    </row>
    <row r="151" spans="1:6" x14ac:dyDescent="0.3">
      <c r="A151" t="s">
        <v>66</v>
      </c>
      <c r="B151" t="s">
        <v>65</v>
      </c>
      <c r="C151" s="22">
        <f>SUMIFS(Global_trade!I151:I650,Global_trade!F151:F650,B151,Global_trade!N151:N650,A151)</f>
        <v>16504.849999999999</v>
      </c>
      <c r="D151" s="22">
        <f>SUMIFS(Global_trade!K151:K650,Global_trade!F151:F650,'Q6'!B151,Global_trade!N151:N650,'Q6'!A151)</f>
        <v>4312.6099999999997</v>
      </c>
      <c r="E151" s="22">
        <f>AVERAGEIFS(Global_trade!I151:I650,Global_trade!F151:F650,'Q6'!B151,Global_trade!N151:N650,'Q6'!A151)</f>
        <v>916.93611111111102</v>
      </c>
      <c r="F151" s="22">
        <f>AVERAGEIFS(Global_trade!K151:K650,Global_trade!F151:F650,'Q6'!B151,Global_trade!N151:N650,'Q6'!A151)</f>
        <v>239.58944444444444</v>
      </c>
    </row>
    <row r="152" spans="1:6" x14ac:dyDescent="0.3">
      <c r="A152" t="s">
        <v>66</v>
      </c>
      <c r="B152" t="s">
        <v>59</v>
      </c>
      <c r="C152" s="22">
        <f>SUMIFS(Global_trade!I152:I651,Global_trade!F152:F651,B152,Global_trade!N152:N651,A152)</f>
        <v>38207.19000000001</v>
      </c>
      <c r="D152" s="22">
        <f>SUMIFS(Global_trade!K152:K651,Global_trade!F152:F651,'Q6'!B152,Global_trade!N152:N651,'Q6'!A152)</f>
        <v>10397.779999999999</v>
      </c>
      <c r="E152" s="22">
        <f>AVERAGEIFS(Global_trade!I152:I651,Global_trade!F152:F651,'Q6'!B152,Global_trade!N152:N651,'Q6'!A152)</f>
        <v>909.69500000000028</v>
      </c>
      <c r="F152" s="22">
        <f>AVERAGEIFS(Global_trade!K152:K651,Global_trade!F152:F651,'Q6'!B152,Global_trade!N152:N651,'Q6'!A152)</f>
        <v>247.56619047619046</v>
      </c>
    </row>
    <row r="153" spans="1:6" x14ac:dyDescent="0.3">
      <c r="A153" t="s">
        <v>102</v>
      </c>
      <c r="B153" t="s">
        <v>43</v>
      </c>
      <c r="C153" s="22">
        <f>SUMIFS(Global_trade!I153:I652,Global_trade!F153:F652,B153,Global_trade!N153:N652,A153)</f>
        <v>4708.3200000000006</v>
      </c>
      <c r="D153" s="22">
        <f>SUMIFS(Global_trade!K153:K652,Global_trade!F153:F652,'Q6'!B153,Global_trade!N153:N652,'Q6'!A153)</f>
        <v>1467.1599999999999</v>
      </c>
      <c r="E153" s="22">
        <f>AVERAGEIFS(Global_trade!I153:I652,Global_trade!F153:F652,'Q6'!B153,Global_trade!N153:N652,'Q6'!A153)</f>
        <v>784.72000000000014</v>
      </c>
      <c r="F153" s="22">
        <f>AVERAGEIFS(Global_trade!K153:K652,Global_trade!F153:F652,'Q6'!B153,Global_trade!N153:N652,'Q6'!A153)</f>
        <v>244.52666666666664</v>
      </c>
    </row>
    <row r="154" spans="1:6" x14ac:dyDescent="0.3">
      <c r="A154" t="s">
        <v>66</v>
      </c>
      <c r="B154" t="s">
        <v>21</v>
      </c>
      <c r="C154" s="22">
        <f>SUMIFS(Global_trade!I154:I653,Global_trade!F154:F653,B154,Global_trade!N154:N653,A154)</f>
        <v>20588.249999999996</v>
      </c>
      <c r="D154" s="22">
        <f>SUMIFS(Global_trade!K154:K653,Global_trade!F154:F653,'Q6'!B154,Global_trade!N154:N653,'Q6'!A154)</f>
        <v>5709.5299999999988</v>
      </c>
      <c r="E154" s="22">
        <f>AVERAGEIFS(Global_trade!I154:I653,Global_trade!F154:F653,'Q6'!B154,Global_trade!N154:N653,'Q6'!A154)</f>
        <v>823.52999999999986</v>
      </c>
      <c r="F154" s="22">
        <f>AVERAGEIFS(Global_trade!K154:K653,Global_trade!F154:F653,'Q6'!B154,Global_trade!N154:N653,'Q6'!A154)</f>
        <v>228.38119999999995</v>
      </c>
    </row>
    <row r="155" spans="1:6" x14ac:dyDescent="0.3">
      <c r="A155" t="s">
        <v>24</v>
      </c>
      <c r="B155" t="s">
        <v>59</v>
      </c>
      <c r="C155" s="22">
        <f>SUMIFS(Global_trade!I155:I654,Global_trade!F155:F654,B155,Global_trade!N155:N654,A155)</f>
        <v>19836.84</v>
      </c>
      <c r="D155" s="22">
        <f>SUMIFS(Global_trade!K155:K654,Global_trade!F155:F654,'Q6'!B155,Global_trade!N155:N654,'Q6'!A155)</f>
        <v>5961.4800000000014</v>
      </c>
      <c r="E155" s="22">
        <f>AVERAGEIFS(Global_trade!I155:I654,Global_trade!F155:F654,'Q6'!B155,Global_trade!N155:N654,'Q6'!A155)</f>
        <v>944.61142857142863</v>
      </c>
      <c r="F155" s="22">
        <f>AVERAGEIFS(Global_trade!K155:K654,Global_trade!F155:F654,'Q6'!B155,Global_trade!N155:N654,'Q6'!A155)</f>
        <v>283.88000000000005</v>
      </c>
    </row>
    <row r="156" spans="1:6" x14ac:dyDescent="0.3">
      <c r="A156" t="s">
        <v>45</v>
      </c>
      <c r="B156" t="s">
        <v>21</v>
      </c>
      <c r="C156" s="22">
        <f>SUMIFS(Global_trade!I156:I655,Global_trade!F156:F655,B156,Global_trade!N156:N655,A156)</f>
        <v>8480.99</v>
      </c>
      <c r="D156" s="22">
        <f>SUMIFS(Global_trade!K156:K655,Global_trade!F156:F655,'Q6'!B156,Global_trade!N156:N655,'Q6'!A156)</f>
        <v>2878.44</v>
      </c>
      <c r="E156" s="22">
        <f>AVERAGEIFS(Global_trade!I156:I655,Global_trade!F156:F655,'Q6'!B156,Global_trade!N156:N655,'Q6'!A156)</f>
        <v>1696.1979999999999</v>
      </c>
      <c r="F156" s="22">
        <f>AVERAGEIFS(Global_trade!K156:K655,Global_trade!F156:F655,'Q6'!B156,Global_trade!N156:N655,'Q6'!A156)</f>
        <v>575.68799999999999</v>
      </c>
    </row>
    <row r="157" spans="1:6" x14ac:dyDescent="0.3">
      <c r="A157" t="s">
        <v>102</v>
      </c>
      <c r="B157" t="s">
        <v>59</v>
      </c>
      <c r="C157" s="22">
        <f>SUMIFS(Global_trade!I157:I656,Global_trade!F157:F656,B157,Global_trade!N157:N656,A157)</f>
        <v>6354.18</v>
      </c>
      <c r="D157" s="22">
        <f>SUMIFS(Global_trade!K157:K656,Global_trade!F157:F656,'Q6'!B157,Global_trade!N157:N656,'Q6'!A157)</f>
        <v>1890.6200000000001</v>
      </c>
      <c r="E157" s="22">
        <f>AVERAGEIFS(Global_trade!I157:I656,Global_trade!F157:F656,'Q6'!B157,Global_trade!N157:N656,'Q6'!A157)</f>
        <v>907.74</v>
      </c>
      <c r="F157" s="22">
        <f>AVERAGEIFS(Global_trade!K157:K656,Global_trade!F157:F656,'Q6'!B157,Global_trade!N157:N656,'Q6'!A157)</f>
        <v>270.08857142857147</v>
      </c>
    </row>
    <row r="158" spans="1:6" x14ac:dyDescent="0.3">
      <c r="A158" t="s">
        <v>32</v>
      </c>
      <c r="B158" t="s">
        <v>59</v>
      </c>
      <c r="C158" s="22">
        <f>SUMIFS(Global_trade!I158:I657,Global_trade!F158:F657,B158,Global_trade!N158:N657,A158)</f>
        <v>22283.279999999999</v>
      </c>
      <c r="D158" s="22">
        <f>SUMIFS(Global_trade!K158:K657,Global_trade!F158:F657,'Q6'!B158,Global_trade!N158:N657,'Q6'!A158)</f>
        <v>6194.119999999999</v>
      </c>
      <c r="E158" s="22">
        <f>AVERAGEIFS(Global_trade!I158:I657,Global_trade!F158:F657,'Q6'!B158,Global_trade!N158:N657,'Q6'!A158)</f>
        <v>891.33119999999997</v>
      </c>
      <c r="F158" s="22">
        <f>AVERAGEIFS(Global_trade!K158:K657,Global_trade!F158:F657,'Q6'!B158,Global_trade!N158:N657,'Q6'!A158)</f>
        <v>247.76479999999995</v>
      </c>
    </row>
    <row r="159" spans="1:6" x14ac:dyDescent="0.3">
      <c r="A159" t="s">
        <v>32</v>
      </c>
      <c r="B159" t="s">
        <v>43</v>
      </c>
      <c r="C159" s="22">
        <f>SUMIFS(Global_trade!I159:I658,Global_trade!F159:F658,B159,Global_trade!N159:N658,A159)</f>
        <v>22046.18</v>
      </c>
      <c r="D159" s="22">
        <f>SUMIFS(Global_trade!K159:K658,Global_trade!F159:F658,'Q6'!B159,Global_trade!N159:N658,'Q6'!A159)</f>
        <v>6741.7300000000005</v>
      </c>
      <c r="E159" s="22">
        <f>AVERAGEIFS(Global_trade!I159:I658,Global_trade!F159:F658,'Q6'!B159,Global_trade!N159:N658,'Q6'!A159)</f>
        <v>711.16709677419351</v>
      </c>
      <c r="F159" s="22">
        <f>AVERAGEIFS(Global_trade!K159:K658,Global_trade!F159:F658,'Q6'!B159,Global_trade!N159:N658,'Q6'!A159)</f>
        <v>217.4751612903226</v>
      </c>
    </row>
    <row r="160" spans="1:6" x14ac:dyDescent="0.3">
      <c r="A160" t="s">
        <v>66</v>
      </c>
      <c r="B160" t="s">
        <v>50</v>
      </c>
      <c r="C160" s="22">
        <f>SUMIFS(Global_trade!I160:I659,Global_trade!F160:F659,B160,Global_trade!N160:N659,A160)</f>
        <v>18622.400000000001</v>
      </c>
      <c r="D160" s="22">
        <f>SUMIFS(Global_trade!K160:K659,Global_trade!F160:F659,'Q6'!B160,Global_trade!N160:N659,'Q6'!A160)</f>
        <v>5141.71</v>
      </c>
      <c r="E160" s="22">
        <f>AVERAGEIFS(Global_trade!I160:I659,Global_trade!F160:F659,'Q6'!B160,Global_trade!N160:N659,'Q6'!A160)</f>
        <v>1241.4933333333333</v>
      </c>
      <c r="F160" s="22">
        <f>AVERAGEIFS(Global_trade!K160:K659,Global_trade!F160:F659,'Q6'!B160,Global_trade!N160:N659,'Q6'!A160)</f>
        <v>342.78066666666666</v>
      </c>
    </row>
    <row r="161" spans="1:6" x14ac:dyDescent="0.3">
      <c r="A161" t="s">
        <v>24</v>
      </c>
      <c r="B161" t="s">
        <v>43</v>
      </c>
      <c r="C161" s="22">
        <f>SUMIFS(Global_trade!I161:I660,Global_trade!F161:F660,B161,Global_trade!N161:N660,A161)</f>
        <v>17493.240000000002</v>
      </c>
      <c r="D161" s="22">
        <f>SUMIFS(Global_trade!K161:K660,Global_trade!F161:F660,'Q6'!B161,Global_trade!N161:N660,'Q6'!A161)</f>
        <v>4346.5099999999993</v>
      </c>
      <c r="E161" s="22">
        <f>AVERAGEIFS(Global_trade!I161:I660,Global_trade!F161:F660,'Q6'!B161,Global_trade!N161:N660,'Q6'!A161)</f>
        <v>833.01142857142861</v>
      </c>
      <c r="F161" s="22">
        <f>AVERAGEIFS(Global_trade!K161:K660,Global_trade!F161:F660,'Q6'!B161,Global_trade!N161:N660,'Q6'!A161)</f>
        <v>206.97666666666663</v>
      </c>
    </row>
    <row r="162" spans="1:6" x14ac:dyDescent="0.3">
      <c r="A162" t="s">
        <v>102</v>
      </c>
      <c r="B162" t="s">
        <v>43</v>
      </c>
      <c r="C162" s="22">
        <f>SUMIFS(Global_trade!I162:I661,Global_trade!F162:F661,B162,Global_trade!N162:N661,A162)</f>
        <v>2549.67</v>
      </c>
      <c r="D162" s="22">
        <f>SUMIFS(Global_trade!K162:K661,Global_trade!F162:F661,'Q6'!B162,Global_trade!N162:N661,'Q6'!A162)</f>
        <v>730.61</v>
      </c>
      <c r="E162" s="22">
        <f>AVERAGEIFS(Global_trade!I162:I661,Global_trade!F162:F661,'Q6'!B162,Global_trade!N162:N661,'Q6'!A162)</f>
        <v>509.93400000000003</v>
      </c>
      <c r="F162" s="22">
        <f>AVERAGEIFS(Global_trade!K162:K661,Global_trade!F162:F661,'Q6'!B162,Global_trade!N162:N661,'Q6'!A162)</f>
        <v>146.12200000000001</v>
      </c>
    </row>
    <row r="163" spans="1:6" x14ac:dyDescent="0.3">
      <c r="A163" t="s">
        <v>32</v>
      </c>
      <c r="B163" t="s">
        <v>43</v>
      </c>
      <c r="C163" s="22">
        <f>SUMIFS(Global_trade!I163:I662,Global_trade!F163:F662,B163,Global_trade!N163:N662,A163)</f>
        <v>21603.200000000004</v>
      </c>
      <c r="D163" s="22">
        <f>SUMIFS(Global_trade!K163:K662,Global_trade!F163:F662,'Q6'!B163,Global_trade!N163:N662,'Q6'!A163)</f>
        <v>6685.7400000000007</v>
      </c>
      <c r="E163" s="22">
        <f>AVERAGEIFS(Global_trade!I163:I662,Global_trade!F163:F662,'Q6'!B163,Global_trade!N163:N662,'Q6'!A163)</f>
        <v>720.1066666666668</v>
      </c>
      <c r="F163" s="22">
        <f>AVERAGEIFS(Global_trade!K163:K662,Global_trade!F163:F662,'Q6'!B163,Global_trade!N163:N662,'Q6'!A163)</f>
        <v>222.85800000000003</v>
      </c>
    </row>
    <row r="164" spans="1:6" x14ac:dyDescent="0.3">
      <c r="A164" t="s">
        <v>66</v>
      </c>
      <c r="B164" t="s">
        <v>21</v>
      </c>
      <c r="C164" s="22">
        <f>SUMIFS(Global_trade!I164:I663,Global_trade!F164:F663,B164,Global_trade!N164:N663,A164)</f>
        <v>19953.769999999997</v>
      </c>
      <c r="D164" s="22">
        <f>SUMIFS(Global_trade!K164:K663,Global_trade!F164:F663,'Q6'!B164,Global_trade!N164:N663,'Q6'!A164)</f>
        <v>5594.5999999999985</v>
      </c>
      <c r="E164" s="22">
        <f>AVERAGEIFS(Global_trade!I164:I663,Global_trade!F164:F663,'Q6'!B164,Global_trade!N164:N663,'Q6'!A164)</f>
        <v>831.40708333333316</v>
      </c>
      <c r="F164" s="22">
        <f>AVERAGEIFS(Global_trade!K164:K663,Global_trade!F164:F663,'Q6'!B164,Global_trade!N164:N663,'Q6'!A164)</f>
        <v>233.10833333333326</v>
      </c>
    </row>
    <row r="165" spans="1:6" x14ac:dyDescent="0.3">
      <c r="A165" t="s">
        <v>24</v>
      </c>
      <c r="B165" t="s">
        <v>59</v>
      </c>
      <c r="C165" s="22">
        <f>SUMIFS(Global_trade!I165:I664,Global_trade!F165:F664,B165,Global_trade!N165:N664,A165)</f>
        <v>18633.480000000003</v>
      </c>
      <c r="D165" s="22">
        <f>SUMIFS(Global_trade!K165:K664,Global_trade!F165:F664,'Q6'!B165,Global_trade!N165:N664,'Q6'!A165)</f>
        <v>5532.0500000000011</v>
      </c>
      <c r="E165" s="22">
        <f>AVERAGEIFS(Global_trade!I165:I664,Global_trade!F165:F664,'Q6'!B165,Global_trade!N165:N664,'Q6'!A165)</f>
        <v>931.67400000000021</v>
      </c>
      <c r="F165" s="22">
        <f>AVERAGEIFS(Global_trade!K165:K664,Global_trade!F165:F664,'Q6'!B165,Global_trade!N165:N664,'Q6'!A165)</f>
        <v>276.60250000000008</v>
      </c>
    </row>
    <row r="166" spans="1:6" x14ac:dyDescent="0.3">
      <c r="A166" t="s">
        <v>66</v>
      </c>
      <c r="B166" t="s">
        <v>21</v>
      </c>
      <c r="C166" s="22">
        <f>SUMIFS(Global_trade!I166:I665,Global_trade!F166:F665,B166,Global_trade!N166:N665,A166)</f>
        <v>18571.009999999998</v>
      </c>
      <c r="D166" s="22">
        <f>SUMIFS(Global_trade!K166:K665,Global_trade!F166:F665,'Q6'!B166,Global_trade!N166:N665,'Q6'!A166)</f>
        <v>5117.01</v>
      </c>
      <c r="E166" s="22">
        <f>AVERAGEIFS(Global_trade!I166:I665,Global_trade!F166:F665,'Q6'!B166,Global_trade!N166:N665,'Q6'!A166)</f>
        <v>807.43521739130426</v>
      </c>
      <c r="F166" s="22">
        <f>AVERAGEIFS(Global_trade!K166:K665,Global_trade!F166:F665,'Q6'!B166,Global_trade!N166:N665,'Q6'!A166)</f>
        <v>222.47869565217391</v>
      </c>
    </row>
    <row r="167" spans="1:6" x14ac:dyDescent="0.3">
      <c r="A167" t="s">
        <v>32</v>
      </c>
      <c r="B167" t="s">
        <v>65</v>
      </c>
      <c r="C167" s="22">
        <f>SUMIFS(Global_trade!I167:I666,Global_trade!F167:F666,B167,Global_trade!N167:N666,A167)</f>
        <v>7977.52</v>
      </c>
      <c r="D167" s="22">
        <f>SUMIFS(Global_trade!K167:K666,Global_trade!F167:F666,'Q6'!B167,Global_trade!N167:N666,'Q6'!A167)</f>
        <v>2160.7600000000002</v>
      </c>
      <c r="E167" s="22">
        <f>AVERAGEIFS(Global_trade!I167:I666,Global_trade!F167:F666,'Q6'!B167,Global_trade!N167:N666,'Q6'!A167)</f>
        <v>886.39111111111117</v>
      </c>
      <c r="F167" s="22">
        <f>AVERAGEIFS(Global_trade!K167:K666,Global_trade!F167:F666,'Q6'!B167,Global_trade!N167:N666,'Q6'!A167)</f>
        <v>240.08444444444447</v>
      </c>
    </row>
    <row r="168" spans="1:6" x14ac:dyDescent="0.3">
      <c r="A168" t="s">
        <v>45</v>
      </c>
      <c r="B168" t="s">
        <v>43</v>
      </c>
      <c r="C168" s="22">
        <f>SUMIFS(Global_trade!I168:I667,Global_trade!F168:F667,B168,Global_trade!N168:N667,A168)</f>
        <v>12783.79</v>
      </c>
      <c r="D168" s="22">
        <f>SUMIFS(Global_trade!K168:K667,Global_trade!F168:F667,'Q6'!B168,Global_trade!N168:N667,'Q6'!A168)</f>
        <v>3741.2599999999998</v>
      </c>
      <c r="E168" s="22">
        <f>AVERAGEIFS(Global_trade!I168:I667,Global_trade!F168:F667,'Q6'!B168,Global_trade!N168:N667,'Q6'!A168)</f>
        <v>913.12785714285724</v>
      </c>
      <c r="F168" s="22">
        <f>AVERAGEIFS(Global_trade!K168:K667,Global_trade!F168:F667,'Q6'!B168,Global_trade!N168:N667,'Q6'!A168)</f>
        <v>267.23285714285714</v>
      </c>
    </row>
    <row r="169" spans="1:6" x14ac:dyDescent="0.3">
      <c r="A169" t="s">
        <v>66</v>
      </c>
      <c r="B169" t="s">
        <v>43</v>
      </c>
      <c r="C169" s="22">
        <f>SUMIFS(Global_trade!I169:I668,Global_trade!F169:F668,B169,Global_trade!N169:N668,A169)</f>
        <v>19950.71</v>
      </c>
      <c r="D169" s="22">
        <f>SUMIFS(Global_trade!K169:K668,Global_trade!F169:F668,'Q6'!B169,Global_trade!N169:N668,'Q6'!A169)</f>
        <v>5824.4000000000015</v>
      </c>
      <c r="E169" s="22">
        <f>AVERAGEIFS(Global_trade!I169:I668,Global_trade!F169:F668,'Q6'!B169,Global_trade!N169:N668,'Q6'!A169)</f>
        <v>712.52535714285716</v>
      </c>
      <c r="F169" s="22">
        <f>AVERAGEIFS(Global_trade!K169:K668,Global_trade!F169:F668,'Q6'!B169,Global_trade!N169:N668,'Q6'!A169)</f>
        <v>208.01428571428576</v>
      </c>
    </row>
    <row r="170" spans="1:6" x14ac:dyDescent="0.3">
      <c r="A170" t="s">
        <v>24</v>
      </c>
      <c r="B170" t="s">
        <v>21</v>
      </c>
      <c r="C170" s="22">
        <f>SUMIFS(Global_trade!I170:I669,Global_trade!F170:F669,B170,Global_trade!N170:N669,A170)</f>
        <v>18163.650000000001</v>
      </c>
      <c r="D170" s="22">
        <f>SUMIFS(Global_trade!K170:K669,Global_trade!F170:F669,'Q6'!B170,Global_trade!N170:N669,'Q6'!A170)</f>
        <v>4861.6799999999994</v>
      </c>
      <c r="E170" s="22">
        <f>AVERAGEIFS(Global_trade!I170:I669,Global_trade!F170:F669,'Q6'!B170,Global_trade!N170:N669,'Q6'!A170)</f>
        <v>1297.4035714285715</v>
      </c>
      <c r="F170" s="22">
        <f>AVERAGEIFS(Global_trade!K170:K669,Global_trade!F170:F669,'Q6'!B170,Global_trade!N170:N669,'Q6'!A170)</f>
        <v>347.26285714285711</v>
      </c>
    </row>
    <row r="171" spans="1:6" x14ac:dyDescent="0.3">
      <c r="A171" t="s">
        <v>45</v>
      </c>
      <c r="B171" t="s">
        <v>59</v>
      </c>
      <c r="C171" s="22">
        <f>SUMIFS(Global_trade!I171:I670,Global_trade!F171:F670,B171,Global_trade!N171:N670,A171)</f>
        <v>1613.92</v>
      </c>
      <c r="D171" s="22">
        <f>SUMIFS(Global_trade!K171:K670,Global_trade!F171:F670,'Q6'!B171,Global_trade!N171:N670,'Q6'!A171)</f>
        <v>272.44</v>
      </c>
      <c r="E171" s="22">
        <f>AVERAGEIFS(Global_trade!I171:I670,Global_trade!F171:F670,'Q6'!B171,Global_trade!N171:N670,'Q6'!A171)</f>
        <v>537.97333333333336</v>
      </c>
      <c r="F171" s="22">
        <f>AVERAGEIFS(Global_trade!K171:K670,Global_trade!F171:F670,'Q6'!B171,Global_trade!N171:N670,'Q6'!A171)</f>
        <v>90.813333333333333</v>
      </c>
    </row>
    <row r="172" spans="1:6" x14ac:dyDescent="0.3">
      <c r="A172" t="s">
        <v>66</v>
      </c>
      <c r="B172" t="s">
        <v>59</v>
      </c>
      <c r="C172" s="22">
        <f>SUMIFS(Global_trade!I172:I671,Global_trade!F172:F671,B172,Global_trade!N172:N671,A172)</f>
        <v>36760.73000000001</v>
      </c>
      <c r="D172" s="22">
        <f>SUMIFS(Global_trade!K172:K671,Global_trade!F172:F671,'Q6'!B172,Global_trade!N172:N671,'Q6'!A172)</f>
        <v>9928.56</v>
      </c>
      <c r="E172" s="22">
        <f>AVERAGEIFS(Global_trade!I172:I671,Global_trade!F172:F671,'Q6'!B172,Global_trade!N172:N671,'Q6'!A172)</f>
        <v>896.60317073170756</v>
      </c>
      <c r="F172" s="22">
        <f>AVERAGEIFS(Global_trade!K172:K671,Global_trade!F172:F671,'Q6'!B172,Global_trade!N172:N671,'Q6'!A172)</f>
        <v>242.16</v>
      </c>
    </row>
    <row r="173" spans="1:6" x14ac:dyDescent="0.3">
      <c r="A173" t="s">
        <v>32</v>
      </c>
      <c r="B173" t="s">
        <v>21</v>
      </c>
      <c r="C173" s="22">
        <f>SUMIFS(Global_trade!I173:I672,Global_trade!F173:F672,B173,Global_trade!N173:N672,A173)</f>
        <v>21705.869999999995</v>
      </c>
      <c r="D173" s="22">
        <f>SUMIFS(Global_trade!K173:K672,Global_trade!F173:F672,'Q6'!B173,Global_trade!N173:N672,'Q6'!A173)</f>
        <v>5670.76</v>
      </c>
      <c r="E173" s="22">
        <f>AVERAGEIFS(Global_trade!I173:I672,Global_trade!F173:F672,'Q6'!B173,Global_trade!N173:N672,'Q6'!A173)</f>
        <v>1085.2934999999998</v>
      </c>
      <c r="F173" s="22">
        <f>AVERAGEIFS(Global_trade!K173:K672,Global_trade!F173:F672,'Q6'!B173,Global_trade!N173:N672,'Q6'!A173)</f>
        <v>283.53800000000001</v>
      </c>
    </row>
    <row r="174" spans="1:6" x14ac:dyDescent="0.3">
      <c r="A174" t="s">
        <v>32</v>
      </c>
      <c r="B174" t="s">
        <v>59</v>
      </c>
      <c r="C174" s="22">
        <f>SUMIFS(Global_trade!I174:I673,Global_trade!F174:F673,B174,Global_trade!N174:N673,A174)</f>
        <v>21615.759999999998</v>
      </c>
      <c r="D174" s="22">
        <f>SUMIFS(Global_trade!K174:K673,Global_trade!F174:F673,'Q6'!B174,Global_trade!N174:N673,'Q6'!A174)</f>
        <v>6044.2199999999984</v>
      </c>
      <c r="E174" s="22">
        <f>AVERAGEIFS(Global_trade!I174:I673,Global_trade!F174:F673,'Q6'!B174,Global_trade!N174:N673,'Q6'!A174)</f>
        <v>900.65666666666664</v>
      </c>
      <c r="F174" s="22">
        <f>AVERAGEIFS(Global_trade!K174:K673,Global_trade!F174:F673,'Q6'!B174,Global_trade!N174:N673,'Q6'!A174)</f>
        <v>251.84249999999994</v>
      </c>
    </row>
    <row r="175" spans="1:6" x14ac:dyDescent="0.3">
      <c r="A175" t="s">
        <v>24</v>
      </c>
      <c r="B175" t="s">
        <v>21</v>
      </c>
      <c r="C175" s="22">
        <f>SUMIFS(Global_trade!I175:I674,Global_trade!F175:F674,B175,Global_trade!N175:N674,A175)</f>
        <v>16551.210000000003</v>
      </c>
      <c r="D175" s="22">
        <f>SUMIFS(Global_trade!K175:K674,Global_trade!F175:F674,'Q6'!B175,Global_trade!N175:N674,'Q6'!A175)</f>
        <v>4577.84</v>
      </c>
      <c r="E175" s="22">
        <f>AVERAGEIFS(Global_trade!I175:I674,Global_trade!F175:F674,'Q6'!B175,Global_trade!N175:N674,'Q6'!A175)</f>
        <v>1273.1700000000003</v>
      </c>
      <c r="F175" s="22">
        <f>AVERAGEIFS(Global_trade!K175:K674,Global_trade!F175:F674,'Q6'!B175,Global_trade!N175:N674,'Q6'!A175)</f>
        <v>352.14153846153846</v>
      </c>
    </row>
    <row r="176" spans="1:6" x14ac:dyDescent="0.3">
      <c r="A176" t="s">
        <v>45</v>
      </c>
      <c r="B176" t="s">
        <v>21</v>
      </c>
      <c r="C176" s="22">
        <f>SUMIFS(Global_trade!I176:I675,Global_trade!F176:F675,B176,Global_trade!N176:N675,A176)</f>
        <v>7534.56</v>
      </c>
      <c r="D176" s="22">
        <f>SUMIFS(Global_trade!K176:K675,Global_trade!F176:F675,'Q6'!B176,Global_trade!N176:N675,'Q6'!A176)</f>
        <v>2562.16</v>
      </c>
      <c r="E176" s="22">
        <f>AVERAGEIFS(Global_trade!I176:I675,Global_trade!F176:F675,'Q6'!B176,Global_trade!N176:N675,'Q6'!A176)</f>
        <v>1883.64</v>
      </c>
      <c r="F176" s="22">
        <f>AVERAGEIFS(Global_trade!K176:K675,Global_trade!F176:F675,'Q6'!B176,Global_trade!N176:N675,'Q6'!A176)</f>
        <v>640.54</v>
      </c>
    </row>
    <row r="177" spans="1:6" x14ac:dyDescent="0.3">
      <c r="A177" t="s">
        <v>66</v>
      </c>
      <c r="B177" t="s">
        <v>59</v>
      </c>
      <c r="C177" s="22">
        <f>SUMIFS(Global_trade!I177:I676,Global_trade!F177:F676,B177,Global_trade!N177:N676,A177)</f>
        <v>36302.130000000005</v>
      </c>
      <c r="D177" s="22">
        <f>SUMIFS(Global_trade!K177:K676,Global_trade!F177:F676,'Q6'!B177,Global_trade!N177:N676,'Q6'!A177)</f>
        <v>9764.3599999999988</v>
      </c>
      <c r="E177" s="22">
        <f>AVERAGEIFS(Global_trade!I177:I676,Global_trade!F177:F676,'Q6'!B177,Global_trade!N177:N676,'Q6'!A177)</f>
        <v>907.55325000000016</v>
      </c>
      <c r="F177" s="22">
        <f>AVERAGEIFS(Global_trade!K177:K676,Global_trade!F177:F676,'Q6'!B177,Global_trade!N177:N676,'Q6'!A177)</f>
        <v>244.10899999999998</v>
      </c>
    </row>
    <row r="178" spans="1:6" x14ac:dyDescent="0.3">
      <c r="A178" t="s">
        <v>24</v>
      </c>
      <c r="B178" t="s">
        <v>21</v>
      </c>
      <c r="C178" s="22">
        <f>SUMIFS(Global_trade!I178:I677,Global_trade!F178:F677,B178,Global_trade!N178:N677,A178)</f>
        <v>15127.210000000001</v>
      </c>
      <c r="D178" s="22">
        <f>SUMIFS(Global_trade!K178:K677,Global_trade!F178:F677,'Q6'!B178,Global_trade!N178:N677,'Q6'!A178)</f>
        <v>4317.7599999999993</v>
      </c>
      <c r="E178" s="22">
        <f>AVERAGEIFS(Global_trade!I178:I677,Global_trade!F178:F677,'Q6'!B178,Global_trade!N178:N677,'Q6'!A178)</f>
        <v>1260.6008333333334</v>
      </c>
      <c r="F178" s="22">
        <f>AVERAGEIFS(Global_trade!K178:K677,Global_trade!F178:F677,'Q6'!B178,Global_trade!N178:N677,'Q6'!A178)</f>
        <v>359.81333333333328</v>
      </c>
    </row>
    <row r="179" spans="1:6" x14ac:dyDescent="0.3">
      <c r="A179" t="s">
        <v>32</v>
      </c>
      <c r="B179" t="s">
        <v>59</v>
      </c>
      <c r="C179" s="22">
        <f>SUMIFS(Global_trade!I179:I678,Global_trade!F179:F678,B179,Global_trade!N179:N678,A179)</f>
        <v>20498.559999999998</v>
      </c>
      <c r="D179" s="22">
        <f>SUMIFS(Global_trade!K179:K678,Global_trade!F179:F678,'Q6'!B179,Global_trade!N179:N678,'Q6'!A179)</f>
        <v>5737.579999999999</v>
      </c>
      <c r="E179" s="22">
        <f>AVERAGEIFS(Global_trade!I179:I678,Global_trade!F179:F678,'Q6'!B179,Global_trade!N179:N678,'Q6'!A179)</f>
        <v>891.24173913043467</v>
      </c>
      <c r="F179" s="22">
        <f>AVERAGEIFS(Global_trade!K179:K678,Global_trade!F179:F678,'Q6'!B179,Global_trade!N179:N678,'Q6'!A179)</f>
        <v>249.45999999999995</v>
      </c>
    </row>
    <row r="180" spans="1:6" x14ac:dyDescent="0.3">
      <c r="A180" t="s">
        <v>66</v>
      </c>
      <c r="B180" t="s">
        <v>59</v>
      </c>
      <c r="C180" s="22">
        <f>SUMIFS(Global_trade!I180:I679,Global_trade!F180:F679,B180,Global_trade!N180:N679,A180)</f>
        <v>35812.310000000005</v>
      </c>
      <c r="D180" s="22">
        <f>SUMIFS(Global_trade!K180:K679,Global_trade!F180:F679,'Q6'!B180,Global_trade!N180:N679,'Q6'!A180)</f>
        <v>9597.4399999999969</v>
      </c>
      <c r="E180" s="22">
        <f>AVERAGEIFS(Global_trade!I180:I679,Global_trade!F180:F679,'Q6'!B180,Global_trade!N180:N679,'Q6'!A180)</f>
        <v>918.26435897435908</v>
      </c>
      <c r="F180" s="22">
        <f>AVERAGEIFS(Global_trade!K180:K679,Global_trade!F180:F679,'Q6'!B180,Global_trade!N180:N679,'Q6'!A180)</f>
        <v>246.08820512820506</v>
      </c>
    </row>
    <row r="181" spans="1:6" x14ac:dyDescent="0.3">
      <c r="A181" t="s">
        <v>148</v>
      </c>
      <c r="B181" t="s">
        <v>43</v>
      </c>
      <c r="C181" s="22">
        <f>SUMIFS(Global_trade!I181:I680,Global_trade!F181:F680,B181,Global_trade!N181:N680,A181)</f>
        <v>7218.73</v>
      </c>
      <c r="D181" s="22">
        <f>SUMIFS(Global_trade!K181:K680,Global_trade!F181:F680,'Q6'!B181,Global_trade!N181:N680,'Q6'!A181)</f>
        <v>1930.0000000000002</v>
      </c>
      <c r="E181" s="22">
        <f>AVERAGEIFS(Global_trade!I181:I680,Global_trade!F181:F680,'Q6'!B181,Global_trade!N181:N680,'Q6'!A181)</f>
        <v>802.08111111111111</v>
      </c>
      <c r="F181" s="22">
        <f>AVERAGEIFS(Global_trade!K181:K680,Global_trade!F181:F680,'Q6'!B181,Global_trade!N181:N680,'Q6'!A181)</f>
        <v>214.44444444444446</v>
      </c>
    </row>
    <row r="182" spans="1:6" x14ac:dyDescent="0.3">
      <c r="A182" t="s">
        <v>66</v>
      </c>
      <c r="B182" t="s">
        <v>50</v>
      </c>
      <c r="C182" s="22">
        <f>SUMIFS(Global_trade!I182:I681,Global_trade!F182:F681,B182,Global_trade!N182:N681,A182)</f>
        <v>17455.46</v>
      </c>
      <c r="D182" s="22">
        <f>SUMIFS(Global_trade!K182:K681,Global_trade!F182:F681,'Q6'!B182,Global_trade!N182:N681,'Q6'!A182)</f>
        <v>4729.05</v>
      </c>
      <c r="E182" s="22">
        <f>AVERAGEIFS(Global_trade!I182:I681,Global_trade!F182:F681,'Q6'!B182,Global_trade!N182:N681,'Q6'!A182)</f>
        <v>1246.8185714285714</v>
      </c>
      <c r="F182" s="22">
        <f>AVERAGEIFS(Global_trade!K182:K681,Global_trade!F182:F681,'Q6'!B182,Global_trade!N182:N681,'Q6'!A182)</f>
        <v>337.78928571428571</v>
      </c>
    </row>
    <row r="183" spans="1:6" x14ac:dyDescent="0.3">
      <c r="A183" t="s">
        <v>32</v>
      </c>
      <c r="B183" t="s">
        <v>21</v>
      </c>
      <c r="C183" s="22">
        <f>SUMIFS(Global_trade!I183:I682,Global_trade!F183:F682,B183,Global_trade!N183:N682,A183)</f>
        <v>21681.229999999996</v>
      </c>
      <c r="D183" s="22">
        <f>SUMIFS(Global_trade!K183:K682,Global_trade!F183:F682,'Q6'!B183,Global_trade!N183:N682,'Q6'!A183)</f>
        <v>5664.7699999999986</v>
      </c>
      <c r="E183" s="22">
        <f>AVERAGEIFS(Global_trade!I183:I682,Global_trade!F183:F682,'Q6'!B183,Global_trade!N183:N682,'Q6'!A183)</f>
        <v>1141.1173684210523</v>
      </c>
      <c r="F183" s="22">
        <f>AVERAGEIFS(Global_trade!K183:K682,Global_trade!F183:F682,'Q6'!B183,Global_trade!N183:N682,'Q6'!A183)</f>
        <v>298.14578947368415</v>
      </c>
    </row>
    <row r="184" spans="1:6" x14ac:dyDescent="0.3">
      <c r="A184" t="s">
        <v>148</v>
      </c>
      <c r="B184" t="s">
        <v>43</v>
      </c>
      <c r="C184" s="22">
        <f>SUMIFS(Global_trade!I184:I683,Global_trade!F184:F683,B184,Global_trade!N184:N683,A184)</f>
        <v>6703.8099999999995</v>
      </c>
      <c r="D184" s="22">
        <f>SUMIFS(Global_trade!K184:K683,Global_trade!F184:F683,'Q6'!B184,Global_trade!N184:N683,'Q6'!A184)</f>
        <v>1814.26</v>
      </c>
      <c r="E184" s="22">
        <f>AVERAGEIFS(Global_trade!I184:I683,Global_trade!F184:F683,'Q6'!B184,Global_trade!N184:N683,'Q6'!A184)</f>
        <v>837.97624999999994</v>
      </c>
      <c r="F184" s="22">
        <f>AVERAGEIFS(Global_trade!K184:K683,Global_trade!F184:F683,'Q6'!B184,Global_trade!N184:N683,'Q6'!A184)</f>
        <v>226.7825</v>
      </c>
    </row>
    <row r="185" spans="1:6" x14ac:dyDescent="0.3">
      <c r="A185" t="s">
        <v>24</v>
      </c>
      <c r="B185" t="s">
        <v>43</v>
      </c>
      <c r="C185" s="22">
        <f>SUMIFS(Global_trade!I185:I684,Global_trade!F185:F684,B185,Global_trade!N185:N684,A185)</f>
        <v>16046.759999999998</v>
      </c>
      <c r="D185" s="22">
        <f>SUMIFS(Global_trade!K185:K684,Global_trade!F185:F684,'Q6'!B185,Global_trade!N185:N684,'Q6'!A185)</f>
        <v>3984.7299999999996</v>
      </c>
      <c r="E185" s="22">
        <f>AVERAGEIFS(Global_trade!I185:I684,Global_trade!F185:F684,'Q6'!B185,Global_trade!N185:N684,'Q6'!A185)</f>
        <v>802.33799999999997</v>
      </c>
      <c r="F185" s="22">
        <f>AVERAGEIFS(Global_trade!K185:K684,Global_trade!F185:F684,'Q6'!B185,Global_trade!N185:N684,'Q6'!A185)</f>
        <v>199.23649999999998</v>
      </c>
    </row>
    <row r="186" spans="1:6" x14ac:dyDescent="0.3">
      <c r="A186" t="s">
        <v>24</v>
      </c>
      <c r="B186" t="s">
        <v>21</v>
      </c>
      <c r="C186" s="22">
        <f>SUMIFS(Global_trade!I186:I685,Global_trade!F186:F685,B186,Global_trade!N186:N685,A186)</f>
        <v>13818.72</v>
      </c>
      <c r="D186" s="22">
        <f>SUMIFS(Global_trade!K186:K685,Global_trade!F186:F685,'Q6'!B186,Global_trade!N186:N685,'Q6'!A186)</f>
        <v>3818.61</v>
      </c>
      <c r="E186" s="22">
        <f>AVERAGEIFS(Global_trade!I186:I685,Global_trade!F186:F685,'Q6'!B186,Global_trade!N186:N685,'Q6'!A186)</f>
        <v>1256.2472727272727</v>
      </c>
      <c r="F186" s="22">
        <f>AVERAGEIFS(Global_trade!K186:K685,Global_trade!F186:F685,'Q6'!B186,Global_trade!N186:N685,'Q6'!A186)</f>
        <v>347.14636363636367</v>
      </c>
    </row>
    <row r="187" spans="1:6" x14ac:dyDescent="0.3">
      <c r="A187" t="s">
        <v>66</v>
      </c>
      <c r="B187" t="s">
        <v>65</v>
      </c>
      <c r="C187" s="22">
        <f>SUMIFS(Global_trade!I187:I686,Global_trade!F187:F686,B187,Global_trade!N187:N686,A187)</f>
        <v>15816.17</v>
      </c>
      <c r="D187" s="22">
        <f>SUMIFS(Global_trade!K187:K686,Global_trade!F187:F686,'Q6'!B187,Global_trade!N187:N686,'Q6'!A187)</f>
        <v>4092.71</v>
      </c>
      <c r="E187" s="22">
        <f>AVERAGEIFS(Global_trade!I187:I686,Global_trade!F187:F686,'Q6'!B187,Global_trade!N187:N686,'Q6'!A187)</f>
        <v>930.3629411764706</v>
      </c>
      <c r="F187" s="22">
        <f>AVERAGEIFS(Global_trade!K187:K686,Global_trade!F187:F686,'Q6'!B187,Global_trade!N187:N686,'Q6'!A187)</f>
        <v>240.74764705882353</v>
      </c>
    </row>
    <row r="188" spans="1:6" x14ac:dyDescent="0.3">
      <c r="A188" t="s">
        <v>24</v>
      </c>
      <c r="B188" t="s">
        <v>21</v>
      </c>
      <c r="C188" s="22">
        <f>SUMIFS(Global_trade!I188:I687,Global_trade!F188:F687,B188,Global_trade!N188:N687,A188)</f>
        <v>11595.12</v>
      </c>
      <c r="D188" s="22">
        <f>SUMIFS(Global_trade!K188:K687,Global_trade!F188:F687,'Q6'!B188,Global_trade!N188:N687,'Q6'!A188)</f>
        <v>3069.58</v>
      </c>
      <c r="E188" s="22">
        <f>AVERAGEIFS(Global_trade!I188:I687,Global_trade!F188:F687,'Q6'!B188,Global_trade!N188:N687,'Q6'!A188)</f>
        <v>1159.5120000000002</v>
      </c>
      <c r="F188" s="22">
        <f>AVERAGEIFS(Global_trade!K188:K687,Global_trade!F188:F687,'Q6'!B188,Global_trade!N188:N687,'Q6'!A188)</f>
        <v>306.95799999999997</v>
      </c>
    </row>
    <row r="189" spans="1:6" x14ac:dyDescent="0.3">
      <c r="A189" t="s">
        <v>66</v>
      </c>
      <c r="B189" t="s">
        <v>59</v>
      </c>
      <c r="C189" s="22">
        <f>SUMIFS(Global_trade!I189:I688,Global_trade!F189:F688,B189,Global_trade!N189:N688,A189)</f>
        <v>34762.030000000006</v>
      </c>
      <c r="D189" s="22">
        <f>SUMIFS(Global_trade!K189:K688,Global_trade!F189:F688,'Q6'!B189,Global_trade!N189:N688,'Q6'!A189)</f>
        <v>9262.67</v>
      </c>
      <c r="E189" s="22">
        <f>AVERAGEIFS(Global_trade!I189:I688,Global_trade!F189:F688,'Q6'!B189,Global_trade!N189:N688,'Q6'!A189)</f>
        <v>914.79026315789486</v>
      </c>
      <c r="F189" s="22">
        <f>AVERAGEIFS(Global_trade!K189:K688,Global_trade!F189:F688,'Q6'!B189,Global_trade!N189:N688,'Q6'!A189)</f>
        <v>243.75447368421052</v>
      </c>
    </row>
    <row r="190" spans="1:6" x14ac:dyDescent="0.3">
      <c r="A190" t="s">
        <v>102</v>
      </c>
      <c r="B190" t="s">
        <v>21</v>
      </c>
      <c r="C190" s="22">
        <f>SUMIFS(Global_trade!I190:I689,Global_trade!F190:F689,B190,Global_trade!N190:N689,A190)</f>
        <v>6956.41</v>
      </c>
      <c r="D190" s="22">
        <f>SUMIFS(Global_trade!K190:K689,Global_trade!F190:F689,'Q6'!B190,Global_trade!N190:N689,'Q6'!A190)</f>
        <v>1989.71</v>
      </c>
      <c r="E190" s="22">
        <f>AVERAGEIFS(Global_trade!I190:I689,Global_trade!F190:F689,'Q6'!B190,Global_trade!N190:N689,'Q6'!A190)</f>
        <v>869.55124999999998</v>
      </c>
      <c r="F190" s="22">
        <f>AVERAGEIFS(Global_trade!K190:K689,Global_trade!F190:F689,'Q6'!B190,Global_trade!N190:N689,'Q6'!A190)</f>
        <v>248.71375</v>
      </c>
    </row>
    <row r="191" spans="1:6" x14ac:dyDescent="0.3">
      <c r="A191" t="s">
        <v>66</v>
      </c>
      <c r="B191" t="s">
        <v>21</v>
      </c>
      <c r="C191" s="22">
        <f>SUMIFS(Global_trade!I191:I690,Global_trade!F191:F690,B191,Global_trade!N191:N690,A191)</f>
        <v>18439.759999999998</v>
      </c>
      <c r="D191" s="22">
        <f>SUMIFS(Global_trade!K191:K690,Global_trade!F191:F690,'Q6'!B191,Global_trade!N191:N690,'Q6'!A191)</f>
        <v>5079.1100000000006</v>
      </c>
      <c r="E191" s="22">
        <f>AVERAGEIFS(Global_trade!I191:I690,Global_trade!F191:F690,'Q6'!B191,Global_trade!N191:N690,'Q6'!A191)</f>
        <v>838.17090909090905</v>
      </c>
      <c r="F191" s="22">
        <f>AVERAGEIFS(Global_trade!K191:K690,Global_trade!F191:F690,'Q6'!B191,Global_trade!N191:N690,'Q6'!A191)</f>
        <v>230.8686363636364</v>
      </c>
    </row>
    <row r="192" spans="1:6" x14ac:dyDescent="0.3">
      <c r="A192" t="s">
        <v>24</v>
      </c>
      <c r="B192" t="s">
        <v>59</v>
      </c>
      <c r="C192" s="22">
        <f>SUMIFS(Global_trade!I192:I691,Global_trade!F192:F691,B192,Global_trade!N192:N691,A192)</f>
        <v>18095.480000000003</v>
      </c>
      <c r="D192" s="22">
        <f>SUMIFS(Global_trade!K192:K691,Global_trade!F192:F691,'Q6'!B192,Global_trade!N192:N691,'Q6'!A192)</f>
        <v>5408.2800000000016</v>
      </c>
      <c r="E192" s="22">
        <f>AVERAGEIFS(Global_trade!I192:I691,Global_trade!F192:F691,'Q6'!B192,Global_trade!N192:N691,'Q6'!A192)</f>
        <v>952.39368421052643</v>
      </c>
      <c r="F192" s="22">
        <f>AVERAGEIFS(Global_trade!K192:K691,Global_trade!F192:F691,'Q6'!B192,Global_trade!N192:N691,'Q6'!A192)</f>
        <v>284.64631578947376</v>
      </c>
    </row>
    <row r="193" spans="1:6" x14ac:dyDescent="0.3">
      <c r="A193" t="s">
        <v>66</v>
      </c>
      <c r="B193" t="s">
        <v>43</v>
      </c>
      <c r="C193" s="22">
        <f>SUMIFS(Global_trade!I193:I692,Global_trade!F193:F692,B193,Global_trade!N193:N692,A193)</f>
        <v>19415.079999999998</v>
      </c>
      <c r="D193" s="22">
        <f>SUMIFS(Global_trade!K193:K692,Global_trade!F193:F692,'Q6'!B193,Global_trade!N193:N692,'Q6'!A193)</f>
        <v>5671.7300000000014</v>
      </c>
      <c r="E193" s="22">
        <f>AVERAGEIFS(Global_trade!I193:I692,Global_trade!F193:F692,'Q6'!B193,Global_trade!N193:N692,'Q6'!A193)</f>
        <v>719.07703703703692</v>
      </c>
      <c r="F193" s="22">
        <f>AVERAGEIFS(Global_trade!K193:K692,Global_trade!F193:F692,'Q6'!B193,Global_trade!N193:N692,'Q6'!A193)</f>
        <v>210.06407407407411</v>
      </c>
    </row>
    <row r="194" spans="1:6" x14ac:dyDescent="0.3">
      <c r="A194" t="s">
        <v>24</v>
      </c>
      <c r="B194" t="s">
        <v>21</v>
      </c>
      <c r="C194" s="22">
        <f>SUMIFS(Global_trade!I194:I693,Global_trade!F194:F693,B194,Global_trade!N194:N693,A194)</f>
        <v>10261.620000000001</v>
      </c>
      <c r="D194" s="22">
        <f>SUMIFS(Global_trade!K194:K693,Global_trade!F194:F693,'Q6'!B194,Global_trade!N194:N693,'Q6'!A194)</f>
        <v>2716.23</v>
      </c>
      <c r="E194" s="22">
        <f>AVERAGEIFS(Global_trade!I194:I693,Global_trade!F194:F693,'Q6'!B194,Global_trade!N194:N693,'Q6'!A194)</f>
        <v>1140.18</v>
      </c>
      <c r="F194" s="22">
        <f>AVERAGEIFS(Global_trade!K194:K693,Global_trade!F194:F693,'Q6'!B194,Global_trade!N194:N693,'Q6'!A194)</f>
        <v>301.80333333333334</v>
      </c>
    </row>
    <row r="195" spans="1:6" x14ac:dyDescent="0.3">
      <c r="A195" t="s">
        <v>24</v>
      </c>
      <c r="B195" t="s">
        <v>43</v>
      </c>
      <c r="C195" s="22">
        <f>SUMIFS(Global_trade!I195:I694,Global_trade!F195:F694,B195,Global_trade!N195:N694,A195)</f>
        <v>15974.519999999999</v>
      </c>
      <c r="D195" s="22">
        <f>SUMIFS(Global_trade!K195:K694,Global_trade!F195:F694,'Q6'!B195,Global_trade!N195:N694,'Q6'!A195)</f>
        <v>3968.1499999999996</v>
      </c>
      <c r="E195" s="22">
        <f>AVERAGEIFS(Global_trade!I195:I694,Global_trade!F195:F694,'Q6'!B195,Global_trade!N195:N694,'Q6'!A195)</f>
        <v>840.76421052631576</v>
      </c>
      <c r="F195" s="22">
        <f>AVERAGEIFS(Global_trade!K195:K694,Global_trade!F195:F694,'Q6'!B195,Global_trade!N195:N694,'Q6'!A195)</f>
        <v>208.85</v>
      </c>
    </row>
    <row r="196" spans="1:6" x14ac:dyDescent="0.3">
      <c r="A196" t="s">
        <v>102</v>
      </c>
      <c r="B196" t="s">
        <v>43</v>
      </c>
      <c r="C196" s="22">
        <f>SUMIFS(Global_trade!I196:I695,Global_trade!F196:F695,B196,Global_trade!N196:N695,A196)</f>
        <v>2282.37</v>
      </c>
      <c r="D196" s="22">
        <f>SUMIFS(Global_trade!K196:K695,Global_trade!F196:F695,'Q6'!B196,Global_trade!N196:N695,'Q6'!A196)</f>
        <v>673.52</v>
      </c>
      <c r="E196" s="22">
        <f>AVERAGEIFS(Global_trade!I196:I695,Global_trade!F196:F695,'Q6'!B196,Global_trade!N196:N695,'Q6'!A196)</f>
        <v>570.59249999999997</v>
      </c>
      <c r="F196" s="22">
        <f>AVERAGEIFS(Global_trade!K196:K695,Global_trade!F196:F695,'Q6'!B196,Global_trade!N196:N695,'Q6'!A196)</f>
        <v>168.38</v>
      </c>
    </row>
    <row r="197" spans="1:6" x14ac:dyDescent="0.3">
      <c r="A197" t="s">
        <v>45</v>
      </c>
      <c r="B197" t="s">
        <v>43</v>
      </c>
      <c r="C197" s="22">
        <f>SUMIFS(Global_trade!I197:I696,Global_trade!F197:F696,B197,Global_trade!N197:N696,A197)</f>
        <v>12134.68</v>
      </c>
      <c r="D197" s="22">
        <f>SUMIFS(Global_trade!K197:K696,Global_trade!F197:F696,'Q6'!B197,Global_trade!N197:N696,'Q6'!A197)</f>
        <v>3550.5699999999997</v>
      </c>
      <c r="E197" s="22">
        <f>AVERAGEIFS(Global_trade!I197:I696,Global_trade!F197:F696,'Q6'!B197,Global_trade!N197:N696,'Q6'!A197)</f>
        <v>933.43692307692311</v>
      </c>
      <c r="F197" s="22">
        <f>AVERAGEIFS(Global_trade!K197:K696,Global_trade!F197:F696,'Q6'!B197,Global_trade!N197:N696,'Q6'!A197)</f>
        <v>273.12076923076921</v>
      </c>
    </row>
    <row r="198" spans="1:6" x14ac:dyDescent="0.3">
      <c r="A198" t="s">
        <v>148</v>
      </c>
      <c r="B198" t="s">
        <v>50</v>
      </c>
      <c r="C198" s="22">
        <f>SUMIFS(Global_trade!I198:I697,Global_trade!F198:F697,B198,Global_trade!N198:N697,A198)</f>
        <v>9673.74</v>
      </c>
      <c r="D198" s="22">
        <f>SUMIFS(Global_trade!K198:K697,Global_trade!F198:F697,'Q6'!B198,Global_trade!N198:N697,'Q6'!A198)</f>
        <v>2722.99</v>
      </c>
      <c r="E198" s="22">
        <f>AVERAGEIFS(Global_trade!I198:I697,Global_trade!F198:F697,'Q6'!B198,Global_trade!N198:N697,'Q6'!A198)</f>
        <v>2418.4349999999999</v>
      </c>
      <c r="F198" s="22">
        <f>AVERAGEIFS(Global_trade!K198:K697,Global_trade!F198:F697,'Q6'!B198,Global_trade!N198:N697,'Q6'!A198)</f>
        <v>680.74749999999995</v>
      </c>
    </row>
    <row r="199" spans="1:6" x14ac:dyDescent="0.3">
      <c r="A199" t="s">
        <v>66</v>
      </c>
      <c r="B199" t="s">
        <v>21</v>
      </c>
      <c r="C199" s="22">
        <f>SUMIFS(Global_trade!I199:I698,Global_trade!F199:F698,B199,Global_trade!N199:N698,A199)</f>
        <v>16344.679999999997</v>
      </c>
      <c r="D199" s="22">
        <f>SUMIFS(Global_trade!K199:K698,Global_trade!F199:F698,'Q6'!B199,Global_trade!N199:N698,'Q6'!A199)</f>
        <v>4254.16</v>
      </c>
      <c r="E199" s="22">
        <f>AVERAGEIFS(Global_trade!I199:I698,Global_trade!F199:F698,'Q6'!B199,Global_trade!N199:N698,'Q6'!A199)</f>
        <v>778.31809523809511</v>
      </c>
      <c r="F199" s="22">
        <f>AVERAGEIFS(Global_trade!K199:K698,Global_trade!F199:F698,'Q6'!B199,Global_trade!N199:N698,'Q6'!A199)</f>
        <v>202.5790476190476</v>
      </c>
    </row>
    <row r="200" spans="1:6" x14ac:dyDescent="0.3">
      <c r="A200" t="s">
        <v>66</v>
      </c>
      <c r="B200" t="s">
        <v>43</v>
      </c>
      <c r="C200" s="22">
        <f>SUMIFS(Global_trade!I200:I699,Global_trade!F200:F699,B200,Global_trade!N200:N699,A200)</f>
        <v>18695.18</v>
      </c>
      <c r="D200" s="22">
        <f>SUMIFS(Global_trade!K200:K699,Global_trade!F200:F699,'Q6'!B200,Global_trade!N200:N699,'Q6'!A200)</f>
        <v>5459.7100000000009</v>
      </c>
      <c r="E200" s="22">
        <f>AVERAGEIFS(Global_trade!I200:I699,Global_trade!F200:F699,'Q6'!B200,Global_trade!N200:N699,'Q6'!A200)</f>
        <v>719.04538461538459</v>
      </c>
      <c r="F200" s="22">
        <f>AVERAGEIFS(Global_trade!K200:K699,Global_trade!F200:F699,'Q6'!B200,Global_trade!N200:N699,'Q6'!A200)</f>
        <v>209.9888461538462</v>
      </c>
    </row>
    <row r="201" spans="1:6" x14ac:dyDescent="0.3">
      <c r="A201" t="s">
        <v>32</v>
      </c>
      <c r="B201" t="s">
        <v>21</v>
      </c>
      <c r="C201" s="22">
        <f>SUMIFS(Global_trade!I201:I700,Global_trade!F201:F700,B201,Global_trade!N201:N700,A201)</f>
        <v>19910.849999999999</v>
      </c>
      <c r="D201" s="22">
        <f>SUMIFS(Global_trade!K201:K700,Global_trade!F201:F700,'Q6'!B201,Global_trade!N201:N700,'Q6'!A201)</f>
        <v>5457.7899999999991</v>
      </c>
      <c r="E201" s="22">
        <f>AVERAGEIFS(Global_trade!I201:I700,Global_trade!F201:F700,'Q6'!B201,Global_trade!N201:N700,'Q6'!A201)</f>
        <v>1106.1583333333333</v>
      </c>
      <c r="F201" s="22">
        <f>AVERAGEIFS(Global_trade!K201:K700,Global_trade!F201:F700,'Q6'!B201,Global_trade!N201:N700,'Q6'!A201)</f>
        <v>303.21055555555552</v>
      </c>
    </row>
    <row r="202" spans="1:6" x14ac:dyDescent="0.3">
      <c r="A202" t="s">
        <v>45</v>
      </c>
      <c r="B202" t="s">
        <v>21</v>
      </c>
      <c r="C202" s="22">
        <f>SUMIFS(Global_trade!I202:I701,Global_trade!F202:F701,B202,Global_trade!N202:N701,A202)</f>
        <v>5137.74</v>
      </c>
      <c r="D202" s="22">
        <f>SUMIFS(Global_trade!K202:K701,Global_trade!F202:F701,'Q6'!B202,Global_trade!N202:N701,'Q6'!A202)</f>
        <v>1734.19</v>
      </c>
      <c r="E202" s="22">
        <f>AVERAGEIFS(Global_trade!I202:I701,Global_trade!F202:F701,'Q6'!B202,Global_trade!N202:N701,'Q6'!A202)</f>
        <v>1712.58</v>
      </c>
      <c r="F202" s="22">
        <f>AVERAGEIFS(Global_trade!K202:K701,Global_trade!F202:F701,'Q6'!B202,Global_trade!N202:N701,'Q6'!A202)</f>
        <v>578.06333333333339</v>
      </c>
    </row>
    <row r="203" spans="1:6" x14ac:dyDescent="0.3">
      <c r="A203" t="s">
        <v>66</v>
      </c>
      <c r="B203" t="s">
        <v>65</v>
      </c>
      <c r="C203" s="22">
        <f>SUMIFS(Global_trade!I203:I702,Global_trade!F203:F702,B203,Global_trade!N203:N702,A203)</f>
        <v>15658.270000000002</v>
      </c>
      <c r="D203" s="22">
        <f>SUMIFS(Global_trade!K203:K702,Global_trade!F203:F702,'Q6'!B203,Global_trade!N203:N702,'Q6'!A203)</f>
        <v>4063.54</v>
      </c>
      <c r="E203" s="22">
        <f>AVERAGEIFS(Global_trade!I203:I702,Global_trade!F203:F702,'Q6'!B203,Global_trade!N203:N702,'Q6'!A203)</f>
        <v>978.64187500000014</v>
      </c>
      <c r="F203" s="22">
        <f>AVERAGEIFS(Global_trade!K203:K702,Global_trade!F203:F702,'Q6'!B203,Global_trade!N203:N702,'Q6'!A203)</f>
        <v>253.97125</v>
      </c>
    </row>
    <row r="204" spans="1:6" x14ac:dyDescent="0.3">
      <c r="A204" t="s">
        <v>24</v>
      </c>
      <c r="B204" t="s">
        <v>43</v>
      </c>
      <c r="C204" s="22">
        <f>SUMIFS(Global_trade!I204:I703,Global_trade!F204:F703,B204,Global_trade!N204:N703,A204)</f>
        <v>15329.66</v>
      </c>
      <c r="D204" s="22">
        <f>SUMIFS(Global_trade!K204:K703,Global_trade!F204:F703,'Q6'!B204,Global_trade!N204:N703,'Q6'!A204)</f>
        <v>3847.79</v>
      </c>
      <c r="E204" s="22">
        <f>AVERAGEIFS(Global_trade!I204:I703,Global_trade!F204:F703,'Q6'!B204,Global_trade!N204:N703,'Q6'!A204)</f>
        <v>851.64777777777772</v>
      </c>
      <c r="F204" s="22">
        <f>AVERAGEIFS(Global_trade!K204:K703,Global_trade!F204:F703,'Q6'!B204,Global_trade!N204:N703,'Q6'!A204)</f>
        <v>213.76611111111112</v>
      </c>
    </row>
    <row r="205" spans="1:6" x14ac:dyDescent="0.3">
      <c r="A205" t="s">
        <v>102</v>
      </c>
      <c r="B205" t="s">
        <v>59</v>
      </c>
      <c r="C205" s="22">
        <f>SUMIFS(Global_trade!I205:I704,Global_trade!F205:F704,B205,Global_trade!N205:N704,A205)</f>
        <v>5331.18</v>
      </c>
      <c r="D205" s="22">
        <f>SUMIFS(Global_trade!K205:K704,Global_trade!F205:F704,'Q6'!B205,Global_trade!N205:N704,'Q6'!A205)</f>
        <v>1674.0600000000002</v>
      </c>
      <c r="E205" s="22">
        <f>AVERAGEIFS(Global_trade!I205:I704,Global_trade!F205:F704,'Q6'!B205,Global_trade!N205:N704,'Q6'!A205)</f>
        <v>888.53000000000009</v>
      </c>
      <c r="F205" s="22">
        <f>AVERAGEIFS(Global_trade!K205:K704,Global_trade!F205:F704,'Q6'!B205,Global_trade!N205:N704,'Q6'!A205)</f>
        <v>279.01000000000005</v>
      </c>
    </row>
    <row r="206" spans="1:6" x14ac:dyDescent="0.3">
      <c r="A206" t="s">
        <v>66</v>
      </c>
      <c r="B206" t="s">
        <v>43</v>
      </c>
      <c r="C206" s="22">
        <f>SUMIFS(Global_trade!I206:I705,Global_trade!F206:F705,B206,Global_trade!N206:N705,A206)</f>
        <v>18229.89</v>
      </c>
      <c r="D206" s="22">
        <f>SUMIFS(Global_trade!K206:K705,Global_trade!F206:F705,'Q6'!B206,Global_trade!N206:N705,'Q6'!A206)</f>
        <v>5304.96</v>
      </c>
      <c r="E206" s="22">
        <f>AVERAGEIFS(Global_trade!I206:I705,Global_trade!F206:F705,'Q6'!B206,Global_trade!N206:N705,'Q6'!A206)</f>
        <v>729.19560000000001</v>
      </c>
      <c r="F206" s="22">
        <f>AVERAGEIFS(Global_trade!K206:K705,Global_trade!F206:F705,'Q6'!B206,Global_trade!N206:N705,'Q6'!A206)</f>
        <v>212.19839999999999</v>
      </c>
    </row>
    <row r="207" spans="1:6" x14ac:dyDescent="0.3">
      <c r="A207" t="s">
        <v>24</v>
      </c>
      <c r="B207" t="s">
        <v>43</v>
      </c>
      <c r="C207" s="22">
        <f>SUMIFS(Global_trade!I207:I706,Global_trade!F207:F706,B207,Global_trade!N207:N706,A207)</f>
        <v>14569.939999999999</v>
      </c>
      <c r="D207" s="22">
        <f>SUMIFS(Global_trade!K207:K706,Global_trade!F207:F706,'Q6'!B207,Global_trade!N207:N706,'Q6'!A207)</f>
        <v>3625.41</v>
      </c>
      <c r="E207" s="22">
        <f>AVERAGEIFS(Global_trade!I207:I706,Global_trade!F207:F706,'Q6'!B207,Global_trade!N207:N706,'Q6'!A207)</f>
        <v>857.05529411764701</v>
      </c>
      <c r="F207" s="22">
        <f>AVERAGEIFS(Global_trade!K207:K706,Global_trade!F207:F706,'Q6'!B207,Global_trade!N207:N706,'Q6'!A207)</f>
        <v>213.25941176470587</v>
      </c>
    </row>
    <row r="208" spans="1:6" x14ac:dyDescent="0.3">
      <c r="A208" t="s">
        <v>66</v>
      </c>
      <c r="B208" t="s">
        <v>50</v>
      </c>
      <c r="C208" s="22">
        <f>SUMIFS(Global_trade!I208:I707,Global_trade!F208:F707,B208,Global_trade!N208:N707,A208)</f>
        <v>16395.170000000002</v>
      </c>
      <c r="D208" s="22">
        <f>SUMIFS(Global_trade!K208:K707,Global_trade!F208:F707,'Q6'!B208,Global_trade!N208:N707,'Q6'!A208)</f>
        <v>4541.1000000000004</v>
      </c>
      <c r="E208" s="22">
        <f>AVERAGEIFS(Global_trade!I208:I707,Global_trade!F208:F707,'Q6'!B208,Global_trade!N208:N707,'Q6'!A208)</f>
        <v>1261.1669230769232</v>
      </c>
      <c r="F208" s="22">
        <f>AVERAGEIFS(Global_trade!K208:K707,Global_trade!F208:F707,'Q6'!B208,Global_trade!N208:N707,'Q6'!A208)</f>
        <v>349.31538461538463</v>
      </c>
    </row>
    <row r="209" spans="1:6" x14ac:dyDescent="0.3">
      <c r="A209" t="s">
        <v>32</v>
      </c>
      <c r="B209" t="s">
        <v>43</v>
      </c>
      <c r="C209" s="22">
        <f>SUMIFS(Global_trade!I209:I708,Global_trade!F209:F708,B209,Global_trade!N209:N708,A209)</f>
        <v>21058.700000000004</v>
      </c>
      <c r="D209" s="22">
        <f>SUMIFS(Global_trade!K209:K708,Global_trade!F209:F708,'Q6'!B209,Global_trade!N209:N708,'Q6'!A209)</f>
        <v>6477.8300000000008</v>
      </c>
      <c r="E209" s="22">
        <f>AVERAGEIFS(Global_trade!I209:I708,Global_trade!F209:F708,'Q6'!B209,Global_trade!N209:N708,'Q6'!A209)</f>
        <v>726.16206896551739</v>
      </c>
      <c r="F209" s="22">
        <f>AVERAGEIFS(Global_trade!K209:K708,Global_trade!F209:F708,'Q6'!B209,Global_trade!N209:N708,'Q6'!A209)</f>
        <v>223.3734482758621</v>
      </c>
    </row>
    <row r="210" spans="1:6" x14ac:dyDescent="0.3">
      <c r="A210" t="s">
        <v>66</v>
      </c>
      <c r="B210" t="s">
        <v>59</v>
      </c>
      <c r="C210" s="22">
        <f>SUMIFS(Global_trade!I210:I709,Global_trade!F210:F709,B210,Global_trade!N210:N709,A210)</f>
        <v>34410.47</v>
      </c>
      <c r="D210" s="22">
        <f>SUMIFS(Global_trade!K210:K709,Global_trade!F210:F709,'Q6'!B210,Global_trade!N210:N709,'Q6'!A210)</f>
        <v>9193.08</v>
      </c>
      <c r="E210" s="22">
        <f>AVERAGEIFS(Global_trade!I210:I709,Global_trade!F210:F709,'Q6'!B210,Global_trade!N210:N709,'Q6'!A210)</f>
        <v>930.01270270270277</v>
      </c>
      <c r="F210" s="22">
        <f>AVERAGEIFS(Global_trade!K210:K709,Global_trade!F210:F709,'Q6'!B210,Global_trade!N210:N709,'Q6'!A210)</f>
        <v>248.46162162162162</v>
      </c>
    </row>
    <row r="211" spans="1:6" x14ac:dyDescent="0.3">
      <c r="A211" t="s">
        <v>66</v>
      </c>
      <c r="B211" t="s">
        <v>50</v>
      </c>
      <c r="C211" s="22">
        <f>SUMIFS(Global_trade!I211:I710,Global_trade!F211:F710,B211,Global_trade!N211:N710,A211)</f>
        <v>15764.17</v>
      </c>
      <c r="D211" s="22">
        <f>SUMIFS(Global_trade!K211:K710,Global_trade!F211:F710,'Q6'!B211,Global_trade!N211:N710,'Q6'!A211)</f>
        <v>4337.03</v>
      </c>
      <c r="E211" s="22">
        <f>AVERAGEIFS(Global_trade!I211:I710,Global_trade!F211:F710,'Q6'!B211,Global_trade!N211:N710,'Q6'!A211)</f>
        <v>1313.6808333333333</v>
      </c>
      <c r="F211" s="22">
        <f>AVERAGEIFS(Global_trade!K211:K710,Global_trade!F211:F710,'Q6'!B211,Global_trade!N211:N710,'Q6'!A211)</f>
        <v>361.41916666666663</v>
      </c>
    </row>
    <row r="212" spans="1:6" x14ac:dyDescent="0.3">
      <c r="A212" t="s">
        <v>66</v>
      </c>
      <c r="B212" t="s">
        <v>43</v>
      </c>
      <c r="C212" s="22">
        <f>SUMIFS(Global_trade!I212:I711,Global_trade!F212:F711,B212,Global_trade!N212:N711,A212)</f>
        <v>16952.25</v>
      </c>
      <c r="D212" s="22">
        <f>SUMIFS(Global_trade!K212:K711,Global_trade!F212:F711,'Q6'!B212,Global_trade!N212:N711,'Q6'!A212)</f>
        <v>4843.13</v>
      </c>
      <c r="E212" s="22">
        <f>AVERAGEIFS(Global_trade!I212:I711,Global_trade!F212:F711,'Q6'!B212,Global_trade!N212:N711,'Q6'!A212)</f>
        <v>706.34375</v>
      </c>
      <c r="F212" s="22">
        <f>AVERAGEIFS(Global_trade!K212:K711,Global_trade!F212:F711,'Q6'!B212,Global_trade!N212:N711,'Q6'!A212)</f>
        <v>201.79708333333335</v>
      </c>
    </row>
    <row r="213" spans="1:6" x14ac:dyDescent="0.3">
      <c r="A213" t="s">
        <v>32</v>
      </c>
      <c r="B213" t="s">
        <v>21</v>
      </c>
      <c r="C213" s="22">
        <f>SUMIFS(Global_trade!I213:I712,Global_trade!F213:F712,B213,Global_trade!N213:N712,A213)</f>
        <v>19681.249999999996</v>
      </c>
      <c r="D213" s="22">
        <f>SUMIFS(Global_trade!K213:K712,Global_trade!F213:F712,'Q6'!B213,Global_trade!N213:N712,'Q6'!A213)</f>
        <v>5426.4500000000007</v>
      </c>
      <c r="E213" s="22">
        <f>AVERAGEIFS(Global_trade!I213:I712,Global_trade!F213:F712,'Q6'!B213,Global_trade!N213:N712,'Q6'!A213)</f>
        <v>1157.7205882352939</v>
      </c>
      <c r="F213" s="22">
        <f>AVERAGEIFS(Global_trade!K213:K712,Global_trade!F213:F712,'Q6'!B213,Global_trade!N213:N712,'Q6'!A213)</f>
        <v>319.20294117647063</v>
      </c>
    </row>
    <row r="214" spans="1:6" x14ac:dyDescent="0.3">
      <c r="A214" t="s">
        <v>66</v>
      </c>
      <c r="B214" t="s">
        <v>21</v>
      </c>
      <c r="C214" s="22">
        <f>SUMIFS(Global_trade!I214:I713,Global_trade!F214:F713,B214,Global_trade!N214:N713,A214)</f>
        <v>13748.179999999997</v>
      </c>
      <c r="D214" s="22">
        <f>SUMIFS(Global_trade!K214:K713,Global_trade!F214:F713,'Q6'!B214,Global_trade!N214:N713,'Q6'!A214)</f>
        <v>3335.18</v>
      </c>
      <c r="E214" s="22">
        <f>AVERAGEIFS(Global_trade!I214:I713,Global_trade!F214:F713,'Q6'!B214,Global_trade!N214:N713,'Q6'!A214)</f>
        <v>687.40899999999988</v>
      </c>
      <c r="F214" s="22">
        <f>AVERAGEIFS(Global_trade!K214:K713,Global_trade!F214:F713,'Q6'!B214,Global_trade!N214:N713,'Q6'!A214)</f>
        <v>166.75899999999999</v>
      </c>
    </row>
    <row r="215" spans="1:6" x14ac:dyDescent="0.3">
      <c r="A215" t="s">
        <v>66</v>
      </c>
      <c r="B215" t="s">
        <v>59</v>
      </c>
      <c r="C215" s="22">
        <f>SUMIFS(Global_trade!I215:I714,Global_trade!F215:F714,B215,Global_trade!N215:N714,A215)</f>
        <v>33895.410000000003</v>
      </c>
      <c r="D215" s="22">
        <f>SUMIFS(Global_trade!K215:K714,Global_trade!F215:F714,'Q6'!B215,Global_trade!N215:N714,'Q6'!A215)</f>
        <v>9091.32</v>
      </c>
      <c r="E215" s="22">
        <f>AVERAGEIFS(Global_trade!I215:I714,Global_trade!F215:F714,'Q6'!B215,Global_trade!N215:N714,'Q6'!A215)</f>
        <v>941.5391666666668</v>
      </c>
      <c r="F215" s="22">
        <f>AVERAGEIFS(Global_trade!K215:K714,Global_trade!F215:F714,'Q6'!B215,Global_trade!N215:N714,'Q6'!A215)</f>
        <v>252.53666666666666</v>
      </c>
    </row>
    <row r="216" spans="1:6" x14ac:dyDescent="0.3">
      <c r="A216" t="s">
        <v>66</v>
      </c>
      <c r="B216" t="s">
        <v>43</v>
      </c>
      <c r="C216" s="22">
        <f>SUMIFS(Global_trade!I216:I715,Global_trade!F216:F715,B216,Global_trade!N216:N715,A216)</f>
        <v>16472.339999999997</v>
      </c>
      <c r="D216" s="22">
        <f>SUMIFS(Global_trade!K216:K715,Global_trade!F216:F715,'Q6'!B216,Global_trade!N216:N715,'Q6'!A216)</f>
        <v>4735.1000000000004</v>
      </c>
      <c r="E216" s="22">
        <f>AVERAGEIFS(Global_trade!I216:I715,Global_trade!F216:F715,'Q6'!B216,Global_trade!N216:N715,'Q6'!A216)</f>
        <v>716.18869565217381</v>
      </c>
      <c r="F216" s="22">
        <f>AVERAGEIFS(Global_trade!K216:K715,Global_trade!F216:F715,'Q6'!B216,Global_trade!N216:N715,'Q6'!A216)</f>
        <v>205.87391304347827</v>
      </c>
    </row>
    <row r="217" spans="1:6" x14ac:dyDescent="0.3">
      <c r="A217" t="s">
        <v>32</v>
      </c>
      <c r="B217" t="s">
        <v>59</v>
      </c>
      <c r="C217" s="22">
        <f>SUMIFS(Global_trade!I217:I716,Global_trade!F217:F716,B217,Global_trade!N217:N716,A217)</f>
        <v>20180.490000000002</v>
      </c>
      <c r="D217" s="22">
        <f>SUMIFS(Global_trade!K217:K716,Global_trade!F217:F716,'Q6'!B217,Global_trade!N217:N716,'Q6'!A217)</f>
        <v>5705.0399999999991</v>
      </c>
      <c r="E217" s="22">
        <f>AVERAGEIFS(Global_trade!I217:I716,Global_trade!F217:F716,'Q6'!B217,Global_trade!N217:N716,'Q6'!A217)</f>
        <v>917.29500000000007</v>
      </c>
      <c r="F217" s="22">
        <f>AVERAGEIFS(Global_trade!K217:K716,Global_trade!F217:F716,'Q6'!B217,Global_trade!N217:N716,'Q6'!A217)</f>
        <v>259.31999999999994</v>
      </c>
    </row>
    <row r="218" spans="1:6" x14ac:dyDescent="0.3">
      <c r="A218" t="s">
        <v>24</v>
      </c>
      <c r="B218" t="s">
        <v>59</v>
      </c>
      <c r="C218" s="22">
        <f>SUMIFS(Global_trade!I218:I717,Global_trade!F218:F717,B218,Global_trade!N218:N717,A218)</f>
        <v>17695.180000000004</v>
      </c>
      <c r="D218" s="22">
        <f>SUMIFS(Global_trade!K218:K717,Global_trade!F218:F717,'Q6'!B218,Global_trade!N218:N717,'Q6'!A218)</f>
        <v>5258.7800000000007</v>
      </c>
      <c r="E218" s="22">
        <f>AVERAGEIFS(Global_trade!I218:I717,Global_trade!F218:F717,'Q6'!B218,Global_trade!N218:N717,'Q6'!A218)</f>
        <v>983.06555555555576</v>
      </c>
      <c r="F218" s="22">
        <f>AVERAGEIFS(Global_trade!K218:K717,Global_trade!F218:F717,'Q6'!B218,Global_trade!N218:N717,'Q6'!A218)</f>
        <v>292.15444444444449</v>
      </c>
    </row>
    <row r="219" spans="1:6" x14ac:dyDescent="0.3">
      <c r="A219" t="s">
        <v>66</v>
      </c>
      <c r="B219" t="s">
        <v>43</v>
      </c>
      <c r="C219" s="22">
        <f>SUMIFS(Global_trade!I219:I718,Global_trade!F219:F718,B219,Global_trade!N219:N718,A219)</f>
        <v>15814.539999999997</v>
      </c>
      <c r="D219" s="22">
        <f>SUMIFS(Global_trade!K219:K718,Global_trade!F219:F718,'Q6'!B219,Global_trade!N219:N718,'Q6'!A219)</f>
        <v>4550.6599999999989</v>
      </c>
      <c r="E219" s="22">
        <f>AVERAGEIFS(Global_trade!I219:I718,Global_trade!F219:F718,'Q6'!B219,Global_trade!N219:N718,'Q6'!A219)</f>
        <v>718.84272727272719</v>
      </c>
      <c r="F219" s="22">
        <f>AVERAGEIFS(Global_trade!K219:K718,Global_trade!F219:F718,'Q6'!B219,Global_trade!N219:N718,'Q6'!A219)</f>
        <v>206.84818181818176</v>
      </c>
    </row>
    <row r="220" spans="1:6" x14ac:dyDescent="0.3">
      <c r="A220" t="s">
        <v>24</v>
      </c>
      <c r="B220" t="s">
        <v>65</v>
      </c>
      <c r="C220" s="22">
        <f>SUMIFS(Global_trade!I220:I719,Global_trade!F220:F719,B220,Global_trade!N220:N719,A220)</f>
        <v>2508.2300000000005</v>
      </c>
      <c r="D220" s="22">
        <f>SUMIFS(Global_trade!K220:K719,Global_trade!F220:F719,'Q6'!B220,Global_trade!N220:N719,'Q6'!A220)</f>
        <v>660.28000000000009</v>
      </c>
      <c r="E220" s="22">
        <f>AVERAGEIFS(Global_trade!I220:I719,Global_trade!F220:F719,'Q6'!B220,Global_trade!N220:N719,'Q6'!A220)</f>
        <v>627.05750000000012</v>
      </c>
      <c r="F220" s="22">
        <f>AVERAGEIFS(Global_trade!K220:K719,Global_trade!F220:F719,'Q6'!B220,Global_trade!N220:N719,'Q6'!A220)</f>
        <v>165.07000000000002</v>
      </c>
    </row>
    <row r="221" spans="1:6" x14ac:dyDescent="0.3">
      <c r="A221" t="s">
        <v>24</v>
      </c>
      <c r="B221" t="s">
        <v>59</v>
      </c>
      <c r="C221" s="22">
        <f>SUMIFS(Global_trade!I221:I720,Global_trade!F221:F720,B221,Global_trade!N221:N720,A221)</f>
        <v>16908.730000000003</v>
      </c>
      <c r="D221" s="22">
        <f>SUMIFS(Global_trade!K221:K720,Global_trade!F221:F720,'Q6'!B221,Global_trade!N221:N720,'Q6'!A221)</f>
        <v>5122.7300000000005</v>
      </c>
      <c r="E221" s="22">
        <f>AVERAGEIFS(Global_trade!I221:I720,Global_trade!F221:F720,'Q6'!B221,Global_trade!N221:N720,'Q6'!A221)</f>
        <v>994.63117647058846</v>
      </c>
      <c r="F221" s="22">
        <f>AVERAGEIFS(Global_trade!K221:K720,Global_trade!F221:F720,'Q6'!B221,Global_trade!N221:N720,'Q6'!A221)</f>
        <v>301.33705882352945</v>
      </c>
    </row>
    <row r="222" spans="1:6" x14ac:dyDescent="0.3">
      <c r="A222" t="s">
        <v>32</v>
      </c>
      <c r="B222" t="s">
        <v>59</v>
      </c>
      <c r="C222" s="22">
        <f>SUMIFS(Global_trade!I222:I721,Global_trade!F222:F721,B222,Global_trade!N222:N721,A222)</f>
        <v>19710.690000000002</v>
      </c>
      <c r="D222" s="22">
        <f>SUMIFS(Global_trade!K222:K721,Global_trade!F222:F721,'Q6'!B222,Global_trade!N222:N721,'Q6'!A222)</f>
        <v>5533.7599999999984</v>
      </c>
      <c r="E222" s="22">
        <f>AVERAGEIFS(Global_trade!I222:I721,Global_trade!F222:F721,'Q6'!B222,Global_trade!N222:N721,'Q6'!A222)</f>
        <v>938.60428571428588</v>
      </c>
      <c r="F222" s="22">
        <f>AVERAGEIFS(Global_trade!K222:K721,Global_trade!F222:F721,'Q6'!B222,Global_trade!N222:N721,'Q6'!A222)</f>
        <v>263.51238095238085</v>
      </c>
    </row>
    <row r="223" spans="1:6" x14ac:dyDescent="0.3">
      <c r="A223" t="s">
        <v>148</v>
      </c>
      <c r="B223" t="s">
        <v>59</v>
      </c>
      <c r="C223" s="22">
        <f>SUMIFS(Global_trade!I223:I722,Global_trade!F223:F722,B223,Global_trade!N223:N722,A223)</f>
        <v>5050.5</v>
      </c>
      <c r="D223" s="22">
        <f>SUMIFS(Global_trade!K223:K722,Global_trade!F223:F722,'Q6'!B223,Global_trade!N223:N722,'Q6'!A223)</f>
        <v>1635.63</v>
      </c>
      <c r="E223" s="22">
        <f>AVERAGEIFS(Global_trade!I223:I722,Global_trade!F223:F722,'Q6'!B223,Global_trade!N223:N722,'Q6'!A223)</f>
        <v>841.75</v>
      </c>
      <c r="F223" s="22">
        <f>AVERAGEIFS(Global_trade!K223:K722,Global_trade!F223:F722,'Q6'!B223,Global_trade!N223:N722,'Q6'!A223)</f>
        <v>272.60500000000002</v>
      </c>
    </row>
    <row r="224" spans="1:6" x14ac:dyDescent="0.3">
      <c r="A224" t="s">
        <v>32</v>
      </c>
      <c r="B224" t="s">
        <v>21</v>
      </c>
      <c r="C224" s="22">
        <f>SUMIFS(Global_trade!I224:I723,Global_trade!F224:F723,B224,Global_trade!N224:N723,A224)</f>
        <v>18620.330000000002</v>
      </c>
      <c r="D224" s="22">
        <f>SUMIFS(Global_trade!K224:K723,Global_trade!F224:F723,'Q6'!B224,Global_trade!N224:N723,'Q6'!A224)</f>
        <v>5198.58</v>
      </c>
      <c r="E224" s="22">
        <f>AVERAGEIFS(Global_trade!I224:I723,Global_trade!F224:F723,'Q6'!B224,Global_trade!N224:N723,'Q6'!A224)</f>
        <v>1163.7706250000001</v>
      </c>
      <c r="F224" s="22">
        <f>AVERAGEIFS(Global_trade!K224:K723,Global_trade!F224:F723,'Q6'!B224,Global_trade!N224:N723,'Q6'!A224)</f>
        <v>324.91125</v>
      </c>
    </row>
    <row r="225" spans="1:6" x14ac:dyDescent="0.3">
      <c r="A225" t="s">
        <v>66</v>
      </c>
      <c r="B225" t="s">
        <v>65</v>
      </c>
      <c r="C225" s="22">
        <f>SUMIFS(Global_trade!I225:I724,Global_trade!F225:F724,B225,Global_trade!N225:N724,A225)</f>
        <v>15403.26</v>
      </c>
      <c r="D225" s="22">
        <f>SUMIFS(Global_trade!K225:K724,Global_trade!F225:F724,'Q6'!B225,Global_trade!N225:N724,'Q6'!A225)</f>
        <v>3989.83</v>
      </c>
      <c r="E225" s="22">
        <f>AVERAGEIFS(Global_trade!I225:I724,Global_trade!F225:F724,'Q6'!B225,Global_trade!N225:N724,'Q6'!A225)</f>
        <v>1026.884</v>
      </c>
      <c r="F225" s="22">
        <f>AVERAGEIFS(Global_trade!K225:K724,Global_trade!F225:F724,'Q6'!B225,Global_trade!N225:N724,'Q6'!A225)</f>
        <v>265.98866666666669</v>
      </c>
    </row>
    <row r="226" spans="1:6" x14ac:dyDescent="0.3">
      <c r="A226" t="s">
        <v>32</v>
      </c>
      <c r="B226" t="s">
        <v>21</v>
      </c>
      <c r="C226" s="22">
        <f>SUMIFS(Global_trade!I226:I725,Global_trade!F226:F725,B226,Global_trade!N226:N725,A226)</f>
        <v>18277.43</v>
      </c>
      <c r="D226" s="22">
        <f>SUMIFS(Global_trade!K226:K725,Global_trade!F226:F725,'Q6'!B226,Global_trade!N226:N725,'Q6'!A226)</f>
        <v>5152.84</v>
      </c>
      <c r="E226" s="22">
        <f>AVERAGEIFS(Global_trade!I226:I725,Global_trade!F226:F725,'Q6'!B226,Global_trade!N226:N725,'Q6'!A226)</f>
        <v>1218.4953333333333</v>
      </c>
      <c r="F226" s="22">
        <f>AVERAGEIFS(Global_trade!K226:K725,Global_trade!F226:F725,'Q6'!B226,Global_trade!N226:N725,'Q6'!A226)</f>
        <v>343.52266666666668</v>
      </c>
    </row>
    <row r="227" spans="1:6" x14ac:dyDescent="0.3">
      <c r="A227" t="s">
        <v>32</v>
      </c>
      <c r="B227" t="s">
        <v>43</v>
      </c>
      <c r="C227" s="22">
        <f>SUMIFS(Global_trade!I227:I726,Global_trade!F227:F726,B227,Global_trade!N227:N726,A227)</f>
        <v>20893.400000000001</v>
      </c>
      <c r="D227" s="22">
        <f>SUMIFS(Global_trade!K227:K726,Global_trade!F227:F726,'Q6'!B227,Global_trade!N227:N726,'Q6'!A227)</f>
        <v>6417.7</v>
      </c>
      <c r="E227" s="22">
        <f>AVERAGEIFS(Global_trade!I227:I726,Global_trade!F227:F726,'Q6'!B227,Global_trade!N227:N726,'Q6'!A227)</f>
        <v>746.19285714285718</v>
      </c>
      <c r="F227" s="22">
        <f>AVERAGEIFS(Global_trade!K227:K726,Global_trade!F227:F726,'Q6'!B227,Global_trade!N227:N726,'Q6'!A227)</f>
        <v>229.20357142857142</v>
      </c>
    </row>
    <row r="228" spans="1:6" x14ac:dyDescent="0.3">
      <c r="A228" t="s">
        <v>32</v>
      </c>
      <c r="B228" t="s">
        <v>59</v>
      </c>
      <c r="C228" s="22">
        <f>SUMIFS(Global_trade!I228:I727,Global_trade!F228:F727,B228,Global_trade!N228:N727,A228)</f>
        <v>17609.849999999999</v>
      </c>
      <c r="D228" s="22">
        <f>SUMIFS(Global_trade!K228:K727,Global_trade!F228:F727,'Q6'!B228,Global_trade!N228:N727,'Q6'!A228)</f>
        <v>4698.5699999999988</v>
      </c>
      <c r="E228" s="22">
        <f>AVERAGEIFS(Global_trade!I228:I727,Global_trade!F228:F727,'Q6'!B228,Global_trade!N228:N727,'Q6'!A228)</f>
        <v>880.49249999999995</v>
      </c>
      <c r="F228" s="22">
        <f>AVERAGEIFS(Global_trade!K228:K727,Global_trade!F228:F727,'Q6'!B228,Global_trade!N228:N727,'Q6'!A228)</f>
        <v>234.92849999999993</v>
      </c>
    </row>
    <row r="229" spans="1:6" x14ac:dyDescent="0.3">
      <c r="A229" t="s">
        <v>66</v>
      </c>
      <c r="B229" t="s">
        <v>65</v>
      </c>
      <c r="C229" s="22">
        <f>SUMIFS(Global_trade!I229:I728,Global_trade!F229:F728,B229,Global_trade!N229:N728,A229)</f>
        <v>14024.269999999999</v>
      </c>
      <c r="D229" s="22">
        <f>SUMIFS(Global_trade!K229:K728,Global_trade!F229:F728,'Q6'!B229,Global_trade!N229:N728,'Q6'!A229)</f>
        <v>3628.76</v>
      </c>
      <c r="E229" s="22">
        <f>AVERAGEIFS(Global_trade!I229:I728,Global_trade!F229:F728,'Q6'!B229,Global_trade!N229:N728,'Q6'!A229)</f>
        <v>1001.7335714285713</v>
      </c>
      <c r="F229" s="22">
        <f>AVERAGEIFS(Global_trade!K229:K728,Global_trade!F229:F728,'Q6'!B229,Global_trade!N229:N728,'Q6'!A229)</f>
        <v>259.19714285714286</v>
      </c>
    </row>
    <row r="230" spans="1:6" x14ac:dyDescent="0.3">
      <c r="A230" t="s">
        <v>32</v>
      </c>
      <c r="B230" t="s">
        <v>21</v>
      </c>
      <c r="C230" s="22">
        <f>SUMIFS(Global_trade!I230:I729,Global_trade!F230:F729,B230,Global_trade!N230:N729,A230)</f>
        <v>15628.98</v>
      </c>
      <c r="D230" s="22">
        <f>SUMIFS(Global_trade!K230:K729,Global_trade!F230:F729,'Q6'!B230,Global_trade!N230:N729,'Q6'!A230)</f>
        <v>4286.1900000000005</v>
      </c>
      <c r="E230" s="22">
        <f>AVERAGEIFS(Global_trade!I230:I729,Global_trade!F230:F729,'Q6'!B230,Global_trade!N230:N729,'Q6'!A230)</f>
        <v>1116.3557142857142</v>
      </c>
      <c r="F230" s="22">
        <f>AVERAGEIFS(Global_trade!K230:K729,Global_trade!F230:F729,'Q6'!B230,Global_trade!N230:N729,'Q6'!A230)</f>
        <v>306.15642857142859</v>
      </c>
    </row>
    <row r="231" spans="1:6" x14ac:dyDescent="0.3">
      <c r="A231" t="s">
        <v>32</v>
      </c>
      <c r="B231" t="s">
        <v>59</v>
      </c>
      <c r="C231" s="22">
        <f>SUMIFS(Global_trade!I231:I730,Global_trade!F231:F730,B231,Global_trade!N231:N730,A231)</f>
        <v>15861.530000000002</v>
      </c>
      <c r="D231" s="22">
        <f>SUMIFS(Global_trade!K231:K730,Global_trade!F231:F730,'Q6'!B231,Global_trade!N231:N730,'Q6'!A231)</f>
        <v>4446.72</v>
      </c>
      <c r="E231" s="22">
        <f>AVERAGEIFS(Global_trade!I231:I730,Global_trade!F231:F730,'Q6'!B231,Global_trade!N231:N730,'Q6'!A231)</f>
        <v>834.81736842105272</v>
      </c>
      <c r="F231" s="22">
        <f>AVERAGEIFS(Global_trade!K231:K730,Global_trade!F231:F730,'Q6'!B231,Global_trade!N231:N730,'Q6'!A231)</f>
        <v>234.03789473684211</v>
      </c>
    </row>
    <row r="232" spans="1:6" x14ac:dyDescent="0.3">
      <c r="A232" t="s">
        <v>32</v>
      </c>
      <c r="B232" t="s">
        <v>43</v>
      </c>
      <c r="C232" s="22">
        <f>SUMIFS(Global_trade!I232:I731,Global_trade!F232:F731,B232,Global_trade!N232:N731,A232)</f>
        <v>20231.420000000002</v>
      </c>
      <c r="D232" s="22">
        <f>SUMIFS(Global_trade!K232:K731,Global_trade!F232:F731,'Q6'!B232,Global_trade!N232:N731,'Q6'!A232)</f>
        <v>6226.4899999999989</v>
      </c>
      <c r="E232" s="22">
        <f>AVERAGEIFS(Global_trade!I232:I731,Global_trade!F232:F731,'Q6'!B232,Global_trade!N232:N731,'Q6'!A232)</f>
        <v>749.31185185185188</v>
      </c>
      <c r="F232" s="22">
        <f>AVERAGEIFS(Global_trade!K232:K731,Global_trade!F232:F731,'Q6'!B232,Global_trade!N232:N731,'Q6'!A232)</f>
        <v>230.61074074074071</v>
      </c>
    </row>
    <row r="233" spans="1:6" x14ac:dyDescent="0.3">
      <c r="A233" t="s">
        <v>24</v>
      </c>
      <c r="B233" t="s">
        <v>21</v>
      </c>
      <c r="C233" s="22">
        <f>SUMIFS(Global_trade!I233:I732,Global_trade!F233:F732,B233,Global_trade!N233:N732,A233)</f>
        <v>8397.19</v>
      </c>
      <c r="D233" s="22">
        <f>SUMIFS(Global_trade!K233:K732,Global_trade!F233:F732,'Q6'!B233,Global_trade!N233:N732,'Q6'!A233)</f>
        <v>2206.86</v>
      </c>
      <c r="E233" s="22">
        <f>AVERAGEIFS(Global_trade!I233:I732,Global_trade!F233:F732,'Q6'!B233,Global_trade!N233:N732,'Q6'!A233)</f>
        <v>1049.6487500000001</v>
      </c>
      <c r="F233" s="22">
        <f>AVERAGEIFS(Global_trade!K233:K732,Global_trade!F233:F732,'Q6'!B233,Global_trade!N233:N732,'Q6'!A233)</f>
        <v>275.85750000000002</v>
      </c>
    </row>
    <row r="234" spans="1:6" x14ac:dyDescent="0.3">
      <c r="A234" t="s">
        <v>24</v>
      </c>
      <c r="B234" t="s">
        <v>65</v>
      </c>
      <c r="C234" s="22">
        <f>SUMIFS(Global_trade!I234:I733,Global_trade!F234:F733,B234,Global_trade!N234:N733,A234)</f>
        <v>2089.46</v>
      </c>
      <c r="D234" s="22">
        <f>SUMIFS(Global_trade!K234:K733,Global_trade!F234:F733,'Q6'!B234,Global_trade!N234:N733,'Q6'!A234)</f>
        <v>545.53000000000009</v>
      </c>
      <c r="E234" s="22">
        <f>AVERAGEIFS(Global_trade!I234:I733,Global_trade!F234:F733,'Q6'!B234,Global_trade!N234:N733,'Q6'!A234)</f>
        <v>696.48666666666668</v>
      </c>
      <c r="F234" s="22">
        <f>AVERAGEIFS(Global_trade!K234:K733,Global_trade!F234:F733,'Q6'!B234,Global_trade!N234:N733,'Q6'!A234)</f>
        <v>181.84333333333336</v>
      </c>
    </row>
    <row r="235" spans="1:6" x14ac:dyDescent="0.3">
      <c r="A235" t="s">
        <v>66</v>
      </c>
      <c r="B235" t="s">
        <v>50</v>
      </c>
      <c r="C235" s="22">
        <f>SUMIFS(Global_trade!I235:I734,Global_trade!F235:F734,B235,Global_trade!N235:N734,A235)</f>
        <v>14857.39</v>
      </c>
      <c r="D235" s="22">
        <f>SUMIFS(Global_trade!K235:K734,Global_trade!F235:F734,'Q6'!B235,Global_trade!N235:N734,'Q6'!A235)</f>
        <v>4140.8500000000004</v>
      </c>
      <c r="E235" s="22">
        <f>AVERAGEIFS(Global_trade!I235:I734,Global_trade!F235:F734,'Q6'!B235,Global_trade!N235:N734,'Q6'!A235)</f>
        <v>1350.671818181818</v>
      </c>
      <c r="F235" s="22">
        <f>AVERAGEIFS(Global_trade!K235:K734,Global_trade!F235:F734,'Q6'!B235,Global_trade!N235:N734,'Q6'!A235)</f>
        <v>376.44090909090914</v>
      </c>
    </row>
    <row r="236" spans="1:6" x14ac:dyDescent="0.3">
      <c r="A236" t="s">
        <v>32</v>
      </c>
      <c r="B236" t="s">
        <v>65</v>
      </c>
      <c r="C236" s="22">
        <f>SUMIFS(Global_trade!I236:I735,Global_trade!F236:F735,B236,Global_trade!N236:N735,A236)</f>
        <v>7662.7200000000012</v>
      </c>
      <c r="D236" s="22">
        <f>SUMIFS(Global_trade!K236:K735,Global_trade!F236:F735,'Q6'!B236,Global_trade!N236:N735,'Q6'!A236)</f>
        <v>2106.19</v>
      </c>
      <c r="E236" s="22">
        <f>AVERAGEIFS(Global_trade!I236:I735,Global_trade!F236:F735,'Q6'!B236,Global_trade!N236:N735,'Q6'!A236)</f>
        <v>957.84000000000015</v>
      </c>
      <c r="F236" s="22">
        <f>AVERAGEIFS(Global_trade!K236:K735,Global_trade!F236:F735,'Q6'!B236,Global_trade!N236:N735,'Q6'!A236)</f>
        <v>263.27375000000001</v>
      </c>
    </row>
    <row r="237" spans="1:6" x14ac:dyDescent="0.3">
      <c r="A237" t="s">
        <v>66</v>
      </c>
      <c r="B237" t="s">
        <v>59</v>
      </c>
      <c r="C237" s="22">
        <f>SUMIFS(Global_trade!I237:I736,Global_trade!F237:F736,B237,Global_trade!N237:N736,A237)</f>
        <v>31737.810000000005</v>
      </c>
      <c r="D237" s="22">
        <f>SUMIFS(Global_trade!K237:K736,Global_trade!F237:F736,'Q6'!B237,Global_trade!N237:N736,'Q6'!A237)</f>
        <v>8426.130000000001</v>
      </c>
      <c r="E237" s="22">
        <f>AVERAGEIFS(Global_trade!I237:I736,Global_trade!F237:F736,'Q6'!B237,Global_trade!N237:N736,'Q6'!A237)</f>
        <v>906.79457142857154</v>
      </c>
      <c r="F237" s="22">
        <f>AVERAGEIFS(Global_trade!K237:K736,Global_trade!F237:F736,'Q6'!B237,Global_trade!N237:N736,'Q6'!A237)</f>
        <v>240.74657142857146</v>
      </c>
    </row>
    <row r="238" spans="1:6" x14ac:dyDescent="0.3">
      <c r="A238" t="s">
        <v>66</v>
      </c>
      <c r="B238" t="s">
        <v>43</v>
      </c>
      <c r="C238" s="22">
        <f>SUMIFS(Global_trade!I238:I737,Global_trade!F238:F737,B238,Global_trade!N238:N737,A238)</f>
        <v>15101.039999999997</v>
      </c>
      <c r="D238" s="22">
        <f>SUMIFS(Global_trade!K238:K737,Global_trade!F238:F737,'Q6'!B238,Global_trade!N238:N737,'Q6'!A238)</f>
        <v>4387.5399999999991</v>
      </c>
      <c r="E238" s="22">
        <f>AVERAGEIFS(Global_trade!I238:I737,Global_trade!F238:F737,'Q6'!B238,Global_trade!N238:N737,'Q6'!A238)</f>
        <v>719.09714285714267</v>
      </c>
      <c r="F238" s="22">
        <f>AVERAGEIFS(Global_trade!K238:K737,Global_trade!F238:F737,'Q6'!B238,Global_trade!N238:N737,'Q6'!A238)</f>
        <v>208.93047619047616</v>
      </c>
    </row>
    <row r="239" spans="1:6" x14ac:dyDescent="0.3">
      <c r="A239" t="s">
        <v>45</v>
      </c>
      <c r="B239" t="s">
        <v>21</v>
      </c>
      <c r="C239" s="22">
        <f>SUMIFS(Global_trade!I239:I738,Global_trade!F239:F738,B239,Global_trade!N239:N738,A239)</f>
        <v>2944.1400000000003</v>
      </c>
      <c r="D239" s="22">
        <f>SUMIFS(Global_trade!K239:K738,Global_trade!F239:F738,'Q6'!B239,Global_trade!N239:N738,'Q6'!A239)</f>
        <v>1029.8499999999999</v>
      </c>
      <c r="E239" s="22">
        <f>AVERAGEIFS(Global_trade!I239:I738,Global_trade!F239:F738,'Q6'!B239,Global_trade!N239:N738,'Q6'!A239)</f>
        <v>1472.0700000000002</v>
      </c>
      <c r="F239" s="22">
        <f>AVERAGEIFS(Global_trade!K239:K738,Global_trade!F239:F738,'Q6'!B239,Global_trade!N239:N738,'Q6'!A239)</f>
        <v>514.92499999999995</v>
      </c>
    </row>
    <row r="240" spans="1:6" x14ac:dyDescent="0.3">
      <c r="A240" t="s">
        <v>66</v>
      </c>
      <c r="B240" t="s">
        <v>50</v>
      </c>
      <c r="C240" s="22">
        <f>SUMIFS(Global_trade!I240:I739,Global_trade!F240:F739,B240,Global_trade!N240:N739,A240)</f>
        <v>14387.59</v>
      </c>
      <c r="D240" s="22">
        <f>SUMIFS(Global_trade!K240:K739,Global_trade!F240:F739,'Q6'!B240,Global_trade!N240:N739,'Q6'!A240)</f>
        <v>4062.5499999999997</v>
      </c>
      <c r="E240" s="22">
        <f>AVERAGEIFS(Global_trade!I240:I739,Global_trade!F240:F739,'Q6'!B240,Global_trade!N240:N739,'Q6'!A240)</f>
        <v>1438.759</v>
      </c>
      <c r="F240" s="22">
        <f>AVERAGEIFS(Global_trade!K240:K739,Global_trade!F240:F739,'Q6'!B240,Global_trade!N240:N739,'Q6'!A240)</f>
        <v>406.255</v>
      </c>
    </row>
    <row r="241" spans="1:6" x14ac:dyDescent="0.3">
      <c r="A241" t="s">
        <v>66</v>
      </c>
      <c r="B241" t="s">
        <v>43</v>
      </c>
      <c r="C241" s="22">
        <f>SUMIFS(Global_trade!I241:I740,Global_trade!F241:F740,B241,Global_trade!N241:N740,A241)</f>
        <v>14064.399999999998</v>
      </c>
      <c r="D241" s="22">
        <f>SUMIFS(Global_trade!K241:K740,Global_trade!F241:F740,'Q6'!B241,Global_trade!N241:N740,'Q6'!A241)</f>
        <v>4149.6699999999992</v>
      </c>
      <c r="E241" s="22">
        <f>AVERAGEIFS(Global_trade!I241:I740,Global_trade!F241:F740,'Q6'!B241,Global_trade!N241:N740,'Q6'!A241)</f>
        <v>703.21999999999991</v>
      </c>
      <c r="F241" s="22">
        <f>AVERAGEIFS(Global_trade!K241:K740,Global_trade!F241:F740,'Q6'!B241,Global_trade!N241:N740,'Q6'!A241)</f>
        <v>207.48349999999996</v>
      </c>
    </row>
    <row r="242" spans="1:6" x14ac:dyDescent="0.3">
      <c r="A242" t="s">
        <v>32</v>
      </c>
      <c r="B242" t="s">
        <v>21</v>
      </c>
      <c r="C242" s="22">
        <f>SUMIFS(Global_trade!I242:I741,Global_trade!F242:F741,B242,Global_trade!N242:N741,A242)</f>
        <v>14794.580000000002</v>
      </c>
      <c r="D242" s="22">
        <f>SUMIFS(Global_trade!K242:K741,Global_trade!F242:F741,'Q6'!B242,Global_trade!N242:N741,'Q6'!A242)</f>
        <v>3960.9000000000005</v>
      </c>
      <c r="E242" s="22">
        <f>AVERAGEIFS(Global_trade!I242:I741,Global_trade!F242:F741,'Q6'!B242,Global_trade!N242:N741,'Q6'!A242)</f>
        <v>1138.0446153846156</v>
      </c>
      <c r="F242" s="22">
        <f>AVERAGEIFS(Global_trade!K242:K741,Global_trade!F242:F741,'Q6'!B242,Global_trade!N242:N741,'Q6'!A242)</f>
        <v>304.68461538461543</v>
      </c>
    </row>
    <row r="243" spans="1:6" x14ac:dyDescent="0.3">
      <c r="A243" t="s">
        <v>24</v>
      </c>
      <c r="B243" t="s">
        <v>59</v>
      </c>
      <c r="C243" s="22">
        <f>SUMIFS(Global_trade!I243:I742,Global_trade!F243:F742,B243,Global_trade!N243:N742,A243)</f>
        <v>16560.97</v>
      </c>
      <c r="D243" s="22">
        <f>SUMIFS(Global_trade!K243:K742,Global_trade!F243:F742,'Q6'!B243,Global_trade!N243:N742,'Q6'!A243)</f>
        <v>5075.3100000000004</v>
      </c>
      <c r="E243" s="22">
        <f>AVERAGEIFS(Global_trade!I243:I742,Global_trade!F243:F742,'Q6'!B243,Global_trade!N243:N742,'Q6'!A243)</f>
        <v>1035.0606250000001</v>
      </c>
      <c r="F243" s="22">
        <f>AVERAGEIFS(Global_trade!K243:K742,Global_trade!F243:F742,'Q6'!B243,Global_trade!N243:N742,'Q6'!A243)</f>
        <v>317.20687500000003</v>
      </c>
    </row>
    <row r="244" spans="1:6" x14ac:dyDescent="0.3">
      <c r="A244" t="s">
        <v>24</v>
      </c>
      <c r="B244" t="s">
        <v>43</v>
      </c>
      <c r="C244" s="22">
        <f>SUMIFS(Global_trade!I244:I743,Global_trade!F244:F743,B244,Global_trade!N244:N743,A244)</f>
        <v>14250.98</v>
      </c>
      <c r="D244" s="22">
        <f>SUMIFS(Global_trade!K244:K743,Global_trade!F244:F743,'Q6'!B244,Global_trade!N244:N743,'Q6'!A244)</f>
        <v>3578.3999999999996</v>
      </c>
      <c r="E244" s="22">
        <f>AVERAGEIFS(Global_trade!I244:I743,Global_trade!F244:F743,'Q6'!B244,Global_trade!N244:N743,'Q6'!A244)</f>
        <v>890.68624999999997</v>
      </c>
      <c r="F244" s="22">
        <f>AVERAGEIFS(Global_trade!K244:K743,Global_trade!F244:F743,'Q6'!B244,Global_trade!N244:N743,'Q6'!A244)</f>
        <v>223.64999999999998</v>
      </c>
    </row>
    <row r="245" spans="1:6" x14ac:dyDescent="0.3">
      <c r="A245" t="s">
        <v>32</v>
      </c>
      <c r="B245" t="s">
        <v>21</v>
      </c>
      <c r="C245" s="22">
        <f>SUMIFS(Global_trade!I245:I744,Global_trade!F245:F744,B245,Global_trade!N245:N744,A245)</f>
        <v>13860.98</v>
      </c>
      <c r="D245" s="22">
        <f>SUMIFS(Global_trade!K245:K744,Global_trade!F245:F744,'Q6'!B245,Global_trade!N245:N744,'Q6'!A245)</f>
        <v>3618.1800000000003</v>
      </c>
      <c r="E245" s="22">
        <f>AVERAGEIFS(Global_trade!I245:I744,Global_trade!F245:F744,'Q6'!B245,Global_trade!N245:N744,'Q6'!A245)</f>
        <v>1155.0816666666667</v>
      </c>
      <c r="F245" s="22">
        <f>AVERAGEIFS(Global_trade!K245:K744,Global_trade!F245:F744,'Q6'!B245,Global_trade!N245:N744,'Q6'!A245)</f>
        <v>301.51500000000004</v>
      </c>
    </row>
    <row r="246" spans="1:6" x14ac:dyDescent="0.3">
      <c r="A246" t="s">
        <v>32</v>
      </c>
      <c r="B246" t="s">
        <v>43</v>
      </c>
      <c r="C246" s="22">
        <f>SUMIFS(Global_trade!I246:I745,Global_trade!F246:F745,B246,Global_trade!N246:N745,A246)</f>
        <v>19611.780000000002</v>
      </c>
      <c r="D246" s="22">
        <f>SUMIFS(Global_trade!K246:K745,Global_trade!F246:F745,'Q6'!B246,Global_trade!N246:N745,'Q6'!A246)</f>
        <v>5981.05</v>
      </c>
      <c r="E246" s="22">
        <f>AVERAGEIFS(Global_trade!I246:I745,Global_trade!F246:F745,'Q6'!B246,Global_trade!N246:N745,'Q6'!A246)</f>
        <v>754.29923076923092</v>
      </c>
      <c r="F246" s="22">
        <f>AVERAGEIFS(Global_trade!K246:K745,Global_trade!F246:F745,'Q6'!B246,Global_trade!N246:N745,'Q6'!A246)</f>
        <v>230.04038461538462</v>
      </c>
    </row>
    <row r="247" spans="1:6" x14ac:dyDescent="0.3">
      <c r="A247" t="s">
        <v>66</v>
      </c>
      <c r="B247" t="s">
        <v>65</v>
      </c>
      <c r="C247" s="22">
        <f>SUMIFS(Global_trade!I247:I746,Global_trade!F247:F746,B247,Global_trade!N247:N746,A247)</f>
        <v>13313.800000000001</v>
      </c>
      <c r="D247" s="22">
        <f>SUMIFS(Global_trade!K247:K746,Global_trade!F247:F746,'Q6'!B247,Global_trade!N247:N746,'Q6'!A247)</f>
        <v>3512.03</v>
      </c>
      <c r="E247" s="22">
        <f>AVERAGEIFS(Global_trade!I247:I746,Global_trade!F247:F746,'Q6'!B247,Global_trade!N247:N746,'Q6'!A247)</f>
        <v>1024.1384615384616</v>
      </c>
      <c r="F247" s="22">
        <f>AVERAGEIFS(Global_trade!K247:K746,Global_trade!F247:F746,'Q6'!B247,Global_trade!N247:N746,'Q6'!A247)</f>
        <v>270.15615384615387</v>
      </c>
    </row>
    <row r="248" spans="1:6" x14ac:dyDescent="0.3">
      <c r="A248" t="s">
        <v>66</v>
      </c>
      <c r="B248" t="s">
        <v>21</v>
      </c>
      <c r="C248" s="22">
        <f>SUMIFS(Global_trade!I248:I747,Global_trade!F248:F747,B248,Global_trade!N248:N747,A248)</f>
        <v>13693.639999999998</v>
      </c>
      <c r="D248" s="22">
        <f>SUMIFS(Global_trade!K248:K747,Global_trade!F248:F747,'Q6'!B248,Global_trade!N248:N747,'Q6'!A248)</f>
        <v>3318.0899999999997</v>
      </c>
      <c r="E248" s="22">
        <f>AVERAGEIFS(Global_trade!I248:I747,Global_trade!F248:F747,'Q6'!B248,Global_trade!N248:N747,'Q6'!A248)</f>
        <v>720.71789473684203</v>
      </c>
      <c r="F248" s="22">
        <f>AVERAGEIFS(Global_trade!K248:K747,Global_trade!F248:F747,'Q6'!B248,Global_trade!N248:N747,'Q6'!A248)</f>
        <v>174.63631578947366</v>
      </c>
    </row>
    <row r="249" spans="1:6" x14ac:dyDescent="0.3">
      <c r="A249" t="s">
        <v>24</v>
      </c>
      <c r="B249" t="s">
        <v>21</v>
      </c>
      <c r="C249" s="22">
        <f>SUMIFS(Global_trade!I249:I748,Global_trade!F249:F748,B249,Global_trade!N249:N748,A249)</f>
        <v>7623.83</v>
      </c>
      <c r="D249" s="22">
        <f>SUMIFS(Global_trade!K249:K748,Global_trade!F249:F748,'Q6'!B249,Global_trade!N249:N748,'Q6'!A249)</f>
        <v>1967.38</v>
      </c>
      <c r="E249" s="22">
        <f>AVERAGEIFS(Global_trade!I249:I748,Global_trade!F249:F748,'Q6'!B249,Global_trade!N249:N748,'Q6'!A249)</f>
        <v>1089.1185714285714</v>
      </c>
      <c r="F249" s="22">
        <f>AVERAGEIFS(Global_trade!K249:K748,Global_trade!F249:F748,'Q6'!B249,Global_trade!N249:N748,'Q6'!A249)</f>
        <v>281.05428571428575</v>
      </c>
    </row>
    <row r="250" spans="1:6" x14ac:dyDescent="0.3">
      <c r="A250" t="s">
        <v>32</v>
      </c>
      <c r="B250" t="s">
        <v>65</v>
      </c>
      <c r="C250" s="22">
        <f>SUMIFS(Global_trade!I250:I749,Global_trade!F250:F749,B250,Global_trade!N250:N749,A250)</f>
        <v>6312.9800000000005</v>
      </c>
      <c r="D250" s="22">
        <f>SUMIFS(Global_trade!K250:K749,Global_trade!F250:F749,'Q6'!B250,Global_trade!N250:N749,'Q6'!A250)</f>
        <v>1631.31</v>
      </c>
      <c r="E250" s="22">
        <f>AVERAGEIFS(Global_trade!I250:I749,Global_trade!F250:F749,'Q6'!B250,Global_trade!N250:N749,'Q6'!A250)</f>
        <v>901.85428571428577</v>
      </c>
      <c r="F250" s="22">
        <f>AVERAGEIFS(Global_trade!K250:K749,Global_trade!F250:F749,'Q6'!B250,Global_trade!N250:N749,'Q6'!A250)</f>
        <v>233.04428571428571</v>
      </c>
    </row>
    <row r="251" spans="1:6" x14ac:dyDescent="0.3">
      <c r="A251" t="s">
        <v>24</v>
      </c>
      <c r="B251" t="s">
        <v>50</v>
      </c>
      <c r="C251" s="22">
        <f>SUMIFS(Global_trade!I251:I750,Global_trade!F251:F750,B251,Global_trade!N251:N750,A251)</f>
        <v>5569.5</v>
      </c>
      <c r="D251" s="22">
        <f>SUMIFS(Global_trade!K251:K750,Global_trade!F251:F750,'Q6'!B251,Global_trade!N251:N750,'Q6'!A251)</f>
        <v>1908.98</v>
      </c>
      <c r="E251" s="22">
        <f>AVERAGEIFS(Global_trade!I251:I750,Global_trade!F251:F750,'Q6'!B251,Global_trade!N251:N750,'Q6'!A251)</f>
        <v>1856.5</v>
      </c>
      <c r="F251" s="22">
        <f>AVERAGEIFS(Global_trade!K251:K750,Global_trade!F251:F750,'Q6'!B251,Global_trade!N251:N750,'Q6'!A251)</f>
        <v>636.32666666666671</v>
      </c>
    </row>
    <row r="252" spans="1:6" x14ac:dyDescent="0.3">
      <c r="A252" t="s">
        <v>66</v>
      </c>
      <c r="B252" t="s">
        <v>43</v>
      </c>
      <c r="C252" s="22">
        <f>SUMIFS(Global_trade!I252:I751,Global_trade!F252:F751,B252,Global_trade!N252:N751,A252)</f>
        <v>13285.649999999998</v>
      </c>
      <c r="D252" s="22">
        <f>SUMIFS(Global_trade!K252:K751,Global_trade!F252:F751,'Q6'!B252,Global_trade!N252:N751,'Q6'!A252)</f>
        <v>3918.3699999999994</v>
      </c>
      <c r="E252" s="22">
        <f>AVERAGEIFS(Global_trade!I252:I751,Global_trade!F252:F751,'Q6'!B252,Global_trade!N252:N751,'Q6'!A252)</f>
        <v>699.24473684210511</v>
      </c>
      <c r="F252" s="22">
        <f>AVERAGEIFS(Global_trade!K252:K751,Global_trade!F252:F751,'Q6'!B252,Global_trade!N252:N751,'Q6'!A252)</f>
        <v>206.22999999999996</v>
      </c>
    </row>
    <row r="253" spans="1:6" x14ac:dyDescent="0.3">
      <c r="A253" t="s">
        <v>66</v>
      </c>
      <c r="B253" t="s">
        <v>59</v>
      </c>
      <c r="C253" s="22">
        <f>SUMIFS(Global_trade!I253:I752,Global_trade!F253:F752,B253,Global_trade!N253:N752,A253)</f>
        <v>31160.280000000006</v>
      </c>
      <c r="D253" s="22">
        <f>SUMIFS(Global_trade!K253:K752,Global_trade!F253:F752,'Q6'!B253,Global_trade!N253:N752,'Q6'!A253)</f>
        <v>8365.75</v>
      </c>
      <c r="E253" s="22">
        <f>AVERAGEIFS(Global_trade!I253:I752,Global_trade!F253:F752,'Q6'!B253,Global_trade!N253:N752,'Q6'!A253)</f>
        <v>916.4788235294119</v>
      </c>
      <c r="F253" s="22">
        <f>AVERAGEIFS(Global_trade!K253:K752,Global_trade!F253:F752,'Q6'!B253,Global_trade!N253:N752,'Q6'!A253)</f>
        <v>246.0514705882353</v>
      </c>
    </row>
    <row r="254" spans="1:6" x14ac:dyDescent="0.3">
      <c r="A254" t="s">
        <v>66</v>
      </c>
      <c r="B254" t="s">
        <v>59</v>
      </c>
      <c r="C254" s="22">
        <f>SUMIFS(Global_trade!I254:I753,Global_trade!F254:F753,B254,Global_trade!N254:N753,A254)</f>
        <v>30992.820000000007</v>
      </c>
      <c r="D254" s="22">
        <f>SUMIFS(Global_trade!K254:K753,Global_trade!F254:F753,'Q6'!B254,Global_trade!N254:N753,'Q6'!A254)</f>
        <v>8343.2999999999993</v>
      </c>
      <c r="E254" s="22">
        <f>AVERAGEIFS(Global_trade!I254:I753,Global_trade!F254:F753,'Q6'!B254,Global_trade!N254:N753,'Q6'!A254)</f>
        <v>939.17636363636382</v>
      </c>
      <c r="F254" s="22">
        <f>AVERAGEIFS(Global_trade!K254:K753,Global_trade!F254:F753,'Q6'!B254,Global_trade!N254:N753,'Q6'!A254)</f>
        <v>252.82727272727271</v>
      </c>
    </row>
    <row r="255" spans="1:6" x14ac:dyDescent="0.3">
      <c r="A255" t="s">
        <v>24</v>
      </c>
      <c r="B255" t="s">
        <v>59</v>
      </c>
      <c r="C255" s="22">
        <f>SUMIFS(Global_trade!I255:I754,Global_trade!F255:F754,B255,Global_trade!N255:N754,A255)</f>
        <v>16227.090000000004</v>
      </c>
      <c r="D255" s="22">
        <f>SUMIFS(Global_trade!K255:K754,Global_trade!F255:F754,'Q6'!B255,Global_trade!N255:N754,'Q6'!A255)</f>
        <v>5027.1600000000008</v>
      </c>
      <c r="E255" s="22">
        <f>AVERAGEIFS(Global_trade!I255:I754,Global_trade!F255:F754,'Q6'!B255,Global_trade!N255:N754,'Q6'!A255)</f>
        <v>1081.8060000000003</v>
      </c>
      <c r="F255" s="22">
        <f>AVERAGEIFS(Global_trade!K255:K754,Global_trade!F255:F754,'Q6'!B255,Global_trade!N255:N754,'Q6'!A255)</f>
        <v>335.14400000000006</v>
      </c>
    </row>
    <row r="256" spans="1:6" x14ac:dyDescent="0.3">
      <c r="A256" t="s">
        <v>32</v>
      </c>
      <c r="B256" t="s">
        <v>59</v>
      </c>
      <c r="C256" s="22">
        <f>SUMIFS(Global_trade!I256:I755,Global_trade!F256:F755,B256,Global_trade!N256:N755,A256)</f>
        <v>15776.450000000003</v>
      </c>
      <c r="D256" s="22">
        <f>SUMIFS(Global_trade!K256:K755,Global_trade!F256:F755,'Q6'!B256,Global_trade!N256:N755,'Q6'!A256)</f>
        <v>4433.6000000000004</v>
      </c>
      <c r="E256" s="22">
        <f>AVERAGEIFS(Global_trade!I256:I755,Global_trade!F256:F755,'Q6'!B256,Global_trade!N256:N755,'Q6'!A256)</f>
        <v>876.46944444444455</v>
      </c>
      <c r="F256" s="22">
        <f>AVERAGEIFS(Global_trade!K256:K755,Global_trade!F256:F755,'Q6'!B256,Global_trade!N256:N755,'Q6'!A256)</f>
        <v>246.31111111111113</v>
      </c>
    </row>
    <row r="257" spans="1:6" x14ac:dyDescent="0.3">
      <c r="A257" t="s">
        <v>148</v>
      </c>
      <c r="B257" t="s">
        <v>43</v>
      </c>
      <c r="C257" s="22">
        <f>SUMIFS(Global_trade!I257:I756,Global_trade!F257:F756,B257,Global_trade!N257:N756,A257)</f>
        <v>5971.21</v>
      </c>
      <c r="D257" s="22">
        <f>SUMIFS(Global_trade!K257:K756,Global_trade!F257:F756,'Q6'!B257,Global_trade!N257:N756,'Q6'!A257)</f>
        <v>1608.09</v>
      </c>
      <c r="E257" s="22">
        <f>AVERAGEIFS(Global_trade!I257:I756,Global_trade!F257:F756,'Q6'!B257,Global_trade!N257:N756,'Q6'!A257)</f>
        <v>853.03</v>
      </c>
      <c r="F257" s="22">
        <f>AVERAGEIFS(Global_trade!K257:K756,Global_trade!F257:F756,'Q6'!B257,Global_trade!N257:N756,'Q6'!A257)</f>
        <v>229.72714285714284</v>
      </c>
    </row>
    <row r="258" spans="1:6" x14ac:dyDescent="0.3">
      <c r="A258" t="s">
        <v>32</v>
      </c>
      <c r="B258" t="s">
        <v>21</v>
      </c>
      <c r="C258" s="22">
        <f>SUMIFS(Global_trade!I258:I757,Global_trade!F258:F757,B258,Global_trade!N258:N757,A258)</f>
        <v>11943.980000000001</v>
      </c>
      <c r="D258" s="22">
        <f>SUMIFS(Global_trade!K258:K757,Global_trade!F258:F757,'Q6'!B258,Global_trade!N258:N757,'Q6'!A258)</f>
        <v>3380.4500000000003</v>
      </c>
      <c r="E258" s="22">
        <f>AVERAGEIFS(Global_trade!I258:I757,Global_trade!F258:F757,'Q6'!B258,Global_trade!N258:N757,'Q6'!A258)</f>
        <v>1085.8163636363638</v>
      </c>
      <c r="F258" s="22">
        <f>AVERAGEIFS(Global_trade!K258:K757,Global_trade!F258:F757,'Q6'!B258,Global_trade!N258:N757,'Q6'!A258)</f>
        <v>307.31363636363636</v>
      </c>
    </row>
    <row r="259" spans="1:6" x14ac:dyDescent="0.3">
      <c r="A259" t="s">
        <v>32</v>
      </c>
      <c r="B259" t="s">
        <v>59</v>
      </c>
      <c r="C259" s="22">
        <f>SUMIFS(Global_trade!I259:I758,Global_trade!F259:F758,B259,Global_trade!N259:N758,A259)</f>
        <v>15254.520000000002</v>
      </c>
      <c r="D259" s="22">
        <f>SUMIFS(Global_trade!K259:K758,Global_trade!F259:F758,'Q6'!B259,Global_trade!N259:N758,'Q6'!A259)</f>
        <v>4237.46</v>
      </c>
      <c r="E259" s="22">
        <f>AVERAGEIFS(Global_trade!I259:I758,Global_trade!F259:F758,'Q6'!B259,Global_trade!N259:N758,'Q6'!A259)</f>
        <v>897.3247058823531</v>
      </c>
      <c r="F259" s="22">
        <f>AVERAGEIFS(Global_trade!K259:K758,Global_trade!F259:F758,'Q6'!B259,Global_trade!N259:N758,'Q6'!A259)</f>
        <v>249.26235294117646</v>
      </c>
    </row>
    <row r="260" spans="1:6" x14ac:dyDescent="0.3">
      <c r="A260" t="s">
        <v>102</v>
      </c>
      <c r="B260" t="s">
        <v>21</v>
      </c>
      <c r="C260" s="22">
        <f>SUMIFS(Global_trade!I260:I759,Global_trade!F260:F759,B260,Global_trade!N260:N759,A260)</f>
        <v>5355.9</v>
      </c>
      <c r="D260" s="22">
        <f>SUMIFS(Global_trade!K260:K759,Global_trade!F260:F759,'Q6'!B260,Global_trade!N260:N759,'Q6'!A260)</f>
        <v>1507.2600000000002</v>
      </c>
      <c r="E260" s="22">
        <f>AVERAGEIFS(Global_trade!I260:I759,Global_trade!F260:F759,'Q6'!B260,Global_trade!N260:N759,'Q6'!A260)</f>
        <v>765.12857142857138</v>
      </c>
      <c r="F260" s="22">
        <f>AVERAGEIFS(Global_trade!K260:K759,Global_trade!F260:F759,'Q6'!B260,Global_trade!N260:N759,'Q6'!A260)</f>
        <v>215.32285714285717</v>
      </c>
    </row>
    <row r="261" spans="1:6" x14ac:dyDescent="0.3">
      <c r="A261" t="s">
        <v>66</v>
      </c>
      <c r="B261" t="s">
        <v>43</v>
      </c>
      <c r="C261" s="22">
        <f>SUMIFS(Global_trade!I261:I760,Global_trade!F261:F760,B261,Global_trade!N261:N760,A261)</f>
        <v>12587.01</v>
      </c>
      <c r="D261" s="22">
        <f>SUMIFS(Global_trade!K261:K760,Global_trade!F261:F760,'Q6'!B261,Global_trade!N261:N760,'Q6'!A261)</f>
        <v>3753.72</v>
      </c>
      <c r="E261" s="22">
        <f>AVERAGEIFS(Global_trade!I261:I760,Global_trade!F261:F760,'Q6'!B261,Global_trade!N261:N760,'Q6'!A261)</f>
        <v>699.27833333333331</v>
      </c>
      <c r="F261" s="22">
        <f>AVERAGEIFS(Global_trade!K261:K760,Global_trade!F261:F760,'Q6'!B261,Global_trade!N261:N760,'Q6'!A261)</f>
        <v>208.54</v>
      </c>
    </row>
    <row r="262" spans="1:6" x14ac:dyDescent="0.3">
      <c r="A262" t="s">
        <v>24</v>
      </c>
      <c r="B262" t="s">
        <v>50</v>
      </c>
      <c r="C262" s="22">
        <f>SUMIFS(Global_trade!I262:I761,Global_trade!F262:F761,B262,Global_trade!N262:N761,A262)</f>
        <v>2912.9</v>
      </c>
      <c r="D262" s="22">
        <f>SUMIFS(Global_trade!K262:K761,Global_trade!F262:F761,'Q6'!B262,Global_trade!N262:N761,'Q6'!A262)</f>
        <v>792.68000000000006</v>
      </c>
      <c r="E262" s="22">
        <f>AVERAGEIFS(Global_trade!I262:I761,Global_trade!F262:F761,'Q6'!B262,Global_trade!N262:N761,'Q6'!A262)</f>
        <v>1456.45</v>
      </c>
      <c r="F262" s="22">
        <f>AVERAGEIFS(Global_trade!K262:K761,Global_trade!F262:F761,'Q6'!B262,Global_trade!N262:N761,'Q6'!A262)</f>
        <v>396.34000000000003</v>
      </c>
    </row>
    <row r="263" spans="1:6" x14ac:dyDescent="0.3">
      <c r="A263" t="s">
        <v>66</v>
      </c>
      <c r="B263" t="s">
        <v>65</v>
      </c>
      <c r="C263" s="22">
        <f>SUMIFS(Global_trade!I263:I762,Global_trade!F263:F762,B263,Global_trade!N263:N762,A263)</f>
        <v>12697.210000000001</v>
      </c>
      <c r="D263" s="22">
        <f>SUMIFS(Global_trade!K263:K762,Global_trade!F263:F762,'Q6'!B263,Global_trade!N263:N762,'Q6'!A263)</f>
        <v>3343.2</v>
      </c>
      <c r="E263" s="22">
        <f>AVERAGEIFS(Global_trade!I263:I762,Global_trade!F263:F762,'Q6'!B263,Global_trade!N263:N762,'Q6'!A263)</f>
        <v>1058.1008333333334</v>
      </c>
      <c r="F263" s="22">
        <f>AVERAGEIFS(Global_trade!K263:K762,Global_trade!F263:F762,'Q6'!B263,Global_trade!N263:N762,'Q6'!A263)</f>
        <v>278.59999999999997</v>
      </c>
    </row>
    <row r="264" spans="1:6" x14ac:dyDescent="0.3">
      <c r="A264" t="s">
        <v>24</v>
      </c>
      <c r="B264" t="s">
        <v>43</v>
      </c>
      <c r="C264" s="22">
        <f>SUMIFS(Global_trade!I264:I763,Global_trade!F264:F763,B264,Global_trade!N264:N763,A264)</f>
        <v>12129.03</v>
      </c>
      <c r="D264" s="22">
        <f>SUMIFS(Global_trade!K264:K763,Global_trade!F264:F763,'Q6'!B264,Global_trade!N264:N763,'Q6'!A264)</f>
        <v>2787.84</v>
      </c>
      <c r="E264" s="22">
        <f>AVERAGEIFS(Global_trade!I264:I763,Global_trade!F264:F763,'Q6'!B264,Global_trade!N264:N763,'Q6'!A264)</f>
        <v>808.60200000000009</v>
      </c>
      <c r="F264" s="22">
        <f>AVERAGEIFS(Global_trade!K264:K763,Global_trade!F264:F763,'Q6'!B264,Global_trade!N264:N763,'Q6'!A264)</f>
        <v>185.85600000000002</v>
      </c>
    </row>
    <row r="265" spans="1:6" x14ac:dyDescent="0.3">
      <c r="A265" t="s">
        <v>66</v>
      </c>
      <c r="B265" t="s">
        <v>65</v>
      </c>
      <c r="C265" s="22">
        <f>SUMIFS(Global_trade!I265:I764,Global_trade!F265:F764,B265,Global_trade!N265:N764,A265)</f>
        <v>12046.449999999999</v>
      </c>
      <c r="D265" s="22">
        <f>SUMIFS(Global_trade!K265:K764,Global_trade!F265:F764,'Q6'!B265,Global_trade!N265:N764,'Q6'!A265)</f>
        <v>3155.87</v>
      </c>
      <c r="E265" s="22">
        <f>AVERAGEIFS(Global_trade!I265:I764,Global_trade!F265:F764,'Q6'!B265,Global_trade!N265:N764,'Q6'!A265)</f>
        <v>1095.1318181818181</v>
      </c>
      <c r="F265" s="22">
        <f>AVERAGEIFS(Global_trade!K265:K764,Global_trade!F265:F764,'Q6'!B265,Global_trade!N265:N764,'Q6'!A265)</f>
        <v>286.89727272727271</v>
      </c>
    </row>
    <row r="266" spans="1:6" x14ac:dyDescent="0.3">
      <c r="A266" t="s">
        <v>32</v>
      </c>
      <c r="B266" t="s">
        <v>59</v>
      </c>
      <c r="C266" s="22">
        <f>SUMIFS(Global_trade!I266:I765,Global_trade!F266:F765,B266,Global_trade!N266:N765,A266)</f>
        <v>13649.760000000002</v>
      </c>
      <c r="D266" s="22">
        <f>SUMIFS(Global_trade!K266:K765,Global_trade!F266:F765,'Q6'!B266,Global_trade!N266:N765,'Q6'!A266)</f>
        <v>3661.21</v>
      </c>
      <c r="E266" s="22">
        <f>AVERAGEIFS(Global_trade!I266:I765,Global_trade!F266:F765,'Q6'!B266,Global_trade!N266:N765,'Q6'!A266)</f>
        <v>853.11000000000013</v>
      </c>
      <c r="F266" s="22">
        <f>AVERAGEIFS(Global_trade!K266:K765,Global_trade!F266:F765,'Q6'!B266,Global_trade!N266:N765,'Q6'!A266)</f>
        <v>228.825625</v>
      </c>
    </row>
    <row r="267" spans="1:6" x14ac:dyDescent="0.3">
      <c r="A267" t="s">
        <v>102</v>
      </c>
      <c r="B267" t="s">
        <v>21</v>
      </c>
      <c r="C267" s="22">
        <f>SUMIFS(Global_trade!I267:I766,Global_trade!F267:F766,B267,Global_trade!N267:N766,A267)</f>
        <v>4733.5499999999993</v>
      </c>
      <c r="D267" s="22">
        <f>SUMIFS(Global_trade!K267:K766,Global_trade!F267:F766,'Q6'!B267,Global_trade!N267:N766,'Q6'!A267)</f>
        <v>1391.35</v>
      </c>
      <c r="E267" s="22">
        <f>AVERAGEIFS(Global_trade!I267:I766,Global_trade!F267:F766,'Q6'!B267,Global_trade!N267:N766,'Q6'!A267)</f>
        <v>788.92499999999984</v>
      </c>
      <c r="F267" s="22">
        <f>AVERAGEIFS(Global_trade!K267:K766,Global_trade!F267:F766,'Q6'!B267,Global_trade!N267:N766,'Q6'!A267)</f>
        <v>231.89166666666665</v>
      </c>
    </row>
    <row r="268" spans="1:6" x14ac:dyDescent="0.3">
      <c r="A268" t="s">
        <v>45</v>
      </c>
      <c r="B268" t="s">
        <v>43</v>
      </c>
      <c r="C268" s="22">
        <f>SUMIFS(Global_trade!I268:I767,Global_trade!F268:F767,B268,Global_trade!N268:N767,A268)</f>
        <v>10604.92</v>
      </c>
      <c r="D268" s="22">
        <f>SUMIFS(Global_trade!K268:K767,Global_trade!F268:F767,'Q6'!B268,Global_trade!N268:N767,'Q6'!A268)</f>
        <v>3070.66</v>
      </c>
      <c r="E268" s="22">
        <f>AVERAGEIFS(Global_trade!I268:I767,Global_trade!F268:F767,'Q6'!B268,Global_trade!N268:N767,'Q6'!A268)</f>
        <v>883.74333333333334</v>
      </c>
      <c r="F268" s="22">
        <f>AVERAGEIFS(Global_trade!K268:K767,Global_trade!F268:F767,'Q6'!B268,Global_trade!N268:N767,'Q6'!A268)</f>
        <v>255.88833333333332</v>
      </c>
    </row>
    <row r="269" spans="1:6" x14ac:dyDescent="0.3">
      <c r="A269" t="s">
        <v>32</v>
      </c>
      <c r="B269" t="s">
        <v>43</v>
      </c>
      <c r="C269" s="22">
        <f>SUMIFS(Global_trade!I269:I768,Global_trade!F269:F768,B269,Global_trade!N269:N768,A269)</f>
        <v>18816.28</v>
      </c>
      <c r="D269" s="22">
        <f>SUMIFS(Global_trade!K269:K768,Global_trade!F269:F768,'Q6'!B269,Global_trade!N269:N768,'Q6'!A269)</f>
        <v>5722.88</v>
      </c>
      <c r="E269" s="22">
        <f>AVERAGEIFS(Global_trade!I269:I768,Global_trade!F269:F768,'Q6'!B269,Global_trade!N269:N768,'Q6'!A269)</f>
        <v>752.6511999999999</v>
      </c>
      <c r="F269" s="22">
        <f>AVERAGEIFS(Global_trade!K269:K768,Global_trade!F269:F768,'Q6'!B269,Global_trade!N269:N768,'Q6'!A269)</f>
        <v>228.9152</v>
      </c>
    </row>
    <row r="270" spans="1:6" x14ac:dyDescent="0.3">
      <c r="A270" t="s">
        <v>32</v>
      </c>
      <c r="B270" t="s">
        <v>43</v>
      </c>
      <c r="C270" s="22">
        <f>SUMIFS(Global_trade!I270:I769,Global_trade!F270:F769,B270,Global_trade!N270:N769,A270)</f>
        <v>18193.940000000002</v>
      </c>
      <c r="D270" s="22">
        <f>SUMIFS(Global_trade!K270:K769,Global_trade!F270:F769,'Q6'!B270,Global_trade!N270:N769,'Q6'!A270)</f>
        <v>5605.19</v>
      </c>
      <c r="E270" s="22">
        <f>AVERAGEIFS(Global_trade!I270:I769,Global_trade!F270:F769,'Q6'!B270,Global_trade!N270:N769,'Q6'!A270)</f>
        <v>758.08083333333343</v>
      </c>
      <c r="F270" s="22">
        <f>AVERAGEIFS(Global_trade!K270:K769,Global_trade!F270:F769,'Q6'!B270,Global_trade!N270:N769,'Q6'!A270)</f>
        <v>233.54958333333332</v>
      </c>
    </row>
    <row r="271" spans="1:6" x14ac:dyDescent="0.3">
      <c r="A271" t="s">
        <v>32</v>
      </c>
      <c r="B271" t="s">
        <v>43</v>
      </c>
      <c r="C271" s="22">
        <f>SUMIFS(Global_trade!I271:I770,Global_trade!F271:F770,B271,Global_trade!N271:N770,A271)</f>
        <v>17210.78</v>
      </c>
      <c r="D271" s="22">
        <f>SUMIFS(Global_trade!K271:K770,Global_trade!F271:F770,'Q6'!B271,Global_trade!N271:N770,'Q6'!A271)</f>
        <v>5220.6400000000003</v>
      </c>
      <c r="E271" s="22">
        <f>AVERAGEIFS(Global_trade!I271:I770,Global_trade!F271:F770,'Q6'!B271,Global_trade!N271:N770,'Q6'!A271)</f>
        <v>748.29478260869564</v>
      </c>
      <c r="F271" s="22">
        <f>AVERAGEIFS(Global_trade!K271:K770,Global_trade!F271:F770,'Q6'!B271,Global_trade!N271:N770,'Q6'!A271)</f>
        <v>226.98434782608697</v>
      </c>
    </row>
    <row r="272" spans="1:6" x14ac:dyDescent="0.3">
      <c r="A272" t="s">
        <v>32</v>
      </c>
      <c r="B272" t="s">
        <v>43</v>
      </c>
      <c r="C272" s="22">
        <f>SUMIFS(Global_trade!I272:I771,Global_trade!F272:F771,B272,Global_trade!N272:N771,A272)</f>
        <v>16525.88</v>
      </c>
      <c r="D272" s="22">
        <f>SUMIFS(Global_trade!K272:K771,Global_trade!F272:F771,'Q6'!B272,Global_trade!N272:N771,'Q6'!A272)</f>
        <v>4950.5500000000011</v>
      </c>
      <c r="E272" s="22">
        <f>AVERAGEIFS(Global_trade!I272:I771,Global_trade!F272:F771,'Q6'!B272,Global_trade!N272:N771,'Q6'!A272)</f>
        <v>751.1763636363637</v>
      </c>
      <c r="F272" s="22">
        <f>AVERAGEIFS(Global_trade!K272:K771,Global_trade!F272:F771,'Q6'!B272,Global_trade!N272:N771,'Q6'!A272)</f>
        <v>225.02500000000006</v>
      </c>
    </row>
    <row r="273" spans="1:6" x14ac:dyDescent="0.3">
      <c r="A273" t="s">
        <v>24</v>
      </c>
      <c r="B273" t="s">
        <v>59</v>
      </c>
      <c r="C273" s="22">
        <f>SUMIFS(Global_trade!I273:I772,Global_trade!F273:F772,B273,Global_trade!N273:N772,A273)</f>
        <v>14540.730000000003</v>
      </c>
      <c r="D273" s="22">
        <f>SUMIFS(Global_trade!K273:K772,Global_trade!F273:F772,'Q6'!B273,Global_trade!N273:N772,'Q6'!A273)</f>
        <v>4468.6000000000004</v>
      </c>
      <c r="E273" s="22">
        <f>AVERAGEIFS(Global_trade!I273:I772,Global_trade!F273:F772,'Q6'!B273,Global_trade!N273:N772,'Q6'!A273)</f>
        <v>1038.6235714285717</v>
      </c>
      <c r="F273" s="22">
        <f>AVERAGEIFS(Global_trade!K273:K772,Global_trade!F273:F772,'Q6'!B273,Global_trade!N273:N772,'Q6'!A273)</f>
        <v>319.18571428571431</v>
      </c>
    </row>
    <row r="274" spans="1:6" x14ac:dyDescent="0.3">
      <c r="A274" t="s">
        <v>66</v>
      </c>
      <c r="B274" t="s">
        <v>59</v>
      </c>
      <c r="C274" s="22">
        <f>SUMIFS(Global_trade!I274:I773,Global_trade!F274:F773,B274,Global_trade!N274:N773,A274)</f>
        <v>30228.700000000008</v>
      </c>
      <c r="D274" s="22">
        <f>SUMIFS(Global_trade!K274:K773,Global_trade!F274:F773,'Q6'!B274,Global_trade!N274:N773,'Q6'!A274)</f>
        <v>8234.9600000000009</v>
      </c>
      <c r="E274" s="22">
        <f>AVERAGEIFS(Global_trade!I274:I773,Global_trade!F274:F773,'Q6'!B274,Global_trade!N274:N773,'Q6'!A274)</f>
        <v>944.64687500000025</v>
      </c>
      <c r="F274" s="22">
        <f>AVERAGEIFS(Global_trade!K274:K773,Global_trade!F274:F773,'Q6'!B274,Global_trade!N274:N773,'Q6'!A274)</f>
        <v>257.34250000000003</v>
      </c>
    </row>
    <row r="275" spans="1:6" x14ac:dyDescent="0.3">
      <c r="A275" t="s">
        <v>32</v>
      </c>
      <c r="B275" t="s">
        <v>21</v>
      </c>
      <c r="C275" s="22">
        <f>SUMIFS(Global_trade!I275:I774,Global_trade!F275:F774,B275,Global_trade!N275:N774,A275)</f>
        <v>11839.300000000001</v>
      </c>
      <c r="D275" s="22">
        <f>SUMIFS(Global_trade!K275:K774,Global_trade!F275:F774,'Q6'!B275,Global_trade!N275:N774,'Q6'!A275)</f>
        <v>3354.1</v>
      </c>
      <c r="E275" s="22">
        <f>AVERAGEIFS(Global_trade!I275:I774,Global_trade!F275:F774,'Q6'!B275,Global_trade!N275:N774,'Q6'!A275)</f>
        <v>1183.93</v>
      </c>
      <c r="F275" s="22">
        <f>AVERAGEIFS(Global_trade!K275:K774,Global_trade!F275:F774,'Q6'!B275,Global_trade!N275:N774,'Q6'!A275)</f>
        <v>335.40999999999997</v>
      </c>
    </row>
    <row r="276" spans="1:6" x14ac:dyDescent="0.3">
      <c r="A276" t="s">
        <v>24</v>
      </c>
      <c r="B276" t="s">
        <v>21</v>
      </c>
      <c r="C276" s="22">
        <f>SUMIFS(Global_trade!I276:I775,Global_trade!F276:F775,B276,Global_trade!N276:N775,A276)</f>
        <v>6356.63</v>
      </c>
      <c r="D276" s="22">
        <f>SUMIFS(Global_trade!K276:K775,Global_trade!F276:F775,'Q6'!B276,Global_trade!N276:N775,'Q6'!A276)</f>
        <v>1505.5</v>
      </c>
      <c r="E276" s="22">
        <f>AVERAGEIFS(Global_trade!I276:I775,Global_trade!F276:F775,'Q6'!B276,Global_trade!N276:N775,'Q6'!A276)</f>
        <v>1059.4383333333333</v>
      </c>
      <c r="F276" s="22">
        <f>AVERAGEIFS(Global_trade!K276:K775,Global_trade!F276:F775,'Q6'!B276,Global_trade!N276:N775,'Q6'!A276)</f>
        <v>250.91666666666666</v>
      </c>
    </row>
    <row r="277" spans="1:6" x14ac:dyDescent="0.3">
      <c r="A277" t="s">
        <v>66</v>
      </c>
      <c r="B277" t="s">
        <v>43</v>
      </c>
      <c r="C277" s="22">
        <f>SUMIFS(Global_trade!I277:I776,Global_trade!F277:F776,B277,Global_trade!N277:N776,A277)</f>
        <v>11864.25</v>
      </c>
      <c r="D277" s="22">
        <f>SUMIFS(Global_trade!K277:K776,Global_trade!F277:F776,'Q6'!B277,Global_trade!N277:N776,'Q6'!A277)</f>
        <v>3530.0899999999997</v>
      </c>
      <c r="E277" s="22">
        <f>AVERAGEIFS(Global_trade!I277:I776,Global_trade!F277:F776,'Q6'!B277,Global_trade!N277:N776,'Q6'!A277)</f>
        <v>697.89705882352939</v>
      </c>
      <c r="F277" s="22">
        <f>AVERAGEIFS(Global_trade!K277:K776,Global_trade!F277:F776,'Q6'!B277,Global_trade!N277:N776,'Q6'!A277)</f>
        <v>207.65235294117645</v>
      </c>
    </row>
    <row r="278" spans="1:6" x14ac:dyDescent="0.3">
      <c r="A278" t="s">
        <v>66</v>
      </c>
      <c r="B278" t="s">
        <v>43</v>
      </c>
      <c r="C278" s="22">
        <f>SUMIFS(Global_trade!I278:I777,Global_trade!F278:F777,B278,Global_trade!N278:N777,A278)</f>
        <v>11576.01</v>
      </c>
      <c r="D278" s="22">
        <f>SUMIFS(Global_trade!K278:K777,Global_trade!F278:F777,'Q6'!B278,Global_trade!N278:N777,'Q6'!A278)</f>
        <v>3491.6499999999996</v>
      </c>
      <c r="E278" s="22">
        <f>AVERAGEIFS(Global_trade!I278:I777,Global_trade!F278:F777,'Q6'!B278,Global_trade!N278:N777,'Q6'!A278)</f>
        <v>723.50062500000001</v>
      </c>
      <c r="F278" s="22">
        <f>AVERAGEIFS(Global_trade!K278:K777,Global_trade!F278:F777,'Q6'!B278,Global_trade!N278:N777,'Q6'!A278)</f>
        <v>218.22812499999998</v>
      </c>
    </row>
    <row r="279" spans="1:6" x14ac:dyDescent="0.3">
      <c r="A279" t="s">
        <v>148</v>
      </c>
      <c r="B279" t="s">
        <v>43</v>
      </c>
      <c r="C279" s="22">
        <f>SUMIFS(Global_trade!I279:I778,Global_trade!F279:F778,B279,Global_trade!N279:N778,A279)</f>
        <v>5590.829999999999</v>
      </c>
      <c r="D279" s="22">
        <f>SUMIFS(Global_trade!K279:K778,Global_trade!F279:F778,'Q6'!B279,Global_trade!N279:N778,'Q6'!A279)</f>
        <v>1497.18</v>
      </c>
      <c r="E279" s="22">
        <f>AVERAGEIFS(Global_trade!I279:I778,Global_trade!F279:F778,'Q6'!B279,Global_trade!N279:N778,'Q6'!A279)</f>
        <v>931.80499999999984</v>
      </c>
      <c r="F279" s="22">
        <f>AVERAGEIFS(Global_trade!K279:K778,Global_trade!F279:F778,'Q6'!B279,Global_trade!N279:N778,'Q6'!A279)</f>
        <v>249.53</v>
      </c>
    </row>
    <row r="280" spans="1:6" x14ac:dyDescent="0.3">
      <c r="A280" t="s">
        <v>66</v>
      </c>
      <c r="B280" t="s">
        <v>65</v>
      </c>
      <c r="C280" s="22">
        <f>SUMIFS(Global_trade!I280:I779,Global_trade!F280:F779,B280,Global_trade!N280:N779,A280)</f>
        <v>11944.929999999998</v>
      </c>
      <c r="D280" s="22">
        <f>SUMIFS(Global_trade!K280:K779,Global_trade!F280:F779,'Q6'!B280,Global_trade!N280:N779,'Q6'!A280)</f>
        <v>3131.67</v>
      </c>
      <c r="E280" s="22">
        <f>AVERAGEIFS(Global_trade!I280:I779,Global_trade!F280:F779,'Q6'!B280,Global_trade!N280:N779,'Q6'!A280)</f>
        <v>1194.4929999999999</v>
      </c>
      <c r="F280" s="22">
        <f>AVERAGEIFS(Global_trade!K280:K779,Global_trade!F280:F779,'Q6'!B280,Global_trade!N280:N779,'Q6'!A280)</f>
        <v>313.16700000000003</v>
      </c>
    </row>
    <row r="281" spans="1:6" x14ac:dyDescent="0.3">
      <c r="A281" t="s">
        <v>45</v>
      </c>
      <c r="B281" t="s">
        <v>59</v>
      </c>
      <c r="C281" s="22">
        <f>SUMIFS(Global_trade!I281:I780,Global_trade!F281:F780,B281,Global_trade!N281:N780,A281)</f>
        <v>1557.34</v>
      </c>
      <c r="D281" s="22">
        <f>SUMIFS(Global_trade!K281:K780,Global_trade!F281:F780,'Q6'!B281,Global_trade!N281:N780,'Q6'!A281)</f>
        <v>264.97000000000003</v>
      </c>
      <c r="E281" s="22">
        <f>AVERAGEIFS(Global_trade!I281:I780,Global_trade!F281:F780,'Q6'!B281,Global_trade!N281:N780,'Q6'!A281)</f>
        <v>778.67</v>
      </c>
      <c r="F281" s="22">
        <f>AVERAGEIFS(Global_trade!K281:K780,Global_trade!F281:F780,'Q6'!B281,Global_trade!N281:N780,'Q6'!A281)</f>
        <v>132.48500000000001</v>
      </c>
    </row>
    <row r="282" spans="1:6" x14ac:dyDescent="0.3">
      <c r="A282" t="s">
        <v>24</v>
      </c>
      <c r="B282" t="s">
        <v>21</v>
      </c>
      <c r="C282" s="22">
        <f>SUMIFS(Global_trade!I282:I781,Global_trade!F282:F781,B282,Global_trade!N282:N781,A282)</f>
        <v>4122.72</v>
      </c>
      <c r="D282" s="22">
        <f>SUMIFS(Global_trade!K282:K781,Global_trade!F282:F781,'Q6'!B282,Global_trade!N282:N781,'Q6'!A282)</f>
        <v>1045.5</v>
      </c>
      <c r="E282" s="22">
        <f>AVERAGEIFS(Global_trade!I282:I781,Global_trade!F282:F781,'Q6'!B282,Global_trade!N282:N781,'Q6'!A282)</f>
        <v>824.5440000000001</v>
      </c>
      <c r="F282" s="22">
        <f>AVERAGEIFS(Global_trade!K282:K781,Global_trade!F282:F781,'Q6'!B282,Global_trade!N282:N781,'Q6'!A282)</f>
        <v>209.1</v>
      </c>
    </row>
    <row r="283" spans="1:6" x14ac:dyDescent="0.3">
      <c r="A283" t="s">
        <v>32</v>
      </c>
      <c r="B283" t="s">
        <v>50</v>
      </c>
      <c r="C283" s="22">
        <f>SUMIFS(Global_trade!I283:I782,Global_trade!F283:F782,B283,Global_trade!N283:N782,A283)</f>
        <v>3892.29</v>
      </c>
      <c r="D283" s="22">
        <f>SUMIFS(Global_trade!K283:K782,Global_trade!F283:F782,'Q6'!B283,Global_trade!N283:N782,'Q6'!A283)</f>
        <v>1423.74</v>
      </c>
      <c r="E283" s="22">
        <f>AVERAGEIFS(Global_trade!I283:I782,Global_trade!F283:F782,'Q6'!B283,Global_trade!N283:N782,'Q6'!A283)</f>
        <v>1297.43</v>
      </c>
      <c r="F283" s="22">
        <f>AVERAGEIFS(Global_trade!K283:K782,Global_trade!F283:F782,'Q6'!B283,Global_trade!N283:N782,'Q6'!A283)</f>
        <v>474.58</v>
      </c>
    </row>
    <row r="284" spans="1:6" x14ac:dyDescent="0.3">
      <c r="A284" t="s">
        <v>148</v>
      </c>
      <c r="B284" t="s">
        <v>43</v>
      </c>
      <c r="C284" s="22">
        <f>SUMIFS(Global_trade!I284:I783,Global_trade!F284:F783,B284,Global_trade!N284:N783,A284)</f>
        <v>4654.95</v>
      </c>
      <c r="D284" s="22">
        <f>SUMIFS(Global_trade!K284:K783,Global_trade!F284:F783,'Q6'!B284,Global_trade!N284:N783,'Q6'!A284)</f>
        <v>1310.67</v>
      </c>
      <c r="E284" s="22">
        <f>AVERAGEIFS(Global_trade!I284:I783,Global_trade!F284:F783,'Q6'!B284,Global_trade!N284:N783,'Q6'!A284)</f>
        <v>930.99</v>
      </c>
      <c r="F284" s="22">
        <f>AVERAGEIFS(Global_trade!K284:K783,Global_trade!F284:F783,'Q6'!B284,Global_trade!N284:N783,'Q6'!A284)</f>
        <v>262.13400000000001</v>
      </c>
    </row>
    <row r="285" spans="1:6" x14ac:dyDescent="0.3">
      <c r="A285" t="s">
        <v>24</v>
      </c>
      <c r="B285" t="s">
        <v>59</v>
      </c>
      <c r="C285" s="22">
        <f>SUMIFS(Global_trade!I285:I784,Global_trade!F285:F784,B285,Global_trade!N285:N784,A285)</f>
        <v>13587.690000000002</v>
      </c>
      <c r="D285" s="22">
        <f>SUMIFS(Global_trade!K285:K784,Global_trade!F285:F784,'Q6'!B285,Global_trade!N285:N784,'Q6'!A285)</f>
        <v>4202.8599999999997</v>
      </c>
      <c r="E285" s="22">
        <f>AVERAGEIFS(Global_trade!I285:I784,Global_trade!F285:F784,'Q6'!B285,Global_trade!N285:N784,'Q6'!A285)</f>
        <v>1045.2069230769232</v>
      </c>
      <c r="F285" s="22">
        <f>AVERAGEIFS(Global_trade!K285:K784,Global_trade!F285:F784,'Q6'!B285,Global_trade!N285:N784,'Q6'!A285)</f>
        <v>323.29692307692306</v>
      </c>
    </row>
    <row r="286" spans="1:6" x14ac:dyDescent="0.3">
      <c r="A286" t="s">
        <v>24</v>
      </c>
      <c r="B286" t="s">
        <v>21</v>
      </c>
      <c r="C286" s="22">
        <f>SUMIFS(Global_trade!I286:I785,Global_trade!F286:F785,B286,Global_trade!N286:N785,A286)</f>
        <v>3087.2799999999997</v>
      </c>
      <c r="D286" s="22">
        <f>SUMIFS(Global_trade!K286:K785,Global_trade!F286:F785,'Q6'!B286,Global_trade!N286:N785,'Q6'!A286)</f>
        <v>819.13</v>
      </c>
      <c r="E286" s="22">
        <f>AVERAGEIFS(Global_trade!I286:I785,Global_trade!F286:F785,'Q6'!B286,Global_trade!N286:N785,'Q6'!A286)</f>
        <v>771.81999999999994</v>
      </c>
      <c r="F286" s="22">
        <f>AVERAGEIFS(Global_trade!K286:K785,Global_trade!F286:F785,'Q6'!B286,Global_trade!N286:N785,'Q6'!A286)</f>
        <v>204.7825</v>
      </c>
    </row>
    <row r="287" spans="1:6" x14ac:dyDescent="0.3">
      <c r="A287" t="s">
        <v>32</v>
      </c>
      <c r="B287" t="s">
        <v>43</v>
      </c>
      <c r="C287" s="22">
        <f>SUMIFS(Global_trade!I287:I786,Global_trade!F287:F786,B287,Global_trade!N287:N786,A287)</f>
        <v>14692.1</v>
      </c>
      <c r="D287" s="22">
        <f>SUMIFS(Global_trade!K287:K786,Global_trade!F287:F786,'Q6'!B287,Global_trade!N287:N786,'Q6'!A287)</f>
        <v>4414.7800000000007</v>
      </c>
      <c r="E287" s="22">
        <f>AVERAGEIFS(Global_trade!I287:I786,Global_trade!F287:F786,'Q6'!B287,Global_trade!N287:N786,'Q6'!A287)</f>
        <v>699.62380952380954</v>
      </c>
      <c r="F287" s="22">
        <f>AVERAGEIFS(Global_trade!K287:K786,Global_trade!F287:F786,'Q6'!B287,Global_trade!N287:N786,'Q6'!A287)</f>
        <v>210.22761904761907</v>
      </c>
    </row>
    <row r="288" spans="1:6" x14ac:dyDescent="0.3">
      <c r="A288" t="s">
        <v>66</v>
      </c>
      <c r="B288" t="s">
        <v>43</v>
      </c>
      <c r="C288" s="22">
        <f>SUMIFS(Global_trade!I288:I787,Global_trade!F288:F787,B288,Global_trade!N288:N787,A288)</f>
        <v>11075.529999999999</v>
      </c>
      <c r="D288" s="22">
        <f>SUMIFS(Global_trade!K288:K787,Global_trade!F288:F787,'Q6'!B288,Global_trade!N288:N787,'Q6'!A288)</f>
        <v>3423.8599999999997</v>
      </c>
      <c r="E288" s="22">
        <f>AVERAGEIFS(Global_trade!I288:I787,Global_trade!F288:F787,'Q6'!B288,Global_trade!N288:N787,'Q6'!A288)</f>
        <v>738.36866666666663</v>
      </c>
      <c r="F288" s="22">
        <f>AVERAGEIFS(Global_trade!K288:K787,Global_trade!F288:F787,'Q6'!B288,Global_trade!N288:N787,'Q6'!A288)</f>
        <v>228.25733333333332</v>
      </c>
    </row>
    <row r="289" spans="1:6" x14ac:dyDescent="0.3">
      <c r="A289" t="s">
        <v>66</v>
      </c>
      <c r="B289" t="s">
        <v>59</v>
      </c>
      <c r="C289" s="22">
        <f>SUMIFS(Global_trade!I289:I788,Global_trade!F289:F788,B289,Global_trade!N289:N788,A289)</f>
        <v>30038.560000000005</v>
      </c>
      <c r="D289" s="22">
        <f>SUMIFS(Global_trade!K289:K788,Global_trade!F289:F788,'Q6'!B289,Global_trade!N289:N788,'Q6'!A289)</f>
        <v>8192.34</v>
      </c>
      <c r="E289" s="22">
        <f>AVERAGEIFS(Global_trade!I289:I788,Global_trade!F289:F788,'Q6'!B289,Global_trade!N289:N788,'Q6'!A289)</f>
        <v>968.98580645161303</v>
      </c>
      <c r="F289" s="22">
        <f>AVERAGEIFS(Global_trade!K289:K788,Global_trade!F289:F788,'Q6'!B289,Global_trade!N289:N788,'Q6'!A289)</f>
        <v>264.2690322580645</v>
      </c>
    </row>
    <row r="290" spans="1:6" x14ac:dyDescent="0.3">
      <c r="A290" t="s">
        <v>24</v>
      </c>
      <c r="B290" t="s">
        <v>59</v>
      </c>
      <c r="C290" s="22">
        <f>SUMIFS(Global_trade!I290:I789,Global_trade!F290:F789,B290,Global_trade!N290:N789,A290)</f>
        <v>12818.900000000001</v>
      </c>
      <c r="D290" s="22">
        <f>SUMIFS(Global_trade!K290:K789,Global_trade!F290:F789,'Q6'!B290,Global_trade!N290:N789,'Q6'!A290)</f>
        <v>3899.23</v>
      </c>
      <c r="E290" s="22">
        <f>AVERAGEIFS(Global_trade!I290:I789,Global_trade!F290:F789,'Q6'!B290,Global_trade!N290:N789,'Q6'!A290)</f>
        <v>1068.2416666666668</v>
      </c>
      <c r="F290" s="22">
        <f>AVERAGEIFS(Global_trade!K290:K789,Global_trade!F290:F789,'Q6'!B290,Global_trade!N290:N789,'Q6'!A290)</f>
        <v>324.93583333333333</v>
      </c>
    </row>
    <row r="291" spans="1:6" x14ac:dyDescent="0.3">
      <c r="A291" t="s">
        <v>32</v>
      </c>
      <c r="B291" t="s">
        <v>59</v>
      </c>
      <c r="C291" s="22">
        <f>SUMIFS(Global_trade!I291:I790,Global_trade!F291:F790,B291,Global_trade!N291:N790,A291)</f>
        <v>13227.360000000002</v>
      </c>
      <c r="D291" s="22">
        <f>SUMIFS(Global_trade!K291:K790,Global_trade!F291:F790,'Q6'!B291,Global_trade!N291:N790,'Q6'!A291)</f>
        <v>3570.8900000000003</v>
      </c>
      <c r="E291" s="22">
        <f>AVERAGEIFS(Global_trade!I291:I790,Global_trade!F291:F790,'Q6'!B291,Global_trade!N291:N790,'Q6'!A291)</f>
        <v>881.82400000000018</v>
      </c>
      <c r="F291" s="22">
        <f>AVERAGEIFS(Global_trade!K291:K790,Global_trade!F291:F790,'Q6'!B291,Global_trade!N291:N790,'Q6'!A291)</f>
        <v>238.05933333333334</v>
      </c>
    </row>
    <row r="292" spans="1:6" x14ac:dyDescent="0.3">
      <c r="A292" t="s">
        <v>45</v>
      </c>
      <c r="B292" t="s">
        <v>43</v>
      </c>
      <c r="C292" s="22">
        <f>SUMIFS(Global_trade!I292:I791,Global_trade!F292:F791,B292,Global_trade!N292:N791,A292)</f>
        <v>9134.2000000000007</v>
      </c>
      <c r="D292" s="22">
        <f>SUMIFS(Global_trade!K292:K791,Global_trade!F292:F791,'Q6'!B292,Global_trade!N292:N791,'Q6'!A292)</f>
        <v>2706.7099999999996</v>
      </c>
      <c r="E292" s="22">
        <f>AVERAGEIFS(Global_trade!I292:I791,Global_trade!F292:F791,'Q6'!B292,Global_trade!N292:N791,'Q6'!A292)</f>
        <v>830.38181818181829</v>
      </c>
      <c r="F292" s="22">
        <f>AVERAGEIFS(Global_trade!K292:K791,Global_trade!F292:F791,'Q6'!B292,Global_trade!N292:N791,'Q6'!A292)</f>
        <v>246.06454545454542</v>
      </c>
    </row>
    <row r="293" spans="1:6" x14ac:dyDescent="0.3">
      <c r="A293" t="s">
        <v>32</v>
      </c>
      <c r="B293" t="s">
        <v>43</v>
      </c>
      <c r="C293" s="22">
        <f>SUMIFS(Global_trade!I293:I792,Global_trade!F293:F792,B293,Global_trade!N293:N792,A293)</f>
        <v>14545.820000000002</v>
      </c>
      <c r="D293" s="22">
        <f>SUMIFS(Global_trade!K293:K792,Global_trade!F293:F792,'Q6'!B293,Global_trade!N293:N792,'Q6'!A293)</f>
        <v>4374.95</v>
      </c>
      <c r="E293" s="22">
        <f>AVERAGEIFS(Global_trade!I293:I792,Global_trade!F293:F792,'Q6'!B293,Global_trade!N293:N792,'Q6'!A293)</f>
        <v>727.29100000000005</v>
      </c>
      <c r="F293" s="22">
        <f>AVERAGEIFS(Global_trade!K293:K792,Global_trade!F293:F792,'Q6'!B293,Global_trade!N293:N792,'Q6'!A293)</f>
        <v>218.7475</v>
      </c>
    </row>
    <row r="294" spans="1:6" x14ac:dyDescent="0.3">
      <c r="A294" t="s">
        <v>24</v>
      </c>
      <c r="B294" t="s">
        <v>59</v>
      </c>
      <c r="C294" s="22">
        <f>SUMIFS(Global_trade!I294:I793,Global_trade!F294:F793,B294,Global_trade!N294:N793,A294)</f>
        <v>11160.560000000001</v>
      </c>
      <c r="D294" s="22">
        <f>SUMIFS(Global_trade!K294:K793,Global_trade!F294:F793,'Q6'!B294,Global_trade!N294:N793,'Q6'!A294)</f>
        <v>3342.64</v>
      </c>
      <c r="E294" s="22">
        <f>AVERAGEIFS(Global_trade!I294:I793,Global_trade!F294:F793,'Q6'!B294,Global_trade!N294:N793,'Q6'!A294)</f>
        <v>1014.5963636363638</v>
      </c>
      <c r="F294" s="22">
        <f>AVERAGEIFS(Global_trade!K294:K793,Global_trade!F294:F793,'Q6'!B294,Global_trade!N294:N793,'Q6'!A294)</f>
        <v>303.87636363636364</v>
      </c>
    </row>
    <row r="295" spans="1:6" x14ac:dyDescent="0.3">
      <c r="A295" t="s">
        <v>66</v>
      </c>
      <c r="B295" t="s">
        <v>21</v>
      </c>
      <c r="C295" s="22">
        <f>SUMIFS(Global_trade!I295:I794,Global_trade!F295:F794,B295,Global_trade!N295:N794,A295)</f>
        <v>13585.599999999997</v>
      </c>
      <c r="D295" s="22">
        <f>SUMIFS(Global_trade!K295:K794,Global_trade!F295:F794,'Q6'!B295,Global_trade!N295:N794,'Q6'!A295)</f>
        <v>3286.7799999999997</v>
      </c>
      <c r="E295" s="22">
        <f>AVERAGEIFS(Global_trade!I295:I794,Global_trade!F295:F794,'Q6'!B295,Global_trade!N295:N794,'Q6'!A295)</f>
        <v>754.75555555555536</v>
      </c>
      <c r="F295" s="22">
        <f>AVERAGEIFS(Global_trade!K295:K794,Global_trade!F295:F794,'Q6'!B295,Global_trade!N295:N794,'Q6'!A295)</f>
        <v>182.59888888888887</v>
      </c>
    </row>
    <row r="296" spans="1:6" x14ac:dyDescent="0.3">
      <c r="A296" t="s">
        <v>24</v>
      </c>
      <c r="B296" t="s">
        <v>50</v>
      </c>
      <c r="C296" s="22">
        <f>SUMIFS(Global_trade!I296:I795,Global_trade!F296:F795,B296,Global_trade!N296:N795,A296)</f>
        <v>2203.5</v>
      </c>
      <c r="D296" s="22">
        <f>SUMIFS(Global_trade!K296:K795,Global_trade!F296:F795,'Q6'!B296,Global_trade!N296:N795,'Q6'!A296)</f>
        <v>501.92</v>
      </c>
      <c r="E296" s="22">
        <f>AVERAGEIFS(Global_trade!I296:I795,Global_trade!F296:F795,'Q6'!B296,Global_trade!N296:N795,'Q6'!A296)</f>
        <v>2203.5</v>
      </c>
      <c r="F296" s="22">
        <f>AVERAGEIFS(Global_trade!K296:K795,Global_trade!F296:F795,'Q6'!B296,Global_trade!N296:N795,'Q6'!A296)</f>
        <v>501.92</v>
      </c>
    </row>
    <row r="297" spans="1:6" x14ac:dyDescent="0.3">
      <c r="A297" t="s">
        <v>66</v>
      </c>
      <c r="B297" t="s">
        <v>59</v>
      </c>
      <c r="C297" s="22">
        <f>SUMIFS(Global_trade!I297:I796,Global_trade!F297:F796,B297,Global_trade!N297:N796,A297)</f>
        <v>29158.310000000009</v>
      </c>
      <c r="D297" s="22">
        <f>SUMIFS(Global_trade!K297:K796,Global_trade!F297:F796,'Q6'!B297,Global_trade!N297:N796,'Q6'!A297)</f>
        <v>8051.89</v>
      </c>
      <c r="E297" s="22">
        <f>AVERAGEIFS(Global_trade!I297:I796,Global_trade!F297:F796,'Q6'!B297,Global_trade!N297:N796,'Q6'!A297)</f>
        <v>971.9436666666669</v>
      </c>
      <c r="F297" s="22">
        <f>AVERAGEIFS(Global_trade!K297:K796,Global_trade!F297:F796,'Q6'!B297,Global_trade!N297:N796,'Q6'!A297)</f>
        <v>268.39633333333336</v>
      </c>
    </row>
    <row r="298" spans="1:6" x14ac:dyDescent="0.3">
      <c r="A298" t="s">
        <v>66</v>
      </c>
      <c r="B298" t="s">
        <v>65</v>
      </c>
      <c r="C298" s="22">
        <f>SUMIFS(Global_trade!I298:I797,Global_trade!F298:F797,B298,Global_trade!N298:N797,A298)</f>
        <v>10333.58</v>
      </c>
      <c r="D298" s="22">
        <f>SUMIFS(Global_trade!K298:K797,Global_trade!F298:F797,'Q6'!B298,Global_trade!N298:N797,'Q6'!A298)</f>
        <v>2513.1</v>
      </c>
      <c r="E298" s="22">
        <f>AVERAGEIFS(Global_trade!I298:I797,Global_trade!F298:F797,'Q6'!B298,Global_trade!N298:N797,'Q6'!A298)</f>
        <v>1148.1755555555555</v>
      </c>
      <c r="F298" s="22">
        <f>AVERAGEIFS(Global_trade!K298:K797,Global_trade!F298:F797,'Q6'!B298,Global_trade!N298:N797,'Q6'!A298)</f>
        <v>279.23333333333335</v>
      </c>
    </row>
    <row r="299" spans="1:6" x14ac:dyDescent="0.3">
      <c r="A299" t="s">
        <v>66</v>
      </c>
      <c r="B299" t="s">
        <v>43</v>
      </c>
      <c r="C299" s="22">
        <f>SUMIFS(Global_trade!I299:I798,Global_trade!F299:F798,B299,Global_trade!N299:N798,A299)</f>
        <v>9582.9900000000016</v>
      </c>
      <c r="D299" s="22">
        <f>SUMIFS(Global_trade!K299:K798,Global_trade!F299:F798,'Q6'!B299,Global_trade!N299:N798,'Q6'!A299)</f>
        <v>2963.14</v>
      </c>
      <c r="E299" s="22">
        <f>AVERAGEIFS(Global_trade!I299:I798,Global_trade!F299:F798,'Q6'!B299,Global_trade!N299:N798,'Q6'!A299)</f>
        <v>684.49928571428586</v>
      </c>
      <c r="F299" s="22">
        <f>AVERAGEIFS(Global_trade!K299:K798,Global_trade!F299:F798,'Q6'!B299,Global_trade!N299:N798,'Q6'!A299)</f>
        <v>211.65285714285713</v>
      </c>
    </row>
    <row r="300" spans="1:6" x14ac:dyDescent="0.3">
      <c r="A300" t="s">
        <v>66</v>
      </c>
      <c r="B300" t="s">
        <v>59</v>
      </c>
      <c r="C300" s="22">
        <f>SUMIFS(Global_trade!I300:I799,Global_trade!F300:F799,B300,Global_trade!N300:N799,A300)</f>
        <v>29134.300000000007</v>
      </c>
      <c r="D300" s="22">
        <f>SUMIFS(Global_trade!K300:K799,Global_trade!F300:F799,'Q6'!B300,Global_trade!N300:N799,'Q6'!A300)</f>
        <v>8044.9600000000019</v>
      </c>
      <c r="E300" s="22">
        <f>AVERAGEIFS(Global_trade!I300:I799,Global_trade!F300:F799,'Q6'!B300,Global_trade!N300:N799,'Q6'!A300)</f>
        <v>1004.6310344827589</v>
      </c>
      <c r="F300" s="22">
        <f>AVERAGEIFS(Global_trade!K300:K799,Global_trade!F300:F799,'Q6'!B300,Global_trade!N300:N799,'Q6'!A300)</f>
        <v>277.4124137931035</v>
      </c>
    </row>
    <row r="301" spans="1:6" x14ac:dyDescent="0.3">
      <c r="A301" t="s">
        <v>24</v>
      </c>
      <c r="B301" t="s">
        <v>43</v>
      </c>
      <c r="C301" s="22">
        <f>SUMIFS(Global_trade!I301:I800,Global_trade!F301:F800,B301,Global_trade!N301:N800,A301)</f>
        <v>11741.03</v>
      </c>
      <c r="D301" s="22">
        <f>SUMIFS(Global_trade!K301:K800,Global_trade!F301:F800,'Q6'!B301,Global_trade!N301:N800,'Q6'!A301)</f>
        <v>2736.2300000000005</v>
      </c>
      <c r="E301" s="22">
        <f>AVERAGEIFS(Global_trade!I301:I800,Global_trade!F301:F800,'Q6'!B301,Global_trade!N301:N800,'Q6'!A301)</f>
        <v>838.6450000000001</v>
      </c>
      <c r="F301" s="22">
        <f>AVERAGEIFS(Global_trade!K301:K800,Global_trade!F301:F800,'Q6'!B301,Global_trade!N301:N800,'Q6'!A301)</f>
        <v>195.44500000000002</v>
      </c>
    </row>
    <row r="302" spans="1:6" x14ac:dyDescent="0.3">
      <c r="A302" t="s">
        <v>32</v>
      </c>
      <c r="B302" t="s">
        <v>43</v>
      </c>
      <c r="C302" s="22">
        <f>SUMIFS(Global_trade!I302:I801,Global_trade!F302:F801,B302,Global_trade!N302:N801,A302)</f>
        <v>13989.240000000002</v>
      </c>
      <c r="D302" s="22">
        <f>SUMIFS(Global_trade!K302:K801,Global_trade!F302:F801,'Q6'!B302,Global_trade!N302:N801,'Q6'!A302)</f>
        <v>4173.05</v>
      </c>
      <c r="E302" s="22">
        <f>AVERAGEIFS(Global_trade!I302:I801,Global_trade!F302:F801,'Q6'!B302,Global_trade!N302:N801,'Q6'!A302)</f>
        <v>736.27578947368431</v>
      </c>
      <c r="F302" s="22">
        <f>AVERAGEIFS(Global_trade!K302:K801,Global_trade!F302:F801,'Q6'!B302,Global_trade!N302:N801,'Q6'!A302)</f>
        <v>219.6342105263158</v>
      </c>
    </row>
    <row r="303" spans="1:6" x14ac:dyDescent="0.3">
      <c r="A303" t="s">
        <v>66</v>
      </c>
      <c r="B303" t="s">
        <v>59</v>
      </c>
      <c r="C303" s="22">
        <f>SUMIFS(Global_trade!I303:I802,Global_trade!F303:F802,B303,Global_trade!N303:N802,A303)</f>
        <v>28665.580000000009</v>
      </c>
      <c r="D303" s="22">
        <f>SUMIFS(Global_trade!K303:K802,Global_trade!F303:F802,'Q6'!B303,Global_trade!N303:N802,'Q6'!A303)</f>
        <v>7962.3600000000015</v>
      </c>
      <c r="E303" s="22">
        <f>AVERAGEIFS(Global_trade!I303:I802,Global_trade!F303:F802,'Q6'!B303,Global_trade!N303:N802,'Q6'!A303)</f>
        <v>1023.7707142857146</v>
      </c>
      <c r="F303" s="22">
        <f>AVERAGEIFS(Global_trade!K303:K802,Global_trade!F303:F802,'Q6'!B303,Global_trade!N303:N802,'Q6'!A303)</f>
        <v>284.37000000000006</v>
      </c>
    </row>
    <row r="304" spans="1:6" x14ac:dyDescent="0.3">
      <c r="A304" t="s">
        <v>24</v>
      </c>
      <c r="B304" t="s">
        <v>43</v>
      </c>
      <c r="C304" s="22">
        <f>SUMIFS(Global_trade!I304:I803,Global_trade!F304:F803,B304,Global_trade!N304:N803,A304)</f>
        <v>11115.79</v>
      </c>
      <c r="D304" s="22">
        <f>SUMIFS(Global_trade!K304:K803,Global_trade!F304:F803,'Q6'!B304,Global_trade!N304:N803,'Q6'!A304)</f>
        <v>2512.2299999999996</v>
      </c>
      <c r="E304" s="22">
        <f>AVERAGEIFS(Global_trade!I304:I803,Global_trade!F304:F803,'Q6'!B304,Global_trade!N304:N803,'Q6'!A304)</f>
        <v>855.06076923076932</v>
      </c>
      <c r="F304" s="22">
        <f>AVERAGEIFS(Global_trade!K304:K803,Global_trade!F304:F803,'Q6'!B304,Global_trade!N304:N803,'Q6'!A304)</f>
        <v>193.2484615384615</v>
      </c>
    </row>
    <row r="305" spans="1:6" x14ac:dyDescent="0.3">
      <c r="A305" t="s">
        <v>66</v>
      </c>
      <c r="B305" t="s">
        <v>50</v>
      </c>
      <c r="C305" s="22">
        <f>SUMIFS(Global_trade!I305:I804,Global_trade!F305:F804,B305,Global_trade!N305:N804,A305)</f>
        <v>13352.119999999999</v>
      </c>
      <c r="D305" s="22">
        <f>SUMIFS(Global_trade!K305:K804,Global_trade!F305:F804,'Q6'!B305,Global_trade!N305:N804,'Q6'!A305)</f>
        <v>3761.1699999999996</v>
      </c>
      <c r="E305" s="22">
        <f>AVERAGEIFS(Global_trade!I305:I804,Global_trade!F305:F804,'Q6'!B305,Global_trade!N305:N804,'Q6'!A305)</f>
        <v>1483.5688888888888</v>
      </c>
      <c r="F305" s="22">
        <f>AVERAGEIFS(Global_trade!K305:K804,Global_trade!F305:F804,'Q6'!B305,Global_trade!N305:N804,'Q6'!A305)</f>
        <v>417.90777777777771</v>
      </c>
    </row>
    <row r="306" spans="1:6" x14ac:dyDescent="0.3">
      <c r="A306" t="s">
        <v>148</v>
      </c>
      <c r="B306" t="s">
        <v>43</v>
      </c>
      <c r="C306" s="22">
        <f>SUMIFS(Global_trade!I306:I805,Global_trade!F306:F805,B306,Global_trade!N306:N805,A306)</f>
        <v>3834.54</v>
      </c>
      <c r="D306" s="22">
        <f>SUMIFS(Global_trade!K306:K805,Global_trade!F306:F805,'Q6'!B306,Global_trade!N306:N805,'Q6'!A306)</f>
        <v>1133.4100000000001</v>
      </c>
      <c r="E306" s="22">
        <f>AVERAGEIFS(Global_trade!I306:I805,Global_trade!F306:F805,'Q6'!B306,Global_trade!N306:N805,'Q6'!A306)</f>
        <v>958.63499999999999</v>
      </c>
      <c r="F306" s="22">
        <f>AVERAGEIFS(Global_trade!K306:K805,Global_trade!F306:F805,'Q6'!B306,Global_trade!N306:N805,'Q6'!A306)</f>
        <v>283.35250000000002</v>
      </c>
    </row>
    <row r="307" spans="1:6" x14ac:dyDescent="0.3">
      <c r="A307" t="s">
        <v>45</v>
      </c>
      <c r="B307" t="s">
        <v>65</v>
      </c>
      <c r="C307" s="22">
        <f>SUMIFS(Global_trade!I307:I806,Global_trade!F307:F806,B307,Global_trade!N307:N806,A307)</f>
        <v>4425.6099999999997</v>
      </c>
      <c r="D307" s="22">
        <f>SUMIFS(Global_trade!K307:K806,Global_trade!F307:F806,'Q6'!B307,Global_trade!N307:N806,'Q6'!A307)</f>
        <v>1658.3899999999999</v>
      </c>
      <c r="E307" s="22">
        <f>AVERAGEIFS(Global_trade!I307:I806,Global_trade!F307:F806,'Q6'!B307,Global_trade!N307:N806,'Q6'!A307)</f>
        <v>1106.4024999999999</v>
      </c>
      <c r="F307" s="22">
        <f>AVERAGEIFS(Global_trade!K307:K806,Global_trade!F307:F806,'Q6'!B307,Global_trade!N307:N806,'Q6'!A307)</f>
        <v>414.59749999999997</v>
      </c>
    </row>
    <row r="308" spans="1:6" x14ac:dyDescent="0.3">
      <c r="A308" t="s">
        <v>45</v>
      </c>
      <c r="B308" t="s">
        <v>43</v>
      </c>
      <c r="C308" s="22">
        <f>SUMIFS(Global_trade!I308:I807,Global_trade!F308:F807,B308,Global_trade!N308:N807,A308)</f>
        <v>7962.7800000000007</v>
      </c>
      <c r="D308" s="22">
        <f>SUMIFS(Global_trade!K308:K807,Global_trade!F308:F807,'Q6'!B308,Global_trade!N308:N807,'Q6'!A308)</f>
        <v>2334.2400000000002</v>
      </c>
      <c r="E308" s="22">
        <f>AVERAGEIFS(Global_trade!I308:I807,Global_trade!F308:F807,'Q6'!B308,Global_trade!N308:N807,'Q6'!A308)</f>
        <v>796.27800000000002</v>
      </c>
      <c r="F308" s="22">
        <f>AVERAGEIFS(Global_trade!K308:K807,Global_trade!F308:F807,'Q6'!B308,Global_trade!N308:N807,'Q6'!A308)</f>
        <v>233.42400000000004</v>
      </c>
    </row>
    <row r="309" spans="1:6" x14ac:dyDescent="0.3">
      <c r="A309" t="s">
        <v>66</v>
      </c>
      <c r="B309" t="s">
        <v>21</v>
      </c>
      <c r="C309" s="22">
        <f>SUMIFS(Global_trade!I309:I808,Global_trade!F309:F808,B309,Global_trade!N309:N808,A309)</f>
        <v>13189.279999999997</v>
      </c>
      <c r="D309" s="22">
        <f>SUMIFS(Global_trade!K309:K808,Global_trade!F309:F808,'Q6'!B309,Global_trade!N309:N808,'Q6'!A309)</f>
        <v>3194.0599999999995</v>
      </c>
      <c r="E309" s="22">
        <f>AVERAGEIFS(Global_trade!I309:I808,Global_trade!F309:F808,'Q6'!B309,Global_trade!N309:N808,'Q6'!A309)</f>
        <v>775.8399999999998</v>
      </c>
      <c r="F309" s="22">
        <f>AVERAGEIFS(Global_trade!K309:K808,Global_trade!F309:F808,'Q6'!B309,Global_trade!N309:N808,'Q6'!A309)</f>
        <v>187.88588235294114</v>
      </c>
    </row>
    <row r="310" spans="1:6" x14ac:dyDescent="0.3">
      <c r="A310" t="s">
        <v>24</v>
      </c>
      <c r="B310" t="s">
        <v>43</v>
      </c>
      <c r="C310" s="22">
        <f>SUMIFS(Global_trade!I310:I809,Global_trade!F310:F809,B310,Global_trade!N310:N809,A310)</f>
        <v>10145.59</v>
      </c>
      <c r="D310" s="22">
        <f>SUMIFS(Global_trade!K310:K809,Global_trade!F310:F809,'Q6'!B310,Global_trade!N310:N809,'Q6'!A310)</f>
        <v>2303.7699999999995</v>
      </c>
      <c r="E310" s="22">
        <f>AVERAGEIFS(Global_trade!I310:I809,Global_trade!F310:F809,'Q6'!B310,Global_trade!N310:N809,'Q6'!A310)</f>
        <v>845.46583333333331</v>
      </c>
      <c r="F310" s="22">
        <f>AVERAGEIFS(Global_trade!K310:K809,Global_trade!F310:F809,'Q6'!B310,Global_trade!N310:N809,'Q6'!A310)</f>
        <v>191.98083333333329</v>
      </c>
    </row>
    <row r="311" spans="1:6" x14ac:dyDescent="0.3">
      <c r="A311" t="s">
        <v>66</v>
      </c>
      <c r="B311" t="s">
        <v>21</v>
      </c>
      <c r="C311" s="22">
        <f>SUMIFS(Global_trade!I311:I810,Global_trade!F311:F810,B311,Global_trade!N311:N810,A311)</f>
        <v>11255.269999999999</v>
      </c>
      <c r="D311" s="22">
        <f>SUMIFS(Global_trade!K311:K810,Global_trade!F311:F810,'Q6'!B311,Global_trade!N311:N810,'Q6'!A311)</f>
        <v>2687.8399999999997</v>
      </c>
      <c r="E311" s="22">
        <f>AVERAGEIFS(Global_trade!I311:I810,Global_trade!F311:F810,'Q6'!B311,Global_trade!N311:N810,'Q6'!A311)</f>
        <v>703.45437499999991</v>
      </c>
      <c r="F311" s="22">
        <f>AVERAGEIFS(Global_trade!K311:K810,Global_trade!F311:F810,'Q6'!B311,Global_trade!N311:N810,'Q6'!A311)</f>
        <v>167.98999999999998</v>
      </c>
    </row>
    <row r="312" spans="1:6" x14ac:dyDescent="0.3">
      <c r="A312" t="s">
        <v>66</v>
      </c>
      <c r="B312" t="s">
        <v>43</v>
      </c>
      <c r="C312" s="22">
        <f>SUMIFS(Global_trade!I312:I811,Global_trade!F312:F811,B312,Global_trade!N312:N811,A312)</f>
        <v>9455.7400000000016</v>
      </c>
      <c r="D312" s="22">
        <f>SUMIFS(Global_trade!K312:K811,Global_trade!F312:F811,'Q6'!B312,Global_trade!N312:N811,'Q6'!A312)</f>
        <v>2943.11</v>
      </c>
      <c r="E312" s="22">
        <f>AVERAGEIFS(Global_trade!I312:I811,Global_trade!F312:F811,'Q6'!B312,Global_trade!N312:N811,'Q6'!A312)</f>
        <v>727.36461538461549</v>
      </c>
      <c r="F312" s="22">
        <f>AVERAGEIFS(Global_trade!K312:K811,Global_trade!F312:F811,'Q6'!B312,Global_trade!N312:N811,'Q6'!A312)</f>
        <v>226.39307692307693</v>
      </c>
    </row>
    <row r="313" spans="1:6" x14ac:dyDescent="0.3">
      <c r="A313" t="s">
        <v>102</v>
      </c>
      <c r="B313" t="s">
        <v>21</v>
      </c>
      <c r="C313" s="22">
        <f>SUMIFS(Global_trade!I313:I812,Global_trade!F313:F812,B313,Global_trade!N313:N812,A313)</f>
        <v>4675.3999999999996</v>
      </c>
      <c r="D313" s="22">
        <f>SUMIFS(Global_trade!K313:K812,Global_trade!F313:F812,'Q6'!B313,Global_trade!N313:N812,'Q6'!A313)</f>
        <v>1372.4</v>
      </c>
      <c r="E313" s="22">
        <f>AVERAGEIFS(Global_trade!I313:I812,Global_trade!F313:F812,'Q6'!B313,Global_trade!N313:N812,'Q6'!A313)</f>
        <v>935.07999999999993</v>
      </c>
      <c r="F313" s="22">
        <f>AVERAGEIFS(Global_trade!K313:K812,Global_trade!F313:F812,'Q6'!B313,Global_trade!N313:N812,'Q6'!A313)</f>
        <v>274.48</v>
      </c>
    </row>
    <row r="314" spans="1:6" x14ac:dyDescent="0.3">
      <c r="A314" t="s">
        <v>45</v>
      </c>
      <c r="B314" t="s">
        <v>21</v>
      </c>
      <c r="C314" s="22">
        <f>SUMIFS(Global_trade!I314:I813,Global_trade!F314:F813,B314,Global_trade!N314:N813,A314)</f>
        <v>1395.64</v>
      </c>
      <c r="D314" s="22">
        <f>SUMIFS(Global_trade!K314:K813,Global_trade!F314:F813,'Q6'!B314,Global_trade!N314:N813,'Q6'!A314)</f>
        <v>463.44</v>
      </c>
      <c r="E314" s="22">
        <f>AVERAGEIFS(Global_trade!I314:I813,Global_trade!F314:F813,'Q6'!B314,Global_trade!N314:N813,'Q6'!A314)</f>
        <v>1395.64</v>
      </c>
      <c r="F314" s="22">
        <f>AVERAGEIFS(Global_trade!K314:K813,Global_trade!F314:F813,'Q6'!B314,Global_trade!N314:N813,'Q6'!A314)</f>
        <v>463.44</v>
      </c>
    </row>
    <row r="315" spans="1:6" x14ac:dyDescent="0.3">
      <c r="A315" t="s">
        <v>66</v>
      </c>
      <c r="B315" t="s">
        <v>43</v>
      </c>
      <c r="C315" s="22">
        <f>SUMIFS(Global_trade!I315:I814,Global_trade!F315:F814,B315,Global_trade!N315:N814,A315)</f>
        <v>7741.74</v>
      </c>
      <c r="D315" s="22">
        <f>SUMIFS(Global_trade!K315:K814,Global_trade!F315:F814,'Q6'!B315,Global_trade!N315:N814,'Q6'!A315)</f>
        <v>2288.9500000000003</v>
      </c>
      <c r="E315" s="22">
        <f>AVERAGEIFS(Global_trade!I315:I814,Global_trade!F315:F814,'Q6'!B315,Global_trade!N315:N814,'Q6'!A315)</f>
        <v>645.14499999999998</v>
      </c>
      <c r="F315" s="22">
        <f>AVERAGEIFS(Global_trade!K315:K814,Global_trade!F315:F814,'Q6'!B315,Global_trade!N315:N814,'Q6'!A315)</f>
        <v>190.74583333333337</v>
      </c>
    </row>
    <row r="316" spans="1:6" x14ac:dyDescent="0.3">
      <c r="A316" t="s">
        <v>148</v>
      </c>
      <c r="B316" t="s">
        <v>59</v>
      </c>
      <c r="C316" s="22">
        <f>SUMIFS(Global_trade!I316:I815,Global_trade!F316:F815,B316,Global_trade!N316:N815,A316)</f>
        <v>4408.4299999999994</v>
      </c>
      <c r="D316" s="22">
        <f>SUMIFS(Global_trade!K316:K815,Global_trade!F316:F815,'Q6'!B316,Global_trade!N316:N815,'Q6'!A316)</f>
        <v>1395.88</v>
      </c>
      <c r="E316" s="22">
        <f>AVERAGEIFS(Global_trade!I316:I815,Global_trade!F316:F815,'Q6'!B316,Global_trade!N316:N815,'Q6'!A316)</f>
        <v>881.68599999999992</v>
      </c>
      <c r="F316" s="22">
        <f>AVERAGEIFS(Global_trade!K316:K815,Global_trade!F316:F815,'Q6'!B316,Global_trade!N316:N815,'Q6'!A316)</f>
        <v>279.17600000000004</v>
      </c>
    </row>
    <row r="317" spans="1:6" x14ac:dyDescent="0.3">
      <c r="A317" t="s">
        <v>66</v>
      </c>
      <c r="B317" t="s">
        <v>59</v>
      </c>
      <c r="C317" s="22">
        <f>SUMIFS(Global_trade!I317:I816,Global_trade!F317:F816,B317,Global_trade!N317:N816,A317)</f>
        <v>28527.880000000008</v>
      </c>
      <c r="D317" s="22">
        <f>SUMIFS(Global_trade!K317:K816,Global_trade!F317:F816,'Q6'!B317,Global_trade!N317:N816,'Q6'!A317)</f>
        <v>7923.2900000000018</v>
      </c>
      <c r="E317" s="22">
        <f>AVERAGEIFS(Global_trade!I317:I816,Global_trade!F317:F816,'Q6'!B317,Global_trade!N317:N816,'Q6'!A317)</f>
        <v>1056.5881481481485</v>
      </c>
      <c r="F317" s="22">
        <f>AVERAGEIFS(Global_trade!K317:K816,Global_trade!F317:F816,'Q6'!B317,Global_trade!N317:N816,'Q6'!A317)</f>
        <v>293.45518518518526</v>
      </c>
    </row>
    <row r="318" spans="1:6" x14ac:dyDescent="0.3">
      <c r="A318" t="s">
        <v>32</v>
      </c>
      <c r="B318" t="s">
        <v>65</v>
      </c>
      <c r="C318" s="22">
        <f>SUMIFS(Global_trade!I318:I817,Global_trade!F318:F817,B318,Global_trade!N318:N817,A318)</f>
        <v>5272.82</v>
      </c>
      <c r="D318" s="22">
        <f>SUMIFS(Global_trade!K318:K817,Global_trade!F318:F817,'Q6'!B318,Global_trade!N318:N817,'Q6'!A318)</f>
        <v>1232.33</v>
      </c>
      <c r="E318" s="22">
        <f>AVERAGEIFS(Global_trade!I318:I817,Global_trade!F318:F817,'Q6'!B318,Global_trade!N318:N817,'Q6'!A318)</f>
        <v>878.80333333333328</v>
      </c>
      <c r="F318" s="22">
        <f>AVERAGEIFS(Global_trade!K318:K817,Global_trade!F318:F817,'Q6'!B318,Global_trade!N318:N817,'Q6'!A318)</f>
        <v>205.38833333333332</v>
      </c>
    </row>
    <row r="319" spans="1:6" x14ac:dyDescent="0.3">
      <c r="A319" t="s">
        <v>32</v>
      </c>
      <c r="B319" t="s">
        <v>59</v>
      </c>
      <c r="C319" s="22">
        <f>SUMIFS(Global_trade!I319:I818,Global_trade!F319:F818,B319,Global_trade!N319:N818,A319)</f>
        <v>13021.110000000002</v>
      </c>
      <c r="D319" s="22">
        <f>SUMIFS(Global_trade!K319:K818,Global_trade!F319:F818,'Q6'!B319,Global_trade!N319:N818,'Q6'!A319)</f>
        <v>3546.8100000000004</v>
      </c>
      <c r="E319" s="22">
        <f>AVERAGEIFS(Global_trade!I319:I818,Global_trade!F319:F818,'Q6'!B319,Global_trade!N319:N818,'Q6'!A319)</f>
        <v>930.0792857142859</v>
      </c>
      <c r="F319" s="22">
        <f>AVERAGEIFS(Global_trade!K319:K818,Global_trade!F319:F818,'Q6'!B319,Global_trade!N319:N818,'Q6'!A319)</f>
        <v>253.34357142857147</v>
      </c>
    </row>
    <row r="320" spans="1:6" x14ac:dyDescent="0.3">
      <c r="A320" t="s">
        <v>24</v>
      </c>
      <c r="B320" t="s">
        <v>43</v>
      </c>
      <c r="C320" s="22">
        <f>SUMIFS(Global_trade!I320:I819,Global_trade!F320:F819,B320,Global_trade!N320:N819,A320)</f>
        <v>9893.65</v>
      </c>
      <c r="D320" s="22">
        <f>SUMIFS(Global_trade!K320:K819,Global_trade!F320:F819,'Q6'!B320,Global_trade!N320:N819,'Q6'!A320)</f>
        <v>2254.59</v>
      </c>
      <c r="E320" s="22">
        <f>AVERAGEIFS(Global_trade!I320:I819,Global_trade!F320:F819,'Q6'!B320,Global_trade!N320:N819,'Q6'!A320)</f>
        <v>899.42272727272723</v>
      </c>
      <c r="F320" s="22">
        <f>AVERAGEIFS(Global_trade!K320:K819,Global_trade!F320:F819,'Q6'!B320,Global_trade!N320:N819,'Q6'!A320)</f>
        <v>204.96272727272728</v>
      </c>
    </row>
    <row r="321" spans="1:6" x14ac:dyDescent="0.3">
      <c r="A321" t="s">
        <v>66</v>
      </c>
      <c r="B321" t="s">
        <v>65</v>
      </c>
      <c r="C321" s="22">
        <f>SUMIFS(Global_trade!I321:I820,Global_trade!F321:F820,B321,Global_trade!N321:N820,A321)</f>
        <v>8714.0300000000007</v>
      </c>
      <c r="D321" s="22">
        <f>SUMIFS(Global_trade!K321:K820,Global_trade!F321:F820,'Q6'!B321,Global_trade!N321:N820,'Q6'!A321)</f>
        <v>2068.5</v>
      </c>
      <c r="E321" s="22">
        <f>AVERAGEIFS(Global_trade!I321:I820,Global_trade!F321:F820,'Q6'!B321,Global_trade!N321:N820,'Q6'!A321)</f>
        <v>1089.2537500000001</v>
      </c>
      <c r="F321" s="22">
        <f>AVERAGEIFS(Global_trade!K321:K820,Global_trade!F321:F820,'Q6'!B321,Global_trade!N321:N820,'Q6'!A321)</f>
        <v>258.5625</v>
      </c>
    </row>
    <row r="322" spans="1:6" x14ac:dyDescent="0.3">
      <c r="A322" t="s">
        <v>45</v>
      </c>
      <c r="B322" t="s">
        <v>43</v>
      </c>
      <c r="C322" s="22">
        <f>SUMIFS(Global_trade!I322:I821,Global_trade!F322:F821,B322,Global_trade!N322:N821,A322)</f>
        <v>7601.16</v>
      </c>
      <c r="D322" s="22">
        <f>SUMIFS(Global_trade!K322:K821,Global_trade!F322:F821,'Q6'!B322,Global_trade!N322:N821,'Q6'!A322)</f>
        <v>2210.5</v>
      </c>
      <c r="E322" s="22">
        <f>AVERAGEIFS(Global_trade!I322:I821,Global_trade!F322:F821,'Q6'!B322,Global_trade!N322:N821,'Q6'!A322)</f>
        <v>844.57333333333327</v>
      </c>
      <c r="F322" s="22">
        <f>AVERAGEIFS(Global_trade!K322:K821,Global_trade!F322:F821,'Q6'!B322,Global_trade!N322:N821,'Q6'!A322)</f>
        <v>245.61111111111111</v>
      </c>
    </row>
    <row r="323" spans="1:6" x14ac:dyDescent="0.3">
      <c r="A323" t="s">
        <v>102</v>
      </c>
      <c r="B323" t="s">
        <v>43</v>
      </c>
      <c r="C323" s="22">
        <f>SUMIFS(Global_trade!I323:I822,Global_trade!F323:F822,B323,Global_trade!N323:N822,A323)</f>
        <v>2210.5300000000002</v>
      </c>
      <c r="D323" s="22">
        <f>SUMIFS(Global_trade!K323:K822,Global_trade!F323:F822,'Q6'!B323,Global_trade!N323:N822,'Q6'!A323)</f>
        <v>644.02</v>
      </c>
      <c r="E323" s="22">
        <f>AVERAGEIFS(Global_trade!I323:I822,Global_trade!F323:F822,'Q6'!B323,Global_trade!N323:N822,'Q6'!A323)</f>
        <v>736.84333333333336</v>
      </c>
      <c r="F323" s="22">
        <f>AVERAGEIFS(Global_trade!K323:K822,Global_trade!F323:F822,'Q6'!B323,Global_trade!N323:N822,'Q6'!A323)</f>
        <v>214.67333333333332</v>
      </c>
    </row>
    <row r="324" spans="1:6" x14ac:dyDescent="0.3">
      <c r="A324" t="s">
        <v>32</v>
      </c>
      <c r="B324" t="s">
        <v>43</v>
      </c>
      <c r="C324" s="22">
        <f>SUMIFS(Global_trade!I324:I823,Global_trade!F324:F823,B324,Global_trade!N324:N823,A324)</f>
        <v>12063.050000000001</v>
      </c>
      <c r="D324" s="22">
        <f>SUMIFS(Global_trade!K324:K823,Global_trade!F324:F823,'Q6'!B324,Global_trade!N324:N823,'Q6'!A324)</f>
        <v>3884.56</v>
      </c>
      <c r="E324" s="22">
        <f>AVERAGEIFS(Global_trade!I324:I823,Global_trade!F324:F823,'Q6'!B324,Global_trade!N324:N823,'Q6'!A324)</f>
        <v>670.16944444444448</v>
      </c>
      <c r="F324" s="22">
        <f>AVERAGEIFS(Global_trade!K324:K823,Global_trade!F324:F823,'Q6'!B324,Global_trade!N324:N823,'Q6'!A324)</f>
        <v>215.80888888888887</v>
      </c>
    </row>
    <row r="325" spans="1:6" x14ac:dyDescent="0.3">
      <c r="A325" t="s">
        <v>102</v>
      </c>
      <c r="B325" t="s">
        <v>21</v>
      </c>
      <c r="C325" s="22">
        <f>SUMIFS(Global_trade!I325:I824,Global_trade!F325:F824,B325,Global_trade!N325:N824,A325)</f>
        <v>3205.8999999999996</v>
      </c>
      <c r="D325" s="22">
        <f>SUMIFS(Global_trade!K325:K824,Global_trade!F325:F824,'Q6'!B325,Global_trade!N325:N824,'Q6'!A325)</f>
        <v>904.41000000000008</v>
      </c>
      <c r="E325" s="22">
        <f>AVERAGEIFS(Global_trade!I325:I824,Global_trade!F325:F824,'Q6'!B325,Global_trade!N325:N824,'Q6'!A325)</f>
        <v>801.47499999999991</v>
      </c>
      <c r="F325" s="22">
        <f>AVERAGEIFS(Global_trade!K325:K824,Global_trade!F325:F824,'Q6'!B325,Global_trade!N325:N824,'Q6'!A325)</f>
        <v>226.10250000000002</v>
      </c>
    </row>
    <row r="326" spans="1:6" x14ac:dyDescent="0.3">
      <c r="A326" t="s">
        <v>66</v>
      </c>
      <c r="B326" t="s">
        <v>59</v>
      </c>
      <c r="C326" s="22">
        <f>SUMIFS(Global_trade!I326:I825,Global_trade!F326:F825,B326,Global_trade!N326:N825,A326)</f>
        <v>27188.680000000008</v>
      </c>
      <c r="D326" s="22">
        <f>SUMIFS(Global_trade!K326:K825,Global_trade!F326:F825,'Q6'!B326,Global_trade!N326:N825,'Q6'!A326)</f>
        <v>7730.4000000000005</v>
      </c>
      <c r="E326" s="22">
        <f>AVERAGEIFS(Global_trade!I326:I825,Global_trade!F326:F825,'Q6'!B326,Global_trade!N326:N825,'Q6'!A326)</f>
        <v>1045.7184615384617</v>
      </c>
      <c r="F326" s="22">
        <f>AVERAGEIFS(Global_trade!K326:K825,Global_trade!F326:F825,'Q6'!B326,Global_trade!N326:N825,'Q6'!A326)</f>
        <v>297.32307692307694</v>
      </c>
    </row>
    <row r="327" spans="1:6" x14ac:dyDescent="0.3">
      <c r="A327" t="s">
        <v>66</v>
      </c>
      <c r="B327" t="s">
        <v>21</v>
      </c>
      <c r="C327" s="22">
        <f>SUMIFS(Global_trade!I327:I826,Global_trade!F327:F826,B327,Global_trade!N327:N826,A327)</f>
        <v>10686.47</v>
      </c>
      <c r="D327" s="22">
        <f>SUMIFS(Global_trade!K327:K826,Global_trade!F327:F826,'Q6'!B327,Global_trade!N327:N826,'Q6'!A327)</f>
        <v>2562.35</v>
      </c>
      <c r="E327" s="22">
        <f>AVERAGEIFS(Global_trade!I327:I826,Global_trade!F327:F826,'Q6'!B327,Global_trade!N327:N826,'Q6'!A327)</f>
        <v>712.43133333333333</v>
      </c>
      <c r="F327" s="22">
        <f>AVERAGEIFS(Global_trade!K327:K826,Global_trade!F327:F826,'Q6'!B327,Global_trade!N327:N826,'Q6'!A327)</f>
        <v>170.82333333333332</v>
      </c>
    </row>
    <row r="328" spans="1:6" x14ac:dyDescent="0.3">
      <c r="A328" t="s">
        <v>66</v>
      </c>
      <c r="B328" t="s">
        <v>43</v>
      </c>
      <c r="C328" s="22">
        <f>SUMIFS(Global_trade!I328:I827,Global_trade!F328:F827,B328,Global_trade!N328:N827,A328)</f>
        <v>6801.24</v>
      </c>
      <c r="D328" s="22">
        <f>SUMIFS(Global_trade!K328:K827,Global_trade!F328:F827,'Q6'!B328,Global_trade!N328:N827,'Q6'!A328)</f>
        <v>2026.2000000000005</v>
      </c>
      <c r="E328" s="22">
        <f>AVERAGEIFS(Global_trade!I328:I827,Global_trade!F328:F827,'Q6'!B328,Global_trade!N328:N827,'Q6'!A328)</f>
        <v>618.29454545454541</v>
      </c>
      <c r="F328" s="22">
        <f>AVERAGEIFS(Global_trade!K328:K827,Global_trade!F328:F827,'Q6'!B328,Global_trade!N328:N827,'Q6'!A328)</f>
        <v>184.20000000000005</v>
      </c>
    </row>
    <row r="329" spans="1:6" x14ac:dyDescent="0.3">
      <c r="A329" t="s">
        <v>66</v>
      </c>
      <c r="B329" t="s">
        <v>59</v>
      </c>
      <c r="C329" s="22">
        <f>SUMIFS(Global_trade!I329:I828,Global_trade!F329:F828,B329,Global_trade!N329:N828,A329)</f>
        <v>26746.680000000008</v>
      </c>
      <c r="D329" s="22">
        <f>SUMIFS(Global_trade!K329:K828,Global_trade!F329:F828,'Q6'!B329,Global_trade!N329:N828,'Q6'!A329)</f>
        <v>7586.8500000000013</v>
      </c>
      <c r="E329" s="22">
        <f>AVERAGEIFS(Global_trade!I329:I828,Global_trade!F329:F828,'Q6'!B329,Global_trade!N329:N828,'Q6'!A329)</f>
        <v>1069.8672000000004</v>
      </c>
      <c r="F329" s="22">
        <f>AVERAGEIFS(Global_trade!K329:K828,Global_trade!F329:F828,'Q6'!B329,Global_trade!N329:N828,'Q6'!A329)</f>
        <v>303.47400000000005</v>
      </c>
    </row>
    <row r="330" spans="1:6" x14ac:dyDescent="0.3">
      <c r="A330" t="s">
        <v>32</v>
      </c>
      <c r="B330" t="s">
        <v>43</v>
      </c>
      <c r="C330" s="22">
        <f>SUMIFS(Global_trade!I330:I829,Global_trade!F330:F829,B330,Global_trade!N330:N829,A330)</f>
        <v>11420.8</v>
      </c>
      <c r="D330" s="22">
        <f>SUMIFS(Global_trade!K330:K829,Global_trade!F330:F829,'Q6'!B330,Global_trade!N330:N829,'Q6'!A330)</f>
        <v>3717.9100000000003</v>
      </c>
      <c r="E330" s="22">
        <f>AVERAGEIFS(Global_trade!I330:I829,Global_trade!F330:F829,'Q6'!B330,Global_trade!N330:N829,'Q6'!A330)</f>
        <v>671.8117647058823</v>
      </c>
      <c r="F330" s="22">
        <f>AVERAGEIFS(Global_trade!K330:K829,Global_trade!F330:F829,'Q6'!B330,Global_trade!N330:N829,'Q6'!A330)</f>
        <v>218.70058823529413</v>
      </c>
    </row>
    <row r="331" spans="1:6" x14ac:dyDescent="0.3">
      <c r="A331" t="s">
        <v>32</v>
      </c>
      <c r="B331" t="s">
        <v>59</v>
      </c>
      <c r="C331" s="22">
        <f>SUMIFS(Global_trade!I331:I830,Global_trade!F331:F830,B331,Global_trade!N331:N830,A331)</f>
        <v>12679.230000000003</v>
      </c>
      <c r="D331" s="22">
        <f>SUMIFS(Global_trade!K331:K830,Global_trade!F331:F830,'Q6'!B331,Global_trade!N331:N830,'Q6'!A331)</f>
        <v>3469.6100000000006</v>
      </c>
      <c r="E331" s="22">
        <f>AVERAGEIFS(Global_trade!I331:I830,Global_trade!F331:F830,'Q6'!B331,Global_trade!N331:N830,'Q6'!A331)</f>
        <v>975.32538461538491</v>
      </c>
      <c r="F331" s="22">
        <f>AVERAGEIFS(Global_trade!K331:K830,Global_trade!F331:F830,'Q6'!B331,Global_trade!N331:N830,'Q6'!A331)</f>
        <v>266.89307692307699</v>
      </c>
    </row>
    <row r="332" spans="1:6" x14ac:dyDescent="0.3">
      <c r="A332" t="s">
        <v>66</v>
      </c>
      <c r="B332" t="s">
        <v>21</v>
      </c>
      <c r="C332" s="22">
        <f>SUMIFS(Global_trade!I332:I831,Global_trade!F332:F831,B332,Global_trade!N332:N831,A332)</f>
        <v>10016.57</v>
      </c>
      <c r="D332" s="22">
        <f>SUMIFS(Global_trade!K332:K831,Global_trade!F332:F831,'Q6'!B332,Global_trade!N332:N831,'Q6'!A332)</f>
        <v>2303.73</v>
      </c>
      <c r="E332" s="22">
        <f>AVERAGEIFS(Global_trade!I332:I831,Global_trade!F332:F831,'Q6'!B332,Global_trade!N332:N831,'Q6'!A332)</f>
        <v>715.46928571428566</v>
      </c>
      <c r="F332" s="22">
        <f>AVERAGEIFS(Global_trade!K332:K831,Global_trade!F332:F831,'Q6'!B332,Global_trade!N332:N831,'Q6'!A332)</f>
        <v>164.55214285714285</v>
      </c>
    </row>
    <row r="333" spans="1:6" x14ac:dyDescent="0.3">
      <c r="A333" t="s">
        <v>32</v>
      </c>
      <c r="B333" t="s">
        <v>43</v>
      </c>
      <c r="C333" s="22">
        <f>SUMIFS(Global_trade!I333:I832,Global_trade!F333:F832,B333,Global_trade!N333:N832,A333)</f>
        <v>10507.48</v>
      </c>
      <c r="D333" s="22">
        <f>SUMIFS(Global_trade!K333:K832,Global_trade!F333:F832,'Q6'!B333,Global_trade!N333:N832,'Q6'!A333)</f>
        <v>3403.1600000000003</v>
      </c>
      <c r="E333" s="22">
        <f>AVERAGEIFS(Global_trade!I333:I832,Global_trade!F333:F832,'Q6'!B333,Global_trade!N333:N832,'Q6'!A333)</f>
        <v>656.71749999999997</v>
      </c>
      <c r="F333" s="22">
        <f>AVERAGEIFS(Global_trade!K333:K832,Global_trade!F333:F832,'Q6'!B333,Global_trade!N333:N832,'Q6'!A333)</f>
        <v>212.69750000000002</v>
      </c>
    </row>
    <row r="334" spans="1:6" x14ac:dyDescent="0.3">
      <c r="A334" t="s">
        <v>66</v>
      </c>
      <c r="B334" t="s">
        <v>59</v>
      </c>
      <c r="C334" s="22">
        <f>SUMIFS(Global_trade!I334:I833,Global_trade!F334:F833,B334,Global_trade!N334:N833,A334)</f>
        <v>24819.740000000005</v>
      </c>
      <c r="D334" s="22">
        <f>SUMIFS(Global_trade!K334:K833,Global_trade!F334:F833,'Q6'!B334,Global_trade!N334:N833,'Q6'!A334)</f>
        <v>7045.300000000002</v>
      </c>
      <c r="E334" s="22">
        <f>AVERAGEIFS(Global_trade!I334:I833,Global_trade!F334:F833,'Q6'!B334,Global_trade!N334:N833,'Q6'!A334)</f>
        <v>1034.1558333333335</v>
      </c>
      <c r="F334" s="22">
        <f>AVERAGEIFS(Global_trade!K334:K833,Global_trade!F334:F833,'Q6'!B334,Global_trade!N334:N833,'Q6'!A334)</f>
        <v>293.55416666666673</v>
      </c>
    </row>
    <row r="335" spans="1:6" x14ac:dyDescent="0.3">
      <c r="A335" t="s">
        <v>32</v>
      </c>
      <c r="B335" t="s">
        <v>43</v>
      </c>
      <c r="C335" s="22">
        <f>SUMIFS(Global_trade!I335:I834,Global_trade!F335:F834,B335,Global_trade!N335:N834,A335)</f>
        <v>9783.16</v>
      </c>
      <c r="D335" s="22">
        <f>SUMIFS(Global_trade!K335:K834,Global_trade!F335:F834,'Q6'!B335,Global_trade!N335:N834,'Q6'!A335)</f>
        <v>3203.81</v>
      </c>
      <c r="E335" s="22">
        <f>AVERAGEIFS(Global_trade!I335:I834,Global_trade!F335:F834,'Q6'!B335,Global_trade!N335:N834,'Q6'!A335)</f>
        <v>652.21066666666661</v>
      </c>
      <c r="F335" s="22">
        <f>AVERAGEIFS(Global_trade!K335:K834,Global_trade!F335:F834,'Q6'!B335,Global_trade!N335:N834,'Q6'!A335)</f>
        <v>213.58733333333333</v>
      </c>
    </row>
    <row r="336" spans="1:6" x14ac:dyDescent="0.3">
      <c r="A336" t="s">
        <v>102</v>
      </c>
      <c r="B336" t="s">
        <v>43</v>
      </c>
      <c r="C336" s="22">
        <f>SUMIFS(Global_trade!I336:I835,Global_trade!F336:F835,B336,Global_trade!N336:N835,A336)</f>
        <v>1803.73</v>
      </c>
      <c r="D336" s="22">
        <f>SUMIFS(Global_trade!K336:K835,Global_trade!F336:F835,'Q6'!B336,Global_trade!N336:N835,'Q6'!A336)</f>
        <v>561.5</v>
      </c>
      <c r="E336" s="22">
        <f>AVERAGEIFS(Global_trade!I336:I835,Global_trade!F336:F835,'Q6'!B336,Global_trade!N336:N835,'Q6'!A336)</f>
        <v>901.86500000000001</v>
      </c>
      <c r="F336" s="22">
        <f>AVERAGEIFS(Global_trade!K336:K835,Global_trade!F336:F835,'Q6'!B336,Global_trade!N336:N835,'Q6'!A336)</f>
        <v>280.75</v>
      </c>
    </row>
    <row r="337" spans="1:6" x14ac:dyDescent="0.3">
      <c r="A337" t="s">
        <v>66</v>
      </c>
      <c r="B337" t="s">
        <v>65</v>
      </c>
      <c r="C337" s="22">
        <f>SUMIFS(Global_trade!I337:I836,Global_trade!F337:F836,B337,Global_trade!N337:N836,A337)</f>
        <v>7809.2300000000014</v>
      </c>
      <c r="D337" s="22">
        <f>SUMIFS(Global_trade!K337:K836,Global_trade!F337:F836,'Q6'!B337,Global_trade!N337:N836,'Q6'!A337)</f>
        <v>1983.83</v>
      </c>
      <c r="E337" s="22">
        <f>AVERAGEIFS(Global_trade!I337:I836,Global_trade!F337:F836,'Q6'!B337,Global_trade!N337:N836,'Q6'!A337)</f>
        <v>1115.6042857142859</v>
      </c>
      <c r="F337" s="22">
        <f>AVERAGEIFS(Global_trade!K337:K836,Global_trade!F337:F836,'Q6'!B337,Global_trade!N337:N836,'Q6'!A337)</f>
        <v>283.40428571428572</v>
      </c>
    </row>
    <row r="338" spans="1:6" x14ac:dyDescent="0.3">
      <c r="A338" t="s">
        <v>66</v>
      </c>
      <c r="B338" t="s">
        <v>21</v>
      </c>
      <c r="C338" s="22">
        <f>SUMIFS(Global_trade!I338:I837,Global_trade!F338:F837,B338,Global_trade!N338:N837,A338)</f>
        <v>8264.23</v>
      </c>
      <c r="D338" s="22">
        <f>SUMIFS(Global_trade!K338:K837,Global_trade!F338:F837,'Q6'!B338,Global_trade!N338:N837,'Q6'!A338)</f>
        <v>2078.48</v>
      </c>
      <c r="E338" s="22">
        <f>AVERAGEIFS(Global_trade!I338:I837,Global_trade!F338:F837,'Q6'!B338,Global_trade!N338:N837,'Q6'!A338)</f>
        <v>635.70999999999992</v>
      </c>
      <c r="F338" s="22">
        <f>AVERAGEIFS(Global_trade!K338:K837,Global_trade!F338:F837,'Q6'!B338,Global_trade!N338:N837,'Q6'!A338)</f>
        <v>159.88307692307691</v>
      </c>
    </row>
    <row r="339" spans="1:6" x14ac:dyDescent="0.3">
      <c r="A339" t="s">
        <v>148</v>
      </c>
      <c r="B339" t="s">
        <v>21</v>
      </c>
      <c r="C339" s="22">
        <f>SUMIFS(Global_trade!I339:I838,Global_trade!F339:F838,B339,Global_trade!N339:N838,A339)</f>
        <v>3569.6000000000004</v>
      </c>
      <c r="D339" s="22">
        <f>SUMIFS(Global_trade!K339:K838,Global_trade!F339:F838,'Q6'!B339,Global_trade!N339:N838,'Q6'!A339)</f>
        <v>770.44</v>
      </c>
      <c r="E339" s="22">
        <f>AVERAGEIFS(Global_trade!I339:I838,Global_trade!F339:F838,'Q6'!B339,Global_trade!N339:N838,'Q6'!A339)</f>
        <v>1189.8666666666668</v>
      </c>
      <c r="F339" s="22">
        <f>AVERAGEIFS(Global_trade!K339:K838,Global_trade!F339:F838,'Q6'!B339,Global_trade!N339:N838,'Q6'!A339)</f>
        <v>256.81333333333333</v>
      </c>
    </row>
    <row r="340" spans="1:6" x14ac:dyDescent="0.3">
      <c r="A340" t="s">
        <v>32</v>
      </c>
      <c r="B340" t="s">
        <v>21</v>
      </c>
      <c r="C340" s="22">
        <f>SUMIFS(Global_trade!I340:I839,Global_trade!F340:F839,B340,Global_trade!N340:N839,A340)</f>
        <v>10826.980000000001</v>
      </c>
      <c r="D340" s="22">
        <f>SUMIFS(Global_trade!K340:K839,Global_trade!F340:F839,'Q6'!B340,Global_trade!N340:N839,'Q6'!A340)</f>
        <v>3034.02</v>
      </c>
      <c r="E340" s="22">
        <f>AVERAGEIFS(Global_trade!I340:I839,Global_trade!F340:F839,'Q6'!B340,Global_trade!N340:N839,'Q6'!A340)</f>
        <v>1202.9977777777779</v>
      </c>
      <c r="F340" s="22">
        <f>AVERAGEIFS(Global_trade!K340:K839,Global_trade!F340:F839,'Q6'!B340,Global_trade!N340:N839,'Q6'!A340)</f>
        <v>337.11333333333334</v>
      </c>
    </row>
    <row r="341" spans="1:6" x14ac:dyDescent="0.3">
      <c r="A341" t="s">
        <v>148</v>
      </c>
      <c r="B341" t="s">
        <v>43</v>
      </c>
      <c r="C341" s="22">
        <f>SUMIFS(Global_trade!I341:I840,Global_trade!F341:F840,B341,Global_trade!N341:N840,A341)</f>
        <v>2559.56</v>
      </c>
      <c r="D341" s="22">
        <f>SUMIFS(Global_trade!K341:K840,Global_trade!F341:F840,'Q6'!B341,Global_trade!N341:N840,'Q6'!A341)</f>
        <v>900.2700000000001</v>
      </c>
      <c r="E341" s="22">
        <f>AVERAGEIFS(Global_trade!I341:I840,Global_trade!F341:F840,'Q6'!B341,Global_trade!N341:N840,'Q6'!A341)</f>
        <v>853.18666666666661</v>
      </c>
      <c r="F341" s="22">
        <f>AVERAGEIFS(Global_trade!K341:K840,Global_trade!F341:F840,'Q6'!B341,Global_trade!N341:N840,'Q6'!A341)</f>
        <v>300.09000000000003</v>
      </c>
    </row>
    <row r="342" spans="1:6" x14ac:dyDescent="0.3">
      <c r="A342" t="s">
        <v>66</v>
      </c>
      <c r="B342" t="s">
        <v>50</v>
      </c>
      <c r="C342" s="22">
        <f>SUMIFS(Global_trade!I342:I841,Global_trade!F342:F841,B342,Global_trade!N342:N841,A342)</f>
        <v>11150.619999999999</v>
      </c>
      <c r="D342" s="22">
        <f>SUMIFS(Global_trade!K342:K841,Global_trade!F342:F841,'Q6'!B342,Global_trade!N342:N841,'Q6'!A342)</f>
        <v>2987.72</v>
      </c>
      <c r="E342" s="22">
        <f>AVERAGEIFS(Global_trade!I342:I841,Global_trade!F342:F841,'Q6'!B342,Global_trade!N342:N841,'Q6'!A342)</f>
        <v>1393.8274999999999</v>
      </c>
      <c r="F342" s="22">
        <f>AVERAGEIFS(Global_trade!K342:K841,Global_trade!F342:F841,'Q6'!B342,Global_trade!N342:N841,'Q6'!A342)</f>
        <v>373.46499999999997</v>
      </c>
    </row>
    <row r="343" spans="1:6" x14ac:dyDescent="0.3">
      <c r="A343" t="s">
        <v>66</v>
      </c>
      <c r="B343" t="s">
        <v>21</v>
      </c>
      <c r="C343" s="22">
        <f>SUMIFS(Global_trade!I343:I842,Global_trade!F343:F842,B343,Global_trade!N343:N842,A343)</f>
        <v>7628.4299999999994</v>
      </c>
      <c r="D343" s="22">
        <f>SUMIFS(Global_trade!K343:K842,Global_trade!F343:F842,'Q6'!B343,Global_trade!N343:N842,'Q6'!A343)</f>
        <v>1841.1100000000004</v>
      </c>
      <c r="E343" s="22">
        <f>AVERAGEIFS(Global_trade!I343:I842,Global_trade!F343:F842,'Q6'!B343,Global_trade!N343:N842,'Q6'!A343)</f>
        <v>635.70249999999999</v>
      </c>
      <c r="F343" s="22">
        <f>AVERAGEIFS(Global_trade!K343:K842,Global_trade!F343:F842,'Q6'!B343,Global_trade!N343:N842,'Q6'!A343)</f>
        <v>153.42583333333337</v>
      </c>
    </row>
    <row r="344" spans="1:6" x14ac:dyDescent="0.3">
      <c r="A344" t="s">
        <v>24</v>
      </c>
      <c r="B344" t="s">
        <v>59</v>
      </c>
      <c r="C344" s="22">
        <f>SUMIFS(Global_trade!I344:I843,Global_trade!F344:F843,B344,Global_trade!N344:N843,A344)</f>
        <v>10834.080000000002</v>
      </c>
      <c r="D344" s="22">
        <f>SUMIFS(Global_trade!K344:K843,Global_trade!F344:F843,'Q6'!B344,Global_trade!N344:N843,'Q6'!A344)</f>
        <v>3237.35</v>
      </c>
      <c r="E344" s="22">
        <f>AVERAGEIFS(Global_trade!I344:I843,Global_trade!F344:F843,'Q6'!B344,Global_trade!N344:N843,'Q6'!A344)</f>
        <v>1083.4080000000001</v>
      </c>
      <c r="F344" s="22">
        <f>AVERAGEIFS(Global_trade!K344:K843,Global_trade!F344:F843,'Q6'!B344,Global_trade!N344:N843,'Q6'!A344)</f>
        <v>323.73500000000001</v>
      </c>
    </row>
    <row r="345" spans="1:6" x14ac:dyDescent="0.3">
      <c r="A345" t="s">
        <v>66</v>
      </c>
      <c r="B345" t="s">
        <v>21</v>
      </c>
      <c r="C345" s="22">
        <f>SUMIFS(Global_trade!I345:I844,Global_trade!F345:F844,B345,Global_trade!N345:N844,A345)</f>
        <v>5721.0300000000007</v>
      </c>
      <c r="D345" s="22">
        <f>SUMIFS(Global_trade!K345:K844,Global_trade!F345:F844,'Q6'!B345,Global_trade!N345:N844,'Q6'!A345)</f>
        <v>1572.76</v>
      </c>
      <c r="E345" s="22">
        <f>AVERAGEIFS(Global_trade!I345:I844,Global_trade!F345:F844,'Q6'!B345,Global_trade!N345:N844,'Q6'!A345)</f>
        <v>520.09363636363639</v>
      </c>
      <c r="F345" s="22">
        <f>AVERAGEIFS(Global_trade!K345:K844,Global_trade!F345:F844,'Q6'!B345,Global_trade!N345:N844,'Q6'!A345)</f>
        <v>142.97818181818181</v>
      </c>
    </row>
    <row r="346" spans="1:6" x14ac:dyDescent="0.3">
      <c r="A346" t="s">
        <v>102</v>
      </c>
      <c r="B346" t="s">
        <v>59</v>
      </c>
      <c r="C346" s="22">
        <f>SUMIFS(Global_trade!I346:I845,Global_trade!F346:F845,B346,Global_trade!N346:N845,A346)</f>
        <v>3972.13</v>
      </c>
      <c r="D346" s="22">
        <f>SUMIFS(Global_trade!K346:K845,Global_trade!F346:F845,'Q6'!B346,Global_trade!N346:N845,'Q6'!A346)</f>
        <v>1196.43</v>
      </c>
      <c r="E346" s="22">
        <f>AVERAGEIFS(Global_trade!I346:I845,Global_trade!F346:F845,'Q6'!B346,Global_trade!N346:N845,'Q6'!A346)</f>
        <v>794.42600000000004</v>
      </c>
      <c r="F346" s="22">
        <f>AVERAGEIFS(Global_trade!K346:K845,Global_trade!F346:F845,'Q6'!B346,Global_trade!N346:N845,'Q6'!A346)</f>
        <v>239.286</v>
      </c>
    </row>
    <row r="347" spans="1:6" x14ac:dyDescent="0.3">
      <c r="A347" t="s">
        <v>66</v>
      </c>
      <c r="B347" t="s">
        <v>43</v>
      </c>
      <c r="C347" s="22">
        <f>SUMIFS(Global_trade!I347:I846,Global_trade!F347:F846,B347,Global_trade!N347:N846,A347)</f>
        <v>6220.9199999999992</v>
      </c>
      <c r="D347" s="22">
        <f>SUMIFS(Global_trade!K347:K846,Global_trade!F347:F846,'Q6'!B347,Global_trade!N347:N846,'Q6'!A347)</f>
        <v>1822.4600000000003</v>
      </c>
      <c r="E347" s="22">
        <f>AVERAGEIFS(Global_trade!I347:I846,Global_trade!F347:F846,'Q6'!B347,Global_trade!N347:N846,'Q6'!A347)</f>
        <v>622.09199999999987</v>
      </c>
      <c r="F347" s="22">
        <f>AVERAGEIFS(Global_trade!K347:K846,Global_trade!F347:F846,'Q6'!B347,Global_trade!N347:N846,'Q6'!A347)</f>
        <v>182.24600000000004</v>
      </c>
    </row>
    <row r="348" spans="1:6" x14ac:dyDescent="0.3">
      <c r="A348" t="s">
        <v>32</v>
      </c>
      <c r="B348" t="s">
        <v>21</v>
      </c>
      <c r="C348" s="22">
        <f>SUMIFS(Global_trade!I348:I847,Global_trade!F348:F847,B348,Global_trade!N348:N847,A348)</f>
        <v>9600.5800000000017</v>
      </c>
      <c r="D348" s="22">
        <f>SUMIFS(Global_trade!K348:K847,Global_trade!F348:F847,'Q6'!B348,Global_trade!N348:N847,'Q6'!A348)</f>
        <v>2612.86</v>
      </c>
      <c r="E348" s="22">
        <f>AVERAGEIFS(Global_trade!I348:I847,Global_trade!F348:F847,'Q6'!B348,Global_trade!N348:N847,'Q6'!A348)</f>
        <v>1200.0725000000002</v>
      </c>
      <c r="F348" s="22">
        <f>AVERAGEIFS(Global_trade!K348:K847,Global_trade!F348:F847,'Q6'!B348,Global_trade!N348:N847,'Q6'!A348)</f>
        <v>326.60750000000002</v>
      </c>
    </row>
    <row r="349" spans="1:6" x14ac:dyDescent="0.3">
      <c r="A349" t="s">
        <v>148</v>
      </c>
      <c r="B349" t="s">
        <v>43</v>
      </c>
      <c r="C349" s="22">
        <f>SUMIFS(Global_trade!I349:I848,Global_trade!F349:F848,B349,Global_trade!N349:N848,A349)</f>
        <v>179.6</v>
      </c>
      <c r="D349" s="22">
        <f>SUMIFS(Global_trade!K349:K848,Global_trade!F349:F848,'Q6'!B349,Global_trade!N349:N848,'Q6'!A349)</f>
        <v>34.700000000000003</v>
      </c>
      <c r="E349" s="22">
        <f>AVERAGEIFS(Global_trade!I349:I848,Global_trade!F349:F848,'Q6'!B349,Global_trade!N349:N848,'Q6'!A349)</f>
        <v>89.8</v>
      </c>
      <c r="F349" s="22">
        <f>AVERAGEIFS(Global_trade!K349:K848,Global_trade!F349:F848,'Q6'!B349,Global_trade!N349:N848,'Q6'!A349)</f>
        <v>17.350000000000001</v>
      </c>
    </row>
    <row r="350" spans="1:6" x14ac:dyDescent="0.3">
      <c r="A350" t="s">
        <v>32</v>
      </c>
      <c r="B350" t="s">
        <v>43</v>
      </c>
      <c r="C350" s="22">
        <f>SUMIFS(Global_trade!I350:I849,Global_trade!F350:F849,B350,Global_trade!N350:N849,A350)</f>
        <v>9453.76</v>
      </c>
      <c r="D350" s="22">
        <f>SUMIFS(Global_trade!K350:K849,Global_trade!F350:F849,'Q6'!B350,Global_trade!N350:N849,'Q6'!A350)</f>
        <v>3127.63</v>
      </c>
      <c r="E350" s="22">
        <f>AVERAGEIFS(Global_trade!I350:I849,Global_trade!F350:F849,'Q6'!B350,Global_trade!N350:N849,'Q6'!A350)</f>
        <v>675.26857142857148</v>
      </c>
      <c r="F350" s="22">
        <f>AVERAGEIFS(Global_trade!K350:K849,Global_trade!F350:F849,'Q6'!B350,Global_trade!N350:N849,'Q6'!A350)</f>
        <v>223.40214285714288</v>
      </c>
    </row>
    <row r="351" spans="1:6" x14ac:dyDescent="0.3">
      <c r="A351" t="s">
        <v>32</v>
      </c>
      <c r="B351" t="s">
        <v>59</v>
      </c>
      <c r="C351" s="22">
        <f>SUMIFS(Global_trade!I351:I850,Global_trade!F351:F850,B351,Global_trade!N351:N850,A351)</f>
        <v>11735.630000000001</v>
      </c>
      <c r="D351" s="22">
        <f>SUMIFS(Global_trade!K351:K850,Global_trade!F351:F850,'Q6'!B351,Global_trade!N351:N850,'Q6'!A351)</f>
        <v>3176.1800000000003</v>
      </c>
      <c r="E351" s="22">
        <f>AVERAGEIFS(Global_trade!I351:I850,Global_trade!F351:F850,'Q6'!B351,Global_trade!N351:N850,'Q6'!A351)</f>
        <v>977.96916666666675</v>
      </c>
      <c r="F351" s="22">
        <f>AVERAGEIFS(Global_trade!K351:K850,Global_trade!F351:F850,'Q6'!B351,Global_trade!N351:N850,'Q6'!A351)</f>
        <v>264.68166666666667</v>
      </c>
    </row>
    <row r="352" spans="1:6" x14ac:dyDescent="0.3">
      <c r="A352" t="s">
        <v>66</v>
      </c>
      <c r="B352" t="s">
        <v>21</v>
      </c>
      <c r="C352" s="22">
        <f>SUMIFS(Global_trade!I352:I851,Global_trade!F352:F851,B352,Global_trade!N352:N851,A352)</f>
        <v>4480.78</v>
      </c>
      <c r="D352" s="22">
        <f>SUMIFS(Global_trade!K352:K851,Global_trade!F352:F851,'Q6'!B352,Global_trade!N352:N851,'Q6'!A352)</f>
        <v>1163.3700000000001</v>
      </c>
      <c r="E352" s="22">
        <f>AVERAGEIFS(Global_trade!I352:I851,Global_trade!F352:F851,'Q6'!B352,Global_trade!N352:N851,'Q6'!A352)</f>
        <v>448.07799999999997</v>
      </c>
      <c r="F352" s="22">
        <f>AVERAGEIFS(Global_trade!K352:K851,Global_trade!F352:F851,'Q6'!B352,Global_trade!N352:N851,'Q6'!A352)</f>
        <v>116.33700000000002</v>
      </c>
    </row>
    <row r="353" spans="1:6" x14ac:dyDescent="0.3">
      <c r="A353" t="s">
        <v>102</v>
      </c>
      <c r="B353" t="s">
        <v>59</v>
      </c>
      <c r="C353" s="22">
        <f>SUMIFS(Global_trade!I353:I852,Global_trade!F353:F852,B353,Global_trade!N353:N852,A353)</f>
        <v>3616.4800000000005</v>
      </c>
      <c r="D353" s="22">
        <f>SUMIFS(Global_trade!K353:K852,Global_trade!F353:F852,'Q6'!B353,Global_trade!N353:N852,'Q6'!A353)</f>
        <v>1080.5</v>
      </c>
      <c r="E353" s="22">
        <f>AVERAGEIFS(Global_trade!I353:I852,Global_trade!F353:F852,'Q6'!B353,Global_trade!N353:N852,'Q6'!A353)</f>
        <v>904.12000000000012</v>
      </c>
      <c r="F353" s="22">
        <f>AVERAGEIFS(Global_trade!K353:K852,Global_trade!F353:F852,'Q6'!B353,Global_trade!N353:N852,'Q6'!A353)</f>
        <v>270.125</v>
      </c>
    </row>
    <row r="354" spans="1:6" x14ac:dyDescent="0.3">
      <c r="A354" t="s">
        <v>66</v>
      </c>
      <c r="B354" t="s">
        <v>59</v>
      </c>
      <c r="C354" s="22">
        <f>SUMIFS(Global_trade!I354:I853,Global_trade!F354:F853,B354,Global_trade!N354:N853,A354)</f>
        <v>23938.860000000008</v>
      </c>
      <c r="D354" s="22">
        <f>SUMIFS(Global_trade!K354:K853,Global_trade!F354:F853,'Q6'!B354,Global_trade!N354:N853,'Q6'!A354)</f>
        <v>6906.6900000000014</v>
      </c>
      <c r="E354" s="22">
        <f>AVERAGEIFS(Global_trade!I354:I853,Global_trade!F354:F853,'Q6'!B354,Global_trade!N354:N853,'Q6'!A354)</f>
        <v>1040.8200000000004</v>
      </c>
      <c r="F354" s="22">
        <f>AVERAGEIFS(Global_trade!K354:K853,Global_trade!F354:F853,'Q6'!B354,Global_trade!N354:N853,'Q6'!A354)</f>
        <v>300.29086956521746</v>
      </c>
    </row>
    <row r="355" spans="1:6" x14ac:dyDescent="0.3">
      <c r="A355" t="s">
        <v>45</v>
      </c>
      <c r="B355" t="s">
        <v>65</v>
      </c>
      <c r="C355" s="22">
        <f>SUMIFS(Global_trade!I355:I854,Global_trade!F355:F854,B355,Global_trade!N355:N854,A355)</f>
        <v>4392.63</v>
      </c>
      <c r="D355" s="22">
        <f>SUMIFS(Global_trade!K355:K854,Global_trade!F355:F854,'Q6'!B355,Global_trade!N355:N854,'Q6'!A355)</f>
        <v>1652.3</v>
      </c>
      <c r="E355" s="22">
        <f>AVERAGEIFS(Global_trade!I355:I854,Global_trade!F355:F854,'Q6'!B355,Global_trade!N355:N854,'Q6'!A355)</f>
        <v>1464.21</v>
      </c>
      <c r="F355" s="22">
        <f>AVERAGEIFS(Global_trade!K355:K854,Global_trade!F355:F854,'Q6'!B355,Global_trade!N355:N854,'Q6'!A355)</f>
        <v>550.76666666666665</v>
      </c>
    </row>
    <row r="356" spans="1:6" x14ac:dyDescent="0.3">
      <c r="A356" t="s">
        <v>148</v>
      </c>
      <c r="B356" t="s">
        <v>59</v>
      </c>
      <c r="C356" s="22">
        <f>SUMIFS(Global_trade!I356:I855,Global_trade!F356:F855,B356,Global_trade!N356:N855,A356)</f>
        <v>4349.1499999999996</v>
      </c>
      <c r="D356" s="22">
        <f>SUMIFS(Global_trade!K356:K855,Global_trade!F356:F855,'Q6'!B356,Global_trade!N356:N855,'Q6'!A356)</f>
        <v>1386.19</v>
      </c>
      <c r="E356" s="22">
        <f>AVERAGEIFS(Global_trade!I356:I855,Global_trade!F356:F855,'Q6'!B356,Global_trade!N356:N855,'Q6'!A356)</f>
        <v>1087.2874999999999</v>
      </c>
      <c r="F356" s="22">
        <f>AVERAGEIFS(Global_trade!K356:K855,Global_trade!F356:F855,'Q6'!B356,Global_trade!N356:N855,'Q6'!A356)</f>
        <v>346.54750000000001</v>
      </c>
    </row>
    <row r="357" spans="1:6" x14ac:dyDescent="0.3">
      <c r="A357" t="s">
        <v>32</v>
      </c>
      <c r="B357" t="s">
        <v>21</v>
      </c>
      <c r="C357" s="22">
        <f>SUMIFS(Global_trade!I357:I856,Global_trade!F357:F856,B357,Global_trade!N357:N856,A357)</f>
        <v>9244.0000000000018</v>
      </c>
      <c r="D357" s="22">
        <f>SUMIFS(Global_trade!K357:K856,Global_trade!F357:F856,'Q6'!B357,Global_trade!N357:N856,'Q6'!A357)</f>
        <v>2512.4699999999998</v>
      </c>
      <c r="E357" s="22">
        <f>AVERAGEIFS(Global_trade!I357:I856,Global_trade!F357:F856,'Q6'!B357,Global_trade!N357:N856,'Q6'!A357)</f>
        <v>1320.5714285714289</v>
      </c>
      <c r="F357" s="22">
        <f>AVERAGEIFS(Global_trade!K357:K856,Global_trade!F357:F856,'Q6'!B357,Global_trade!N357:N856,'Q6'!A357)</f>
        <v>358.9242857142857</v>
      </c>
    </row>
    <row r="358" spans="1:6" x14ac:dyDescent="0.3">
      <c r="A358" t="s">
        <v>66</v>
      </c>
      <c r="B358" t="s">
        <v>59</v>
      </c>
      <c r="C358" s="22">
        <f>SUMIFS(Global_trade!I358:I857,Global_trade!F358:F857,B358,Global_trade!N358:N857,A358)</f>
        <v>22658.220000000005</v>
      </c>
      <c r="D358" s="22">
        <f>SUMIFS(Global_trade!K358:K857,Global_trade!F358:F857,'Q6'!B358,Global_trade!N358:N857,'Q6'!A358)</f>
        <v>6425.4100000000008</v>
      </c>
      <c r="E358" s="22">
        <f>AVERAGEIFS(Global_trade!I358:I857,Global_trade!F358:F857,'Q6'!B358,Global_trade!N358:N857,'Q6'!A358)</f>
        <v>1029.9190909090912</v>
      </c>
      <c r="F358" s="22">
        <f>AVERAGEIFS(Global_trade!K358:K857,Global_trade!F358:F857,'Q6'!B358,Global_trade!N358:N857,'Q6'!A358)</f>
        <v>292.06409090909096</v>
      </c>
    </row>
    <row r="359" spans="1:6" x14ac:dyDescent="0.3">
      <c r="A359" t="s">
        <v>66</v>
      </c>
      <c r="B359" t="s">
        <v>59</v>
      </c>
      <c r="C359" s="22">
        <f>SUMIFS(Global_trade!I359:I858,Global_trade!F359:F858,B359,Global_trade!N359:N858,A359)</f>
        <v>22639.480000000007</v>
      </c>
      <c r="D359" s="22">
        <f>SUMIFS(Global_trade!K359:K858,Global_trade!F359:F858,'Q6'!B359,Global_trade!N359:N858,'Q6'!A359)</f>
        <v>6422.670000000001</v>
      </c>
      <c r="E359" s="22">
        <f>AVERAGEIFS(Global_trade!I359:I858,Global_trade!F359:F858,'Q6'!B359,Global_trade!N359:N858,'Q6'!A359)</f>
        <v>1078.0704761904765</v>
      </c>
      <c r="F359" s="22">
        <f>AVERAGEIFS(Global_trade!K359:K858,Global_trade!F359:F858,'Q6'!B359,Global_trade!N359:N858,'Q6'!A359)</f>
        <v>305.84142857142859</v>
      </c>
    </row>
    <row r="360" spans="1:6" x14ac:dyDescent="0.3">
      <c r="A360" t="s">
        <v>32</v>
      </c>
      <c r="B360" t="s">
        <v>43</v>
      </c>
      <c r="C360" s="22">
        <f>SUMIFS(Global_trade!I360:I859,Global_trade!F360:F859,B360,Global_trade!N360:N859,A360)</f>
        <v>8933.24</v>
      </c>
      <c r="D360" s="22">
        <f>SUMIFS(Global_trade!K360:K859,Global_trade!F360:F859,'Q6'!B360,Global_trade!N360:N859,'Q6'!A360)</f>
        <v>2978.19</v>
      </c>
      <c r="E360" s="22">
        <f>AVERAGEIFS(Global_trade!I360:I859,Global_trade!F360:F859,'Q6'!B360,Global_trade!N360:N859,'Q6'!A360)</f>
        <v>687.17230769230764</v>
      </c>
      <c r="F360" s="22">
        <f>AVERAGEIFS(Global_trade!K360:K859,Global_trade!F360:F859,'Q6'!B360,Global_trade!N360:N859,'Q6'!A360)</f>
        <v>229.09153846153848</v>
      </c>
    </row>
    <row r="361" spans="1:6" x14ac:dyDescent="0.3">
      <c r="A361" t="s">
        <v>148</v>
      </c>
      <c r="B361" t="s">
        <v>59</v>
      </c>
      <c r="C361" s="22">
        <f>SUMIFS(Global_trade!I361:I860,Global_trade!F361:F860,B361,Global_trade!N361:N860,A361)</f>
        <v>3454.75</v>
      </c>
      <c r="D361" s="22">
        <f>SUMIFS(Global_trade!K361:K860,Global_trade!F361:F860,'Q6'!B361,Global_trade!N361:N860,'Q6'!A361)</f>
        <v>1117.21</v>
      </c>
      <c r="E361" s="22">
        <f>AVERAGEIFS(Global_trade!I361:I860,Global_trade!F361:F860,'Q6'!B361,Global_trade!N361:N860,'Q6'!A361)</f>
        <v>1151.5833333333333</v>
      </c>
      <c r="F361" s="22">
        <f>AVERAGEIFS(Global_trade!K361:K860,Global_trade!F361:F860,'Q6'!B361,Global_trade!N361:N860,'Q6'!A361)</f>
        <v>372.40333333333336</v>
      </c>
    </row>
    <row r="362" spans="1:6" x14ac:dyDescent="0.3">
      <c r="A362" t="s">
        <v>66</v>
      </c>
      <c r="B362" t="s">
        <v>59</v>
      </c>
      <c r="C362" s="22">
        <f>SUMIFS(Global_trade!I362:I861,Global_trade!F362:F861,B362,Global_trade!N362:N861,A362)</f>
        <v>21660.190000000006</v>
      </c>
      <c r="D362" s="22">
        <f>SUMIFS(Global_trade!K362:K861,Global_trade!F362:F861,'Q6'!B362,Global_trade!N362:N861,'Q6'!A362)</f>
        <v>6105.4600000000019</v>
      </c>
      <c r="E362" s="22">
        <f>AVERAGEIFS(Global_trade!I362:I861,Global_trade!F362:F861,'Q6'!B362,Global_trade!N362:N861,'Q6'!A362)</f>
        <v>1083.0095000000003</v>
      </c>
      <c r="F362" s="22">
        <f>AVERAGEIFS(Global_trade!K362:K861,Global_trade!F362:F861,'Q6'!B362,Global_trade!N362:N861,'Q6'!A362)</f>
        <v>305.27300000000008</v>
      </c>
    </row>
    <row r="363" spans="1:6" x14ac:dyDescent="0.3">
      <c r="A363" t="s">
        <v>66</v>
      </c>
      <c r="B363" t="s">
        <v>43</v>
      </c>
      <c r="C363" s="22">
        <f>SUMIFS(Global_trade!I363:I862,Global_trade!F363:F862,B363,Global_trade!N363:N862,A363)</f>
        <v>4615.8</v>
      </c>
      <c r="D363" s="22">
        <f>SUMIFS(Global_trade!K363:K862,Global_trade!F363:F862,'Q6'!B363,Global_trade!N363:N862,'Q6'!A363)</f>
        <v>1372.0500000000004</v>
      </c>
      <c r="E363" s="22">
        <f>AVERAGEIFS(Global_trade!I363:I862,Global_trade!F363:F862,'Q6'!B363,Global_trade!N363:N862,'Q6'!A363)</f>
        <v>512.86666666666667</v>
      </c>
      <c r="F363" s="22">
        <f>AVERAGEIFS(Global_trade!K363:K862,Global_trade!F363:F862,'Q6'!B363,Global_trade!N363:N862,'Q6'!A363)</f>
        <v>152.45000000000005</v>
      </c>
    </row>
    <row r="364" spans="1:6" x14ac:dyDescent="0.3">
      <c r="A364" t="s">
        <v>24</v>
      </c>
      <c r="B364" t="s">
        <v>43</v>
      </c>
      <c r="C364" s="22">
        <f>SUMIFS(Global_trade!I364:I863,Global_trade!F364:F863,B364,Global_trade!N364:N863,A364)</f>
        <v>8803.75</v>
      </c>
      <c r="D364" s="22">
        <f>SUMIFS(Global_trade!K364:K863,Global_trade!F364:F863,'Q6'!B364,Global_trade!N364:N863,'Q6'!A364)</f>
        <v>2032.19</v>
      </c>
      <c r="E364" s="22">
        <f>AVERAGEIFS(Global_trade!I364:I863,Global_trade!F364:F863,'Q6'!B364,Global_trade!N364:N863,'Q6'!A364)</f>
        <v>880.375</v>
      </c>
      <c r="F364" s="22">
        <f>AVERAGEIFS(Global_trade!K364:K863,Global_trade!F364:F863,'Q6'!B364,Global_trade!N364:N863,'Q6'!A364)</f>
        <v>203.21899999999999</v>
      </c>
    </row>
    <row r="365" spans="1:6" x14ac:dyDescent="0.3">
      <c r="A365" t="s">
        <v>45</v>
      </c>
      <c r="B365" t="s">
        <v>43</v>
      </c>
      <c r="C365" s="22">
        <f>SUMIFS(Global_trade!I365:I864,Global_trade!F365:F864,B365,Global_trade!N365:N864,A365)</f>
        <v>6399.96</v>
      </c>
      <c r="D365" s="22">
        <f>SUMIFS(Global_trade!K365:K864,Global_trade!F365:F864,'Q6'!B365,Global_trade!N365:N864,'Q6'!A365)</f>
        <v>1881.2700000000002</v>
      </c>
      <c r="E365" s="22">
        <f>AVERAGEIFS(Global_trade!I365:I864,Global_trade!F365:F864,'Q6'!B365,Global_trade!N365:N864,'Q6'!A365)</f>
        <v>799.995</v>
      </c>
      <c r="F365" s="22">
        <f>AVERAGEIFS(Global_trade!K365:K864,Global_trade!F365:F864,'Q6'!B365,Global_trade!N365:N864,'Q6'!A365)</f>
        <v>235.15875000000003</v>
      </c>
    </row>
    <row r="366" spans="1:6" x14ac:dyDescent="0.3">
      <c r="A366" t="s">
        <v>24</v>
      </c>
      <c r="B366" t="s">
        <v>59</v>
      </c>
      <c r="C366" s="22">
        <f>SUMIFS(Global_trade!I366:I865,Global_trade!F366:F865,B366,Global_trade!N366:N865,A366)</f>
        <v>10018.080000000002</v>
      </c>
      <c r="D366" s="22">
        <f>SUMIFS(Global_trade!K366:K865,Global_trade!F366:F865,'Q6'!B366,Global_trade!N366:N865,'Q6'!A366)</f>
        <v>3135.5</v>
      </c>
      <c r="E366" s="22">
        <f>AVERAGEIFS(Global_trade!I366:I865,Global_trade!F366:F865,'Q6'!B366,Global_trade!N366:N865,'Q6'!A366)</f>
        <v>1113.1200000000001</v>
      </c>
      <c r="F366" s="22">
        <f>AVERAGEIFS(Global_trade!K366:K865,Global_trade!F366:F865,'Q6'!B366,Global_trade!N366:N865,'Q6'!A366)</f>
        <v>348.38888888888891</v>
      </c>
    </row>
    <row r="367" spans="1:6" x14ac:dyDescent="0.3">
      <c r="A367" t="s">
        <v>66</v>
      </c>
      <c r="B367" t="s">
        <v>50</v>
      </c>
      <c r="C367" s="22">
        <f>SUMIFS(Global_trade!I367:I866,Global_trade!F367:F866,B367,Global_trade!N367:N866,A367)</f>
        <v>8946.14</v>
      </c>
      <c r="D367" s="22">
        <f>SUMIFS(Global_trade!K367:K866,Global_trade!F367:F866,'Q6'!B367,Global_trade!N367:N866,'Q6'!A367)</f>
        <v>2215.29</v>
      </c>
      <c r="E367" s="22">
        <f>AVERAGEIFS(Global_trade!I367:I866,Global_trade!F367:F866,'Q6'!B367,Global_trade!N367:N866,'Q6'!A367)</f>
        <v>1278.02</v>
      </c>
      <c r="F367" s="22">
        <f>AVERAGEIFS(Global_trade!K367:K866,Global_trade!F367:F866,'Q6'!B367,Global_trade!N367:N866,'Q6'!A367)</f>
        <v>316.46999999999997</v>
      </c>
    </row>
    <row r="368" spans="1:6" x14ac:dyDescent="0.3">
      <c r="A368" t="s">
        <v>32</v>
      </c>
      <c r="B368" t="s">
        <v>50</v>
      </c>
      <c r="C368" s="22">
        <f>SUMIFS(Global_trade!I368:I867,Global_trade!F368:F867,B368,Global_trade!N368:N867,A368)</f>
        <v>2926.15</v>
      </c>
      <c r="D368" s="22">
        <f>SUMIFS(Global_trade!K368:K867,Global_trade!F368:F867,'Q6'!B368,Global_trade!N368:N867,'Q6'!A368)</f>
        <v>1050.27</v>
      </c>
      <c r="E368" s="22">
        <f>AVERAGEIFS(Global_trade!I368:I867,Global_trade!F368:F867,'Q6'!B368,Global_trade!N368:N867,'Q6'!A368)</f>
        <v>1463.075</v>
      </c>
      <c r="F368" s="22">
        <f>AVERAGEIFS(Global_trade!K368:K867,Global_trade!F368:F867,'Q6'!B368,Global_trade!N368:N867,'Q6'!A368)</f>
        <v>525.13499999999999</v>
      </c>
    </row>
    <row r="369" spans="1:6" x14ac:dyDescent="0.3">
      <c r="A369" t="s">
        <v>24</v>
      </c>
      <c r="B369" t="s">
        <v>21</v>
      </c>
      <c r="C369" s="22">
        <f>SUMIFS(Global_trade!I369:I868,Global_trade!F369:F868,B369,Global_trade!N369:N868,A369)</f>
        <v>2448.5100000000002</v>
      </c>
      <c r="D369" s="22">
        <f>SUMIFS(Global_trade!K369:K868,Global_trade!F369:F868,'Q6'!B369,Global_trade!N369:N868,'Q6'!A369)</f>
        <v>609.25</v>
      </c>
      <c r="E369" s="22">
        <f>AVERAGEIFS(Global_trade!I369:I868,Global_trade!F369:F868,'Q6'!B369,Global_trade!N369:N868,'Q6'!A369)</f>
        <v>816.17000000000007</v>
      </c>
      <c r="F369" s="22">
        <f>AVERAGEIFS(Global_trade!K369:K868,Global_trade!F369:F868,'Q6'!B369,Global_trade!N369:N868,'Q6'!A369)</f>
        <v>203.08333333333334</v>
      </c>
    </row>
    <row r="370" spans="1:6" x14ac:dyDescent="0.3">
      <c r="A370" t="s">
        <v>66</v>
      </c>
      <c r="B370" t="s">
        <v>59</v>
      </c>
      <c r="C370" s="22">
        <f>SUMIFS(Global_trade!I370:I869,Global_trade!F370:F869,B370,Global_trade!N370:N869,A370)</f>
        <v>19967.790000000005</v>
      </c>
      <c r="D370" s="22">
        <f>SUMIFS(Global_trade!K370:K869,Global_trade!F370:F869,'Q6'!B370,Global_trade!N370:N869,'Q6'!A370)</f>
        <v>5651.6500000000015</v>
      </c>
      <c r="E370" s="22">
        <f>AVERAGEIFS(Global_trade!I370:I869,Global_trade!F370:F869,'Q6'!B370,Global_trade!N370:N869,'Q6'!A370)</f>
        <v>1050.9363157894738</v>
      </c>
      <c r="F370" s="22">
        <f>AVERAGEIFS(Global_trade!K370:K869,Global_trade!F370:F869,'Q6'!B370,Global_trade!N370:N869,'Q6'!A370)</f>
        <v>297.45526315789482</v>
      </c>
    </row>
    <row r="371" spans="1:6" x14ac:dyDescent="0.3">
      <c r="A371" t="s">
        <v>66</v>
      </c>
      <c r="B371" t="s">
        <v>43</v>
      </c>
      <c r="C371" s="22">
        <f>SUMIFS(Global_trade!I371:I870,Global_trade!F371:F870,B371,Global_trade!N371:N870,A371)</f>
        <v>4558.6500000000005</v>
      </c>
      <c r="D371" s="22">
        <f>SUMIFS(Global_trade!K371:K870,Global_trade!F371:F870,'Q6'!B371,Global_trade!N371:N870,'Q6'!A371)</f>
        <v>1393.0500000000004</v>
      </c>
      <c r="E371" s="22">
        <f>AVERAGEIFS(Global_trade!I371:I870,Global_trade!F371:F870,'Q6'!B371,Global_trade!N371:N870,'Q6'!A371)</f>
        <v>569.83125000000007</v>
      </c>
      <c r="F371" s="22">
        <f>AVERAGEIFS(Global_trade!K371:K870,Global_trade!F371:F870,'Q6'!B371,Global_trade!N371:N870,'Q6'!A371)</f>
        <v>174.13125000000005</v>
      </c>
    </row>
    <row r="372" spans="1:6" x14ac:dyDescent="0.3">
      <c r="A372" t="s">
        <v>32</v>
      </c>
      <c r="B372" t="s">
        <v>43</v>
      </c>
      <c r="C372" s="22">
        <f>SUMIFS(Global_trade!I372:I871,Global_trade!F372:F871,B372,Global_trade!N372:N871,A372)</f>
        <v>8688.5799999999981</v>
      </c>
      <c r="D372" s="22">
        <f>SUMIFS(Global_trade!K372:K871,Global_trade!F372:F871,'Q6'!B372,Global_trade!N372:N871,'Q6'!A372)</f>
        <v>2905.77</v>
      </c>
      <c r="E372" s="22">
        <f>AVERAGEIFS(Global_trade!I372:I871,Global_trade!F372:F871,'Q6'!B372,Global_trade!N372:N871,'Q6'!A372)</f>
        <v>724.04833333333318</v>
      </c>
      <c r="F372" s="22">
        <f>AVERAGEIFS(Global_trade!K372:K871,Global_trade!F372:F871,'Q6'!B372,Global_trade!N372:N871,'Q6'!A372)</f>
        <v>242.14750000000001</v>
      </c>
    </row>
    <row r="373" spans="1:6" x14ac:dyDescent="0.3">
      <c r="A373" t="s">
        <v>66</v>
      </c>
      <c r="B373" t="s">
        <v>59</v>
      </c>
      <c r="C373" s="22">
        <f>SUMIFS(Global_trade!I373:I872,Global_trade!F373:F872,B373,Global_trade!N373:N872,A373)</f>
        <v>18278.27</v>
      </c>
      <c r="D373" s="22">
        <f>SUMIFS(Global_trade!K373:K872,Global_trade!F373:F872,'Q6'!B373,Global_trade!N373:N872,'Q6'!A373)</f>
        <v>5387.1900000000014</v>
      </c>
      <c r="E373" s="22">
        <f>AVERAGEIFS(Global_trade!I373:I872,Global_trade!F373:F872,'Q6'!B373,Global_trade!N373:N872,'Q6'!A373)</f>
        <v>1015.4594444444444</v>
      </c>
      <c r="F373" s="22">
        <f>AVERAGEIFS(Global_trade!K373:K872,Global_trade!F373:F872,'Q6'!B373,Global_trade!N373:N872,'Q6'!A373)</f>
        <v>299.28833333333341</v>
      </c>
    </row>
    <row r="374" spans="1:6" x14ac:dyDescent="0.3">
      <c r="A374" t="s">
        <v>66</v>
      </c>
      <c r="B374" t="s">
        <v>21</v>
      </c>
      <c r="C374" s="22">
        <f>SUMIFS(Global_trade!I374:I873,Global_trade!F374:F873,B374,Global_trade!N374:N873,A374)</f>
        <v>4294.3</v>
      </c>
      <c r="D374" s="22">
        <f>SUMIFS(Global_trade!K374:K873,Global_trade!F374:F873,'Q6'!B374,Global_trade!N374:N873,'Q6'!A374)</f>
        <v>1130.18</v>
      </c>
      <c r="E374" s="22">
        <f>AVERAGEIFS(Global_trade!I374:I873,Global_trade!F374:F873,'Q6'!B374,Global_trade!N374:N873,'Q6'!A374)</f>
        <v>477.14444444444445</v>
      </c>
      <c r="F374" s="22">
        <f>AVERAGEIFS(Global_trade!K374:K873,Global_trade!F374:F873,'Q6'!B374,Global_trade!N374:N873,'Q6'!A374)</f>
        <v>125.57555555555557</v>
      </c>
    </row>
    <row r="375" spans="1:6" x14ac:dyDescent="0.3">
      <c r="A375" t="s">
        <v>66</v>
      </c>
      <c r="B375" t="s">
        <v>59</v>
      </c>
      <c r="C375" s="22">
        <f>SUMIFS(Global_trade!I375:I874,Global_trade!F375:F874,B375,Global_trade!N375:N874,A375)</f>
        <v>16854.89</v>
      </c>
      <c r="D375" s="22">
        <f>SUMIFS(Global_trade!K375:K874,Global_trade!F375:F874,'Q6'!B375,Global_trade!N375:N874,'Q6'!A375)</f>
        <v>5225.2100000000009</v>
      </c>
      <c r="E375" s="22">
        <f>AVERAGEIFS(Global_trade!I375:I874,Global_trade!F375:F874,'Q6'!B375,Global_trade!N375:N874,'Q6'!A375)</f>
        <v>991.46411764705874</v>
      </c>
      <c r="F375" s="22">
        <f>AVERAGEIFS(Global_trade!K375:K874,Global_trade!F375:F874,'Q6'!B375,Global_trade!N375:N874,'Q6'!A375)</f>
        <v>307.36529411764712</v>
      </c>
    </row>
    <row r="376" spans="1:6" x14ac:dyDescent="0.3">
      <c r="A376" t="s">
        <v>32</v>
      </c>
      <c r="B376" t="s">
        <v>43</v>
      </c>
      <c r="C376" s="22">
        <f>SUMIFS(Global_trade!I376:I875,Global_trade!F376:F875,B376,Global_trade!N376:N875,A376)</f>
        <v>7769.8599999999988</v>
      </c>
      <c r="D376" s="22">
        <f>SUMIFS(Global_trade!K376:K875,Global_trade!F376:F875,'Q6'!B376,Global_trade!N376:N875,'Q6'!A376)</f>
        <v>2589.2700000000004</v>
      </c>
      <c r="E376" s="22">
        <f>AVERAGEIFS(Global_trade!I376:I875,Global_trade!F376:F875,'Q6'!B376,Global_trade!N376:N875,'Q6'!A376)</f>
        <v>706.350909090909</v>
      </c>
      <c r="F376" s="22">
        <f>AVERAGEIFS(Global_trade!K376:K875,Global_trade!F376:F875,'Q6'!B376,Global_trade!N376:N875,'Q6'!A376)</f>
        <v>235.38818181818186</v>
      </c>
    </row>
    <row r="377" spans="1:6" x14ac:dyDescent="0.3">
      <c r="A377" t="s">
        <v>66</v>
      </c>
      <c r="B377" t="s">
        <v>59</v>
      </c>
      <c r="C377" s="22">
        <f>SUMIFS(Global_trade!I377:I876,Global_trade!F377:F876,B377,Global_trade!N377:N876,A377)</f>
        <v>15915.39</v>
      </c>
      <c r="D377" s="22">
        <f>SUMIFS(Global_trade!K377:K876,Global_trade!F377:F876,'Q6'!B377,Global_trade!N377:N876,'Q6'!A377)</f>
        <v>4896.6500000000015</v>
      </c>
      <c r="E377" s="22">
        <f>AVERAGEIFS(Global_trade!I377:I876,Global_trade!F377:F876,'Q6'!B377,Global_trade!N377:N876,'Q6'!A377)</f>
        <v>994.71187499999996</v>
      </c>
      <c r="F377" s="22">
        <f>AVERAGEIFS(Global_trade!K377:K876,Global_trade!F377:F876,'Q6'!B377,Global_trade!N377:N876,'Q6'!A377)</f>
        <v>306.04062500000009</v>
      </c>
    </row>
    <row r="378" spans="1:6" x14ac:dyDescent="0.3">
      <c r="A378" t="s">
        <v>66</v>
      </c>
      <c r="B378" t="s">
        <v>43</v>
      </c>
      <c r="C378" s="22">
        <f>SUMIFS(Global_trade!I378:I877,Global_trade!F378:F877,B378,Global_trade!N378:N877,A378)</f>
        <v>3770.3200000000006</v>
      </c>
      <c r="D378" s="22">
        <f>SUMIFS(Global_trade!K378:K877,Global_trade!F378:F877,'Q6'!B378,Global_trade!N378:N877,'Q6'!A378)</f>
        <v>1282.5300000000002</v>
      </c>
      <c r="E378" s="22">
        <f>AVERAGEIFS(Global_trade!I378:I877,Global_trade!F378:F877,'Q6'!B378,Global_trade!N378:N877,'Q6'!A378)</f>
        <v>538.61714285714299</v>
      </c>
      <c r="F378" s="22">
        <f>AVERAGEIFS(Global_trade!K378:K877,Global_trade!F378:F877,'Q6'!B378,Global_trade!N378:N877,'Q6'!A378)</f>
        <v>183.21857142857147</v>
      </c>
    </row>
    <row r="379" spans="1:6" x14ac:dyDescent="0.3">
      <c r="A379" t="s">
        <v>66</v>
      </c>
      <c r="B379" t="s">
        <v>59</v>
      </c>
      <c r="C379" s="22">
        <f>SUMIFS(Global_trade!I379:I878,Global_trade!F379:F878,B379,Global_trade!N379:N878,A379)</f>
        <v>14958.94</v>
      </c>
      <c r="D379" s="22">
        <f>SUMIFS(Global_trade!K379:K878,Global_trade!F379:F878,'Q6'!B379,Global_trade!N379:N878,'Q6'!A379)</f>
        <v>4545.4000000000015</v>
      </c>
      <c r="E379" s="22">
        <f>AVERAGEIFS(Global_trade!I379:I878,Global_trade!F379:F878,'Q6'!B379,Global_trade!N379:N878,'Q6'!A379)</f>
        <v>997.26266666666675</v>
      </c>
      <c r="F379" s="22">
        <f>AVERAGEIFS(Global_trade!K379:K878,Global_trade!F379:F878,'Q6'!B379,Global_trade!N379:N878,'Q6'!A379)</f>
        <v>303.02666666666676</v>
      </c>
    </row>
    <row r="380" spans="1:6" x14ac:dyDescent="0.3">
      <c r="A380" t="s">
        <v>45</v>
      </c>
      <c r="B380" t="s">
        <v>43</v>
      </c>
      <c r="C380" s="22">
        <f>SUMIFS(Global_trade!I380:I879,Global_trade!F380:F879,B380,Global_trade!N380:N879,A380)</f>
        <v>4916.28</v>
      </c>
      <c r="D380" s="22">
        <f>SUMIFS(Global_trade!K380:K879,Global_trade!F380:F879,'Q6'!B380,Global_trade!N380:N879,'Q6'!A380)</f>
        <v>1443.09</v>
      </c>
      <c r="E380" s="22">
        <f>AVERAGEIFS(Global_trade!I380:I879,Global_trade!F380:F879,'Q6'!B380,Global_trade!N380:N879,'Q6'!A380)</f>
        <v>702.3257142857143</v>
      </c>
      <c r="F380" s="22">
        <f>AVERAGEIFS(Global_trade!K380:K879,Global_trade!F380:F879,'Q6'!B380,Global_trade!N380:N879,'Q6'!A380)</f>
        <v>206.15571428571428</v>
      </c>
    </row>
    <row r="381" spans="1:6" x14ac:dyDescent="0.3">
      <c r="A381" t="s">
        <v>32</v>
      </c>
      <c r="B381" t="s">
        <v>59</v>
      </c>
      <c r="C381" s="22">
        <f>SUMIFS(Global_trade!I381:I880,Global_trade!F381:F880,B381,Global_trade!N381:N880,A381)</f>
        <v>10702.630000000001</v>
      </c>
      <c r="D381" s="22">
        <f>SUMIFS(Global_trade!K381:K880,Global_trade!F381:F880,'Q6'!B381,Global_trade!N381:N880,'Q6'!A381)</f>
        <v>2952.3100000000004</v>
      </c>
      <c r="E381" s="22">
        <f>AVERAGEIFS(Global_trade!I381:I880,Global_trade!F381:F880,'Q6'!B381,Global_trade!N381:N880,'Q6'!A381)</f>
        <v>972.96636363636378</v>
      </c>
      <c r="F381" s="22">
        <f>AVERAGEIFS(Global_trade!K381:K880,Global_trade!F381:F880,'Q6'!B381,Global_trade!N381:N880,'Q6'!A381)</f>
        <v>268.39181818181822</v>
      </c>
    </row>
    <row r="382" spans="1:6" x14ac:dyDescent="0.3">
      <c r="A382" t="s">
        <v>24</v>
      </c>
      <c r="B382" t="s">
        <v>43</v>
      </c>
      <c r="C382" s="22">
        <f>SUMIFS(Global_trade!I382:I881,Global_trade!F382:F881,B382,Global_trade!N382:N881,A382)</f>
        <v>8353.2999999999993</v>
      </c>
      <c r="D382" s="22">
        <f>SUMIFS(Global_trade!K382:K881,Global_trade!F382:F881,'Q6'!B382,Global_trade!N382:N881,'Q6'!A382)</f>
        <v>1911.7299999999998</v>
      </c>
      <c r="E382" s="22">
        <f>AVERAGEIFS(Global_trade!I382:I881,Global_trade!F382:F881,'Q6'!B382,Global_trade!N382:N881,'Q6'!A382)</f>
        <v>928.14444444444439</v>
      </c>
      <c r="F382" s="22">
        <f>AVERAGEIFS(Global_trade!K382:K881,Global_trade!F382:F881,'Q6'!B382,Global_trade!N382:N881,'Q6'!A382)</f>
        <v>212.41444444444443</v>
      </c>
    </row>
    <row r="383" spans="1:6" x14ac:dyDescent="0.3">
      <c r="A383" t="s">
        <v>32</v>
      </c>
      <c r="B383" t="s">
        <v>59</v>
      </c>
      <c r="C383" s="22">
        <f>SUMIFS(Global_trade!I383:I882,Global_trade!F383:F882,B383,Global_trade!N383:N882,A383)</f>
        <v>10274.470000000001</v>
      </c>
      <c r="D383" s="22">
        <f>SUMIFS(Global_trade!K383:K882,Global_trade!F383:F882,'Q6'!B383,Global_trade!N383:N882,'Q6'!A383)</f>
        <v>2807.2200000000003</v>
      </c>
      <c r="E383" s="22">
        <f>AVERAGEIFS(Global_trade!I383:I882,Global_trade!F383:F882,'Q6'!B383,Global_trade!N383:N882,'Q6'!A383)</f>
        <v>1027.4470000000001</v>
      </c>
      <c r="F383" s="22">
        <f>AVERAGEIFS(Global_trade!K383:K882,Global_trade!F383:F882,'Q6'!B383,Global_trade!N383:N882,'Q6'!A383)</f>
        <v>280.72200000000004</v>
      </c>
    </row>
    <row r="384" spans="1:6" x14ac:dyDescent="0.3">
      <c r="A384" t="s">
        <v>32</v>
      </c>
      <c r="B384" t="s">
        <v>65</v>
      </c>
      <c r="C384" s="22">
        <f>SUMIFS(Global_trade!I384:I883,Global_trade!F384:F883,B384,Global_trade!N384:N883,A384)</f>
        <v>4194.26</v>
      </c>
      <c r="D384" s="22">
        <f>SUMIFS(Global_trade!K384:K883,Global_trade!F384:F883,'Q6'!B384,Global_trade!N384:N883,'Q6'!A384)</f>
        <v>918.28</v>
      </c>
      <c r="E384" s="22">
        <f>AVERAGEIFS(Global_trade!I384:I883,Global_trade!F384:F883,'Q6'!B384,Global_trade!N384:N883,'Q6'!A384)</f>
        <v>838.85200000000009</v>
      </c>
      <c r="F384" s="22">
        <f>AVERAGEIFS(Global_trade!K384:K883,Global_trade!F384:F883,'Q6'!B384,Global_trade!N384:N883,'Q6'!A384)</f>
        <v>183.65600000000001</v>
      </c>
    </row>
    <row r="385" spans="1:6" x14ac:dyDescent="0.3">
      <c r="A385" t="s">
        <v>66</v>
      </c>
      <c r="B385" t="s">
        <v>59</v>
      </c>
      <c r="C385" s="22">
        <f>SUMIFS(Global_trade!I385:I884,Global_trade!F385:F884,B385,Global_trade!N385:N884,A385)</f>
        <v>12700.539999999999</v>
      </c>
      <c r="D385" s="22">
        <f>SUMIFS(Global_trade!K385:K884,Global_trade!F385:F884,'Q6'!B385,Global_trade!N385:N884,'Q6'!A385)</f>
        <v>3810.4400000000005</v>
      </c>
      <c r="E385" s="22">
        <f>AVERAGEIFS(Global_trade!I385:I884,Global_trade!F385:F884,'Q6'!B385,Global_trade!N385:N884,'Q6'!A385)</f>
        <v>907.18142857142846</v>
      </c>
      <c r="F385" s="22">
        <f>AVERAGEIFS(Global_trade!K385:K884,Global_trade!F385:F884,'Q6'!B385,Global_trade!N385:N884,'Q6'!A385)</f>
        <v>272.17428571428576</v>
      </c>
    </row>
    <row r="386" spans="1:6" x14ac:dyDescent="0.3">
      <c r="A386" t="s">
        <v>66</v>
      </c>
      <c r="B386" t="s">
        <v>59</v>
      </c>
      <c r="C386" s="22">
        <f>SUMIFS(Global_trade!I386:I885,Global_trade!F386:F885,B386,Global_trade!N386:N885,A386)</f>
        <v>12311.26</v>
      </c>
      <c r="D386" s="22">
        <f>SUMIFS(Global_trade!K386:K885,Global_trade!F386:F885,'Q6'!B386,Global_trade!N386:N885,'Q6'!A386)</f>
        <v>3691.4900000000002</v>
      </c>
      <c r="E386" s="22">
        <f>AVERAGEIFS(Global_trade!I386:I885,Global_trade!F386:F885,'Q6'!B386,Global_trade!N386:N885,'Q6'!A386)</f>
        <v>947.02</v>
      </c>
      <c r="F386" s="22">
        <f>AVERAGEIFS(Global_trade!K386:K885,Global_trade!F386:F885,'Q6'!B386,Global_trade!N386:N885,'Q6'!A386)</f>
        <v>283.96076923076924</v>
      </c>
    </row>
    <row r="387" spans="1:6" x14ac:dyDescent="0.3">
      <c r="A387" t="s">
        <v>66</v>
      </c>
      <c r="B387" t="s">
        <v>43</v>
      </c>
      <c r="C387" s="22">
        <f>SUMIFS(Global_trade!I387:I886,Global_trade!F387:F886,B387,Global_trade!N387:N886,A387)</f>
        <v>3744.6000000000004</v>
      </c>
      <c r="D387" s="22">
        <f>SUMIFS(Global_trade!K387:K886,Global_trade!F387:F886,'Q6'!B387,Global_trade!N387:N886,'Q6'!A387)</f>
        <v>1278.8500000000001</v>
      </c>
      <c r="E387" s="22">
        <f>AVERAGEIFS(Global_trade!I387:I886,Global_trade!F387:F886,'Q6'!B387,Global_trade!N387:N886,'Q6'!A387)</f>
        <v>624.1</v>
      </c>
      <c r="F387" s="22">
        <f>AVERAGEIFS(Global_trade!K387:K886,Global_trade!F387:F886,'Q6'!B387,Global_trade!N387:N886,'Q6'!A387)</f>
        <v>213.14166666666668</v>
      </c>
    </row>
    <row r="388" spans="1:6" x14ac:dyDescent="0.3">
      <c r="A388" t="s">
        <v>32</v>
      </c>
      <c r="B388" t="s">
        <v>65</v>
      </c>
      <c r="C388" s="22">
        <f>SUMIFS(Global_trade!I388:I887,Global_trade!F388:F887,B388,Global_trade!N388:N887,A388)</f>
        <v>2777</v>
      </c>
      <c r="D388" s="22">
        <f>SUMIFS(Global_trade!K388:K887,Global_trade!F388:F887,'Q6'!B388,Global_trade!N388:N887,'Q6'!A388)</f>
        <v>543.02</v>
      </c>
      <c r="E388" s="22">
        <f>AVERAGEIFS(Global_trade!I388:I887,Global_trade!F388:F887,'Q6'!B388,Global_trade!N388:N887,'Q6'!A388)</f>
        <v>694.25</v>
      </c>
      <c r="F388" s="22">
        <f>AVERAGEIFS(Global_trade!K388:K887,Global_trade!F388:F887,'Q6'!B388,Global_trade!N388:N887,'Q6'!A388)</f>
        <v>135.755</v>
      </c>
    </row>
    <row r="389" spans="1:6" x14ac:dyDescent="0.3">
      <c r="A389" t="s">
        <v>32</v>
      </c>
      <c r="B389" t="s">
        <v>43</v>
      </c>
      <c r="C389" s="22">
        <f>SUMIFS(Global_trade!I389:I888,Global_trade!F389:F888,B389,Global_trade!N389:N888,A389)</f>
        <v>7365.8599999999988</v>
      </c>
      <c r="D389" s="22">
        <f>SUMIFS(Global_trade!K389:K888,Global_trade!F389:F888,'Q6'!B389,Global_trade!N389:N888,'Q6'!A389)</f>
        <v>2524.0200000000004</v>
      </c>
      <c r="E389" s="22">
        <f>AVERAGEIFS(Global_trade!I389:I888,Global_trade!F389:F888,'Q6'!B389,Global_trade!N389:N888,'Q6'!A389)</f>
        <v>736.5859999999999</v>
      </c>
      <c r="F389" s="22">
        <f>AVERAGEIFS(Global_trade!K389:K888,Global_trade!F389:F888,'Q6'!B389,Global_trade!N389:N888,'Q6'!A389)</f>
        <v>252.40200000000004</v>
      </c>
    </row>
    <row r="390" spans="1:6" x14ac:dyDescent="0.3">
      <c r="A390" t="s">
        <v>32</v>
      </c>
      <c r="B390" t="s">
        <v>43</v>
      </c>
      <c r="C390" s="22">
        <f>SUMIFS(Global_trade!I390:I889,Global_trade!F390:F889,B390,Global_trade!N390:N889,A390)</f>
        <v>6335.15</v>
      </c>
      <c r="D390" s="22">
        <f>SUMIFS(Global_trade!K390:K889,Global_trade!F390:F889,'Q6'!B390,Global_trade!N390:N889,'Q6'!A390)</f>
        <v>2163.5500000000002</v>
      </c>
      <c r="E390" s="22">
        <f>AVERAGEIFS(Global_trade!I390:I889,Global_trade!F390:F889,'Q6'!B390,Global_trade!N390:N889,'Q6'!A390)</f>
        <v>703.90555555555557</v>
      </c>
      <c r="F390" s="22">
        <f>AVERAGEIFS(Global_trade!K390:K889,Global_trade!F390:F889,'Q6'!B390,Global_trade!N390:N889,'Q6'!A390)</f>
        <v>240.39444444444447</v>
      </c>
    </row>
    <row r="391" spans="1:6" x14ac:dyDescent="0.3">
      <c r="A391" t="s">
        <v>24</v>
      </c>
      <c r="B391" t="s">
        <v>59</v>
      </c>
      <c r="C391" s="22">
        <f>SUMIFS(Global_trade!I391:I890,Global_trade!F391:F890,B391,Global_trade!N391:N890,A391)</f>
        <v>9760.5600000000013</v>
      </c>
      <c r="D391" s="22">
        <f>SUMIFS(Global_trade!K391:K890,Global_trade!F391:F890,'Q6'!B391,Global_trade!N391:N890,'Q6'!A391)</f>
        <v>3069.83</v>
      </c>
      <c r="E391" s="22">
        <f>AVERAGEIFS(Global_trade!I391:I890,Global_trade!F391:F890,'Q6'!B391,Global_trade!N391:N890,'Q6'!A391)</f>
        <v>1220.0700000000002</v>
      </c>
      <c r="F391" s="22">
        <f>AVERAGEIFS(Global_trade!K391:K890,Global_trade!F391:F890,'Q6'!B391,Global_trade!N391:N890,'Q6'!A391)</f>
        <v>383.72874999999999</v>
      </c>
    </row>
    <row r="392" spans="1:6" x14ac:dyDescent="0.3">
      <c r="A392" t="s">
        <v>66</v>
      </c>
      <c r="B392" t="s">
        <v>21</v>
      </c>
      <c r="C392" s="22">
        <f>SUMIFS(Global_trade!I392:I891,Global_trade!F392:F891,B392,Global_trade!N392:N891,A392)</f>
        <v>4011.55</v>
      </c>
      <c r="D392" s="22">
        <f>SUMIFS(Global_trade!K392:K891,Global_trade!F392:F891,'Q6'!B392,Global_trade!N392:N891,'Q6'!A392)</f>
        <v>1093.93</v>
      </c>
      <c r="E392" s="22">
        <f>AVERAGEIFS(Global_trade!I392:I891,Global_trade!F392:F891,'Q6'!B392,Global_trade!N392:N891,'Q6'!A392)</f>
        <v>501.44375000000002</v>
      </c>
      <c r="F392" s="22">
        <f>AVERAGEIFS(Global_trade!K392:K891,Global_trade!F392:F891,'Q6'!B392,Global_trade!N392:N891,'Q6'!A392)</f>
        <v>136.74125000000001</v>
      </c>
    </row>
    <row r="393" spans="1:6" x14ac:dyDescent="0.3">
      <c r="A393" t="s">
        <v>32</v>
      </c>
      <c r="B393" t="s">
        <v>21</v>
      </c>
      <c r="C393" s="22">
        <f>SUMIFS(Global_trade!I393:I892,Global_trade!F393:F892,B393,Global_trade!N393:N892,A393)</f>
        <v>7134.17</v>
      </c>
      <c r="D393" s="22">
        <f>SUMIFS(Global_trade!K393:K892,Global_trade!F393:F892,'Q6'!B393,Global_trade!N393:N892,'Q6'!A393)</f>
        <v>2093.5500000000002</v>
      </c>
      <c r="E393" s="22">
        <f>AVERAGEIFS(Global_trade!I393:I892,Global_trade!F393:F892,'Q6'!B393,Global_trade!N393:N892,'Q6'!A393)</f>
        <v>1189.0283333333334</v>
      </c>
      <c r="F393" s="22">
        <f>AVERAGEIFS(Global_trade!K393:K892,Global_trade!F393:F892,'Q6'!B393,Global_trade!N393:N892,'Q6'!A393)</f>
        <v>348.92500000000001</v>
      </c>
    </row>
    <row r="394" spans="1:6" x14ac:dyDescent="0.3">
      <c r="A394" t="s">
        <v>24</v>
      </c>
      <c r="B394" t="s">
        <v>65</v>
      </c>
      <c r="C394" s="22">
        <f>SUMIFS(Global_trade!I394:I893,Global_trade!F394:F893,B394,Global_trade!N394:N893,A394)</f>
        <v>720.26</v>
      </c>
      <c r="D394" s="22">
        <f>SUMIFS(Global_trade!K394:K893,Global_trade!F394:F893,'Q6'!B394,Global_trade!N394:N893,'Q6'!A394)</f>
        <v>254.36</v>
      </c>
      <c r="E394" s="22">
        <f>AVERAGEIFS(Global_trade!I394:I893,Global_trade!F394:F893,'Q6'!B394,Global_trade!N394:N893,'Q6'!A394)</f>
        <v>360.13</v>
      </c>
      <c r="F394" s="22">
        <f>AVERAGEIFS(Global_trade!K394:K893,Global_trade!F394:F893,'Q6'!B394,Global_trade!N394:N893,'Q6'!A394)</f>
        <v>127.18</v>
      </c>
    </row>
    <row r="395" spans="1:6" x14ac:dyDescent="0.3">
      <c r="A395" t="s">
        <v>32</v>
      </c>
      <c r="B395" t="s">
        <v>43</v>
      </c>
      <c r="C395" s="22">
        <f>SUMIFS(Global_trade!I395:I894,Global_trade!F395:F894,B395,Global_trade!N395:N894,A395)</f>
        <v>5347.9899999999989</v>
      </c>
      <c r="D395" s="22">
        <f>SUMIFS(Global_trade!K395:K894,Global_trade!F395:F894,'Q6'!B395,Global_trade!N395:N894,'Q6'!A395)</f>
        <v>1784.53</v>
      </c>
      <c r="E395" s="22">
        <f>AVERAGEIFS(Global_trade!I395:I894,Global_trade!F395:F894,'Q6'!B395,Global_trade!N395:N894,'Q6'!A395)</f>
        <v>668.49874999999986</v>
      </c>
      <c r="F395" s="22">
        <f>AVERAGEIFS(Global_trade!K395:K894,Global_trade!F395:F894,'Q6'!B395,Global_trade!N395:N894,'Q6'!A395)</f>
        <v>223.06625</v>
      </c>
    </row>
    <row r="396" spans="1:6" x14ac:dyDescent="0.3">
      <c r="A396" t="s">
        <v>148</v>
      </c>
      <c r="B396" t="s">
        <v>43</v>
      </c>
      <c r="C396" s="22">
        <f>SUMIFS(Global_trade!I396:I895,Global_trade!F396:F895,B396,Global_trade!N396:N895,A396)</f>
        <v>148.19999999999999</v>
      </c>
      <c r="D396" s="22">
        <f>SUMIFS(Global_trade!K396:K895,Global_trade!F396:F895,'Q6'!B396,Global_trade!N396:N895,'Q6'!A396)</f>
        <v>24.44</v>
      </c>
      <c r="E396" s="22">
        <f>AVERAGEIFS(Global_trade!I396:I895,Global_trade!F396:F895,'Q6'!B396,Global_trade!N396:N895,'Q6'!A396)</f>
        <v>148.19999999999999</v>
      </c>
      <c r="F396" s="22">
        <f>AVERAGEIFS(Global_trade!K396:K895,Global_trade!F396:F895,'Q6'!B396,Global_trade!N396:N895,'Q6'!A396)</f>
        <v>24.44</v>
      </c>
    </row>
    <row r="397" spans="1:6" x14ac:dyDescent="0.3">
      <c r="A397" t="s">
        <v>45</v>
      </c>
      <c r="B397" t="s">
        <v>43</v>
      </c>
      <c r="C397" s="22">
        <f>SUMIFS(Global_trade!I397:I896,Global_trade!F397:F896,B397,Global_trade!N397:N896,A397)</f>
        <v>3479.16</v>
      </c>
      <c r="D397" s="22">
        <f>SUMIFS(Global_trade!K397:K896,Global_trade!F397:F896,'Q6'!B397,Global_trade!N397:N896,'Q6'!A397)</f>
        <v>996.1099999999999</v>
      </c>
      <c r="E397" s="22">
        <f>AVERAGEIFS(Global_trade!I397:I896,Global_trade!F397:F896,'Q6'!B397,Global_trade!N397:N896,'Q6'!A397)</f>
        <v>579.86</v>
      </c>
      <c r="F397" s="22">
        <f>AVERAGEIFS(Global_trade!K397:K896,Global_trade!F397:F896,'Q6'!B397,Global_trade!N397:N896,'Q6'!A397)</f>
        <v>166.01833333333332</v>
      </c>
    </row>
    <row r="398" spans="1:6" x14ac:dyDescent="0.3">
      <c r="A398" t="s">
        <v>66</v>
      </c>
      <c r="B398" t="s">
        <v>50</v>
      </c>
      <c r="C398" s="22">
        <f>SUMIFS(Global_trade!I398:I897,Global_trade!F398:F897,B398,Global_trade!N398:N897,A398)</f>
        <v>7609.6399999999994</v>
      </c>
      <c r="D398" s="22">
        <f>SUMIFS(Global_trade!K398:K897,Global_trade!F398:F897,'Q6'!B398,Global_trade!N398:N897,'Q6'!A398)</f>
        <v>1797.13</v>
      </c>
      <c r="E398" s="22">
        <f>AVERAGEIFS(Global_trade!I398:I897,Global_trade!F398:F897,'Q6'!B398,Global_trade!N398:N897,'Q6'!A398)</f>
        <v>1268.2733333333333</v>
      </c>
      <c r="F398" s="22">
        <f>AVERAGEIFS(Global_trade!K398:K897,Global_trade!F398:F897,'Q6'!B398,Global_trade!N398:N897,'Q6'!A398)</f>
        <v>299.5216666666667</v>
      </c>
    </row>
    <row r="399" spans="1:6" x14ac:dyDescent="0.3">
      <c r="A399" t="s">
        <v>45</v>
      </c>
      <c r="B399" t="s">
        <v>65</v>
      </c>
      <c r="C399" s="22">
        <f>SUMIFS(Global_trade!I399:I898,Global_trade!F399:F898,B399,Global_trade!N399:N898,A399)</f>
        <v>3364.95</v>
      </c>
      <c r="D399" s="22">
        <f>SUMIFS(Global_trade!K399:K898,Global_trade!F399:F898,'Q6'!B399,Global_trade!N399:N898,'Q6'!A399)</f>
        <v>1294.57</v>
      </c>
      <c r="E399" s="22">
        <f>AVERAGEIFS(Global_trade!I399:I898,Global_trade!F399:F898,'Q6'!B399,Global_trade!N399:N898,'Q6'!A399)</f>
        <v>1682.4749999999999</v>
      </c>
      <c r="F399" s="22">
        <f>AVERAGEIFS(Global_trade!K399:K898,Global_trade!F399:F898,'Q6'!B399,Global_trade!N399:N898,'Q6'!A399)</f>
        <v>647.28499999999997</v>
      </c>
    </row>
    <row r="400" spans="1:6" x14ac:dyDescent="0.3">
      <c r="A400" t="s">
        <v>45</v>
      </c>
      <c r="B400" t="s">
        <v>65</v>
      </c>
      <c r="C400" s="22">
        <f>SUMIFS(Global_trade!I400:I899,Global_trade!F400:F899,B400,Global_trade!N400:N899,A400)</f>
        <v>1213.3599999999999</v>
      </c>
      <c r="D400" s="22">
        <f>SUMIFS(Global_trade!K400:K899,Global_trade!F400:F899,'Q6'!B400,Global_trade!N400:N899,'Q6'!A400)</f>
        <v>431.53</v>
      </c>
      <c r="E400" s="22">
        <f>AVERAGEIFS(Global_trade!I400:I899,Global_trade!F400:F899,'Q6'!B400,Global_trade!N400:N899,'Q6'!A400)</f>
        <v>1213.3599999999999</v>
      </c>
      <c r="F400" s="22">
        <f>AVERAGEIFS(Global_trade!K400:K899,Global_trade!F400:F899,'Q6'!B400,Global_trade!N400:N899,'Q6'!A400)</f>
        <v>431.53</v>
      </c>
    </row>
    <row r="401" spans="1:6" x14ac:dyDescent="0.3">
      <c r="A401" t="s">
        <v>102</v>
      </c>
      <c r="B401" t="s">
        <v>59</v>
      </c>
      <c r="C401" s="22">
        <f>SUMIFS(Global_trade!I401:I900,Global_trade!F401:F900,B401,Global_trade!N401:N900,A401)</f>
        <v>2809.51</v>
      </c>
      <c r="D401" s="22">
        <f>SUMIFS(Global_trade!K401:K900,Global_trade!F401:F900,'Q6'!B401,Global_trade!N401:N900,'Q6'!A401)</f>
        <v>866.66000000000008</v>
      </c>
      <c r="E401" s="22">
        <f>AVERAGEIFS(Global_trade!I401:I900,Global_trade!F401:F900,'Q6'!B401,Global_trade!N401:N900,'Q6'!A401)</f>
        <v>936.50333333333344</v>
      </c>
      <c r="F401" s="22">
        <f>AVERAGEIFS(Global_trade!K401:K900,Global_trade!F401:F900,'Q6'!B401,Global_trade!N401:N900,'Q6'!A401)</f>
        <v>288.88666666666671</v>
      </c>
    </row>
    <row r="402" spans="1:6" x14ac:dyDescent="0.3">
      <c r="A402" t="s">
        <v>24</v>
      </c>
      <c r="B402" t="s">
        <v>43</v>
      </c>
      <c r="C402" s="22">
        <f>SUMIFS(Global_trade!I402:I901,Global_trade!F402:F901,B402,Global_trade!N402:N901,A402)</f>
        <v>6873.7</v>
      </c>
      <c r="D402" s="22">
        <f>SUMIFS(Global_trade!K402:K901,Global_trade!F402:F901,'Q6'!B402,Global_trade!N402:N901,'Q6'!A402)</f>
        <v>1498.1000000000001</v>
      </c>
      <c r="E402" s="22">
        <f>AVERAGEIFS(Global_trade!I402:I901,Global_trade!F402:F901,'Q6'!B402,Global_trade!N402:N901,'Q6'!A402)</f>
        <v>859.21249999999998</v>
      </c>
      <c r="F402" s="22">
        <f>AVERAGEIFS(Global_trade!K402:K901,Global_trade!F402:F901,'Q6'!B402,Global_trade!N402:N901,'Q6'!A402)</f>
        <v>187.26250000000002</v>
      </c>
    </row>
    <row r="403" spans="1:6" x14ac:dyDescent="0.3">
      <c r="A403" t="s">
        <v>66</v>
      </c>
      <c r="B403" t="s">
        <v>65</v>
      </c>
      <c r="C403" s="22">
        <f>SUMIFS(Global_trade!I403:I902,Global_trade!F403:F902,B403,Global_trade!N403:N902,A403)</f>
        <v>6328.49</v>
      </c>
      <c r="D403" s="22">
        <f>SUMIFS(Global_trade!K403:K902,Global_trade!F403:F902,'Q6'!B403,Global_trade!N403:N902,'Q6'!A403)</f>
        <v>1764.22</v>
      </c>
      <c r="E403" s="22">
        <f>AVERAGEIFS(Global_trade!I403:I902,Global_trade!F403:F902,'Q6'!B403,Global_trade!N403:N902,'Q6'!A403)</f>
        <v>1054.7483333333332</v>
      </c>
      <c r="F403" s="22">
        <f>AVERAGEIFS(Global_trade!K403:K902,Global_trade!F403:F902,'Q6'!B403,Global_trade!N403:N902,'Q6'!A403)</f>
        <v>294.03666666666669</v>
      </c>
    </row>
    <row r="404" spans="1:6" x14ac:dyDescent="0.3">
      <c r="A404" t="s">
        <v>66</v>
      </c>
      <c r="B404" t="s">
        <v>59</v>
      </c>
      <c r="C404" s="22">
        <f>SUMIFS(Global_trade!I404:I903,Global_trade!F404:F903,B404,Global_trade!N404:N903,A404)</f>
        <v>11420.06</v>
      </c>
      <c r="D404" s="22">
        <f>SUMIFS(Global_trade!K404:K903,Global_trade!F404:F903,'Q6'!B404,Global_trade!N404:N903,'Q6'!A404)</f>
        <v>3453.0200000000004</v>
      </c>
      <c r="E404" s="22">
        <f>AVERAGEIFS(Global_trade!I404:I903,Global_trade!F404:F903,'Q6'!B404,Global_trade!N404:N903,'Q6'!A404)</f>
        <v>951.67166666666662</v>
      </c>
      <c r="F404" s="22">
        <f>AVERAGEIFS(Global_trade!K404:K903,Global_trade!F404:F903,'Q6'!B404,Global_trade!N404:N903,'Q6'!A404)</f>
        <v>287.75166666666672</v>
      </c>
    </row>
    <row r="405" spans="1:6" x14ac:dyDescent="0.3">
      <c r="A405" t="s">
        <v>66</v>
      </c>
      <c r="B405" t="s">
        <v>59</v>
      </c>
      <c r="C405" s="22">
        <f>SUMIFS(Global_trade!I405:I904,Global_trade!F405:F904,B405,Global_trade!N405:N904,A405)</f>
        <v>10747.96</v>
      </c>
      <c r="D405" s="22">
        <f>SUMIFS(Global_trade!K405:K904,Global_trade!F405:F904,'Q6'!B405,Global_trade!N405:N904,'Q6'!A405)</f>
        <v>3322.7200000000003</v>
      </c>
      <c r="E405" s="22">
        <f>AVERAGEIFS(Global_trade!I405:I904,Global_trade!F405:F904,'Q6'!B405,Global_trade!N405:N904,'Q6'!A405)</f>
        <v>977.08727272727265</v>
      </c>
      <c r="F405" s="22">
        <f>AVERAGEIFS(Global_trade!K405:K904,Global_trade!F405:F904,'Q6'!B405,Global_trade!N405:N904,'Q6'!A405)</f>
        <v>302.06545454545454</v>
      </c>
    </row>
    <row r="406" spans="1:6" x14ac:dyDescent="0.3">
      <c r="A406" t="s">
        <v>148</v>
      </c>
      <c r="B406" t="s">
        <v>21</v>
      </c>
      <c r="C406" s="22">
        <f>SUMIFS(Global_trade!I406:I905,Global_trade!F406:F905,B406,Global_trade!N406:N905,A406)</f>
        <v>3338.08</v>
      </c>
      <c r="D406" s="22">
        <f>SUMIFS(Global_trade!K406:K905,Global_trade!F406:F905,'Q6'!B406,Global_trade!N406:N905,'Q6'!A406)</f>
        <v>689.92000000000007</v>
      </c>
      <c r="E406" s="22">
        <f>AVERAGEIFS(Global_trade!I406:I905,Global_trade!F406:F905,'Q6'!B406,Global_trade!N406:N905,'Q6'!A406)</f>
        <v>1669.04</v>
      </c>
      <c r="F406" s="22">
        <f>AVERAGEIFS(Global_trade!K406:K905,Global_trade!F406:F905,'Q6'!B406,Global_trade!N406:N905,'Q6'!A406)</f>
        <v>344.96000000000004</v>
      </c>
    </row>
    <row r="407" spans="1:6" x14ac:dyDescent="0.3">
      <c r="A407" t="s">
        <v>66</v>
      </c>
      <c r="B407" t="s">
        <v>21</v>
      </c>
      <c r="C407" s="22">
        <f>SUMIFS(Global_trade!I407:I906,Global_trade!F407:F906,B407,Global_trade!N407:N906,A407)</f>
        <v>3894.91</v>
      </c>
      <c r="D407" s="22">
        <f>SUMIFS(Global_trade!K407:K906,Global_trade!F407:F906,'Q6'!B407,Global_trade!N407:N906,'Q6'!A407)</f>
        <v>1056.28</v>
      </c>
      <c r="E407" s="22">
        <f>AVERAGEIFS(Global_trade!I407:I906,Global_trade!F407:F906,'Q6'!B407,Global_trade!N407:N906,'Q6'!A407)</f>
        <v>556.41571428571422</v>
      </c>
      <c r="F407" s="22">
        <f>AVERAGEIFS(Global_trade!K407:K906,Global_trade!F407:F906,'Q6'!B407,Global_trade!N407:N906,'Q6'!A407)</f>
        <v>150.89714285714285</v>
      </c>
    </row>
    <row r="408" spans="1:6" x14ac:dyDescent="0.3">
      <c r="A408" t="s">
        <v>32</v>
      </c>
      <c r="B408" t="s">
        <v>59</v>
      </c>
      <c r="C408" s="22">
        <f>SUMIFS(Global_trade!I408:I907,Global_trade!F408:F907,B408,Global_trade!N408:N907,A408)</f>
        <v>9257.11</v>
      </c>
      <c r="D408" s="22">
        <f>SUMIFS(Global_trade!K408:K907,Global_trade!F408:F907,'Q6'!B408,Global_trade!N408:N907,'Q6'!A408)</f>
        <v>2626.6</v>
      </c>
      <c r="E408" s="22">
        <f>AVERAGEIFS(Global_trade!I408:I907,Global_trade!F408:F907,'Q6'!B408,Global_trade!N408:N907,'Q6'!A408)</f>
        <v>1028.5677777777778</v>
      </c>
      <c r="F408" s="22">
        <f>AVERAGEIFS(Global_trade!K408:K907,Global_trade!F408:F907,'Q6'!B408,Global_trade!N408:N907,'Q6'!A408)</f>
        <v>291.84444444444443</v>
      </c>
    </row>
    <row r="409" spans="1:6" x14ac:dyDescent="0.3">
      <c r="A409" t="s">
        <v>32</v>
      </c>
      <c r="B409" t="s">
        <v>43</v>
      </c>
      <c r="C409" s="22">
        <f>SUMIFS(Global_trade!I409:I908,Global_trade!F409:F908,B409,Global_trade!N409:N908,A409)</f>
        <v>5265.869999999999</v>
      </c>
      <c r="D409" s="22">
        <f>SUMIFS(Global_trade!K409:K908,Global_trade!F409:F908,'Q6'!B409,Global_trade!N409:N908,'Q6'!A409)</f>
        <v>1757.46</v>
      </c>
      <c r="E409" s="22">
        <f>AVERAGEIFS(Global_trade!I409:I908,Global_trade!F409:F908,'Q6'!B409,Global_trade!N409:N908,'Q6'!A409)</f>
        <v>752.26714285714274</v>
      </c>
      <c r="F409" s="22">
        <f>AVERAGEIFS(Global_trade!K409:K908,Global_trade!F409:F908,'Q6'!B409,Global_trade!N409:N908,'Q6'!A409)</f>
        <v>251.06571428571428</v>
      </c>
    </row>
    <row r="410" spans="1:6" x14ac:dyDescent="0.3">
      <c r="A410" t="s">
        <v>24</v>
      </c>
      <c r="B410" t="s">
        <v>43</v>
      </c>
      <c r="C410" s="22">
        <f>SUMIFS(Global_trade!I410:I909,Global_trade!F410:F909,B410,Global_trade!N410:N909,A410)</f>
        <v>5982.18</v>
      </c>
      <c r="D410" s="22">
        <f>SUMIFS(Global_trade!K410:K909,Global_trade!F410:F909,'Q6'!B410,Global_trade!N410:N909,'Q6'!A410)</f>
        <v>1220.82</v>
      </c>
      <c r="E410" s="22">
        <f>AVERAGEIFS(Global_trade!I410:I909,Global_trade!F410:F909,'Q6'!B410,Global_trade!N410:N909,'Q6'!A410)</f>
        <v>854.5971428571429</v>
      </c>
      <c r="F410" s="22">
        <f>AVERAGEIFS(Global_trade!K410:K909,Global_trade!F410:F909,'Q6'!B410,Global_trade!N410:N909,'Q6'!A410)</f>
        <v>174.40285714285713</v>
      </c>
    </row>
    <row r="411" spans="1:6" x14ac:dyDescent="0.3">
      <c r="A411" t="s">
        <v>32</v>
      </c>
      <c r="B411" t="s">
        <v>21</v>
      </c>
      <c r="C411" s="22">
        <f>SUMIFS(Global_trade!I411:I910,Global_trade!F411:F910,B411,Global_trade!N411:N910,A411)</f>
        <v>5232.63</v>
      </c>
      <c r="D411" s="22">
        <f>SUMIFS(Global_trade!K411:K910,Global_trade!F411:F910,'Q6'!B411,Global_trade!N411:N910,'Q6'!A411)</f>
        <v>1424.44</v>
      </c>
      <c r="E411" s="22">
        <f>AVERAGEIFS(Global_trade!I411:I910,Global_trade!F411:F910,'Q6'!B411,Global_trade!N411:N910,'Q6'!A411)</f>
        <v>1046.5260000000001</v>
      </c>
      <c r="F411" s="22">
        <f>AVERAGEIFS(Global_trade!K411:K910,Global_trade!F411:F910,'Q6'!B411,Global_trade!N411:N910,'Q6'!A411)</f>
        <v>284.88800000000003</v>
      </c>
    </row>
    <row r="412" spans="1:6" x14ac:dyDescent="0.3">
      <c r="A412" t="s">
        <v>24</v>
      </c>
      <c r="B412" t="s">
        <v>59</v>
      </c>
      <c r="C412" s="22">
        <f>SUMIFS(Global_trade!I412:I911,Global_trade!F412:F911,B412,Global_trade!N412:N911,A412)</f>
        <v>7641.06</v>
      </c>
      <c r="D412" s="22">
        <f>SUMIFS(Global_trade!K412:K911,Global_trade!F412:F911,'Q6'!B412,Global_trade!N412:N911,'Q6'!A412)</f>
        <v>2330.4899999999998</v>
      </c>
      <c r="E412" s="22">
        <f>AVERAGEIFS(Global_trade!I412:I911,Global_trade!F412:F911,'Q6'!B412,Global_trade!N412:N911,'Q6'!A412)</f>
        <v>1091.5800000000002</v>
      </c>
      <c r="F412" s="22">
        <f>AVERAGEIFS(Global_trade!K412:K911,Global_trade!F412:F911,'Q6'!B412,Global_trade!N412:N911,'Q6'!A412)</f>
        <v>332.92714285714283</v>
      </c>
    </row>
    <row r="413" spans="1:6" x14ac:dyDescent="0.3">
      <c r="A413" t="s">
        <v>24</v>
      </c>
      <c r="B413" t="s">
        <v>59</v>
      </c>
      <c r="C413" s="22">
        <f>SUMIFS(Global_trade!I413:I912,Global_trade!F413:F912,B413,Global_trade!N413:N912,A413)</f>
        <v>6536.74</v>
      </c>
      <c r="D413" s="22">
        <f>SUMIFS(Global_trade!K413:K912,Global_trade!F413:F912,'Q6'!B413,Global_trade!N413:N912,'Q6'!A413)</f>
        <v>2063.7999999999997</v>
      </c>
      <c r="E413" s="22">
        <f>AVERAGEIFS(Global_trade!I413:I912,Global_trade!F413:F912,'Q6'!B413,Global_trade!N413:N912,'Q6'!A413)</f>
        <v>1089.4566666666667</v>
      </c>
      <c r="F413" s="22">
        <f>AVERAGEIFS(Global_trade!K413:K912,Global_trade!F413:F912,'Q6'!B413,Global_trade!N413:N912,'Q6'!A413)</f>
        <v>343.96666666666664</v>
      </c>
    </row>
    <row r="414" spans="1:6" x14ac:dyDescent="0.3">
      <c r="A414" t="s">
        <v>32</v>
      </c>
      <c r="B414" t="s">
        <v>21</v>
      </c>
      <c r="C414" s="22">
        <f>SUMIFS(Global_trade!I414:I913,Global_trade!F414:F913,B414,Global_trade!N414:N913,A414)</f>
        <v>4927.49</v>
      </c>
      <c r="D414" s="22">
        <f>SUMIFS(Global_trade!K414:K913,Global_trade!F414:F913,'Q6'!B414,Global_trade!N414:N913,'Q6'!A414)</f>
        <v>1328.1100000000001</v>
      </c>
      <c r="E414" s="22">
        <f>AVERAGEIFS(Global_trade!I414:I913,Global_trade!F414:F913,'Q6'!B414,Global_trade!N414:N913,'Q6'!A414)</f>
        <v>1231.8724999999999</v>
      </c>
      <c r="F414" s="22">
        <f>AVERAGEIFS(Global_trade!K414:K913,Global_trade!F414:F913,'Q6'!B414,Global_trade!N414:N913,'Q6'!A414)</f>
        <v>332.02750000000003</v>
      </c>
    </row>
    <row r="415" spans="1:6" x14ac:dyDescent="0.3">
      <c r="A415" t="s">
        <v>66</v>
      </c>
      <c r="B415" t="s">
        <v>65</v>
      </c>
      <c r="C415" s="22">
        <f>SUMIFS(Global_trade!I415:I914,Global_trade!F415:F914,B415,Global_trade!N415:N914,A415)</f>
        <v>4823.2100000000009</v>
      </c>
      <c r="D415" s="22">
        <f>SUMIFS(Global_trade!K415:K914,Global_trade!F415:F914,'Q6'!B415,Global_trade!N415:N914,'Q6'!A415)</f>
        <v>1369.59</v>
      </c>
      <c r="E415" s="22">
        <f>AVERAGEIFS(Global_trade!I415:I914,Global_trade!F415:F914,'Q6'!B415,Global_trade!N415:N914,'Q6'!A415)</f>
        <v>964.64200000000017</v>
      </c>
      <c r="F415" s="22">
        <f>AVERAGEIFS(Global_trade!K415:K914,Global_trade!F415:F914,'Q6'!B415,Global_trade!N415:N914,'Q6'!A415)</f>
        <v>273.91800000000001</v>
      </c>
    </row>
    <row r="416" spans="1:6" x14ac:dyDescent="0.3">
      <c r="A416" t="s">
        <v>24</v>
      </c>
      <c r="B416" t="s">
        <v>43</v>
      </c>
      <c r="C416" s="22">
        <f>SUMIFS(Global_trade!I416:I915,Global_trade!F416:F915,B416,Global_trade!N416:N915,A416)</f>
        <v>5711.58</v>
      </c>
      <c r="D416" s="22">
        <f>SUMIFS(Global_trade!K416:K915,Global_trade!F416:F915,'Q6'!B416,Global_trade!N416:N915,'Q6'!A416)</f>
        <v>1165.57</v>
      </c>
      <c r="E416" s="22">
        <f>AVERAGEIFS(Global_trade!I416:I915,Global_trade!F416:F915,'Q6'!B416,Global_trade!N416:N915,'Q6'!A416)</f>
        <v>951.93</v>
      </c>
      <c r="F416" s="22">
        <f>AVERAGEIFS(Global_trade!K416:K915,Global_trade!F416:F915,'Q6'!B416,Global_trade!N416:N915,'Q6'!A416)</f>
        <v>194.26166666666666</v>
      </c>
    </row>
    <row r="417" spans="1:6" x14ac:dyDescent="0.3">
      <c r="A417" t="s">
        <v>66</v>
      </c>
      <c r="B417" t="s">
        <v>59</v>
      </c>
      <c r="C417" s="22">
        <f>SUMIFS(Global_trade!I417:I916,Global_trade!F417:F916,B417,Global_trade!N417:N916,A417)</f>
        <v>10160.879999999999</v>
      </c>
      <c r="D417" s="22">
        <f>SUMIFS(Global_trade!K417:K916,Global_trade!F417:F916,'Q6'!B417,Global_trade!N417:N916,'Q6'!A417)</f>
        <v>3129.32</v>
      </c>
      <c r="E417" s="22">
        <f>AVERAGEIFS(Global_trade!I417:I916,Global_trade!F417:F916,'Q6'!B417,Global_trade!N417:N916,'Q6'!A417)</f>
        <v>1016.088</v>
      </c>
      <c r="F417" s="22">
        <f>AVERAGEIFS(Global_trade!K417:K916,Global_trade!F417:F916,'Q6'!B417,Global_trade!N417:N916,'Q6'!A417)</f>
        <v>312.93200000000002</v>
      </c>
    </row>
    <row r="418" spans="1:6" x14ac:dyDescent="0.3">
      <c r="A418" t="s">
        <v>32</v>
      </c>
      <c r="B418" t="s">
        <v>59</v>
      </c>
      <c r="C418" s="22">
        <f>SUMIFS(Global_trade!I418:I917,Global_trade!F418:F917,B418,Global_trade!N418:N917,A418)</f>
        <v>8433.9700000000012</v>
      </c>
      <c r="D418" s="22">
        <f>SUMIFS(Global_trade!K418:K917,Global_trade!F418:F917,'Q6'!B418,Global_trade!N418:N917,'Q6'!A418)</f>
        <v>2388.71</v>
      </c>
      <c r="E418" s="22">
        <f>AVERAGEIFS(Global_trade!I418:I917,Global_trade!F418:F917,'Q6'!B418,Global_trade!N418:N917,'Q6'!A418)</f>
        <v>1054.2462500000001</v>
      </c>
      <c r="F418" s="22">
        <f>AVERAGEIFS(Global_trade!K418:K917,Global_trade!F418:F917,'Q6'!B418,Global_trade!N418:N917,'Q6'!A418)</f>
        <v>298.58875</v>
      </c>
    </row>
    <row r="419" spans="1:6" x14ac:dyDescent="0.3">
      <c r="A419" t="s">
        <v>66</v>
      </c>
      <c r="B419" t="s">
        <v>43</v>
      </c>
      <c r="C419" s="22">
        <f>SUMIFS(Global_trade!I419:I918,Global_trade!F419:F918,B419,Global_trade!N419:N918,A419)</f>
        <v>2767.6499999999996</v>
      </c>
      <c r="D419" s="22">
        <f>SUMIFS(Global_trade!K419:K918,Global_trade!F419:F918,'Q6'!B419,Global_trade!N419:N918,'Q6'!A419)</f>
        <v>927.24999999999989</v>
      </c>
      <c r="E419" s="22">
        <f>AVERAGEIFS(Global_trade!I419:I918,Global_trade!F419:F918,'Q6'!B419,Global_trade!N419:N918,'Q6'!A419)</f>
        <v>553.53</v>
      </c>
      <c r="F419" s="22">
        <f>AVERAGEIFS(Global_trade!K419:K918,Global_trade!F419:F918,'Q6'!B419,Global_trade!N419:N918,'Q6'!A419)</f>
        <v>185.45</v>
      </c>
    </row>
    <row r="420" spans="1:6" x14ac:dyDescent="0.3">
      <c r="A420" t="s">
        <v>148</v>
      </c>
      <c r="B420" t="s">
        <v>65</v>
      </c>
      <c r="C420" s="22">
        <f>SUMIFS(Global_trade!I420:I919,Global_trade!F420:F919,B420,Global_trade!N420:N919,A420)</f>
        <v>2168.3200000000002</v>
      </c>
      <c r="D420" s="22">
        <f>SUMIFS(Global_trade!K420:K919,Global_trade!F420:F919,'Q6'!B420,Global_trade!N420:N919,'Q6'!A420)</f>
        <v>644.86</v>
      </c>
      <c r="E420" s="22">
        <f>AVERAGEIFS(Global_trade!I420:I919,Global_trade!F420:F919,'Q6'!B420,Global_trade!N420:N919,'Q6'!A420)</f>
        <v>1084.1600000000001</v>
      </c>
      <c r="F420" s="22">
        <f>AVERAGEIFS(Global_trade!K420:K919,Global_trade!F420:F919,'Q6'!B420,Global_trade!N420:N919,'Q6'!A420)</f>
        <v>322.43</v>
      </c>
    </row>
    <row r="421" spans="1:6" x14ac:dyDescent="0.3">
      <c r="A421" t="s">
        <v>102</v>
      </c>
      <c r="B421" t="s">
        <v>21</v>
      </c>
      <c r="C421" s="22">
        <f>SUMIFS(Global_trade!I421:I920,Global_trade!F421:F920,B421,Global_trade!N421:N920,A421)</f>
        <v>2101.5099999999998</v>
      </c>
      <c r="D421" s="22">
        <f>SUMIFS(Global_trade!K421:K920,Global_trade!F421:F920,'Q6'!B421,Global_trade!N421:N920,'Q6'!A421)</f>
        <v>592.08000000000004</v>
      </c>
      <c r="E421" s="22">
        <f>AVERAGEIFS(Global_trade!I421:I920,Global_trade!F421:F920,'Q6'!B421,Global_trade!N421:N920,'Q6'!A421)</f>
        <v>700.50333333333322</v>
      </c>
      <c r="F421" s="22">
        <f>AVERAGEIFS(Global_trade!K421:K920,Global_trade!F421:F920,'Q6'!B421,Global_trade!N421:N920,'Q6'!A421)</f>
        <v>197.36</v>
      </c>
    </row>
    <row r="422" spans="1:6" x14ac:dyDescent="0.3">
      <c r="A422" t="s">
        <v>66</v>
      </c>
      <c r="B422" t="s">
        <v>59</v>
      </c>
      <c r="C422" s="22">
        <f>SUMIFS(Global_trade!I422:I921,Global_trade!F422:F921,B422,Global_trade!N422:N921,A422)</f>
        <v>9054.6999999999989</v>
      </c>
      <c r="D422" s="22">
        <f>SUMIFS(Global_trade!K422:K921,Global_trade!F422:F921,'Q6'!B422,Global_trade!N422:N921,'Q6'!A422)</f>
        <v>2710.41</v>
      </c>
      <c r="E422" s="22">
        <f>AVERAGEIFS(Global_trade!I422:I921,Global_trade!F422:F921,'Q6'!B422,Global_trade!N422:N921,'Q6'!A422)</f>
        <v>1006.0777777777777</v>
      </c>
      <c r="F422" s="22">
        <f>AVERAGEIFS(Global_trade!K422:K921,Global_trade!F422:F921,'Q6'!B422,Global_trade!N422:N921,'Q6'!A422)</f>
        <v>301.15666666666664</v>
      </c>
    </row>
    <row r="423" spans="1:6" x14ac:dyDescent="0.3">
      <c r="A423" t="s">
        <v>32</v>
      </c>
      <c r="B423" t="s">
        <v>50</v>
      </c>
      <c r="C423" s="22">
        <f>SUMIFS(Global_trade!I423:I922,Global_trade!F423:F922,B423,Global_trade!N423:N922,A423)</f>
        <v>415.87</v>
      </c>
      <c r="D423" s="22">
        <f>SUMIFS(Global_trade!K423:K922,Global_trade!F423:F922,'Q6'!B423,Global_trade!N423:N922,'Q6'!A423)</f>
        <v>110.36</v>
      </c>
      <c r="E423" s="22">
        <f>AVERAGEIFS(Global_trade!I423:I922,Global_trade!F423:F922,'Q6'!B423,Global_trade!N423:N922,'Q6'!A423)</f>
        <v>415.87</v>
      </c>
      <c r="F423" s="22">
        <f>AVERAGEIFS(Global_trade!K423:K922,Global_trade!F423:F922,'Q6'!B423,Global_trade!N423:N922,'Q6'!A423)</f>
        <v>110.36</v>
      </c>
    </row>
    <row r="424" spans="1:6" x14ac:dyDescent="0.3">
      <c r="A424" t="s">
        <v>66</v>
      </c>
      <c r="B424" t="s">
        <v>65</v>
      </c>
      <c r="C424" s="22">
        <f>SUMIFS(Global_trade!I424:I923,Global_trade!F424:F923,B424,Global_trade!N424:N923,A424)</f>
        <v>4344.16</v>
      </c>
      <c r="D424" s="22">
        <f>SUMIFS(Global_trade!K424:K923,Global_trade!F424:F923,'Q6'!B424,Global_trade!N424:N923,'Q6'!A424)</f>
        <v>1225.69</v>
      </c>
      <c r="E424" s="22">
        <f>AVERAGEIFS(Global_trade!I424:I923,Global_trade!F424:F923,'Q6'!B424,Global_trade!N424:N923,'Q6'!A424)</f>
        <v>1086.04</v>
      </c>
      <c r="F424" s="22">
        <f>AVERAGEIFS(Global_trade!K424:K923,Global_trade!F424:F923,'Q6'!B424,Global_trade!N424:N923,'Q6'!A424)</f>
        <v>306.42250000000001</v>
      </c>
    </row>
    <row r="425" spans="1:6" x14ac:dyDescent="0.3">
      <c r="A425" t="s">
        <v>66</v>
      </c>
      <c r="B425" t="s">
        <v>50</v>
      </c>
      <c r="C425" s="22">
        <f>SUMIFS(Global_trade!I425:I924,Global_trade!F425:F924,B425,Global_trade!N425:N924,A425)</f>
        <v>7499.08</v>
      </c>
      <c r="D425" s="22">
        <f>SUMIFS(Global_trade!K425:K924,Global_trade!F425:F924,'Q6'!B425,Global_trade!N425:N924,'Q6'!A425)</f>
        <v>1771.94</v>
      </c>
      <c r="E425" s="22">
        <f>AVERAGEIFS(Global_trade!I425:I924,Global_trade!F425:F924,'Q6'!B425,Global_trade!N425:N924,'Q6'!A425)</f>
        <v>1499.816</v>
      </c>
      <c r="F425" s="22">
        <f>AVERAGEIFS(Global_trade!K425:K924,Global_trade!F425:F924,'Q6'!B425,Global_trade!N425:N924,'Q6'!A425)</f>
        <v>354.38800000000003</v>
      </c>
    </row>
    <row r="426" spans="1:6" x14ac:dyDescent="0.3">
      <c r="A426" t="s">
        <v>32</v>
      </c>
      <c r="B426" t="s">
        <v>21</v>
      </c>
      <c r="C426" s="22">
        <f>SUMIFS(Global_trade!I426:I925,Global_trade!F426:F925,B426,Global_trade!N426:N925,A426)</f>
        <v>2380.96</v>
      </c>
      <c r="D426" s="22">
        <f>SUMIFS(Global_trade!K426:K925,Global_trade!F426:F925,'Q6'!B426,Global_trade!N426:N925,'Q6'!A426)</f>
        <v>608.83999999999992</v>
      </c>
      <c r="E426" s="22">
        <f>AVERAGEIFS(Global_trade!I426:I925,Global_trade!F426:F925,'Q6'!B426,Global_trade!N426:N925,'Q6'!A426)</f>
        <v>793.65333333333331</v>
      </c>
      <c r="F426" s="22">
        <f>AVERAGEIFS(Global_trade!K426:K925,Global_trade!F426:F925,'Q6'!B426,Global_trade!N426:N925,'Q6'!A426)</f>
        <v>202.94666666666663</v>
      </c>
    </row>
    <row r="427" spans="1:6" x14ac:dyDescent="0.3">
      <c r="A427" t="s">
        <v>66</v>
      </c>
      <c r="B427" t="s">
        <v>59</v>
      </c>
      <c r="C427" s="22">
        <f>SUMIFS(Global_trade!I427:I926,Global_trade!F427:F926,B427,Global_trade!N427:N926,A427)</f>
        <v>7709.1999999999989</v>
      </c>
      <c r="D427" s="22">
        <f>SUMIFS(Global_trade!K427:K926,Global_trade!F427:F926,'Q6'!B427,Global_trade!N427:N926,'Q6'!A427)</f>
        <v>2231.61</v>
      </c>
      <c r="E427" s="22">
        <f>AVERAGEIFS(Global_trade!I427:I926,Global_trade!F427:F926,'Q6'!B427,Global_trade!N427:N926,'Q6'!A427)</f>
        <v>963.64999999999986</v>
      </c>
      <c r="F427" s="22">
        <f>AVERAGEIFS(Global_trade!K427:K926,Global_trade!F427:F926,'Q6'!B427,Global_trade!N427:N926,'Q6'!A427)</f>
        <v>278.95125000000002</v>
      </c>
    </row>
    <row r="428" spans="1:6" x14ac:dyDescent="0.3">
      <c r="A428" t="s">
        <v>24</v>
      </c>
      <c r="B428" t="s">
        <v>59</v>
      </c>
      <c r="C428" s="22">
        <f>SUMIFS(Global_trade!I428:I927,Global_trade!F428:F927,B428,Global_trade!N428:N927,A428)</f>
        <v>5751.04</v>
      </c>
      <c r="D428" s="22">
        <f>SUMIFS(Global_trade!K428:K927,Global_trade!F428:F927,'Q6'!B428,Global_trade!N428:N927,'Q6'!A428)</f>
        <v>1836.62</v>
      </c>
      <c r="E428" s="22">
        <f>AVERAGEIFS(Global_trade!I428:I927,Global_trade!F428:F927,'Q6'!B428,Global_trade!N428:N927,'Q6'!A428)</f>
        <v>1150.2080000000001</v>
      </c>
      <c r="F428" s="22">
        <f>AVERAGEIFS(Global_trade!K428:K927,Global_trade!F428:F927,'Q6'!B428,Global_trade!N428:N927,'Q6'!A428)</f>
        <v>367.32399999999996</v>
      </c>
    </row>
    <row r="429" spans="1:6" x14ac:dyDescent="0.3">
      <c r="A429" t="s">
        <v>32</v>
      </c>
      <c r="B429" t="s">
        <v>59</v>
      </c>
      <c r="C429" s="22">
        <f>SUMIFS(Global_trade!I429:I928,Global_trade!F429:F928,B429,Global_trade!N429:N928,A429)</f>
        <v>8339.73</v>
      </c>
      <c r="D429" s="22">
        <f>SUMIFS(Global_trade!K429:K928,Global_trade!F429:F928,'Q6'!B429,Global_trade!N429:N928,'Q6'!A429)</f>
        <v>2363.5</v>
      </c>
      <c r="E429" s="22">
        <f>AVERAGEIFS(Global_trade!I429:I928,Global_trade!F429:F928,'Q6'!B429,Global_trade!N429:N928,'Q6'!A429)</f>
        <v>1191.3899999999999</v>
      </c>
      <c r="F429" s="22">
        <f>AVERAGEIFS(Global_trade!K429:K928,Global_trade!F429:F928,'Q6'!B429,Global_trade!N429:N928,'Q6'!A429)</f>
        <v>337.64285714285717</v>
      </c>
    </row>
    <row r="430" spans="1:6" x14ac:dyDescent="0.3">
      <c r="A430" t="s">
        <v>66</v>
      </c>
      <c r="B430" t="s">
        <v>50</v>
      </c>
      <c r="C430" s="22">
        <f>SUMIFS(Global_trade!I430:I929,Global_trade!F430:F929,B430,Global_trade!N430:N929,A430)</f>
        <v>5488.5</v>
      </c>
      <c r="D430" s="22">
        <f>SUMIFS(Global_trade!K430:K929,Global_trade!F430:F929,'Q6'!B430,Global_trade!N430:N929,'Q6'!A430)</f>
        <v>1375.58</v>
      </c>
      <c r="E430" s="22">
        <f>AVERAGEIFS(Global_trade!I430:I929,Global_trade!F430:F929,'Q6'!B430,Global_trade!N430:N929,'Q6'!A430)</f>
        <v>1372.125</v>
      </c>
      <c r="F430" s="22">
        <f>AVERAGEIFS(Global_trade!K430:K929,Global_trade!F430:F929,'Q6'!B430,Global_trade!N430:N929,'Q6'!A430)</f>
        <v>343.89499999999998</v>
      </c>
    </row>
    <row r="431" spans="1:6" x14ac:dyDescent="0.3">
      <c r="A431" t="s">
        <v>32</v>
      </c>
      <c r="B431" t="s">
        <v>21</v>
      </c>
      <c r="C431" s="22">
        <f>SUMIFS(Global_trade!I431:I930,Global_trade!F431:F930,B431,Global_trade!N431:N930,A431)</f>
        <v>2001.7</v>
      </c>
      <c r="D431" s="22">
        <f>SUMIFS(Global_trade!K431:K930,Global_trade!F431:F930,'Q6'!B431,Global_trade!N431:N930,'Q6'!A431)</f>
        <v>496</v>
      </c>
      <c r="E431" s="22">
        <f>AVERAGEIFS(Global_trade!I431:I930,Global_trade!F431:F930,'Q6'!B431,Global_trade!N431:N930,'Q6'!A431)</f>
        <v>1000.85</v>
      </c>
      <c r="F431" s="22">
        <f>AVERAGEIFS(Global_trade!K431:K930,Global_trade!F431:F930,'Q6'!B431,Global_trade!N431:N930,'Q6'!A431)</f>
        <v>248</v>
      </c>
    </row>
    <row r="432" spans="1:6" x14ac:dyDescent="0.3">
      <c r="A432" t="s">
        <v>24</v>
      </c>
      <c r="B432" t="s">
        <v>43</v>
      </c>
      <c r="C432" s="22">
        <f>SUMIFS(Global_trade!I432:I931,Global_trade!F432:F931,B432,Global_trade!N432:N931,A432)</f>
        <v>4440.42</v>
      </c>
      <c r="D432" s="22">
        <f>SUMIFS(Global_trade!K432:K931,Global_trade!F432:F931,'Q6'!B432,Global_trade!N432:N931,'Q6'!A432)</f>
        <v>1031.8700000000001</v>
      </c>
      <c r="E432" s="22">
        <f>AVERAGEIFS(Global_trade!I432:I931,Global_trade!F432:F931,'Q6'!B432,Global_trade!N432:N931,'Q6'!A432)</f>
        <v>888.08400000000006</v>
      </c>
      <c r="F432" s="22">
        <f>AVERAGEIFS(Global_trade!K432:K931,Global_trade!F432:F931,'Q6'!B432,Global_trade!N432:N931,'Q6'!A432)</f>
        <v>206.37400000000002</v>
      </c>
    </row>
    <row r="433" spans="1:6" x14ac:dyDescent="0.3">
      <c r="A433" t="s">
        <v>24</v>
      </c>
      <c r="B433" t="s">
        <v>43</v>
      </c>
      <c r="C433" s="22">
        <f>SUMIFS(Global_trade!I433:I932,Global_trade!F433:F932,B433,Global_trade!N433:N932,A433)</f>
        <v>4282.22</v>
      </c>
      <c r="D433" s="22">
        <f>SUMIFS(Global_trade!K433:K932,Global_trade!F433:F932,'Q6'!B433,Global_trade!N433:N932,'Q6'!A433)</f>
        <v>969.95999999999992</v>
      </c>
      <c r="E433" s="22">
        <f>AVERAGEIFS(Global_trade!I433:I932,Global_trade!F433:F932,'Q6'!B433,Global_trade!N433:N932,'Q6'!A433)</f>
        <v>1070.5550000000001</v>
      </c>
      <c r="F433" s="22">
        <f>AVERAGEIFS(Global_trade!K433:K932,Global_trade!F433:F932,'Q6'!B433,Global_trade!N433:N932,'Q6'!A433)</f>
        <v>242.48999999999998</v>
      </c>
    </row>
    <row r="434" spans="1:6" x14ac:dyDescent="0.3">
      <c r="A434" t="s">
        <v>148</v>
      </c>
      <c r="B434" t="s">
        <v>50</v>
      </c>
      <c r="C434" s="22">
        <f>SUMIFS(Global_trade!I434:I933,Global_trade!F434:F933,B434,Global_trade!N434:N933,A434)</f>
        <v>6453.74</v>
      </c>
      <c r="D434" s="22">
        <f>SUMIFS(Global_trade!K434:K933,Global_trade!F434:F933,'Q6'!B434,Global_trade!N434:N933,'Q6'!A434)</f>
        <v>1503.1</v>
      </c>
      <c r="E434" s="22">
        <f>AVERAGEIFS(Global_trade!I434:I933,Global_trade!F434:F933,'Q6'!B434,Global_trade!N434:N933,'Q6'!A434)</f>
        <v>2151.2466666666664</v>
      </c>
      <c r="F434" s="22">
        <f>AVERAGEIFS(Global_trade!K434:K933,Global_trade!F434:F933,'Q6'!B434,Global_trade!N434:N933,'Q6'!A434)</f>
        <v>501.0333333333333</v>
      </c>
    </row>
    <row r="435" spans="1:6" x14ac:dyDescent="0.3">
      <c r="A435" t="s">
        <v>32</v>
      </c>
      <c r="B435" t="s">
        <v>59</v>
      </c>
      <c r="C435" s="22">
        <f>SUMIFS(Global_trade!I435:I934,Global_trade!F435:F934,B435,Global_trade!N435:N934,A435)</f>
        <v>6919.55</v>
      </c>
      <c r="D435" s="22">
        <f>SUMIFS(Global_trade!K435:K934,Global_trade!F435:F934,'Q6'!B435,Global_trade!N435:N934,'Q6'!A435)</f>
        <v>2007.7700000000002</v>
      </c>
      <c r="E435" s="22">
        <f>AVERAGEIFS(Global_trade!I435:I934,Global_trade!F435:F934,'Q6'!B435,Global_trade!N435:N934,'Q6'!A435)</f>
        <v>1153.2583333333334</v>
      </c>
      <c r="F435" s="22">
        <f>AVERAGEIFS(Global_trade!K435:K934,Global_trade!F435:F934,'Q6'!B435,Global_trade!N435:N934,'Q6'!A435)</f>
        <v>334.62833333333339</v>
      </c>
    </row>
    <row r="436" spans="1:6" x14ac:dyDescent="0.3">
      <c r="A436" t="s">
        <v>24</v>
      </c>
      <c r="B436" t="s">
        <v>43</v>
      </c>
      <c r="C436" s="22">
        <f>SUMIFS(Global_trade!I436:I935,Global_trade!F436:F935,B436,Global_trade!N436:N935,A436)</f>
        <v>3346.2200000000003</v>
      </c>
      <c r="D436" s="22">
        <f>SUMIFS(Global_trade!K436:K935,Global_trade!F436:F935,'Q6'!B436,Global_trade!N436:N935,'Q6'!A436)</f>
        <v>716.03</v>
      </c>
      <c r="E436" s="22">
        <f>AVERAGEIFS(Global_trade!I436:I935,Global_trade!F436:F935,'Q6'!B436,Global_trade!N436:N935,'Q6'!A436)</f>
        <v>1115.4066666666668</v>
      </c>
      <c r="F436" s="22">
        <f>AVERAGEIFS(Global_trade!K436:K935,Global_trade!F436:F935,'Q6'!B436,Global_trade!N436:N935,'Q6'!A436)</f>
        <v>238.67666666666665</v>
      </c>
    </row>
    <row r="437" spans="1:6" x14ac:dyDescent="0.3">
      <c r="A437" t="s">
        <v>32</v>
      </c>
      <c r="B437" t="s">
        <v>43</v>
      </c>
      <c r="C437" s="22">
        <f>SUMIFS(Global_trade!I437:I936,Global_trade!F437:F936,B437,Global_trade!N437:N936,A437)</f>
        <v>3672.4300000000003</v>
      </c>
      <c r="D437" s="22">
        <f>SUMIFS(Global_trade!K437:K936,Global_trade!F437:F936,'Q6'!B437,Global_trade!N437:N936,'Q6'!A437)</f>
        <v>1129.95</v>
      </c>
      <c r="E437" s="22">
        <f>AVERAGEIFS(Global_trade!I437:I936,Global_trade!F437:F936,'Q6'!B437,Global_trade!N437:N936,'Q6'!A437)</f>
        <v>612.07166666666672</v>
      </c>
      <c r="F437" s="22">
        <f>AVERAGEIFS(Global_trade!K437:K936,Global_trade!F437:F936,'Q6'!B437,Global_trade!N437:N936,'Q6'!A437)</f>
        <v>188.32500000000002</v>
      </c>
    </row>
    <row r="438" spans="1:6" x14ac:dyDescent="0.3">
      <c r="A438" t="s">
        <v>32</v>
      </c>
      <c r="B438" t="s">
        <v>65</v>
      </c>
      <c r="C438" s="22">
        <f>SUMIFS(Global_trade!I438:I937,Global_trade!F438:F937,B438,Global_trade!N438:N937,A438)</f>
        <v>2528.44</v>
      </c>
      <c r="D438" s="22">
        <f>SUMIFS(Global_trade!K438:K937,Global_trade!F438:F937,'Q6'!B438,Global_trade!N438:N937,'Q6'!A438)</f>
        <v>505.43</v>
      </c>
      <c r="E438" s="22">
        <f>AVERAGEIFS(Global_trade!I438:I937,Global_trade!F438:F937,'Q6'!B438,Global_trade!N438:N937,'Q6'!A438)</f>
        <v>842.81333333333339</v>
      </c>
      <c r="F438" s="22">
        <f>AVERAGEIFS(Global_trade!K438:K937,Global_trade!F438:F937,'Q6'!B438,Global_trade!N438:N937,'Q6'!A438)</f>
        <v>168.47666666666666</v>
      </c>
    </row>
    <row r="439" spans="1:6" x14ac:dyDescent="0.3">
      <c r="A439" t="s">
        <v>45</v>
      </c>
      <c r="B439" t="s">
        <v>43</v>
      </c>
      <c r="C439" s="22">
        <f>SUMIFS(Global_trade!I439:I938,Global_trade!F439:F938,B439,Global_trade!N439:N938,A439)</f>
        <v>3114.93</v>
      </c>
      <c r="D439" s="22">
        <f>SUMIFS(Global_trade!K439:K938,Global_trade!F439:F938,'Q6'!B439,Global_trade!N439:N938,'Q6'!A439)</f>
        <v>889.29</v>
      </c>
      <c r="E439" s="22">
        <f>AVERAGEIFS(Global_trade!I439:I938,Global_trade!F439:F938,'Q6'!B439,Global_trade!N439:N938,'Q6'!A439)</f>
        <v>622.98599999999999</v>
      </c>
      <c r="F439" s="22">
        <f>AVERAGEIFS(Global_trade!K439:K938,Global_trade!F439:F938,'Q6'!B439,Global_trade!N439:N938,'Q6'!A439)</f>
        <v>177.858</v>
      </c>
    </row>
    <row r="440" spans="1:6" x14ac:dyDescent="0.3">
      <c r="A440" t="s">
        <v>66</v>
      </c>
      <c r="B440" t="s">
        <v>59</v>
      </c>
      <c r="C440" s="22">
        <f>SUMIFS(Global_trade!I440:I939,Global_trade!F440:F939,B440,Global_trade!N440:N939,A440)</f>
        <v>6457.880000000001</v>
      </c>
      <c r="D440" s="22">
        <f>SUMIFS(Global_trade!K440:K939,Global_trade!F440:F939,'Q6'!B440,Global_trade!N440:N939,'Q6'!A440)</f>
        <v>1959.6699999999998</v>
      </c>
      <c r="E440" s="22">
        <f>AVERAGEIFS(Global_trade!I440:I939,Global_trade!F440:F939,'Q6'!B440,Global_trade!N440:N939,'Q6'!A440)</f>
        <v>922.55428571428581</v>
      </c>
      <c r="F440" s="22">
        <f>AVERAGEIFS(Global_trade!K440:K939,Global_trade!F440:F939,'Q6'!B440,Global_trade!N440:N939,'Q6'!A440)</f>
        <v>279.95285714285711</v>
      </c>
    </row>
    <row r="441" spans="1:6" x14ac:dyDescent="0.3">
      <c r="A441" t="s">
        <v>32</v>
      </c>
      <c r="B441" t="s">
        <v>21</v>
      </c>
      <c r="C441" s="22">
        <f>SUMIFS(Global_trade!I441:I940,Global_trade!F441:F940,B441,Global_trade!N441:N940,A441)</f>
        <v>928.95</v>
      </c>
      <c r="D441" s="22">
        <f>SUMIFS(Global_trade!K441:K940,Global_trade!F441:F940,'Q6'!B441,Global_trade!N441:N940,'Q6'!A441)</f>
        <v>378.27</v>
      </c>
      <c r="E441" s="22">
        <f>AVERAGEIFS(Global_trade!I441:I940,Global_trade!F441:F940,'Q6'!B441,Global_trade!N441:N940,'Q6'!A441)</f>
        <v>928.95</v>
      </c>
      <c r="F441" s="22">
        <f>AVERAGEIFS(Global_trade!K441:K940,Global_trade!F441:F940,'Q6'!B441,Global_trade!N441:N940,'Q6'!A441)</f>
        <v>378.27</v>
      </c>
    </row>
    <row r="442" spans="1:6" x14ac:dyDescent="0.3">
      <c r="A442" t="s">
        <v>66</v>
      </c>
      <c r="B442" t="s">
        <v>43</v>
      </c>
      <c r="C442" s="22">
        <f>SUMIFS(Global_trade!I442:I941,Global_trade!F442:F941,B442,Global_trade!N442:N941,A442)</f>
        <v>1796.27</v>
      </c>
      <c r="D442" s="22">
        <f>SUMIFS(Global_trade!K442:K941,Global_trade!F442:F941,'Q6'!B442,Global_trade!N442:N941,'Q6'!A442)</f>
        <v>569.88</v>
      </c>
      <c r="E442" s="22">
        <f>AVERAGEIFS(Global_trade!I442:I941,Global_trade!F442:F941,'Q6'!B442,Global_trade!N442:N941,'Q6'!A442)</f>
        <v>449.0675</v>
      </c>
      <c r="F442" s="22">
        <f>AVERAGEIFS(Global_trade!K442:K941,Global_trade!F442:F941,'Q6'!B442,Global_trade!N442:N941,'Q6'!A442)</f>
        <v>142.47</v>
      </c>
    </row>
    <row r="443" spans="1:6" x14ac:dyDescent="0.3">
      <c r="A443" t="s">
        <v>32</v>
      </c>
      <c r="B443" t="s">
        <v>43</v>
      </c>
      <c r="C443" s="22">
        <f>SUMIFS(Global_trade!I443:I942,Global_trade!F443:F942,B443,Global_trade!N443:N942,A443)</f>
        <v>2997.55</v>
      </c>
      <c r="D443" s="22">
        <f>SUMIFS(Global_trade!K443:K942,Global_trade!F443:F942,'Q6'!B443,Global_trade!N443:N942,'Q6'!A443)</f>
        <v>986.17000000000007</v>
      </c>
      <c r="E443" s="22">
        <f>AVERAGEIFS(Global_trade!I443:I942,Global_trade!F443:F942,'Q6'!B443,Global_trade!N443:N942,'Q6'!A443)</f>
        <v>599.51</v>
      </c>
      <c r="F443" s="22">
        <f>AVERAGEIFS(Global_trade!K443:K942,Global_trade!F443:F942,'Q6'!B443,Global_trade!N443:N942,'Q6'!A443)</f>
        <v>197.23400000000001</v>
      </c>
    </row>
    <row r="444" spans="1:6" x14ac:dyDescent="0.3">
      <c r="A444" t="s">
        <v>66</v>
      </c>
      <c r="B444" t="s">
        <v>21</v>
      </c>
      <c r="C444" s="22">
        <f>SUMIFS(Global_trade!I444:I943,Global_trade!F444:F943,B444,Global_trade!N444:N943,A444)</f>
        <v>2960.9300000000003</v>
      </c>
      <c r="D444" s="22">
        <f>SUMIFS(Global_trade!K444:K943,Global_trade!F444:F943,'Q6'!B444,Global_trade!N444:N943,'Q6'!A444)</f>
        <v>898.67000000000007</v>
      </c>
      <c r="E444" s="22">
        <f>AVERAGEIFS(Global_trade!I444:I943,Global_trade!F444:F943,'Q6'!B444,Global_trade!N444:N943,'Q6'!A444)</f>
        <v>493.4883333333334</v>
      </c>
      <c r="F444" s="22">
        <f>AVERAGEIFS(Global_trade!K444:K943,Global_trade!F444:F943,'Q6'!B444,Global_trade!N444:N943,'Q6'!A444)</f>
        <v>149.77833333333334</v>
      </c>
    </row>
    <row r="445" spans="1:6" x14ac:dyDescent="0.3">
      <c r="A445" t="s">
        <v>66</v>
      </c>
      <c r="B445" t="s">
        <v>59</v>
      </c>
      <c r="C445" s="22">
        <f>SUMIFS(Global_trade!I445:I944,Global_trade!F445:F944,B445,Global_trade!N445:N944,A445)</f>
        <v>5235.4799999999996</v>
      </c>
      <c r="D445" s="22">
        <f>SUMIFS(Global_trade!K445:K944,Global_trade!F445:F944,'Q6'!B445,Global_trade!N445:N944,'Q6'!A445)</f>
        <v>1663.6899999999998</v>
      </c>
      <c r="E445" s="22">
        <f>AVERAGEIFS(Global_trade!I445:I944,Global_trade!F445:F944,'Q6'!B445,Global_trade!N445:N944,'Q6'!A445)</f>
        <v>872.57999999999993</v>
      </c>
      <c r="F445" s="22">
        <f>AVERAGEIFS(Global_trade!K445:K944,Global_trade!F445:F944,'Q6'!B445,Global_trade!N445:N944,'Q6'!A445)</f>
        <v>277.28166666666664</v>
      </c>
    </row>
    <row r="446" spans="1:6" x14ac:dyDescent="0.3">
      <c r="A446" t="s">
        <v>102</v>
      </c>
      <c r="B446" t="s">
        <v>59</v>
      </c>
      <c r="C446" s="22">
        <f>SUMIFS(Global_trade!I446:I945,Global_trade!F446:F945,B446,Global_trade!N446:N945,A446)</f>
        <v>1630.88</v>
      </c>
      <c r="D446" s="22">
        <f>SUMIFS(Global_trade!K446:K945,Global_trade!F446:F945,'Q6'!B446,Global_trade!N446:N945,'Q6'!A446)</f>
        <v>410.35</v>
      </c>
      <c r="E446" s="22">
        <f>AVERAGEIFS(Global_trade!I446:I945,Global_trade!F446:F945,'Q6'!B446,Global_trade!N446:N945,'Q6'!A446)</f>
        <v>815.44</v>
      </c>
      <c r="F446" s="22">
        <f>AVERAGEIFS(Global_trade!K446:K945,Global_trade!F446:F945,'Q6'!B446,Global_trade!N446:N945,'Q6'!A446)</f>
        <v>205.17500000000001</v>
      </c>
    </row>
    <row r="447" spans="1:6" x14ac:dyDescent="0.3">
      <c r="A447" t="s">
        <v>66</v>
      </c>
      <c r="B447" t="s">
        <v>43</v>
      </c>
      <c r="C447" s="22">
        <f>SUMIFS(Global_trade!I447:I946,Global_trade!F447:F946,B447,Global_trade!N447:N946,A447)</f>
        <v>1080.8699999999999</v>
      </c>
      <c r="D447" s="22">
        <f>SUMIFS(Global_trade!K447:K946,Global_trade!F447:F946,'Q6'!B447,Global_trade!N447:N946,'Q6'!A447)</f>
        <v>293.71000000000004</v>
      </c>
      <c r="E447" s="22">
        <f>AVERAGEIFS(Global_trade!I447:I946,Global_trade!F447:F946,'Q6'!B447,Global_trade!N447:N946,'Q6'!A447)</f>
        <v>360.28999999999996</v>
      </c>
      <c r="F447" s="22">
        <f>AVERAGEIFS(Global_trade!K447:K946,Global_trade!F447:F946,'Q6'!B447,Global_trade!N447:N946,'Q6'!A447)</f>
        <v>97.90333333333335</v>
      </c>
    </row>
    <row r="448" spans="1:6" x14ac:dyDescent="0.3">
      <c r="A448" t="s">
        <v>45</v>
      </c>
      <c r="B448" t="s">
        <v>43</v>
      </c>
      <c r="C448" s="22">
        <f>SUMIFS(Global_trade!I448:I947,Global_trade!F448:F947,B448,Global_trade!N448:N947,A448)</f>
        <v>2072.71</v>
      </c>
      <c r="D448" s="22">
        <f>SUMIFS(Global_trade!K448:K947,Global_trade!F448:F947,'Q6'!B448,Global_trade!N448:N947,'Q6'!A448)</f>
        <v>493.40000000000003</v>
      </c>
      <c r="E448" s="22">
        <f>AVERAGEIFS(Global_trade!I448:I947,Global_trade!F448:F947,'Q6'!B448,Global_trade!N448:N947,'Q6'!A448)</f>
        <v>518.17750000000001</v>
      </c>
      <c r="F448" s="22">
        <f>AVERAGEIFS(Global_trade!K448:K947,Global_trade!F448:F947,'Q6'!B448,Global_trade!N448:N947,'Q6'!A448)</f>
        <v>123.35000000000001</v>
      </c>
    </row>
    <row r="449" spans="1:6" x14ac:dyDescent="0.3">
      <c r="A449" t="s">
        <v>102</v>
      </c>
      <c r="B449" t="s">
        <v>21</v>
      </c>
      <c r="C449" s="22">
        <f>SUMIFS(Global_trade!I449:I948,Global_trade!F449:F948,B449,Global_trade!N449:N948,A449)</f>
        <v>1765.5099999999998</v>
      </c>
      <c r="D449" s="22">
        <f>SUMIFS(Global_trade!K449:K948,Global_trade!F449:F948,'Q6'!B449,Global_trade!N449:N948,'Q6'!A449)</f>
        <v>530.96</v>
      </c>
      <c r="E449" s="22">
        <f>AVERAGEIFS(Global_trade!I449:I948,Global_trade!F449:F948,'Q6'!B449,Global_trade!N449:N948,'Q6'!A449)</f>
        <v>882.75499999999988</v>
      </c>
      <c r="F449" s="22">
        <f>AVERAGEIFS(Global_trade!K449:K948,Global_trade!F449:F948,'Q6'!B449,Global_trade!N449:N948,'Q6'!A449)</f>
        <v>265.48</v>
      </c>
    </row>
    <row r="450" spans="1:6" x14ac:dyDescent="0.3">
      <c r="A450" t="s">
        <v>32</v>
      </c>
      <c r="B450" t="s">
        <v>43</v>
      </c>
      <c r="C450" s="22">
        <f>SUMIFS(Global_trade!I450:I949,Global_trade!F450:F949,B450,Global_trade!N450:N949,A450)</f>
        <v>2525.4700000000003</v>
      </c>
      <c r="D450" s="22">
        <f>SUMIFS(Global_trade!K450:K949,Global_trade!F450:F949,'Q6'!B450,Global_trade!N450:N949,'Q6'!A450)</f>
        <v>794.8</v>
      </c>
      <c r="E450" s="22">
        <f>AVERAGEIFS(Global_trade!I450:I949,Global_trade!F450:F949,'Q6'!B450,Global_trade!N450:N949,'Q6'!A450)</f>
        <v>631.36750000000006</v>
      </c>
      <c r="F450" s="22">
        <f>AVERAGEIFS(Global_trade!K450:K949,Global_trade!F450:F949,'Q6'!B450,Global_trade!N450:N949,'Q6'!A450)</f>
        <v>198.7</v>
      </c>
    </row>
    <row r="451" spans="1:6" x14ac:dyDescent="0.3">
      <c r="A451" t="s">
        <v>66</v>
      </c>
      <c r="B451" t="s">
        <v>59</v>
      </c>
      <c r="C451" s="22">
        <f>SUMIFS(Global_trade!I451:I950,Global_trade!F451:F950,B451,Global_trade!N451:N950,A451)</f>
        <v>3847.73</v>
      </c>
      <c r="D451" s="22">
        <f>SUMIFS(Global_trade!K451:K950,Global_trade!F451:F950,'Q6'!B451,Global_trade!N451:N950,'Q6'!A451)</f>
        <v>1124.3899999999999</v>
      </c>
      <c r="E451" s="22">
        <f>AVERAGEIFS(Global_trade!I451:I950,Global_trade!F451:F950,'Q6'!B451,Global_trade!N451:N950,'Q6'!A451)</f>
        <v>769.54600000000005</v>
      </c>
      <c r="F451" s="22">
        <f>AVERAGEIFS(Global_trade!K451:K950,Global_trade!F451:F950,'Q6'!B451,Global_trade!N451:N950,'Q6'!A451)</f>
        <v>224.87799999999999</v>
      </c>
    </row>
    <row r="452" spans="1:6" x14ac:dyDescent="0.3">
      <c r="A452" t="s">
        <v>45</v>
      </c>
      <c r="B452" t="s">
        <v>43</v>
      </c>
      <c r="C452" s="22">
        <f>SUMIFS(Global_trade!I452:I951,Global_trade!F452:F951,B452,Global_trade!N452:N951,A452)</f>
        <v>1585.9</v>
      </c>
      <c r="D452" s="22">
        <f>SUMIFS(Global_trade!K452:K951,Global_trade!F452:F951,'Q6'!B452,Global_trade!N452:N951,'Q6'!A452)</f>
        <v>387.46999999999997</v>
      </c>
      <c r="E452" s="22">
        <f>AVERAGEIFS(Global_trade!I452:I951,Global_trade!F452:F951,'Q6'!B452,Global_trade!N452:N951,'Q6'!A452)</f>
        <v>528.63333333333333</v>
      </c>
      <c r="F452" s="22">
        <f>AVERAGEIFS(Global_trade!K452:K951,Global_trade!F452:F951,'Q6'!B452,Global_trade!N452:N951,'Q6'!A452)</f>
        <v>129.15666666666667</v>
      </c>
    </row>
    <row r="453" spans="1:6" x14ac:dyDescent="0.3">
      <c r="A453" t="s">
        <v>32</v>
      </c>
      <c r="B453" t="s">
        <v>59</v>
      </c>
      <c r="C453" s="22">
        <f>SUMIFS(Global_trade!I453:I952,Global_trade!F453:F952,B453,Global_trade!N453:N952,A453)</f>
        <v>5869.13</v>
      </c>
      <c r="D453" s="22">
        <f>SUMIFS(Global_trade!K453:K952,Global_trade!F453:F952,'Q6'!B453,Global_trade!N453:N952,'Q6'!A453)</f>
        <v>1672.0500000000004</v>
      </c>
      <c r="E453" s="22">
        <f>AVERAGEIFS(Global_trade!I453:I952,Global_trade!F453:F952,'Q6'!B453,Global_trade!N453:N952,'Q6'!A453)</f>
        <v>1173.826</v>
      </c>
      <c r="F453" s="22">
        <f>AVERAGEIFS(Global_trade!K453:K952,Global_trade!F453:F952,'Q6'!B453,Global_trade!N453:N952,'Q6'!A453)</f>
        <v>334.41000000000008</v>
      </c>
    </row>
    <row r="454" spans="1:6" x14ac:dyDescent="0.3">
      <c r="A454" t="s">
        <v>32</v>
      </c>
      <c r="B454" t="s">
        <v>65</v>
      </c>
      <c r="C454" s="22">
        <f>SUMIFS(Global_trade!I454:I953,Global_trade!F454:F953,B454,Global_trade!N454:N953,A454)</f>
        <v>2108.8000000000002</v>
      </c>
      <c r="D454" s="22">
        <f>SUMIFS(Global_trade!K454:K953,Global_trade!F454:F953,'Q6'!B454,Global_trade!N454:N953,'Q6'!A454)</f>
        <v>414.27</v>
      </c>
      <c r="E454" s="22">
        <f>AVERAGEIFS(Global_trade!I454:I953,Global_trade!F454:F953,'Q6'!B454,Global_trade!N454:N953,'Q6'!A454)</f>
        <v>1054.4000000000001</v>
      </c>
      <c r="F454" s="22">
        <f>AVERAGEIFS(Global_trade!K454:K953,Global_trade!F454:F953,'Q6'!B454,Global_trade!N454:N953,'Q6'!A454)</f>
        <v>207.13499999999999</v>
      </c>
    </row>
    <row r="455" spans="1:6" x14ac:dyDescent="0.3">
      <c r="A455" t="s">
        <v>102</v>
      </c>
      <c r="B455" t="s">
        <v>50</v>
      </c>
      <c r="C455" s="22">
        <f>SUMIFS(Global_trade!I455:I954,Global_trade!F455:F954,B455,Global_trade!N455:N954,A455)</f>
        <v>2485.6999999999998</v>
      </c>
      <c r="D455" s="22">
        <f>SUMIFS(Global_trade!K455:K954,Global_trade!F455:F954,'Q6'!B455,Global_trade!N455:N954,'Q6'!A455)</f>
        <v>948.48</v>
      </c>
      <c r="E455" s="22">
        <f>AVERAGEIFS(Global_trade!I455:I954,Global_trade!F455:F954,'Q6'!B455,Global_trade!N455:N954,'Q6'!A455)</f>
        <v>2485.6999999999998</v>
      </c>
      <c r="F455" s="22">
        <f>AVERAGEIFS(Global_trade!K455:K954,Global_trade!F455:F954,'Q6'!B455,Global_trade!N455:N954,'Q6'!A455)</f>
        <v>948.48</v>
      </c>
    </row>
    <row r="456" spans="1:6" x14ac:dyDescent="0.3">
      <c r="A456" t="s">
        <v>66</v>
      </c>
      <c r="B456" t="s">
        <v>59</v>
      </c>
      <c r="C456" s="22">
        <f>SUMIFS(Global_trade!I456:I955,Global_trade!F456:F955,B456,Global_trade!N456:N955,A456)</f>
        <v>2929.41</v>
      </c>
      <c r="D456" s="22">
        <f>SUMIFS(Global_trade!K456:K955,Global_trade!F456:F955,'Q6'!B456,Global_trade!N456:N955,'Q6'!A456)</f>
        <v>851.08999999999992</v>
      </c>
      <c r="E456" s="22">
        <f>AVERAGEIFS(Global_trade!I456:I955,Global_trade!F456:F955,'Q6'!B456,Global_trade!N456:N955,'Q6'!A456)</f>
        <v>732.35249999999996</v>
      </c>
      <c r="F456" s="22">
        <f>AVERAGEIFS(Global_trade!K456:K955,Global_trade!F456:F955,'Q6'!B456,Global_trade!N456:N955,'Q6'!A456)</f>
        <v>212.77249999999998</v>
      </c>
    </row>
    <row r="457" spans="1:6" x14ac:dyDescent="0.3">
      <c r="A457" t="s">
        <v>66</v>
      </c>
      <c r="B457" t="s">
        <v>65</v>
      </c>
      <c r="C457" s="22">
        <f>SUMIFS(Global_trade!I457:I956,Global_trade!F457:F956,B457,Global_trade!N457:N956,A457)</f>
        <v>2553.2800000000002</v>
      </c>
      <c r="D457" s="22">
        <f>SUMIFS(Global_trade!K457:K956,Global_trade!F457:F956,'Q6'!B457,Global_trade!N457:N956,'Q6'!A457)</f>
        <v>702.26</v>
      </c>
      <c r="E457" s="22">
        <f>AVERAGEIFS(Global_trade!I457:I956,Global_trade!F457:F956,'Q6'!B457,Global_trade!N457:N956,'Q6'!A457)</f>
        <v>851.09333333333336</v>
      </c>
      <c r="F457" s="22">
        <f>AVERAGEIFS(Global_trade!K457:K956,Global_trade!F457:F956,'Q6'!B457,Global_trade!N457:N956,'Q6'!A457)</f>
        <v>234.08666666666667</v>
      </c>
    </row>
    <row r="458" spans="1:6" x14ac:dyDescent="0.3">
      <c r="A458" t="s">
        <v>24</v>
      </c>
      <c r="B458" t="s">
        <v>21</v>
      </c>
      <c r="C458" s="22">
        <f>SUMIFS(Global_trade!I458:I957,Global_trade!F458:F957,B458,Global_trade!N458:N957,A458)</f>
        <v>769.46999999999991</v>
      </c>
      <c r="D458" s="22">
        <f>SUMIFS(Global_trade!K458:K957,Global_trade!F458:F957,'Q6'!B458,Global_trade!N458:N957,'Q6'!A458)</f>
        <v>146.69</v>
      </c>
      <c r="E458" s="22">
        <f>AVERAGEIFS(Global_trade!I458:I957,Global_trade!F458:F957,'Q6'!B458,Global_trade!N458:N957,'Q6'!A458)</f>
        <v>384.73499999999996</v>
      </c>
      <c r="F458" s="22">
        <f>AVERAGEIFS(Global_trade!K458:K957,Global_trade!F458:F957,'Q6'!B458,Global_trade!N458:N957,'Q6'!A458)</f>
        <v>73.344999999999999</v>
      </c>
    </row>
    <row r="459" spans="1:6" x14ac:dyDescent="0.3">
      <c r="A459" t="s">
        <v>32</v>
      </c>
      <c r="B459" t="s">
        <v>59</v>
      </c>
      <c r="C459" s="22">
        <f>SUMIFS(Global_trade!I459:I958,Global_trade!F459:F958,B459,Global_trade!N459:N958,A459)</f>
        <v>4064.6</v>
      </c>
      <c r="D459" s="22">
        <f>SUMIFS(Global_trade!K459:K958,Global_trade!F459:F958,'Q6'!B459,Global_trade!N459:N958,'Q6'!A459)</f>
        <v>998.09</v>
      </c>
      <c r="E459" s="22">
        <f>AVERAGEIFS(Global_trade!I459:I958,Global_trade!F459:F958,'Q6'!B459,Global_trade!N459:N958,'Q6'!A459)</f>
        <v>1016.15</v>
      </c>
      <c r="F459" s="22">
        <f>AVERAGEIFS(Global_trade!K459:K958,Global_trade!F459:F958,'Q6'!B459,Global_trade!N459:N958,'Q6'!A459)</f>
        <v>249.52250000000001</v>
      </c>
    </row>
    <row r="460" spans="1:6" x14ac:dyDescent="0.3">
      <c r="A460" t="s">
        <v>32</v>
      </c>
      <c r="B460" t="s">
        <v>43</v>
      </c>
      <c r="C460" s="22">
        <f>SUMIFS(Global_trade!I460:I959,Global_trade!F460:F959,B460,Global_trade!N460:N959,A460)</f>
        <v>1223.8699999999999</v>
      </c>
      <c r="D460" s="22">
        <f>SUMIFS(Global_trade!K460:K959,Global_trade!F460:F959,'Q6'!B460,Global_trade!N460:N959,'Q6'!A460)</f>
        <v>340.26</v>
      </c>
      <c r="E460" s="22">
        <f>AVERAGEIFS(Global_trade!I460:I959,Global_trade!F460:F959,'Q6'!B460,Global_trade!N460:N959,'Q6'!A460)</f>
        <v>407.95666666666665</v>
      </c>
      <c r="F460" s="22">
        <f>AVERAGEIFS(Global_trade!K460:K959,Global_trade!F460:F959,'Q6'!B460,Global_trade!N460:N959,'Q6'!A460)</f>
        <v>113.42</v>
      </c>
    </row>
    <row r="461" spans="1:6" x14ac:dyDescent="0.3">
      <c r="A461" t="s">
        <v>24</v>
      </c>
      <c r="B461" t="s">
        <v>59</v>
      </c>
      <c r="C461" s="22">
        <f>SUMIFS(Global_trade!I461:I960,Global_trade!F461:F960,B461,Global_trade!N461:N960,A461)</f>
        <v>4809.42</v>
      </c>
      <c r="D461" s="22">
        <f>SUMIFS(Global_trade!K461:K960,Global_trade!F461:F960,'Q6'!B461,Global_trade!N461:N960,'Q6'!A461)</f>
        <v>1610.6599999999999</v>
      </c>
      <c r="E461" s="22">
        <f>AVERAGEIFS(Global_trade!I461:I960,Global_trade!F461:F960,'Q6'!B461,Global_trade!N461:N960,'Q6'!A461)</f>
        <v>1202.355</v>
      </c>
      <c r="F461" s="22">
        <f>AVERAGEIFS(Global_trade!K461:K960,Global_trade!F461:F960,'Q6'!B461,Global_trade!N461:N960,'Q6'!A461)</f>
        <v>402.66499999999996</v>
      </c>
    </row>
    <row r="462" spans="1:6" x14ac:dyDescent="0.3">
      <c r="A462" t="s">
        <v>148</v>
      </c>
      <c r="B462" t="s">
        <v>21</v>
      </c>
      <c r="C462" s="22">
        <f>SUMIFS(Global_trade!I462:I961,Global_trade!F462:F961,B462,Global_trade!N462:N961,A462)</f>
        <v>1528.88</v>
      </c>
      <c r="D462" s="22">
        <f>SUMIFS(Global_trade!K462:K961,Global_trade!F462:F961,'Q6'!B462,Global_trade!N462:N961,'Q6'!A462)</f>
        <v>416.97</v>
      </c>
      <c r="E462" s="22">
        <f>AVERAGEIFS(Global_trade!I462:I961,Global_trade!F462:F961,'Q6'!B462,Global_trade!N462:N961,'Q6'!A462)</f>
        <v>1528.88</v>
      </c>
      <c r="F462" s="22">
        <f>AVERAGEIFS(Global_trade!K462:K961,Global_trade!F462:F961,'Q6'!B462,Global_trade!N462:N961,'Q6'!A462)</f>
        <v>416.97</v>
      </c>
    </row>
    <row r="463" spans="1:6" x14ac:dyDescent="0.3">
      <c r="A463" t="s">
        <v>24</v>
      </c>
      <c r="B463" t="s">
        <v>59</v>
      </c>
      <c r="C463" s="22">
        <f>SUMIFS(Global_trade!I463:I962,Global_trade!F463:F962,B463,Global_trade!N463:N962,A463)</f>
        <v>4389.8999999999996</v>
      </c>
      <c r="D463" s="22">
        <f>SUMIFS(Global_trade!K463:K962,Global_trade!F463:F962,'Q6'!B463,Global_trade!N463:N962,'Q6'!A463)</f>
        <v>1476.57</v>
      </c>
      <c r="E463" s="22">
        <f>AVERAGEIFS(Global_trade!I463:I962,Global_trade!F463:F962,'Q6'!B463,Global_trade!N463:N962,'Q6'!A463)</f>
        <v>1463.3</v>
      </c>
      <c r="F463" s="22">
        <f>AVERAGEIFS(Global_trade!K463:K962,Global_trade!F463:F962,'Q6'!B463,Global_trade!N463:N962,'Q6'!A463)</f>
        <v>492.19</v>
      </c>
    </row>
    <row r="464" spans="1:6" x14ac:dyDescent="0.3">
      <c r="A464" t="s">
        <v>66</v>
      </c>
      <c r="B464" t="s">
        <v>59</v>
      </c>
      <c r="C464" s="22">
        <f>SUMIFS(Global_trade!I464:I963,Global_trade!F464:F963,B464,Global_trade!N464:N963,A464)</f>
        <v>2844.79</v>
      </c>
      <c r="D464" s="22">
        <f>SUMIFS(Global_trade!K464:K963,Global_trade!F464:F963,'Q6'!B464,Global_trade!N464:N963,'Q6'!A464)</f>
        <v>826.75</v>
      </c>
      <c r="E464" s="22">
        <f>AVERAGEIFS(Global_trade!I464:I963,Global_trade!F464:F963,'Q6'!B464,Global_trade!N464:N963,'Q6'!A464)</f>
        <v>948.26333333333332</v>
      </c>
      <c r="F464" s="22">
        <f>AVERAGEIFS(Global_trade!K464:K963,Global_trade!F464:F963,'Q6'!B464,Global_trade!N464:N963,'Q6'!A464)</f>
        <v>275.58333333333331</v>
      </c>
    </row>
    <row r="465" spans="1:6" x14ac:dyDescent="0.3">
      <c r="A465" t="s">
        <v>66</v>
      </c>
      <c r="B465" t="s">
        <v>65</v>
      </c>
      <c r="C465" s="22">
        <f>SUMIFS(Global_trade!I465:I964,Global_trade!F465:F964,B465,Global_trade!N465:N964,A465)</f>
        <v>2222.4</v>
      </c>
      <c r="D465" s="22">
        <f>SUMIFS(Global_trade!K465:K964,Global_trade!F465:F964,'Q6'!B465,Global_trade!N465:N964,'Q6'!A465)</f>
        <v>583.16</v>
      </c>
      <c r="E465" s="22">
        <f>AVERAGEIFS(Global_trade!I465:I964,Global_trade!F465:F964,'Q6'!B465,Global_trade!N465:N964,'Q6'!A465)</f>
        <v>1111.2</v>
      </c>
      <c r="F465" s="22">
        <f>AVERAGEIFS(Global_trade!K465:K964,Global_trade!F465:F964,'Q6'!B465,Global_trade!N465:N964,'Q6'!A465)</f>
        <v>291.58</v>
      </c>
    </row>
    <row r="466" spans="1:6" x14ac:dyDescent="0.3">
      <c r="A466" t="s">
        <v>66</v>
      </c>
      <c r="B466" t="s">
        <v>59</v>
      </c>
      <c r="C466" s="22">
        <f>SUMIFS(Global_trade!I466:I965,Global_trade!F466:F965,B466,Global_trade!N466:N965,A466)</f>
        <v>2609.3900000000003</v>
      </c>
      <c r="D466" s="22">
        <f>SUMIFS(Global_trade!K466:K965,Global_trade!F466:F965,'Q6'!B466,Global_trade!N466:N965,'Q6'!A466)</f>
        <v>773.49</v>
      </c>
      <c r="E466" s="22">
        <f>AVERAGEIFS(Global_trade!I466:I965,Global_trade!F466:F965,'Q6'!B466,Global_trade!N466:N965,'Q6'!A466)</f>
        <v>1304.6950000000002</v>
      </c>
      <c r="F466" s="22">
        <f>AVERAGEIFS(Global_trade!K466:K965,Global_trade!F466:F965,'Q6'!B466,Global_trade!N466:N965,'Q6'!A466)</f>
        <v>386.745</v>
      </c>
    </row>
    <row r="467" spans="1:6" x14ac:dyDescent="0.3">
      <c r="A467" t="s">
        <v>66</v>
      </c>
      <c r="B467" t="s">
        <v>21</v>
      </c>
      <c r="C467" s="22">
        <f>SUMIFS(Global_trade!I467:I966,Global_trade!F467:F966,B467,Global_trade!N467:N966,A467)</f>
        <v>2740.69</v>
      </c>
      <c r="D467" s="22">
        <f>SUMIFS(Global_trade!K467:K966,Global_trade!F467:F966,'Q6'!B467,Global_trade!N467:N966,'Q6'!A467)</f>
        <v>835.09000000000015</v>
      </c>
      <c r="E467" s="22">
        <f>AVERAGEIFS(Global_trade!I467:I966,Global_trade!F467:F966,'Q6'!B467,Global_trade!N467:N966,'Q6'!A467)</f>
        <v>548.13800000000003</v>
      </c>
      <c r="F467" s="22">
        <f>AVERAGEIFS(Global_trade!K467:K966,Global_trade!F467:F966,'Q6'!B467,Global_trade!N467:N966,'Q6'!A467)</f>
        <v>167.01800000000003</v>
      </c>
    </row>
    <row r="468" spans="1:6" x14ac:dyDescent="0.3">
      <c r="A468" t="s">
        <v>45</v>
      </c>
      <c r="B468" t="s">
        <v>43</v>
      </c>
      <c r="C468" s="22">
        <f>SUMIFS(Global_trade!I468:I967,Global_trade!F468:F967,B468,Global_trade!N468:N967,A468)</f>
        <v>1322.8600000000001</v>
      </c>
      <c r="D468" s="22">
        <f>SUMIFS(Global_trade!K468:K967,Global_trade!F468:F967,'Q6'!B468,Global_trade!N468:N967,'Q6'!A468)</f>
        <v>346.07</v>
      </c>
      <c r="E468" s="22">
        <f>AVERAGEIFS(Global_trade!I468:I967,Global_trade!F468:F967,'Q6'!B468,Global_trade!N468:N967,'Q6'!A468)</f>
        <v>661.43000000000006</v>
      </c>
      <c r="F468" s="22">
        <f>AVERAGEIFS(Global_trade!K468:K967,Global_trade!F468:F967,'Q6'!B468,Global_trade!N468:N967,'Q6'!A468)</f>
        <v>173.035</v>
      </c>
    </row>
    <row r="469" spans="1:6" x14ac:dyDescent="0.3">
      <c r="A469" t="s">
        <v>24</v>
      </c>
      <c r="B469" t="s">
        <v>59</v>
      </c>
      <c r="C469" s="22">
        <f>SUMIFS(Global_trade!I469:I968,Global_trade!F469:F968,B469,Global_trade!N469:N968,A469)</f>
        <v>3524.88</v>
      </c>
      <c r="D469" s="22">
        <f>SUMIFS(Global_trade!K469:K968,Global_trade!F469:F968,'Q6'!B469,Global_trade!N469:N968,'Q6'!A469)</f>
        <v>1242.28</v>
      </c>
      <c r="E469" s="22">
        <f>AVERAGEIFS(Global_trade!I469:I968,Global_trade!F469:F968,'Q6'!B469,Global_trade!N469:N968,'Q6'!A469)</f>
        <v>1762.44</v>
      </c>
      <c r="F469" s="22">
        <f>AVERAGEIFS(Global_trade!K469:K968,Global_trade!F469:F968,'Q6'!B469,Global_trade!N469:N968,'Q6'!A469)</f>
        <v>621.14</v>
      </c>
    </row>
    <row r="470" spans="1:6" x14ac:dyDescent="0.3">
      <c r="A470" t="s">
        <v>66</v>
      </c>
      <c r="B470" t="s">
        <v>43</v>
      </c>
      <c r="C470" s="22">
        <f>SUMIFS(Global_trade!I470:I969,Global_trade!F470:F969,B470,Global_trade!N470:N969,A470)</f>
        <v>981.81999999999994</v>
      </c>
      <c r="D470" s="22">
        <f>SUMIFS(Global_trade!K470:K969,Global_trade!F470:F969,'Q6'!B470,Global_trade!N470:N969,'Q6'!A470)</f>
        <v>264.32</v>
      </c>
      <c r="E470" s="22">
        <f>AVERAGEIFS(Global_trade!I470:I969,Global_trade!F470:F969,'Q6'!B470,Global_trade!N470:N969,'Q6'!A470)</f>
        <v>490.90999999999997</v>
      </c>
      <c r="F470" s="22">
        <f>AVERAGEIFS(Global_trade!K470:K969,Global_trade!F470:F969,'Q6'!B470,Global_trade!N470:N969,'Q6'!A470)</f>
        <v>132.16</v>
      </c>
    </row>
    <row r="471" spans="1:6" x14ac:dyDescent="0.3">
      <c r="A471" t="s">
        <v>66</v>
      </c>
      <c r="B471" t="s">
        <v>59</v>
      </c>
      <c r="C471" s="22">
        <f>SUMIFS(Global_trade!I471:I970,Global_trade!F471:F970,B471,Global_trade!N471:N970,A471)</f>
        <v>1228.4000000000001</v>
      </c>
      <c r="D471" s="22">
        <f>SUMIFS(Global_trade!K471:K970,Global_trade!F471:F970,'Q6'!B471,Global_trade!N471:N970,'Q6'!A471)</f>
        <v>354.56</v>
      </c>
      <c r="E471" s="22">
        <f>AVERAGEIFS(Global_trade!I471:I970,Global_trade!F471:F970,'Q6'!B471,Global_trade!N471:N970,'Q6'!A471)</f>
        <v>1228.4000000000001</v>
      </c>
      <c r="F471" s="22">
        <f>AVERAGEIFS(Global_trade!K471:K970,Global_trade!F471:F970,'Q6'!B471,Global_trade!N471:N970,'Q6'!A471)</f>
        <v>354.56</v>
      </c>
    </row>
    <row r="472" spans="1:6" x14ac:dyDescent="0.3">
      <c r="A472" t="s">
        <v>66</v>
      </c>
      <c r="B472" t="s">
        <v>21</v>
      </c>
      <c r="C472" s="22">
        <f>SUMIFS(Global_trade!I472:I971,Global_trade!F472:F971,B472,Global_trade!N472:N971,A472)</f>
        <v>2385.14</v>
      </c>
      <c r="D472" s="22">
        <f>SUMIFS(Global_trade!K472:K971,Global_trade!F472:F971,'Q6'!B472,Global_trade!N472:N971,'Q6'!A472)</f>
        <v>739.77</v>
      </c>
      <c r="E472" s="22">
        <f>AVERAGEIFS(Global_trade!I472:I971,Global_trade!F472:F971,'Q6'!B472,Global_trade!N472:N971,'Q6'!A472)</f>
        <v>596.28499999999997</v>
      </c>
      <c r="F472" s="22">
        <f>AVERAGEIFS(Global_trade!K472:K971,Global_trade!F472:F971,'Q6'!B472,Global_trade!N472:N971,'Q6'!A472)</f>
        <v>184.9425</v>
      </c>
    </row>
    <row r="473" spans="1:6" x14ac:dyDescent="0.3">
      <c r="A473" t="s">
        <v>102</v>
      </c>
      <c r="B473" t="s">
        <v>21</v>
      </c>
      <c r="C473" s="22">
        <f>SUMIFS(Global_trade!I473:I972,Global_trade!F473:F972,B473,Global_trade!N473:N972,A473)</f>
        <v>553.66</v>
      </c>
      <c r="D473" s="22">
        <f>SUMIFS(Global_trade!K473:K972,Global_trade!F473:F972,'Q6'!B473,Global_trade!N473:N972,'Q6'!A473)</f>
        <v>191.96</v>
      </c>
      <c r="E473" s="22">
        <f>AVERAGEIFS(Global_trade!I473:I972,Global_trade!F473:F972,'Q6'!B473,Global_trade!N473:N972,'Q6'!A473)</f>
        <v>553.66</v>
      </c>
      <c r="F473" s="22">
        <f>AVERAGEIFS(Global_trade!K473:K972,Global_trade!F473:F972,'Q6'!B473,Global_trade!N473:N972,'Q6'!A473)</f>
        <v>191.96</v>
      </c>
    </row>
    <row r="474" spans="1:6" x14ac:dyDescent="0.3">
      <c r="A474" t="s">
        <v>66</v>
      </c>
      <c r="B474" t="s">
        <v>21</v>
      </c>
      <c r="C474" s="22">
        <f>SUMIFS(Global_trade!I474:I973,Global_trade!F474:F973,B474,Global_trade!N474:N973,A474)</f>
        <v>2166.66</v>
      </c>
      <c r="D474" s="22">
        <f>SUMIFS(Global_trade!K474:K973,Global_trade!F474:F973,'Q6'!B474,Global_trade!N474:N973,'Q6'!A474)</f>
        <v>674.8</v>
      </c>
      <c r="E474" s="22">
        <f>AVERAGEIFS(Global_trade!I474:I973,Global_trade!F474:F973,'Q6'!B474,Global_trade!N474:N973,'Q6'!A474)</f>
        <v>722.21999999999991</v>
      </c>
      <c r="F474" s="22">
        <f>AVERAGEIFS(Global_trade!K474:K973,Global_trade!F474:F973,'Q6'!B474,Global_trade!N474:N973,'Q6'!A474)</f>
        <v>224.93333333333331</v>
      </c>
    </row>
    <row r="475" spans="1:6" x14ac:dyDescent="0.3">
      <c r="A475" t="s">
        <v>66</v>
      </c>
      <c r="B475" t="s">
        <v>21</v>
      </c>
      <c r="C475" s="22">
        <f>SUMIFS(Global_trade!I475:I974,Global_trade!F475:F974,B475,Global_trade!N475:N974,A475)</f>
        <v>1834.1999999999998</v>
      </c>
      <c r="D475" s="22">
        <f>SUMIFS(Global_trade!K475:K974,Global_trade!F475:F974,'Q6'!B475,Global_trade!N475:N974,'Q6'!A475)</f>
        <v>567.91000000000008</v>
      </c>
      <c r="E475" s="22">
        <f>AVERAGEIFS(Global_trade!I475:I974,Global_trade!F475:F974,'Q6'!B475,Global_trade!N475:N974,'Q6'!A475)</f>
        <v>917.09999999999991</v>
      </c>
      <c r="F475" s="22">
        <f>AVERAGEIFS(Global_trade!K475:K974,Global_trade!F475:F974,'Q6'!B475,Global_trade!N475:N974,'Q6'!A475)</f>
        <v>283.95500000000004</v>
      </c>
    </row>
    <row r="476" spans="1:6" x14ac:dyDescent="0.3">
      <c r="A476" t="s">
        <v>45</v>
      </c>
      <c r="B476" t="s">
        <v>59</v>
      </c>
      <c r="C476" s="22">
        <f>SUMIFS(Global_trade!I476:I975,Global_trade!F476:F975,B476,Global_trade!N476:N975,A476)</f>
        <v>706.42</v>
      </c>
      <c r="D476" s="22">
        <f>SUMIFS(Global_trade!K476:K975,Global_trade!F476:F975,'Q6'!B476,Global_trade!N476:N975,'Q6'!A476)</f>
        <v>87.48</v>
      </c>
      <c r="E476" s="22">
        <f>AVERAGEIFS(Global_trade!I476:I975,Global_trade!F476:F975,'Q6'!B476,Global_trade!N476:N975,'Q6'!A476)</f>
        <v>706.42</v>
      </c>
      <c r="F476" s="22">
        <f>AVERAGEIFS(Global_trade!K476:K975,Global_trade!F476:F975,'Q6'!B476,Global_trade!N476:N975,'Q6'!A476)</f>
        <v>87.48</v>
      </c>
    </row>
    <row r="477" spans="1:6" x14ac:dyDescent="0.3">
      <c r="A477" t="s">
        <v>66</v>
      </c>
      <c r="B477" t="s">
        <v>21</v>
      </c>
      <c r="C477" s="22">
        <f>SUMIFS(Global_trade!I477:I976,Global_trade!F477:F976,B477,Global_trade!N477:N976,A477)</f>
        <v>438.84</v>
      </c>
      <c r="D477" s="22">
        <f>SUMIFS(Global_trade!K477:K976,Global_trade!F477:F976,'Q6'!B477,Global_trade!N477:N976,'Q6'!A477)</f>
        <v>106.93</v>
      </c>
      <c r="E477" s="22">
        <f>AVERAGEIFS(Global_trade!I477:I976,Global_trade!F477:F976,'Q6'!B477,Global_trade!N477:N976,'Q6'!A477)</f>
        <v>438.84</v>
      </c>
      <c r="F477" s="22">
        <f>AVERAGEIFS(Global_trade!K477:K976,Global_trade!F477:F976,'Q6'!B477,Global_trade!N477:N976,'Q6'!A477)</f>
        <v>106.93</v>
      </c>
    </row>
    <row r="478" spans="1:6" x14ac:dyDescent="0.3">
      <c r="A478" t="s">
        <v>32</v>
      </c>
      <c r="B478" t="s">
        <v>59</v>
      </c>
      <c r="C478" s="22">
        <f>SUMIFS(Global_trade!I478:I977,Global_trade!F478:F977,B478,Global_trade!N478:N977,A478)</f>
        <v>2451.3200000000002</v>
      </c>
      <c r="D478" s="22">
        <f>SUMIFS(Global_trade!K478:K977,Global_trade!F478:F977,'Q6'!B478,Global_trade!N478:N977,'Q6'!A478)</f>
        <v>574.7299999999999</v>
      </c>
      <c r="E478" s="22">
        <f>AVERAGEIFS(Global_trade!I478:I977,Global_trade!F478:F977,'Q6'!B478,Global_trade!N478:N977,'Q6'!A478)</f>
        <v>817.10666666666668</v>
      </c>
      <c r="F478" s="22">
        <f>AVERAGEIFS(Global_trade!K478:K977,Global_trade!F478:F977,'Q6'!B478,Global_trade!N478:N977,'Q6'!A478)</f>
        <v>191.57666666666663</v>
      </c>
    </row>
    <row r="479" spans="1:6" x14ac:dyDescent="0.3">
      <c r="A479" t="s">
        <v>45</v>
      </c>
      <c r="B479" t="s">
        <v>43</v>
      </c>
      <c r="C479" s="22">
        <f>SUMIFS(Global_trade!I479:I978,Global_trade!F479:F978,B479,Global_trade!N479:N978,A479)</f>
        <v>479.66</v>
      </c>
      <c r="D479" s="22">
        <f>SUMIFS(Global_trade!K479:K978,Global_trade!F479:F978,'Q6'!B479,Global_trade!N479:N978,'Q6'!A479)</f>
        <v>79.680000000000007</v>
      </c>
      <c r="E479" s="22">
        <f>AVERAGEIFS(Global_trade!I479:I978,Global_trade!F479:F978,'Q6'!B479,Global_trade!N479:N978,'Q6'!A479)</f>
        <v>479.66</v>
      </c>
      <c r="F479" s="22">
        <f>AVERAGEIFS(Global_trade!K479:K978,Global_trade!F479:F978,'Q6'!B479,Global_trade!N479:N978,'Q6'!A479)</f>
        <v>79.680000000000007</v>
      </c>
    </row>
    <row r="480" spans="1:6" x14ac:dyDescent="0.3">
      <c r="A480" t="s">
        <v>148</v>
      </c>
      <c r="B480" t="s">
        <v>65</v>
      </c>
      <c r="C480" s="22">
        <f>SUMIFS(Global_trade!I480:I979,Global_trade!F480:F979,B480,Global_trade!N480:N979,A480)</f>
        <v>490.16</v>
      </c>
      <c r="D480" s="22">
        <f>SUMIFS(Global_trade!K480:K979,Global_trade!F480:F979,'Q6'!B480,Global_trade!N480:N979,'Q6'!A480)</f>
        <v>191.19</v>
      </c>
      <c r="E480" s="22">
        <f>AVERAGEIFS(Global_trade!I480:I979,Global_trade!F480:F979,'Q6'!B480,Global_trade!N480:N979,'Q6'!A480)</f>
        <v>490.16</v>
      </c>
      <c r="F480" s="22">
        <f>AVERAGEIFS(Global_trade!K480:K979,Global_trade!F480:F979,'Q6'!B480,Global_trade!N480:N979,'Q6'!A480)</f>
        <v>191.19</v>
      </c>
    </row>
    <row r="481" spans="1:6" x14ac:dyDescent="0.3">
      <c r="A481" t="s">
        <v>24</v>
      </c>
      <c r="B481" t="s">
        <v>43</v>
      </c>
      <c r="C481" s="22">
        <f>SUMIFS(Global_trade!I481:I980,Global_trade!F481:F980,B481,Global_trade!N481:N980,A481)</f>
        <v>2574.34</v>
      </c>
      <c r="D481" s="22">
        <f>SUMIFS(Global_trade!K481:K980,Global_trade!F481:F980,'Q6'!B481,Global_trade!N481:N980,'Q6'!A481)</f>
        <v>548.68999999999994</v>
      </c>
      <c r="E481" s="22">
        <f>AVERAGEIFS(Global_trade!I481:I980,Global_trade!F481:F980,'Q6'!B481,Global_trade!N481:N980,'Q6'!A481)</f>
        <v>1287.17</v>
      </c>
      <c r="F481" s="22">
        <f>AVERAGEIFS(Global_trade!K481:K980,Global_trade!F481:F980,'Q6'!B481,Global_trade!N481:N980,'Q6'!A481)</f>
        <v>274.34499999999997</v>
      </c>
    </row>
    <row r="482" spans="1:6" x14ac:dyDescent="0.3">
      <c r="A482" t="s">
        <v>24</v>
      </c>
      <c r="B482" t="s">
        <v>21</v>
      </c>
      <c r="C482" s="22">
        <f>SUMIFS(Global_trade!I482:I981,Global_trade!F482:F981,B482,Global_trade!N482:N981,A482)</f>
        <v>675.3</v>
      </c>
      <c r="D482" s="22">
        <f>SUMIFS(Global_trade!K482:K981,Global_trade!F482:F981,'Q6'!B482,Global_trade!N482:N981,'Q6'!A482)</f>
        <v>109.04</v>
      </c>
      <c r="E482" s="22">
        <f>AVERAGEIFS(Global_trade!I482:I981,Global_trade!F482:F981,'Q6'!B482,Global_trade!N482:N981,'Q6'!A482)</f>
        <v>675.3</v>
      </c>
      <c r="F482" s="22">
        <f>AVERAGEIFS(Global_trade!K482:K981,Global_trade!F482:F981,'Q6'!B482,Global_trade!N482:N981,'Q6'!A482)</f>
        <v>109.04</v>
      </c>
    </row>
    <row r="483" spans="1:6" x14ac:dyDescent="0.3">
      <c r="A483" t="s">
        <v>148</v>
      </c>
      <c r="B483" t="s">
        <v>59</v>
      </c>
      <c r="C483" s="22">
        <f>SUMIFS(Global_trade!I483:I982,Global_trade!F483:F982,B483,Global_trade!N483:N982,A483)</f>
        <v>1683.96</v>
      </c>
      <c r="D483" s="22">
        <f>SUMIFS(Global_trade!K483:K982,Global_trade!F483:F982,'Q6'!B483,Global_trade!N483:N982,'Q6'!A483)</f>
        <v>577.70000000000005</v>
      </c>
      <c r="E483" s="22">
        <f>AVERAGEIFS(Global_trade!I483:I982,Global_trade!F483:F982,'Q6'!B483,Global_trade!N483:N982,'Q6'!A483)</f>
        <v>841.98</v>
      </c>
      <c r="F483" s="22">
        <f>AVERAGEIFS(Global_trade!K483:K982,Global_trade!F483:F982,'Q6'!B483,Global_trade!N483:N982,'Q6'!A483)</f>
        <v>288.85000000000002</v>
      </c>
    </row>
    <row r="484" spans="1:6" x14ac:dyDescent="0.3">
      <c r="A484" t="s">
        <v>32</v>
      </c>
      <c r="B484" t="s">
        <v>59</v>
      </c>
      <c r="C484" s="22">
        <f>SUMIFS(Global_trade!I484:I983,Global_trade!F484:F983,B484,Global_trade!N484:N983,A484)</f>
        <v>1222.55</v>
      </c>
      <c r="D484" s="22">
        <f>SUMIFS(Global_trade!K484:K983,Global_trade!F484:F983,'Q6'!B484,Global_trade!N484:N983,'Q6'!A484)</f>
        <v>274.58</v>
      </c>
      <c r="E484" s="22">
        <f>AVERAGEIFS(Global_trade!I484:I983,Global_trade!F484:F983,'Q6'!B484,Global_trade!N484:N983,'Q6'!A484)</f>
        <v>611.27499999999998</v>
      </c>
      <c r="F484" s="22">
        <f>AVERAGEIFS(Global_trade!K484:K983,Global_trade!F484:F983,'Q6'!B484,Global_trade!N484:N983,'Q6'!A484)</f>
        <v>137.29</v>
      </c>
    </row>
    <row r="485" spans="1:6" x14ac:dyDescent="0.3">
      <c r="A485" t="s">
        <v>148</v>
      </c>
      <c r="B485" t="s">
        <v>50</v>
      </c>
      <c r="C485" s="22">
        <f>SUMIFS(Global_trade!I485:I984,Global_trade!F485:F984,B485,Global_trade!N485:N984,A485)</f>
        <v>4854.7</v>
      </c>
      <c r="D485" s="22">
        <f>SUMIFS(Global_trade!K485:K984,Global_trade!F485:F984,'Q6'!B485,Global_trade!N485:N984,'Q6'!A485)</f>
        <v>1227.1599999999999</v>
      </c>
      <c r="E485" s="22">
        <f>AVERAGEIFS(Global_trade!I485:I984,Global_trade!F485:F984,'Q6'!B485,Global_trade!N485:N984,'Q6'!A485)</f>
        <v>2427.35</v>
      </c>
      <c r="F485" s="22">
        <f>AVERAGEIFS(Global_trade!K485:K984,Global_trade!F485:F984,'Q6'!B485,Global_trade!N485:N984,'Q6'!A485)</f>
        <v>613.57999999999993</v>
      </c>
    </row>
    <row r="486" spans="1:6" x14ac:dyDescent="0.3">
      <c r="A486" t="s">
        <v>102</v>
      </c>
      <c r="B486" t="s">
        <v>59</v>
      </c>
      <c r="C486" s="22">
        <f>SUMIFS(Global_trade!I486:I985,Global_trade!F486:F985,B486,Global_trade!N486:N985,A486)</f>
        <v>446.88</v>
      </c>
      <c r="D486" s="22">
        <f>SUMIFS(Global_trade!K486:K985,Global_trade!F486:F985,'Q6'!B486,Global_trade!N486:N985,'Q6'!A486)</f>
        <v>47.97</v>
      </c>
      <c r="E486" s="22">
        <f>AVERAGEIFS(Global_trade!I486:I985,Global_trade!F486:F985,'Q6'!B486,Global_trade!N486:N985,'Q6'!A486)</f>
        <v>446.88</v>
      </c>
      <c r="F486" s="22">
        <f>AVERAGEIFS(Global_trade!K486:K985,Global_trade!F486:F985,'Q6'!B486,Global_trade!N486:N985,'Q6'!A486)</f>
        <v>47.97</v>
      </c>
    </row>
    <row r="487" spans="1:6" x14ac:dyDescent="0.3">
      <c r="A487" t="s">
        <v>66</v>
      </c>
      <c r="B487" t="s">
        <v>50</v>
      </c>
      <c r="C487" s="22">
        <f>SUMIFS(Global_trade!I487:I986,Global_trade!F487:F986,B487,Global_trade!N487:N986,A487)</f>
        <v>3249.1400000000003</v>
      </c>
      <c r="D487" s="22">
        <f>SUMIFS(Global_trade!K487:K986,Global_trade!F487:F986,'Q6'!B487,Global_trade!N487:N986,'Q6'!A487)</f>
        <v>549.73</v>
      </c>
      <c r="E487" s="22">
        <f>AVERAGEIFS(Global_trade!I487:I986,Global_trade!F487:F986,'Q6'!B487,Global_trade!N487:N986,'Q6'!A487)</f>
        <v>1083.0466666666669</v>
      </c>
      <c r="F487" s="22">
        <f>AVERAGEIFS(Global_trade!K487:K986,Global_trade!F487:F986,'Q6'!B487,Global_trade!N487:N986,'Q6'!A487)</f>
        <v>183.24333333333334</v>
      </c>
    </row>
    <row r="488" spans="1:6" x14ac:dyDescent="0.3">
      <c r="A488" t="s">
        <v>66</v>
      </c>
      <c r="B488" t="s">
        <v>50</v>
      </c>
      <c r="C488" s="22">
        <f>SUMIFS(Global_trade!I488:I987,Global_trade!F488:F987,B488,Global_trade!N488:N987,A488)</f>
        <v>2757.6400000000003</v>
      </c>
      <c r="D488" s="22">
        <f>SUMIFS(Global_trade!K488:K987,Global_trade!F488:F987,'Q6'!B488,Global_trade!N488:N987,'Q6'!A488)</f>
        <v>471.53000000000003</v>
      </c>
      <c r="E488" s="22">
        <f>AVERAGEIFS(Global_trade!I488:I987,Global_trade!F488:F987,'Q6'!B488,Global_trade!N488:N987,'Q6'!A488)</f>
        <v>1378.8200000000002</v>
      </c>
      <c r="F488" s="22">
        <f>AVERAGEIFS(Global_trade!K488:K987,Global_trade!F488:F987,'Q6'!B488,Global_trade!N488:N987,'Q6'!A488)</f>
        <v>235.76500000000001</v>
      </c>
    </row>
    <row r="489" spans="1:6" x14ac:dyDescent="0.3">
      <c r="A489" t="s">
        <v>66</v>
      </c>
      <c r="B489" t="s">
        <v>65</v>
      </c>
      <c r="C489" s="22">
        <f>SUMIFS(Global_trade!I489:I988,Global_trade!F489:F988,B489,Global_trade!N489:N988,A489)</f>
        <v>1460.94</v>
      </c>
      <c r="D489" s="22">
        <f>SUMIFS(Global_trade!K489:K988,Global_trade!F489:F988,'Q6'!B489,Global_trade!N489:N988,'Q6'!A489)</f>
        <v>403.69</v>
      </c>
      <c r="E489" s="22">
        <f>AVERAGEIFS(Global_trade!I489:I988,Global_trade!F489:F988,'Q6'!B489,Global_trade!N489:N988,'Q6'!A489)</f>
        <v>1460.94</v>
      </c>
      <c r="F489" s="22">
        <f>AVERAGEIFS(Global_trade!K489:K988,Global_trade!F489:F988,'Q6'!B489,Global_trade!N489:N988,'Q6'!A489)</f>
        <v>403.69</v>
      </c>
    </row>
    <row r="490" spans="1:6" x14ac:dyDescent="0.3">
      <c r="A490" t="s">
        <v>32</v>
      </c>
      <c r="B490" t="s">
        <v>43</v>
      </c>
      <c r="C490" s="22">
        <f>SUMIFS(Global_trade!I490:I989,Global_trade!F490:F989,B490,Global_trade!N490:N989,A490)</f>
        <v>771.26</v>
      </c>
      <c r="D490" s="22">
        <f>SUMIFS(Global_trade!K490:K989,Global_trade!F490:F989,'Q6'!B490,Global_trade!N490:N989,'Q6'!A490)</f>
        <v>208.57999999999998</v>
      </c>
      <c r="E490" s="22">
        <f>AVERAGEIFS(Global_trade!I490:I989,Global_trade!F490:F989,'Q6'!B490,Global_trade!N490:N989,'Q6'!A490)</f>
        <v>385.63</v>
      </c>
      <c r="F490" s="22">
        <f>AVERAGEIFS(Global_trade!K490:K989,Global_trade!F490:F989,'Q6'!B490,Global_trade!N490:N989,'Q6'!A490)</f>
        <v>104.28999999999999</v>
      </c>
    </row>
    <row r="491" spans="1:6" x14ac:dyDescent="0.3">
      <c r="A491" t="s">
        <v>24</v>
      </c>
      <c r="B491" t="s">
        <v>43</v>
      </c>
      <c r="C491" s="22">
        <f>SUMIFS(Global_trade!I491:I990,Global_trade!F491:F990,B491,Global_trade!N491:N990,A491)</f>
        <v>335.34</v>
      </c>
      <c r="D491" s="22">
        <f>SUMIFS(Global_trade!K491:K990,Global_trade!F491:F990,'Q6'!B491,Global_trade!N491:N990,'Q6'!A491)</f>
        <v>79.66</v>
      </c>
      <c r="E491" s="22">
        <f>AVERAGEIFS(Global_trade!I491:I990,Global_trade!F491:F990,'Q6'!B491,Global_trade!N491:N990,'Q6'!A491)</f>
        <v>335.34</v>
      </c>
      <c r="F491" s="22">
        <f>AVERAGEIFS(Global_trade!K491:K990,Global_trade!F491:F990,'Q6'!B491,Global_trade!N491:N990,'Q6'!A491)</f>
        <v>79.66</v>
      </c>
    </row>
    <row r="492" spans="1:6" x14ac:dyDescent="0.3">
      <c r="A492" t="s">
        <v>148</v>
      </c>
      <c r="B492" t="s">
        <v>59</v>
      </c>
      <c r="C492" s="22">
        <f>SUMIFS(Global_trade!I492:I991,Global_trade!F492:F991,B492,Global_trade!N492:N991,A492)</f>
        <v>324.95999999999998</v>
      </c>
      <c r="D492" s="22">
        <f>SUMIFS(Global_trade!K492:K991,Global_trade!F492:F991,'Q6'!B492,Global_trade!N492:N991,'Q6'!A492)</f>
        <v>39.369999999999997</v>
      </c>
      <c r="E492" s="22">
        <f>AVERAGEIFS(Global_trade!I492:I991,Global_trade!F492:F991,'Q6'!B492,Global_trade!N492:N991,'Q6'!A492)</f>
        <v>324.95999999999998</v>
      </c>
      <c r="F492" s="22">
        <f>AVERAGEIFS(Global_trade!K492:K991,Global_trade!F492:F991,'Q6'!B492,Global_trade!N492:N991,'Q6'!A492)</f>
        <v>39.369999999999997</v>
      </c>
    </row>
    <row r="493" spans="1:6" x14ac:dyDescent="0.3">
      <c r="A493" t="s">
        <v>32</v>
      </c>
      <c r="B493" t="s">
        <v>65</v>
      </c>
      <c r="C493" s="22">
        <f>SUMIFS(Global_trade!I493:I992,Global_trade!F493:F992,B493,Global_trade!N493:N992,A493)</f>
        <v>1610.5</v>
      </c>
      <c r="D493" s="22">
        <f>SUMIFS(Global_trade!K493:K992,Global_trade!F493:F992,'Q6'!B493,Global_trade!N493:N992,'Q6'!A493)</f>
        <v>327.82</v>
      </c>
      <c r="E493" s="22">
        <f>AVERAGEIFS(Global_trade!I493:I992,Global_trade!F493:F992,'Q6'!B493,Global_trade!N493:N992,'Q6'!A493)</f>
        <v>1610.5</v>
      </c>
      <c r="F493" s="22">
        <f>AVERAGEIFS(Global_trade!K493:K992,Global_trade!F493:F992,'Q6'!B493,Global_trade!N493:N992,'Q6'!A493)</f>
        <v>327.82</v>
      </c>
    </row>
    <row r="494" spans="1:6" x14ac:dyDescent="0.3">
      <c r="A494" t="s">
        <v>102</v>
      </c>
      <c r="B494" t="s">
        <v>43</v>
      </c>
      <c r="C494" s="22">
        <f>SUMIFS(Global_trade!I494:I993,Global_trade!F494:F993,B494,Global_trade!N494:N993,A494)</f>
        <v>1008.91</v>
      </c>
      <c r="D494" s="22">
        <f>SUMIFS(Global_trade!K494:K993,Global_trade!F494:F993,'Q6'!B494,Global_trade!N494:N993,'Q6'!A494)</f>
        <v>306.13</v>
      </c>
      <c r="E494" s="22">
        <f>AVERAGEIFS(Global_trade!I494:I993,Global_trade!F494:F993,'Q6'!B494,Global_trade!N494:N993,'Q6'!A494)</f>
        <v>1008.91</v>
      </c>
      <c r="F494" s="22">
        <f>AVERAGEIFS(Global_trade!K494:K993,Global_trade!F494:F993,'Q6'!B494,Global_trade!N494:N993,'Q6'!A494)</f>
        <v>306.13</v>
      </c>
    </row>
    <row r="495" spans="1:6" x14ac:dyDescent="0.3">
      <c r="A495" t="s">
        <v>32</v>
      </c>
      <c r="B495" t="s">
        <v>43</v>
      </c>
      <c r="C495" s="22">
        <f>SUMIFS(Global_trade!I495:I994,Global_trade!F495:F994,B495,Global_trade!N495:N994,A495)</f>
        <v>629.86</v>
      </c>
      <c r="D495" s="22">
        <f>SUMIFS(Global_trade!K495:K994,Global_trade!F495:F994,'Q6'!B495,Global_trade!N495:N994,'Q6'!A495)</f>
        <v>160.78</v>
      </c>
      <c r="E495" s="22">
        <f>AVERAGEIFS(Global_trade!I495:I994,Global_trade!F495:F994,'Q6'!B495,Global_trade!N495:N994,'Q6'!A495)</f>
        <v>629.86</v>
      </c>
      <c r="F495" s="22">
        <f>AVERAGEIFS(Global_trade!K495:K994,Global_trade!F495:F994,'Q6'!B495,Global_trade!N495:N994,'Q6'!A495)</f>
        <v>160.78</v>
      </c>
    </row>
    <row r="496" spans="1:6" x14ac:dyDescent="0.3">
      <c r="A496" t="s">
        <v>66</v>
      </c>
      <c r="B496" t="s">
        <v>50</v>
      </c>
      <c r="C496" s="22">
        <f>SUMIFS(Global_trade!I496:I995,Global_trade!F496:F995,B496,Global_trade!N496:N995,A496)</f>
        <v>617.32000000000005</v>
      </c>
      <c r="D496" s="22">
        <f>SUMIFS(Global_trade!K496:K995,Global_trade!F496:F995,'Q6'!B496,Global_trade!N496:N995,'Q6'!A496)</f>
        <v>139.06</v>
      </c>
      <c r="E496" s="22">
        <f>AVERAGEIFS(Global_trade!I496:I995,Global_trade!F496:F995,'Q6'!B496,Global_trade!N496:N995,'Q6'!A496)</f>
        <v>617.32000000000005</v>
      </c>
      <c r="F496" s="22">
        <f>AVERAGEIFS(Global_trade!K496:K995,Global_trade!F496:F995,'Q6'!B496,Global_trade!N496:N995,'Q6'!A496)</f>
        <v>139.06</v>
      </c>
    </row>
    <row r="497" spans="1:6" x14ac:dyDescent="0.3">
      <c r="A497" t="s">
        <v>24</v>
      </c>
      <c r="B497" t="s">
        <v>65</v>
      </c>
      <c r="C497" s="22">
        <f>SUMIFS(Global_trade!I497:I996,Global_trade!F497:F996,B497,Global_trade!N497:N996,A497)</f>
        <v>61.76</v>
      </c>
      <c r="D497" s="22">
        <f>SUMIFS(Global_trade!K497:K996,Global_trade!F497:F996,'Q6'!B497,Global_trade!N497:N996,'Q6'!A497)</f>
        <v>7.34</v>
      </c>
      <c r="E497" s="22">
        <f>AVERAGEIFS(Global_trade!I497:I996,Global_trade!F497:F996,'Q6'!B497,Global_trade!N497:N996,'Q6'!A497)</f>
        <v>61.76</v>
      </c>
      <c r="F497" s="22">
        <f>AVERAGEIFS(Global_trade!K497:K996,Global_trade!F497:F996,'Q6'!B497,Global_trade!N497:N996,'Q6'!A497)</f>
        <v>7.34</v>
      </c>
    </row>
    <row r="498" spans="1:6" x14ac:dyDescent="0.3">
      <c r="A498" t="s">
        <v>148</v>
      </c>
      <c r="B498" t="s">
        <v>50</v>
      </c>
      <c r="C498" s="22">
        <f>SUMIFS(Global_trade!I498:I997,Global_trade!F498:F997,B498,Global_trade!N498:N997,A498)</f>
        <v>2169.1999999999998</v>
      </c>
      <c r="D498" s="22">
        <f>SUMIFS(Global_trade!K498:K997,Global_trade!F498:F997,'Q6'!B498,Global_trade!N498:N997,'Q6'!A498)</f>
        <v>739.55</v>
      </c>
      <c r="E498" s="22">
        <f>AVERAGEIFS(Global_trade!I498:I997,Global_trade!F498:F997,'Q6'!B498,Global_trade!N498:N997,'Q6'!A498)</f>
        <v>2169.1999999999998</v>
      </c>
      <c r="F498" s="22">
        <f>AVERAGEIFS(Global_trade!K498:K997,Global_trade!F498:F997,'Q6'!B498,Global_trade!N498:N997,'Q6'!A498)</f>
        <v>739.55</v>
      </c>
    </row>
    <row r="499" spans="1:6" x14ac:dyDescent="0.3">
      <c r="A499" t="s">
        <v>24</v>
      </c>
      <c r="B499" t="s">
        <v>59</v>
      </c>
      <c r="C499" s="22">
        <f>SUMIFS(Global_trade!I499:I998,Global_trade!F499:F998,B499,Global_trade!N499:N998,A499)</f>
        <v>2230.5</v>
      </c>
      <c r="D499" s="22">
        <f>SUMIFS(Global_trade!K499:K998,Global_trade!F499:F998,'Q6'!B499,Global_trade!N499:N998,'Q6'!A499)</f>
        <v>739.18</v>
      </c>
      <c r="E499" s="22">
        <f>AVERAGEIFS(Global_trade!I499:I998,Global_trade!F499:F998,'Q6'!B499,Global_trade!N499:N998,'Q6'!A499)</f>
        <v>2230.5</v>
      </c>
      <c r="F499" s="22">
        <f>AVERAGEIFS(Global_trade!K499:K998,Global_trade!F499:F998,'Q6'!B499,Global_trade!N499:N998,'Q6'!A499)</f>
        <v>739.18</v>
      </c>
    </row>
    <row r="500" spans="1:6" x14ac:dyDescent="0.3">
      <c r="A500" t="s">
        <v>66</v>
      </c>
      <c r="B500" t="s">
        <v>43</v>
      </c>
      <c r="C500" s="22">
        <f>SUMIFS(Global_trade!I500:I999,Global_trade!F500:F999,B500,Global_trade!N500:N999,A500)</f>
        <v>260.54000000000002</v>
      </c>
      <c r="D500" s="22">
        <f>SUMIFS(Global_trade!K500:K999,Global_trade!F500:F999,'Q6'!B500,Global_trade!N500:N999,'Q6'!A500)</f>
        <v>76.650000000000006</v>
      </c>
      <c r="E500" s="22">
        <f>AVERAGEIFS(Global_trade!I500:I999,Global_trade!F500:F999,'Q6'!B500,Global_trade!N500:N999,'Q6'!A500)</f>
        <v>260.54000000000002</v>
      </c>
      <c r="F500" s="22">
        <f>AVERAGEIFS(Global_trade!K500:K999,Global_trade!F500:F999,'Q6'!B500,Global_trade!N500:N999,'Q6'!A500)</f>
        <v>76.650000000000006</v>
      </c>
    </row>
    <row r="501" spans="1:6" x14ac:dyDescent="0.3">
      <c r="A501" t="s">
        <v>32</v>
      </c>
      <c r="B501" t="s">
        <v>59</v>
      </c>
      <c r="C501" s="22">
        <f>SUMIFS(Global_trade!I501:I1000,Global_trade!F501:F1000,B501,Global_trade!N501:N1000,A501)</f>
        <v>172.27</v>
      </c>
      <c r="D501" s="22">
        <f>SUMIFS(Global_trade!K501:K1000,Global_trade!F501:F1000,'Q6'!B501,Global_trade!N501:N1000,'Q6'!A501)</f>
        <v>54.13</v>
      </c>
      <c r="E501" s="22">
        <f>AVERAGEIFS(Global_trade!I501:I1000,Global_trade!F501:F1000,'Q6'!B501,Global_trade!N501:N1000,'Q6'!A501)</f>
        <v>172.27</v>
      </c>
      <c r="F501" s="22">
        <f>AVERAGEIFS(Global_trade!K501:K1000,Global_trade!F501:F1000,'Q6'!B501,Global_trade!N501:N1000,'Q6'!A501)</f>
        <v>54.13</v>
      </c>
    </row>
  </sheetData>
  <pageMargins left="0.7" right="0.7" top="0.75" bottom="0.75" header="0.3" footer="0.3"/>
  <ignoredErrors>
    <ignoredError sqref="C3:F501" formulaRange="1"/>
  </ignoredErrors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5A769-597A-4C37-A892-0DDF9297D5D7}">
  <dimension ref="A1:R11"/>
  <sheetViews>
    <sheetView workbookViewId="0">
      <selection activeCell="O1" sqref="O1"/>
    </sheetView>
  </sheetViews>
  <sheetFormatPr defaultRowHeight="14.4" x14ac:dyDescent="0.3"/>
  <cols>
    <col min="1" max="1" width="14.77734375" bestFit="1" customWidth="1"/>
    <col min="2" max="2" width="17" bestFit="1" customWidth="1"/>
    <col min="3" max="3" width="15.77734375" bestFit="1" customWidth="1"/>
    <col min="4" max="4" width="7.77734375" bestFit="1" customWidth="1"/>
    <col min="5" max="5" width="16.109375" bestFit="1" customWidth="1"/>
    <col min="6" max="6" width="11.21875" bestFit="1" customWidth="1"/>
    <col min="7" max="7" width="8.33203125" bestFit="1" customWidth="1"/>
    <col min="8" max="8" width="9.77734375" customWidth="1"/>
    <col min="9" max="9" width="11.88671875" customWidth="1"/>
    <col min="10" max="10" width="13.21875" customWidth="1"/>
    <col min="11" max="11" width="7" bestFit="1" customWidth="1"/>
    <col min="12" max="13" width="8.5546875" bestFit="1" customWidth="1"/>
    <col min="15" max="15" width="8.5546875" bestFit="1" customWidth="1"/>
    <col min="16" max="16" width="13.21875" bestFit="1" customWidth="1"/>
    <col min="17" max="17" width="10.21875" bestFit="1" customWidth="1"/>
    <col min="18" max="18" width="7.6640625" bestFit="1" customWidth="1"/>
  </cols>
  <sheetData>
    <row r="1" spans="1:18" ht="28.8" x14ac:dyDescent="0.3">
      <c r="A1" s="24" t="s">
        <v>799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723</v>
      </c>
      <c r="P1" s="24" t="s">
        <v>721</v>
      </c>
      <c r="Q1" s="24" t="s">
        <v>722</v>
      </c>
      <c r="R1" s="24" t="s">
        <v>699</v>
      </c>
    </row>
    <row r="2" spans="1:18" x14ac:dyDescent="0.3">
      <c r="A2" t="s">
        <v>16</v>
      </c>
      <c r="B2" s="25">
        <v>45677</v>
      </c>
      <c r="C2" t="s">
        <v>18</v>
      </c>
      <c r="D2" t="s">
        <v>800</v>
      </c>
      <c r="E2" t="s">
        <v>20</v>
      </c>
      <c r="F2" t="s">
        <v>21</v>
      </c>
      <c r="G2">
        <v>20</v>
      </c>
      <c r="H2">
        <v>55.22</v>
      </c>
      <c r="I2">
        <v>1104.4000000000001</v>
      </c>
      <c r="J2">
        <v>49.36</v>
      </c>
      <c r="K2">
        <v>355.04</v>
      </c>
      <c r="L2" t="s">
        <v>22</v>
      </c>
      <c r="M2" t="s">
        <v>23</v>
      </c>
      <c r="N2" t="s">
        <v>24</v>
      </c>
      <c r="O2">
        <v>35</v>
      </c>
      <c r="P2" t="s">
        <v>741</v>
      </c>
      <c r="Q2" t="s">
        <v>732</v>
      </c>
      <c r="R2" t="s">
        <v>712</v>
      </c>
    </row>
    <row r="3" spans="1:18" x14ac:dyDescent="0.3">
      <c r="A3" t="s">
        <v>25</v>
      </c>
      <c r="B3" s="25">
        <v>45702</v>
      </c>
      <c r="C3" t="s">
        <v>27</v>
      </c>
      <c r="D3" t="s">
        <v>801</v>
      </c>
      <c r="E3" t="s">
        <v>29</v>
      </c>
      <c r="F3" t="s">
        <v>21</v>
      </c>
      <c r="G3">
        <v>33</v>
      </c>
      <c r="H3">
        <v>32.03</v>
      </c>
      <c r="I3">
        <v>1056.99</v>
      </c>
      <c r="J3">
        <v>59.59</v>
      </c>
      <c r="K3">
        <v>403.4</v>
      </c>
      <c r="L3" t="s">
        <v>30</v>
      </c>
      <c r="M3" t="s">
        <v>31</v>
      </c>
      <c r="N3" t="s">
        <v>32</v>
      </c>
      <c r="O3">
        <v>18</v>
      </c>
      <c r="P3" t="s">
        <v>729</v>
      </c>
      <c r="Q3" t="s">
        <v>36</v>
      </c>
      <c r="R3" t="s">
        <v>713</v>
      </c>
    </row>
    <row r="4" spans="1:18" x14ac:dyDescent="0.3">
      <c r="A4" t="s">
        <v>33</v>
      </c>
      <c r="B4" s="25">
        <v>45411</v>
      </c>
      <c r="C4" t="s">
        <v>35</v>
      </c>
      <c r="D4" t="s">
        <v>36</v>
      </c>
      <c r="E4" t="s">
        <v>29</v>
      </c>
      <c r="F4" t="s">
        <v>21</v>
      </c>
      <c r="G4">
        <v>34</v>
      </c>
      <c r="H4">
        <v>28.48</v>
      </c>
      <c r="I4">
        <v>968.32</v>
      </c>
      <c r="J4">
        <v>73.95</v>
      </c>
      <c r="K4">
        <v>282.37</v>
      </c>
      <c r="L4" t="s">
        <v>22</v>
      </c>
      <c r="M4" t="s">
        <v>37</v>
      </c>
      <c r="N4" t="s">
        <v>32</v>
      </c>
      <c r="O4">
        <v>18</v>
      </c>
      <c r="P4" t="s">
        <v>729</v>
      </c>
      <c r="Q4" t="s">
        <v>36</v>
      </c>
      <c r="R4" t="s">
        <v>705</v>
      </c>
    </row>
    <row r="5" spans="1:18" x14ac:dyDescent="0.3">
      <c r="A5" t="s">
        <v>38</v>
      </c>
      <c r="B5" s="25">
        <v>45566</v>
      </c>
      <c r="C5" t="s">
        <v>40</v>
      </c>
      <c r="D5" t="s">
        <v>41</v>
      </c>
      <c r="E5" t="s">
        <v>42</v>
      </c>
      <c r="F5" t="s">
        <v>43</v>
      </c>
      <c r="G5">
        <v>6</v>
      </c>
      <c r="H5">
        <v>56.36</v>
      </c>
      <c r="I5">
        <v>338.16</v>
      </c>
      <c r="J5">
        <v>11.39</v>
      </c>
      <c r="K5">
        <v>134.77000000000001</v>
      </c>
      <c r="L5" t="s">
        <v>44</v>
      </c>
      <c r="M5" t="s">
        <v>31</v>
      </c>
      <c r="N5" t="s">
        <v>45</v>
      </c>
      <c r="O5">
        <v>32</v>
      </c>
      <c r="P5" t="s">
        <v>725</v>
      </c>
      <c r="Q5" t="s">
        <v>63</v>
      </c>
      <c r="R5" t="s">
        <v>709</v>
      </c>
    </row>
    <row r="6" spans="1:18" x14ac:dyDescent="0.3">
      <c r="A6" t="s">
        <v>46</v>
      </c>
      <c r="B6" s="25">
        <v>45703</v>
      </c>
      <c r="C6" t="s">
        <v>47</v>
      </c>
      <c r="D6" t="s">
        <v>48</v>
      </c>
      <c r="E6" t="s">
        <v>49</v>
      </c>
      <c r="F6" t="s">
        <v>50</v>
      </c>
      <c r="G6">
        <v>17</v>
      </c>
      <c r="H6">
        <v>69.22</v>
      </c>
      <c r="I6">
        <v>1176.74</v>
      </c>
      <c r="J6">
        <v>65.94</v>
      </c>
      <c r="K6">
        <v>430.8</v>
      </c>
      <c r="L6" t="s">
        <v>30</v>
      </c>
      <c r="M6" t="s">
        <v>23</v>
      </c>
      <c r="N6" t="s">
        <v>24</v>
      </c>
      <c r="O6">
        <v>40</v>
      </c>
      <c r="P6" t="s">
        <v>744</v>
      </c>
      <c r="Q6" t="s">
        <v>745</v>
      </c>
      <c r="R6" t="s">
        <v>713</v>
      </c>
    </row>
    <row r="7" spans="1:18" x14ac:dyDescent="0.3">
      <c r="A7" t="s">
        <v>51</v>
      </c>
      <c r="B7" s="25">
        <v>45714</v>
      </c>
      <c r="C7" t="s">
        <v>52</v>
      </c>
      <c r="D7" t="s">
        <v>53</v>
      </c>
      <c r="E7" t="s">
        <v>54</v>
      </c>
      <c r="F7" t="s">
        <v>43</v>
      </c>
      <c r="G7">
        <v>13</v>
      </c>
      <c r="H7">
        <v>27.94</v>
      </c>
      <c r="I7">
        <v>363.22</v>
      </c>
      <c r="J7">
        <v>15.36</v>
      </c>
      <c r="K7">
        <v>87.86</v>
      </c>
      <c r="L7" t="s">
        <v>30</v>
      </c>
      <c r="M7" t="s">
        <v>23</v>
      </c>
      <c r="N7" t="s">
        <v>24</v>
      </c>
      <c r="O7">
        <v>20</v>
      </c>
      <c r="P7" t="s">
        <v>737</v>
      </c>
      <c r="Q7" t="s">
        <v>63</v>
      </c>
      <c r="R7" t="s">
        <v>713</v>
      </c>
    </row>
    <row r="8" spans="1:18" x14ac:dyDescent="0.3">
      <c r="A8" t="s">
        <v>55</v>
      </c>
      <c r="B8" s="25">
        <v>45456</v>
      </c>
      <c r="C8" t="s">
        <v>57</v>
      </c>
      <c r="D8" t="s">
        <v>801</v>
      </c>
      <c r="E8" t="s">
        <v>58</v>
      </c>
      <c r="F8" t="s">
        <v>59</v>
      </c>
      <c r="G8">
        <v>3</v>
      </c>
      <c r="H8">
        <v>31.52</v>
      </c>
      <c r="I8">
        <v>94.56</v>
      </c>
      <c r="J8">
        <v>6.98</v>
      </c>
      <c r="K8">
        <v>20.079999999999998</v>
      </c>
      <c r="L8" t="s">
        <v>22</v>
      </c>
      <c r="M8" t="s">
        <v>37</v>
      </c>
      <c r="N8" t="s">
        <v>32</v>
      </c>
      <c r="O8">
        <v>22.5</v>
      </c>
      <c r="P8" t="s">
        <v>739</v>
      </c>
      <c r="Q8" t="s">
        <v>196</v>
      </c>
      <c r="R8" t="s">
        <v>706</v>
      </c>
    </row>
    <row r="9" spans="1:18" x14ac:dyDescent="0.3">
      <c r="A9" t="s">
        <v>60</v>
      </c>
      <c r="B9" s="25">
        <v>45778</v>
      </c>
      <c r="C9" t="s">
        <v>62</v>
      </c>
      <c r="D9" t="s">
        <v>63</v>
      </c>
      <c r="E9" t="s">
        <v>64</v>
      </c>
      <c r="F9" t="s">
        <v>65</v>
      </c>
      <c r="G9">
        <v>14</v>
      </c>
      <c r="H9">
        <v>30.71</v>
      </c>
      <c r="I9">
        <v>429.94</v>
      </c>
      <c r="J9">
        <v>13.03</v>
      </c>
      <c r="K9">
        <v>66.91</v>
      </c>
      <c r="L9" t="s">
        <v>30</v>
      </c>
      <c r="M9" t="s">
        <v>23</v>
      </c>
      <c r="N9" t="s">
        <v>66</v>
      </c>
      <c r="O9">
        <v>25</v>
      </c>
      <c r="P9" t="s">
        <v>734</v>
      </c>
      <c r="Q9" t="s">
        <v>735</v>
      </c>
      <c r="R9" t="s">
        <v>719</v>
      </c>
    </row>
    <row r="10" spans="1:18" x14ac:dyDescent="0.3">
      <c r="A10" t="s">
        <v>67</v>
      </c>
      <c r="B10" s="25">
        <v>45548</v>
      </c>
      <c r="C10" t="s">
        <v>35</v>
      </c>
      <c r="D10" t="s">
        <v>800</v>
      </c>
      <c r="E10" t="s">
        <v>69</v>
      </c>
      <c r="F10" t="s">
        <v>59</v>
      </c>
      <c r="G10">
        <v>47</v>
      </c>
      <c r="H10">
        <v>24.47</v>
      </c>
      <c r="I10">
        <v>1150.0899999999999</v>
      </c>
      <c r="J10">
        <v>61.3</v>
      </c>
      <c r="K10">
        <v>360.29</v>
      </c>
      <c r="L10" t="s">
        <v>30</v>
      </c>
      <c r="M10" t="s">
        <v>23</v>
      </c>
      <c r="N10" t="s">
        <v>24</v>
      </c>
      <c r="O10">
        <v>15.5</v>
      </c>
      <c r="P10" t="s">
        <v>727</v>
      </c>
      <c r="Q10" t="s">
        <v>196</v>
      </c>
      <c r="R10" t="s">
        <v>708</v>
      </c>
    </row>
    <row r="11" spans="1:18" x14ac:dyDescent="0.3">
      <c r="A11" t="s">
        <v>70</v>
      </c>
      <c r="B11" s="25">
        <v>45531</v>
      </c>
      <c r="C11" t="s">
        <v>72</v>
      </c>
      <c r="D11" t="s">
        <v>36</v>
      </c>
      <c r="E11" t="s">
        <v>73</v>
      </c>
      <c r="F11" t="s">
        <v>43</v>
      </c>
      <c r="G11">
        <v>27</v>
      </c>
      <c r="H11">
        <v>18.98</v>
      </c>
      <c r="I11">
        <v>512.46</v>
      </c>
      <c r="J11">
        <v>28.89</v>
      </c>
      <c r="K11">
        <v>139.32</v>
      </c>
      <c r="L11" t="s">
        <v>30</v>
      </c>
      <c r="M11" t="s">
        <v>37</v>
      </c>
      <c r="N11" t="s">
        <v>32</v>
      </c>
      <c r="O11">
        <v>12.75</v>
      </c>
      <c r="P11" t="s">
        <v>731</v>
      </c>
      <c r="Q11" t="s">
        <v>732</v>
      </c>
      <c r="R11" t="s">
        <v>718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028F7-B750-4CE1-A1B2-A85DEE2A486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5610A-3ADF-4CA2-8236-3841AAC31F5A}">
  <dimension ref="A3:C23"/>
  <sheetViews>
    <sheetView workbookViewId="0">
      <selection activeCell="H26" sqref="H26"/>
    </sheetView>
  </sheetViews>
  <sheetFormatPr defaultRowHeight="14.4" x14ac:dyDescent="0.3"/>
  <cols>
    <col min="1" max="1" width="12.5546875" bestFit="1" customWidth="1"/>
    <col min="2" max="2" width="17" bestFit="1" customWidth="1"/>
    <col min="3" max="3" width="12.109375" bestFit="1" customWidth="1"/>
  </cols>
  <sheetData>
    <row r="3" spans="1:3" x14ac:dyDescent="0.3">
      <c r="A3" s="26" t="s">
        <v>802</v>
      </c>
      <c r="B3" t="s">
        <v>805</v>
      </c>
      <c r="C3" t="s">
        <v>806</v>
      </c>
    </row>
    <row r="4" spans="1:3" x14ac:dyDescent="0.3">
      <c r="A4" s="27" t="s">
        <v>809</v>
      </c>
      <c r="B4">
        <v>345682.77999999997</v>
      </c>
      <c r="C4">
        <v>95686.42</v>
      </c>
    </row>
    <row r="5" spans="1:3" x14ac:dyDescent="0.3">
      <c r="A5" s="28" t="s">
        <v>811</v>
      </c>
      <c r="B5">
        <v>23642.310000000005</v>
      </c>
      <c r="C5">
        <v>6054.28</v>
      </c>
    </row>
    <row r="6" spans="1:3" x14ac:dyDescent="0.3">
      <c r="A6" s="28" t="s">
        <v>812</v>
      </c>
      <c r="B6">
        <v>29912.000000000004</v>
      </c>
      <c r="C6">
        <v>9234.0300000000025</v>
      </c>
    </row>
    <row r="7" spans="1:3" x14ac:dyDescent="0.3">
      <c r="A7" s="28" t="s">
        <v>813</v>
      </c>
      <c r="B7">
        <v>27450.579999999998</v>
      </c>
      <c r="C7">
        <v>7448.9700000000021</v>
      </c>
    </row>
    <row r="8" spans="1:3" x14ac:dyDescent="0.3">
      <c r="A8" s="28" t="s">
        <v>814</v>
      </c>
      <c r="B8">
        <v>14076.35</v>
      </c>
      <c r="C8">
        <v>4322.6099999999997</v>
      </c>
    </row>
    <row r="9" spans="1:3" x14ac:dyDescent="0.3">
      <c r="A9" s="28" t="s">
        <v>815</v>
      </c>
      <c r="B9">
        <v>25044.649999999998</v>
      </c>
      <c r="C9">
        <v>6249.32</v>
      </c>
    </row>
    <row r="10" spans="1:3" x14ac:dyDescent="0.3">
      <c r="A10" s="28" t="s">
        <v>816</v>
      </c>
      <c r="B10">
        <v>38692.6</v>
      </c>
      <c r="C10">
        <v>11775.910000000003</v>
      </c>
    </row>
    <row r="11" spans="1:3" x14ac:dyDescent="0.3">
      <c r="A11" s="28" t="s">
        <v>817</v>
      </c>
      <c r="B11">
        <v>30288.910000000003</v>
      </c>
      <c r="C11">
        <v>8441.1899999999987</v>
      </c>
    </row>
    <row r="12" spans="1:3" x14ac:dyDescent="0.3">
      <c r="A12" s="28" t="s">
        <v>818</v>
      </c>
      <c r="B12">
        <v>28579.070000000003</v>
      </c>
      <c r="C12">
        <v>7976.39</v>
      </c>
    </row>
    <row r="13" spans="1:3" x14ac:dyDescent="0.3">
      <c r="A13" s="28" t="s">
        <v>819</v>
      </c>
      <c r="B13">
        <v>31738.729999999996</v>
      </c>
      <c r="C13">
        <v>8387.18</v>
      </c>
    </row>
    <row r="14" spans="1:3" x14ac:dyDescent="0.3">
      <c r="A14" s="28" t="s">
        <v>820</v>
      </c>
      <c r="B14">
        <v>25371.880000000005</v>
      </c>
      <c r="C14">
        <v>7552.51</v>
      </c>
    </row>
    <row r="15" spans="1:3" x14ac:dyDescent="0.3">
      <c r="A15" s="28" t="s">
        <v>821</v>
      </c>
      <c r="B15">
        <v>31766.41</v>
      </c>
      <c r="C15">
        <v>7763.1299999999983</v>
      </c>
    </row>
    <row r="16" spans="1:3" x14ac:dyDescent="0.3">
      <c r="A16" s="28" t="s">
        <v>822</v>
      </c>
      <c r="B16">
        <v>39119.29</v>
      </c>
      <c r="C16">
        <v>10480.899999999998</v>
      </c>
    </row>
    <row r="17" spans="1:3" x14ac:dyDescent="0.3">
      <c r="A17" s="27" t="s">
        <v>810</v>
      </c>
      <c r="B17">
        <v>129021.84</v>
      </c>
      <c r="C17">
        <v>37841.939999999995</v>
      </c>
    </row>
    <row r="18" spans="1:3" x14ac:dyDescent="0.3">
      <c r="A18" s="28" t="s">
        <v>811</v>
      </c>
      <c r="B18">
        <v>25063.020000000004</v>
      </c>
      <c r="C18">
        <v>7409.7800000000007</v>
      </c>
    </row>
    <row r="19" spans="1:3" x14ac:dyDescent="0.3">
      <c r="A19" s="28" t="s">
        <v>812</v>
      </c>
      <c r="B19">
        <v>25532.23</v>
      </c>
      <c r="C19">
        <v>7308.920000000001</v>
      </c>
    </row>
    <row r="20" spans="1:3" x14ac:dyDescent="0.3">
      <c r="A20" s="28" t="s">
        <v>813</v>
      </c>
      <c r="B20">
        <v>32154.879999999997</v>
      </c>
      <c r="C20">
        <v>10348.179999999998</v>
      </c>
    </row>
    <row r="21" spans="1:3" x14ac:dyDescent="0.3">
      <c r="A21" s="28" t="s">
        <v>814</v>
      </c>
      <c r="B21">
        <v>36539.25</v>
      </c>
      <c r="C21">
        <v>10237.879999999999</v>
      </c>
    </row>
    <row r="22" spans="1:3" x14ac:dyDescent="0.3">
      <c r="A22" s="28" t="s">
        <v>815</v>
      </c>
      <c r="B22">
        <v>9732.4599999999991</v>
      </c>
      <c r="C22">
        <v>2537.1800000000007</v>
      </c>
    </row>
    <row r="23" spans="1:3" x14ac:dyDescent="0.3">
      <c r="A23" s="27" t="s">
        <v>804</v>
      </c>
      <c r="B23">
        <v>474704.62</v>
      </c>
      <c r="C23">
        <v>133528.35999999999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F29D7-F452-4BD0-95BF-3DAA13AE31D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5EE61-625A-43CF-8A62-42115142482F}">
  <dimension ref="A1:Q501"/>
  <sheetViews>
    <sheetView zoomScaleNormal="100" workbookViewId="0">
      <selection activeCell="V11" sqref="V11"/>
    </sheetView>
  </sheetViews>
  <sheetFormatPr defaultRowHeight="14.4" x14ac:dyDescent="0.3"/>
  <cols>
    <col min="1" max="1" width="14.77734375" bestFit="1" customWidth="1"/>
    <col min="2" max="2" width="10.6640625" bestFit="1" customWidth="1"/>
    <col min="3" max="3" width="17.21875" bestFit="1" customWidth="1"/>
    <col min="4" max="4" width="10.88671875" bestFit="1" customWidth="1"/>
    <col min="5" max="5" width="16.109375" bestFit="1" customWidth="1"/>
    <col min="6" max="6" width="11.21875" bestFit="1" customWidth="1"/>
    <col min="7" max="7" width="8.33203125" bestFit="1" customWidth="1"/>
    <col min="8" max="8" width="9.6640625" bestFit="1" customWidth="1"/>
    <col min="9" max="9" width="10.44140625" bestFit="1" customWidth="1"/>
    <col min="10" max="10" width="13.109375" bestFit="1" customWidth="1"/>
    <col min="11" max="11" width="8" bestFit="1" customWidth="1"/>
    <col min="12" max="12" width="10.6640625" bestFit="1" customWidth="1"/>
    <col min="13" max="13" width="12.88671875" bestFit="1" customWidth="1"/>
    <col min="14" max="14" width="12.109375" bestFit="1" customWidth="1"/>
    <col min="15" max="15" width="9" bestFit="1" customWidth="1"/>
    <col min="16" max="16" width="7" bestFit="1" customWidth="1"/>
    <col min="17" max="17" width="12.1093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762</v>
      </c>
      <c r="P1" s="2" t="s">
        <v>14</v>
      </c>
      <c r="Q1" s="2" t="s">
        <v>15</v>
      </c>
    </row>
    <row r="2" spans="1:17" x14ac:dyDescent="0.3">
      <c r="A2" t="s">
        <v>16</v>
      </c>
      <c r="B2" s="3" t="s">
        <v>17</v>
      </c>
      <c r="C2" t="s">
        <v>18</v>
      </c>
      <c r="D2" t="s">
        <v>19</v>
      </c>
      <c r="E2" t="s">
        <v>20</v>
      </c>
      <c r="F2" t="s">
        <v>21</v>
      </c>
      <c r="G2">
        <v>20</v>
      </c>
      <c r="H2" s="4">
        <v>55.22</v>
      </c>
      <c r="I2">
        <v>1104.4000000000001</v>
      </c>
      <c r="J2">
        <v>49.36</v>
      </c>
      <c r="K2">
        <v>355.04</v>
      </c>
      <c r="L2" t="s">
        <v>22</v>
      </c>
      <c r="M2" t="s">
        <v>23</v>
      </c>
      <c r="N2" t="s">
        <v>24</v>
      </c>
      <c r="O2">
        <f>_xlfn.XLOOKUP(E2,Product_Master!$B$2:$B$11,Product_Master!$F$2:$F$11)</f>
        <v>35</v>
      </c>
      <c r="P2">
        <f>G2*O2</f>
        <v>700</v>
      </c>
      <c r="Q2" s="5">
        <f>K2/I2</f>
        <v>0.32147772546178921</v>
      </c>
    </row>
    <row r="3" spans="1:17" x14ac:dyDescent="0.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21</v>
      </c>
      <c r="G3">
        <v>33</v>
      </c>
      <c r="H3" s="4">
        <v>32.03</v>
      </c>
      <c r="I3">
        <v>1056.99</v>
      </c>
      <c r="J3">
        <v>59.59</v>
      </c>
      <c r="K3">
        <v>403.4</v>
      </c>
      <c r="L3" t="s">
        <v>30</v>
      </c>
      <c r="M3" t="s">
        <v>31</v>
      </c>
      <c r="N3" t="s">
        <v>32</v>
      </c>
      <c r="O3">
        <f>_xlfn.XLOOKUP(E3,Product_Master!$B$2:$B$11,Product_Master!$F$2:$F$11)</f>
        <v>18</v>
      </c>
      <c r="P3">
        <f t="shared" ref="P3:P66" si="0">G3*O3</f>
        <v>594</v>
      </c>
      <c r="Q3" s="5">
        <f t="shared" ref="Q3:Q66" si="1">K3/I3</f>
        <v>0.38164977908967918</v>
      </c>
    </row>
    <row r="4" spans="1:17" x14ac:dyDescent="0.3">
      <c r="A4" t="s">
        <v>33</v>
      </c>
      <c r="B4" t="s">
        <v>34</v>
      </c>
      <c r="C4" t="s">
        <v>35</v>
      </c>
      <c r="D4" t="s">
        <v>36</v>
      </c>
      <c r="E4" t="s">
        <v>29</v>
      </c>
      <c r="F4" t="s">
        <v>21</v>
      </c>
      <c r="G4">
        <v>34</v>
      </c>
      <c r="H4" s="4">
        <v>28.48</v>
      </c>
      <c r="I4">
        <v>968.32</v>
      </c>
      <c r="J4">
        <v>73.95</v>
      </c>
      <c r="K4">
        <v>282.37</v>
      </c>
      <c r="L4" t="s">
        <v>22</v>
      </c>
      <c r="M4" t="s">
        <v>37</v>
      </c>
      <c r="N4" t="s">
        <v>32</v>
      </c>
      <c r="O4">
        <f>_xlfn.XLOOKUP(E4,Product_Master!$B$2:$B$11,Product_Master!$F$2:$F$11)</f>
        <v>18</v>
      </c>
      <c r="P4">
        <f t="shared" si="0"/>
        <v>612</v>
      </c>
      <c r="Q4" s="5">
        <f t="shared" si="1"/>
        <v>0.2916081460674157</v>
      </c>
    </row>
    <row r="5" spans="1:17" x14ac:dyDescent="0.3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>
        <v>6</v>
      </c>
      <c r="H5" s="4">
        <v>56.36</v>
      </c>
      <c r="I5">
        <v>338.16</v>
      </c>
      <c r="J5">
        <v>11.39</v>
      </c>
      <c r="K5">
        <v>134.77000000000001</v>
      </c>
      <c r="L5" t="s">
        <v>44</v>
      </c>
      <c r="M5" t="s">
        <v>31</v>
      </c>
      <c r="N5" t="s">
        <v>45</v>
      </c>
      <c r="O5">
        <f>_xlfn.XLOOKUP(E5,Product_Master!$B$2:$B$11,Product_Master!$F$2:$F$11)</f>
        <v>32</v>
      </c>
      <c r="P5">
        <f t="shared" si="0"/>
        <v>192</v>
      </c>
      <c r="Q5" s="5">
        <f t="shared" si="1"/>
        <v>0.39853915306363852</v>
      </c>
    </row>
    <row r="6" spans="1:17" x14ac:dyDescent="0.3">
      <c r="A6" t="s">
        <v>46</v>
      </c>
      <c r="B6" t="s">
        <v>26</v>
      </c>
      <c r="C6" t="s">
        <v>47</v>
      </c>
      <c r="D6" t="s">
        <v>48</v>
      </c>
      <c r="E6" t="s">
        <v>49</v>
      </c>
      <c r="F6" t="s">
        <v>50</v>
      </c>
      <c r="G6">
        <v>17</v>
      </c>
      <c r="H6" s="4">
        <v>69.22</v>
      </c>
      <c r="I6">
        <v>1176.74</v>
      </c>
      <c r="J6">
        <v>65.94</v>
      </c>
      <c r="K6">
        <v>430.8</v>
      </c>
      <c r="L6" t="s">
        <v>30</v>
      </c>
      <c r="M6" t="s">
        <v>23</v>
      </c>
      <c r="N6" t="s">
        <v>24</v>
      </c>
      <c r="O6">
        <f>_xlfn.XLOOKUP(E6,Product_Master!$B$2:$B$11,Product_Master!$F$2:$F$11)</f>
        <v>40</v>
      </c>
      <c r="P6">
        <f t="shared" si="0"/>
        <v>680</v>
      </c>
      <c r="Q6" s="5">
        <f t="shared" si="1"/>
        <v>0.36609616397844896</v>
      </c>
    </row>
    <row r="7" spans="1:17" x14ac:dyDescent="0.3">
      <c r="A7" t="s">
        <v>51</v>
      </c>
      <c r="B7" t="s">
        <v>26</v>
      </c>
      <c r="C7" t="s">
        <v>52</v>
      </c>
      <c r="D7" t="s">
        <v>53</v>
      </c>
      <c r="E7" t="s">
        <v>54</v>
      </c>
      <c r="F7" t="s">
        <v>43</v>
      </c>
      <c r="G7">
        <v>13</v>
      </c>
      <c r="H7" s="4">
        <v>27.94</v>
      </c>
      <c r="I7">
        <v>363.22</v>
      </c>
      <c r="J7">
        <v>15.36</v>
      </c>
      <c r="K7">
        <v>87.86</v>
      </c>
      <c r="L7" t="s">
        <v>30</v>
      </c>
      <c r="M7" t="s">
        <v>23</v>
      </c>
      <c r="N7" t="s">
        <v>24</v>
      </c>
      <c r="O7">
        <f>_xlfn.XLOOKUP(E7,Product_Master!$B$2:$B$11,Product_Master!$F$2:$F$11)</f>
        <v>20</v>
      </c>
      <c r="P7">
        <f t="shared" si="0"/>
        <v>260</v>
      </c>
      <c r="Q7" s="5">
        <f t="shared" si="1"/>
        <v>0.2418919663014151</v>
      </c>
    </row>
    <row r="8" spans="1:17" x14ac:dyDescent="0.3">
      <c r="A8" t="s">
        <v>55</v>
      </c>
      <c r="B8" t="s">
        <v>56</v>
      </c>
      <c r="C8" t="s">
        <v>57</v>
      </c>
      <c r="D8" t="s">
        <v>28</v>
      </c>
      <c r="E8" t="s">
        <v>58</v>
      </c>
      <c r="F8" t="s">
        <v>59</v>
      </c>
      <c r="G8">
        <v>3</v>
      </c>
      <c r="H8" s="4">
        <v>31.52</v>
      </c>
      <c r="I8">
        <v>94.56</v>
      </c>
      <c r="J8">
        <v>6.98</v>
      </c>
      <c r="K8">
        <v>20.079999999999998</v>
      </c>
      <c r="L8" t="s">
        <v>22</v>
      </c>
      <c r="M8" t="s">
        <v>37</v>
      </c>
      <c r="N8" t="s">
        <v>32</v>
      </c>
      <c r="O8">
        <f>_xlfn.XLOOKUP(E8,Product_Master!$B$2:$B$11,Product_Master!$F$2:$F$11)</f>
        <v>22.5</v>
      </c>
      <c r="P8">
        <f t="shared" si="0"/>
        <v>67.5</v>
      </c>
      <c r="Q8" s="5">
        <f t="shared" si="1"/>
        <v>0.21235194585448391</v>
      </c>
    </row>
    <row r="9" spans="1:17" x14ac:dyDescent="0.3">
      <c r="A9" t="s">
        <v>60</v>
      </c>
      <c r="B9" t="s">
        <v>61</v>
      </c>
      <c r="C9" t="s">
        <v>62</v>
      </c>
      <c r="D9" t="s">
        <v>63</v>
      </c>
      <c r="E9" t="s">
        <v>64</v>
      </c>
      <c r="F9" t="s">
        <v>65</v>
      </c>
      <c r="G9">
        <v>14</v>
      </c>
      <c r="H9" s="4">
        <v>30.71</v>
      </c>
      <c r="I9">
        <v>429.94</v>
      </c>
      <c r="J9">
        <v>13.03</v>
      </c>
      <c r="K9">
        <v>66.91</v>
      </c>
      <c r="L9" t="s">
        <v>30</v>
      </c>
      <c r="M9" t="s">
        <v>23</v>
      </c>
      <c r="N9" t="s">
        <v>66</v>
      </c>
      <c r="O9">
        <f>_xlfn.XLOOKUP(E9,Product_Master!$B$2:$B$11,Product_Master!$F$2:$F$11)</f>
        <v>25</v>
      </c>
      <c r="P9">
        <f t="shared" si="0"/>
        <v>350</v>
      </c>
      <c r="Q9" s="5">
        <f t="shared" si="1"/>
        <v>0.15562636646973996</v>
      </c>
    </row>
    <row r="10" spans="1:17" x14ac:dyDescent="0.3">
      <c r="A10" t="s">
        <v>67</v>
      </c>
      <c r="B10" t="s">
        <v>68</v>
      </c>
      <c r="C10" t="s">
        <v>35</v>
      </c>
      <c r="D10" t="s">
        <v>19</v>
      </c>
      <c r="E10" t="s">
        <v>69</v>
      </c>
      <c r="F10" t="s">
        <v>59</v>
      </c>
      <c r="G10">
        <v>47</v>
      </c>
      <c r="H10" s="4">
        <v>24.47</v>
      </c>
      <c r="I10">
        <v>1150.0899999999999</v>
      </c>
      <c r="J10">
        <v>61.3</v>
      </c>
      <c r="K10">
        <v>360.29</v>
      </c>
      <c r="L10" t="s">
        <v>30</v>
      </c>
      <c r="M10" t="s">
        <v>23</v>
      </c>
      <c r="N10" t="s">
        <v>24</v>
      </c>
      <c r="O10">
        <f>_xlfn.XLOOKUP(E10,Product_Master!$B$2:$B$11,Product_Master!$F$2:$F$11)</f>
        <v>15.5</v>
      </c>
      <c r="P10">
        <f t="shared" si="0"/>
        <v>728.5</v>
      </c>
      <c r="Q10" s="5">
        <f t="shared" si="1"/>
        <v>0.31327113530245465</v>
      </c>
    </row>
    <row r="11" spans="1:17" x14ac:dyDescent="0.3">
      <c r="A11" t="s">
        <v>70</v>
      </c>
      <c r="B11" t="s">
        <v>71</v>
      </c>
      <c r="C11" t="s">
        <v>72</v>
      </c>
      <c r="D11" t="s">
        <v>36</v>
      </c>
      <c r="E11" t="s">
        <v>73</v>
      </c>
      <c r="F11" t="s">
        <v>43</v>
      </c>
      <c r="G11">
        <v>27</v>
      </c>
      <c r="H11" s="4">
        <v>18.98</v>
      </c>
      <c r="I11">
        <v>512.46</v>
      </c>
      <c r="J11">
        <v>28.89</v>
      </c>
      <c r="K11">
        <v>139.32</v>
      </c>
      <c r="L11" t="s">
        <v>30</v>
      </c>
      <c r="M11" t="s">
        <v>37</v>
      </c>
      <c r="N11" t="s">
        <v>32</v>
      </c>
      <c r="O11">
        <f>_xlfn.XLOOKUP(E11,Product_Master!$B$2:$B$11,Product_Master!$F$2:$F$11)</f>
        <v>12.75</v>
      </c>
      <c r="P11">
        <f t="shared" si="0"/>
        <v>344.25</v>
      </c>
      <c r="Q11" s="5">
        <f t="shared" si="1"/>
        <v>0.27186512118018963</v>
      </c>
    </row>
    <row r="12" spans="1:17" x14ac:dyDescent="0.3">
      <c r="A12" t="s">
        <v>74</v>
      </c>
      <c r="B12" t="s">
        <v>75</v>
      </c>
      <c r="C12" t="s">
        <v>76</v>
      </c>
      <c r="D12" t="s">
        <v>63</v>
      </c>
      <c r="E12" t="s">
        <v>20</v>
      </c>
      <c r="F12" t="s">
        <v>21</v>
      </c>
      <c r="G12">
        <v>32</v>
      </c>
      <c r="H12" s="4">
        <v>57.84</v>
      </c>
      <c r="I12">
        <v>1850.88</v>
      </c>
      <c r="J12">
        <v>55.15</v>
      </c>
      <c r="K12">
        <v>675.73</v>
      </c>
      <c r="L12" t="s">
        <v>22</v>
      </c>
      <c r="M12" t="s">
        <v>23</v>
      </c>
      <c r="N12" t="s">
        <v>66</v>
      </c>
      <c r="O12">
        <f>_xlfn.XLOOKUP(E12,Product_Master!$B$2:$B$11,Product_Master!$F$2:$F$11)</f>
        <v>35</v>
      </c>
      <c r="P12">
        <f t="shared" si="0"/>
        <v>1120</v>
      </c>
      <c r="Q12" s="5">
        <f t="shared" si="1"/>
        <v>0.36508579702627936</v>
      </c>
    </row>
    <row r="13" spans="1:17" x14ac:dyDescent="0.3">
      <c r="A13" t="s">
        <v>77</v>
      </c>
      <c r="B13" t="s">
        <v>78</v>
      </c>
      <c r="C13" t="s">
        <v>79</v>
      </c>
      <c r="D13" t="s">
        <v>48</v>
      </c>
      <c r="E13" t="s">
        <v>49</v>
      </c>
      <c r="F13" t="s">
        <v>50</v>
      </c>
      <c r="G13">
        <v>49</v>
      </c>
      <c r="H13" s="4">
        <v>58.77</v>
      </c>
      <c r="I13">
        <v>2879.73</v>
      </c>
      <c r="J13">
        <v>140.29</v>
      </c>
      <c r="K13">
        <v>779.44</v>
      </c>
      <c r="L13" t="s">
        <v>44</v>
      </c>
      <c r="M13" t="s">
        <v>37</v>
      </c>
      <c r="N13" t="s">
        <v>24</v>
      </c>
      <c r="O13">
        <f>_xlfn.XLOOKUP(E13,Product_Master!$B$2:$B$11,Product_Master!$F$2:$F$11)</f>
        <v>40</v>
      </c>
      <c r="P13">
        <f t="shared" si="0"/>
        <v>1960</v>
      </c>
      <c r="Q13" s="5">
        <f t="shared" si="1"/>
        <v>0.27066426366360735</v>
      </c>
    </row>
    <row r="14" spans="1:17" x14ac:dyDescent="0.3">
      <c r="A14" t="s">
        <v>80</v>
      </c>
      <c r="B14" t="s">
        <v>68</v>
      </c>
      <c r="C14" t="s">
        <v>76</v>
      </c>
      <c r="D14" t="s">
        <v>81</v>
      </c>
      <c r="E14" t="s">
        <v>20</v>
      </c>
      <c r="F14" t="s">
        <v>21</v>
      </c>
      <c r="G14">
        <v>43</v>
      </c>
      <c r="H14" s="4">
        <v>56.92</v>
      </c>
      <c r="I14">
        <v>2447.56</v>
      </c>
      <c r="J14">
        <v>140.4</v>
      </c>
      <c r="K14">
        <v>802.16</v>
      </c>
      <c r="L14" t="s">
        <v>22</v>
      </c>
      <c r="M14" t="s">
        <v>31</v>
      </c>
      <c r="N14" t="s">
        <v>66</v>
      </c>
      <c r="O14">
        <f>_xlfn.XLOOKUP(E14,Product_Master!$B$2:$B$11,Product_Master!$F$2:$F$11)</f>
        <v>35</v>
      </c>
      <c r="P14">
        <f t="shared" si="0"/>
        <v>1505</v>
      </c>
      <c r="Q14" s="5">
        <f t="shared" si="1"/>
        <v>0.3277386458350357</v>
      </c>
    </row>
    <row r="15" spans="1:17" x14ac:dyDescent="0.3">
      <c r="A15" t="s">
        <v>82</v>
      </c>
      <c r="B15" t="s">
        <v>83</v>
      </c>
      <c r="C15" t="s">
        <v>84</v>
      </c>
      <c r="D15" t="s">
        <v>36</v>
      </c>
      <c r="E15" t="s">
        <v>64</v>
      </c>
      <c r="F15" t="s">
        <v>65</v>
      </c>
      <c r="G15">
        <v>32</v>
      </c>
      <c r="H15" s="4">
        <v>43.45</v>
      </c>
      <c r="I15">
        <v>1390.4</v>
      </c>
      <c r="J15">
        <v>30.04</v>
      </c>
      <c r="K15">
        <v>560.36</v>
      </c>
      <c r="L15" t="s">
        <v>22</v>
      </c>
      <c r="M15" t="s">
        <v>37</v>
      </c>
      <c r="N15" t="s">
        <v>32</v>
      </c>
      <c r="O15">
        <f>_xlfn.XLOOKUP(E15,Product_Master!$B$2:$B$11,Product_Master!$F$2:$F$11)</f>
        <v>25</v>
      </c>
      <c r="P15">
        <f t="shared" si="0"/>
        <v>800</v>
      </c>
      <c r="Q15" s="5">
        <f t="shared" si="1"/>
        <v>0.4030207134637514</v>
      </c>
    </row>
    <row r="16" spans="1:17" x14ac:dyDescent="0.3">
      <c r="A16" t="s">
        <v>85</v>
      </c>
      <c r="B16" t="s">
        <v>86</v>
      </c>
      <c r="C16" t="s">
        <v>87</v>
      </c>
      <c r="D16" t="s">
        <v>88</v>
      </c>
      <c r="E16" t="s">
        <v>64</v>
      </c>
      <c r="F16" t="s">
        <v>65</v>
      </c>
      <c r="G16">
        <v>22</v>
      </c>
      <c r="H16" s="4">
        <v>42.59</v>
      </c>
      <c r="I16">
        <v>936.98</v>
      </c>
      <c r="J16">
        <v>29.87</v>
      </c>
      <c r="K16">
        <v>357.11</v>
      </c>
      <c r="L16" t="s">
        <v>30</v>
      </c>
      <c r="M16" t="s">
        <v>37</v>
      </c>
      <c r="N16" t="s">
        <v>66</v>
      </c>
      <c r="O16">
        <f>_xlfn.XLOOKUP(E16,Product_Master!$B$2:$B$11,Product_Master!$F$2:$F$11)</f>
        <v>25</v>
      </c>
      <c r="P16">
        <f t="shared" si="0"/>
        <v>550</v>
      </c>
      <c r="Q16" s="5">
        <f t="shared" si="1"/>
        <v>0.38112873273709152</v>
      </c>
    </row>
    <row r="17" spans="1:17" x14ac:dyDescent="0.3">
      <c r="A17" t="s">
        <v>89</v>
      </c>
      <c r="B17" t="s">
        <v>68</v>
      </c>
      <c r="C17" t="s">
        <v>90</v>
      </c>
      <c r="D17" t="s">
        <v>91</v>
      </c>
      <c r="E17" t="s">
        <v>54</v>
      </c>
      <c r="F17" t="s">
        <v>43</v>
      </c>
      <c r="G17">
        <v>48</v>
      </c>
      <c r="H17" s="4">
        <v>25.36</v>
      </c>
      <c r="I17">
        <v>1217.28</v>
      </c>
      <c r="J17">
        <v>49.68</v>
      </c>
      <c r="K17">
        <v>207.6</v>
      </c>
      <c r="L17" t="s">
        <v>30</v>
      </c>
      <c r="M17" t="s">
        <v>23</v>
      </c>
      <c r="N17" t="s">
        <v>66</v>
      </c>
      <c r="O17">
        <f>_xlfn.XLOOKUP(E17,Product_Master!$B$2:$B$11,Product_Master!$F$2:$F$11)</f>
        <v>20</v>
      </c>
      <c r="P17">
        <f t="shared" si="0"/>
        <v>960</v>
      </c>
      <c r="Q17" s="5">
        <f t="shared" si="1"/>
        <v>0.17054416403785488</v>
      </c>
    </row>
    <row r="18" spans="1:17" x14ac:dyDescent="0.3">
      <c r="A18" t="s">
        <v>92</v>
      </c>
      <c r="B18" t="s">
        <v>71</v>
      </c>
      <c r="C18" t="s">
        <v>76</v>
      </c>
      <c r="D18" t="s">
        <v>88</v>
      </c>
      <c r="E18" t="s">
        <v>29</v>
      </c>
      <c r="F18" t="s">
        <v>21</v>
      </c>
      <c r="G18">
        <v>48</v>
      </c>
      <c r="H18" s="4">
        <v>30.07</v>
      </c>
      <c r="I18">
        <v>1443.36</v>
      </c>
      <c r="J18">
        <v>102.31</v>
      </c>
      <c r="K18">
        <v>477.05</v>
      </c>
      <c r="L18" t="s">
        <v>44</v>
      </c>
      <c r="M18" t="s">
        <v>23</v>
      </c>
      <c r="N18" t="s">
        <v>66</v>
      </c>
      <c r="O18">
        <f>_xlfn.XLOOKUP(E18,Product_Master!$B$2:$B$11,Product_Master!$F$2:$F$11)</f>
        <v>18</v>
      </c>
      <c r="P18">
        <f t="shared" si="0"/>
        <v>864</v>
      </c>
      <c r="Q18" s="5">
        <f t="shared" si="1"/>
        <v>0.33051352399955664</v>
      </c>
    </row>
    <row r="19" spans="1:17" x14ac:dyDescent="0.3">
      <c r="A19" t="s">
        <v>93</v>
      </c>
      <c r="B19" t="s">
        <v>68</v>
      </c>
      <c r="C19" t="s">
        <v>52</v>
      </c>
      <c r="D19" t="s">
        <v>88</v>
      </c>
      <c r="E19" t="s">
        <v>54</v>
      </c>
      <c r="F19" t="s">
        <v>43</v>
      </c>
      <c r="G19">
        <v>6</v>
      </c>
      <c r="H19" s="4">
        <v>32.17</v>
      </c>
      <c r="I19">
        <v>193.02</v>
      </c>
      <c r="J19">
        <v>14.45</v>
      </c>
      <c r="K19">
        <v>58.57</v>
      </c>
      <c r="L19" t="s">
        <v>44</v>
      </c>
      <c r="M19" t="s">
        <v>23</v>
      </c>
      <c r="N19" t="s">
        <v>66</v>
      </c>
      <c r="O19">
        <f>_xlfn.XLOOKUP(E19,Product_Master!$B$2:$B$11,Product_Master!$F$2:$F$11)</f>
        <v>20</v>
      </c>
      <c r="P19">
        <f t="shared" si="0"/>
        <v>120</v>
      </c>
      <c r="Q19" s="5">
        <f t="shared" si="1"/>
        <v>0.30344005802507512</v>
      </c>
    </row>
    <row r="20" spans="1:17" x14ac:dyDescent="0.3">
      <c r="A20" t="s">
        <v>94</v>
      </c>
      <c r="B20" t="s">
        <v>95</v>
      </c>
      <c r="C20" t="s">
        <v>96</v>
      </c>
      <c r="D20" t="s">
        <v>81</v>
      </c>
      <c r="E20" t="s">
        <v>29</v>
      </c>
      <c r="F20" t="s">
        <v>21</v>
      </c>
      <c r="G20">
        <v>37</v>
      </c>
      <c r="H20" s="4">
        <v>24.14</v>
      </c>
      <c r="I20">
        <v>893.18</v>
      </c>
      <c r="J20">
        <v>31.39</v>
      </c>
      <c r="K20">
        <v>195.79</v>
      </c>
      <c r="L20" t="s">
        <v>30</v>
      </c>
      <c r="M20" t="s">
        <v>31</v>
      </c>
      <c r="N20" t="s">
        <v>66</v>
      </c>
      <c r="O20">
        <f>_xlfn.XLOOKUP(E20,Product_Master!$B$2:$B$11,Product_Master!$F$2:$F$11)</f>
        <v>18</v>
      </c>
      <c r="P20">
        <f t="shared" si="0"/>
        <v>666</v>
      </c>
      <c r="Q20" s="5">
        <f t="shared" si="1"/>
        <v>0.21920553527844333</v>
      </c>
    </row>
    <row r="21" spans="1:17" x14ac:dyDescent="0.3">
      <c r="A21" t="s">
        <v>97</v>
      </c>
      <c r="B21" t="s">
        <v>75</v>
      </c>
      <c r="C21" t="s">
        <v>47</v>
      </c>
      <c r="D21" t="s">
        <v>28</v>
      </c>
      <c r="E21" t="s">
        <v>98</v>
      </c>
      <c r="F21" t="s">
        <v>59</v>
      </c>
      <c r="G21">
        <v>39</v>
      </c>
      <c r="H21" s="4">
        <v>37.840000000000003</v>
      </c>
      <c r="I21">
        <v>1475.76</v>
      </c>
      <c r="J21">
        <v>73.400000000000006</v>
      </c>
      <c r="K21">
        <v>310.36</v>
      </c>
      <c r="L21" t="s">
        <v>30</v>
      </c>
      <c r="M21" t="s">
        <v>37</v>
      </c>
      <c r="N21" t="s">
        <v>32</v>
      </c>
      <c r="O21">
        <f>_xlfn.XLOOKUP(E21,Product_Master!$B$2:$B$11,Product_Master!$F$2:$F$11)</f>
        <v>28</v>
      </c>
      <c r="P21">
        <f t="shared" si="0"/>
        <v>1092</v>
      </c>
      <c r="Q21" s="5">
        <f t="shared" si="1"/>
        <v>0.21030519867729172</v>
      </c>
    </row>
    <row r="22" spans="1:17" x14ac:dyDescent="0.3">
      <c r="A22" t="s">
        <v>99</v>
      </c>
      <c r="B22" t="s">
        <v>26</v>
      </c>
      <c r="C22" t="s">
        <v>100</v>
      </c>
      <c r="D22" t="s">
        <v>101</v>
      </c>
      <c r="E22" t="s">
        <v>49</v>
      </c>
      <c r="F22" t="s">
        <v>50</v>
      </c>
      <c r="G22">
        <v>6</v>
      </c>
      <c r="H22" s="4">
        <v>68.77</v>
      </c>
      <c r="I22">
        <v>412.62</v>
      </c>
      <c r="J22">
        <v>17.18</v>
      </c>
      <c r="K22">
        <v>155.44</v>
      </c>
      <c r="L22" t="s">
        <v>30</v>
      </c>
      <c r="M22" t="s">
        <v>23</v>
      </c>
      <c r="N22" t="s">
        <v>102</v>
      </c>
      <c r="O22">
        <f>_xlfn.XLOOKUP(E22,Product_Master!$B$2:$B$11,Product_Master!$F$2:$F$11)</f>
        <v>40</v>
      </c>
      <c r="P22">
        <f t="shared" si="0"/>
        <v>240</v>
      </c>
      <c r="Q22" s="5">
        <f t="shared" si="1"/>
        <v>0.37671465270709126</v>
      </c>
    </row>
    <row r="23" spans="1:17" x14ac:dyDescent="0.3">
      <c r="A23" t="s">
        <v>103</v>
      </c>
      <c r="B23" t="s">
        <v>104</v>
      </c>
      <c r="C23" t="s">
        <v>105</v>
      </c>
      <c r="D23" t="s">
        <v>48</v>
      </c>
      <c r="E23" t="s">
        <v>73</v>
      </c>
      <c r="F23" t="s">
        <v>43</v>
      </c>
      <c r="G23">
        <v>6</v>
      </c>
      <c r="H23" s="4">
        <v>18.5</v>
      </c>
      <c r="I23">
        <v>111</v>
      </c>
      <c r="J23">
        <v>5.26</v>
      </c>
      <c r="K23">
        <v>29.24</v>
      </c>
      <c r="L23" t="s">
        <v>44</v>
      </c>
      <c r="M23" t="s">
        <v>31</v>
      </c>
      <c r="N23" t="s">
        <v>24</v>
      </c>
      <c r="O23">
        <f>_xlfn.XLOOKUP(E23,Product_Master!$B$2:$B$11,Product_Master!$F$2:$F$11)</f>
        <v>12.75</v>
      </c>
      <c r="P23">
        <f t="shared" si="0"/>
        <v>76.5</v>
      </c>
      <c r="Q23" s="5">
        <f t="shared" si="1"/>
        <v>0.2634234234234234</v>
      </c>
    </row>
    <row r="24" spans="1:17" x14ac:dyDescent="0.3">
      <c r="A24" t="s">
        <v>106</v>
      </c>
      <c r="B24" t="s">
        <v>107</v>
      </c>
      <c r="C24" t="s">
        <v>108</v>
      </c>
      <c r="D24" t="s">
        <v>36</v>
      </c>
      <c r="E24" t="s">
        <v>58</v>
      </c>
      <c r="F24" t="s">
        <v>59</v>
      </c>
      <c r="G24">
        <v>33</v>
      </c>
      <c r="H24" s="4">
        <v>28.96</v>
      </c>
      <c r="I24">
        <v>955.68</v>
      </c>
      <c r="J24">
        <v>49.07</v>
      </c>
      <c r="K24">
        <v>164.11</v>
      </c>
      <c r="L24" t="s">
        <v>30</v>
      </c>
      <c r="M24" t="s">
        <v>23</v>
      </c>
      <c r="N24" t="s">
        <v>32</v>
      </c>
      <c r="O24">
        <f>_xlfn.XLOOKUP(E24,Product_Master!$B$2:$B$11,Product_Master!$F$2:$F$11)</f>
        <v>22.5</v>
      </c>
      <c r="P24">
        <f t="shared" si="0"/>
        <v>742.5</v>
      </c>
      <c r="Q24" s="5">
        <f t="shared" si="1"/>
        <v>0.17172065963502431</v>
      </c>
    </row>
    <row r="25" spans="1:17" x14ac:dyDescent="0.3">
      <c r="A25" t="s">
        <v>109</v>
      </c>
      <c r="B25" t="s">
        <v>83</v>
      </c>
      <c r="C25" t="s">
        <v>110</v>
      </c>
      <c r="D25" t="s">
        <v>48</v>
      </c>
      <c r="E25" t="s">
        <v>58</v>
      </c>
      <c r="F25" t="s">
        <v>59</v>
      </c>
      <c r="G25">
        <v>31</v>
      </c>
      <c r="H25" s="4">
        <v>35.020000000000003</v>
      </c>
      <c r="I25">
        <v>1085.6199999999999</v>
      </c>
      <c r="J25">
        <v>74.650000000000006</v>
      </c>
      <c r="K25">
        <v>313.47000000000003</v>
      </c>
      <c r="L25" t="s">
        <v>44</v>
      </c>
      <c r="M25" t="s">
        <v>23</v>
      </c>
      <c r="N25" t="s">
        <v>24</v>
      </c>
      <c r="O25">
        <f>_xlfn.XLOOKUP(E25,Product_Master!$B$2:$B$11,Product_Master!$F$2:$F$11)</f>
        <v>22.5</v>
      </c>
      <c r="P25">
        <f t="shared" si="0"/>
        <v>697.5</v>
      </c>
      <c r="Q25" s="5">
        <f t="shared" si="1"/>
        <v>0.2887474438569666</v>
      </c>
    </row>
    <row r="26" spans="1:17" x14ac:dyDescent="0.3">
      <c r="A26" t="s">
        <v>111</v>
      </c>
      <c r="B26" t="s">
        <v>75</v>
      </c>
      <c r="C26" t="s">
        <v>112</v>
      </c>
      <c r="D26" t="s">
        <v>48</v>
      </c>
      <c r="E26" t="s">
        <v>54</v>
      </c>
      <c r="F26" t="s">
        <v>43</v>
      </c>
      <c r="G26">
        <v>25</v>
      </c>
      <c r="H26" s="4">
        <v>31.57</v>
      </c>
      <c r="I26">
        <v>789.25</v>
      </c>
      <c r="J26">
        <v>56.47</v>
      </c>
      <c r="K26">
        <v>232.78</v>
      </c>
      <c r="L26" t="s">
        <v>30</v>
      </c>
      <c r="M26" t="s">
        <v>31</v>
      </c>
      <c r="N26" t="s">
        <v>24</v>
      </c>
      <c r="O26">
        <f>_xlfn.XLOOKUP(E26,Product_Master!$B$2:$B$11,Product_Master!$F$2:$F$11)</f>
        <v>20</v>
      </c>
      <c r="P26">
        <f t="shared" si="0"/>
        <v>500</v>
      </c>
      <c r="Q26" s="5">
        <f t="shared" si="1"/>
        <v>0.29493823249920809</v>
      </c>
    </row>
    <row r="27" spans="1:17" x14ac:dyDescent="0.3">
      <c r="A27" t="s">
        <v>113</v>
      </c>
      <c r="B27" t="s">
        <v>78</v>
      </c>
      <c r="C27" t="s">
        <v>114</v>
      </c>
      <c r="D27" t="s">
        <v>36</v>
      </c>
      <c r="E27" t="s">
        <v>69</v>
      </c>
      <c r="F27" t="s">
        <v>59</v>
      </c>
      <c r="G27">
        <v>14</v>
      </c>
      <c r="H27" s="4">
        <v>27.08</v>
      </c>
      <c r="I27">
        <v>379.12</v>
      </c>
      <c r="J27">
        <v>11.12</v>
      </c>
      <c r="K27">
        <v>151</v>
      </c>
      <c r="L27" t="s">
        <v>30</v>
      </c>
      <c r="M27" t="s">
        <v>37</v>
      </c>
      <c r="N27" t="s">
        <v>32</v>
      </c>
      <c r="O27">
        <f>_xlfn.XLOOKUP(E27,Product_Master!$B$2:$B$11,Product_Master!$F$2:$F$11)</f>
        <v>15.5</v>
      </c>
      <c r="P27">
        <f t="shared" si="0"/>
        <v>217</v>
      </c>
      <c r="Q27" s="5">
        <f t="shared" si="1"/>
        <v>0.39829077864528378</v>
      </c>
    </row>
    <row r="28" spans="1:17" x14ac:dyDescent="0.3">
      <c r="A28" t="s">
        <v>115</v>
      </c>
      <c r="B28" t="s">
        <v>56</v>
      </c>
      <c r="C28" t="s">
        <v>40</v>
      </c>
      <c r="D28" t="s">
        <v>36</v>
      </c>
      <c r="E28" t="s">
        <v>98</v>
      </c>
      <c r="F28" t="s">
        <v>59</v>
      </c>
      <c r="G28">
        <v>39</v>
      </c>
      <c r="H28" s="4">
        <v>35.32</v>
      </c>
      <c r="I28">
        <v>1377.48</v>
      </c>
      <c r="J28">
        <v>63.72</v>
      </c>
      <c r="K28">
        <v>221.76</v>
      </c>
      <c r="L28" t="s">
        <v>30</v>
      </c>
      <c r="M28" t="s">
        <v>31</v>
      </c>
      <c r="N28" t="s">
        <v>32</v>
      </c>
      <c r="O28">
        <f>_xlfn.XLOOKUP(E28,Product_Master!$B$2:$B$11,Product_Master!$F$2:$F$11)</f>
        <v>28</v>
      </c>
      <c r="P28">
        <f t="shared" si="0"/>
        <v>1092</v>
      </c>
      <c r="Q28" s="5">
        <f t="shared" si="1"/>
        <v>0.16098963324331386</v>
      </c>
    </row>
    <row r="29" spans="1:17" x14ac:dyDescent="0.3">
      <c r="A29" t="s">
        <v>116</v>
      </c>
      <c r="B29" t="s">
        <v>71</v>
      </c>
      <c r="C29" t="s">
        <v>117</v>
      </c>
      <c r="D29" t="s">
        <v>63</v>
      </c>
      <c r="E29" t="s">
        <v>58</v>
      </c>
      <c r="F29" t="s">
        <v>59</v>
      </c>
      <c r="G29">
        <v>6</v>
      </c>
      <c r="H29" s="4">
        <v>39.630000000000003</v>
      </c>
      <c r="I29">
        <v>237.78</v>
      </c>
      <c r="J29">
        <v>8.08</v>
      </c>
      <c r="K29">
        <v>94.7</v>
      </c>
      <c r="L29" t="s">
        <v>22</v>
      </c>
      <c r="M29" t="s">
        <v>37</v>
      </c>
      <c r="N29" t="s">
        <v>66</v>
      </c>
      <c r="O29">
        <f>_xlfn.XLOOKUP(E29,Product_Master!$B$2:$B$11,Product_Master!$F$2:$F$11)</f>
        <v>22.5</v>
      </c>
      <c r="P29">
        <f t="shared" si="0"/>
        <v>135</v>
      </c>
      <c r="Q29" s="5">
        <f t="shared" si="1"/>
        <v>0.39826730591302884</v>
      </c>
    </row>
    <row r="30" spans="1:17" x14ac:dyDescent="0.3">
      <c r="A30" t="s">
        <v>118</v>
      </c>
      <c r="B30" t="s">
        <v>17</v>
      </c>
      <c r="C30" t="s">
        <v>119</v>
      </c>
      <c r="D30" t="s">
        <v>101</v>
      </c>
      <c r="E30" t="s">
        <v>49</v>
      </c>
      <c r="F30" t="s">
        <v>50</v>
      </c>
      <c r="G30">
        <v>36</v>
      </c>
      <c r="H30" s="4">
        <v>68.400000000000006</v>
      </c>
      <c r="I30">
        <v>2462.4</v>
      </c>
      <c r="J30">
        <v>150.83000000000001</v>
      </c>
      <c r="K30">
        <v>871.57</v>
      </c>
      <c r="L30" t="s">
        <v>30</v>
      </c>
      <c r="M30" t="s">
        <v>23</v>
      </c>
      <c r="N30" t="s">
        <v>102</v>
      </c>
      <c r="O30">
        <f>_xlfn.XLOOKUP(E30,Product_Master!$B$2:$B$11,Product_Master!$F$2:$F$11)</f>
        <v>40</v>
      </c>
      <c r="P30">
        <f t="shared" si="0"/>
        <v>1440</v>
      </c>
      <c r="Q30" s="5">
        <f t="shared" si="1"/>
        <v>0.35395142949967512</v>
      </c>
    </row>
    <row r="31" spans="1:17" x14ac:dyDescent="0.3">
      <c r="A31" t="s">
        <v>120</v>
      </c>
      <c r="B31" t="s">
        <v>95</v>
      </c>
      <c r="C31" t="s">
        <v>90</v>
      </c>
      <c r="D31" t="s">
        <v>36</v>
      </c>
      <c r="E31" t="s">
        <v>64</v>
      </c>
      <c r="F31" t="s">
        <v>65</v>
      </c>
      <c r="G31">
        <v>1</v>
      </c>
      <c r="H31" s="4">
        <v>44.98</v>
      </c>
      <c r="I31">
        <v>44.98</v>
      </c>
      <c r="J31">
        <v>2.81</v>
      </c>
      <c r="K31">
        <v>17.170000000000002</v>
      </c>
      <c r="L31" t="s">
        <v>30</v>
      </c>
      <c r="M31" t="s">
        <v>31</v>
      </c>
      <c r="N31" t="s">
        <v>32</v>
      </c>
      <c r="O31">
        <f>_xlfn.XLOOKUP(E31,Product_Master!$B$2:$B$11,Product_Master!$F$2:$F$11)</f>
        <v>25</v>
      </c>
      <c r="P31">
        <f t="shared" si="0"/>
        <v>25</v>
      </c>
      <c r="Q31" s="5">
        <f t="shared" si="1"/>
        <v>0.38172521120498004</v>
      </c>
    </row>
    <row r="32" spans="1:17" x14ac:dyDescent="0.3">
      <c r="A32" t="s">
        <v>121</v>
      </c>
      <c r="B32" t="s">
        <v>75</v>
      </c>
      <c r="C32" t="s">
        <v>122</v>
      </c>
      <c r="D32" t="s">
        <v>123</v>
      </c>
      <c r="E32" t="s">
        <v>98</v>
      </c>
      <c r="F32" t="s">
        <v>59</v>
      </c>
      <c r="G32">
        <v>3</v>
      </c>
      <c r="H32" s="4">
        <v>37.74</v>
      </c>
      <c r="I32">
        <v>113.22</v>
      </c>
      <c r="J32">
        <v>4.04</v>
      </c>
      <c r="K32">
        <v>25.18</v>
      </c>
      <c r="L32" t="s">
        <v>30</v>
      </c>
      <c r="M32" t="s">
        <v>31</v>
      </c>
      <c r="N32" t="s">
        <v>32</v>
      </c>
      <c r="O32">
        <f>_xlfn.XLOOKUP(E32,Product_Master!$B$2:$B$11,Product_Master!$F$2:$F$11)</f>
        <v>28</v>
      </c>
      <c r="P32">
        <f t="shared" si="0"/>
        <v>84</v>
      </c>
      <c r="Q32" s="5">
        <f t="shared" si="1"/>
        <v>0.22239886945769299</v>
      </c>
    </row>
    <row r="33" spans="1:17" x14ac:dyDescent="0.3">
      <c r="A33" t="s">
        <v>124</v>
      </c>
      <c r="B33" t="s">
        <v>107</v>
      </c>
      <c r="C33" t="s">
        <v>125</v>
      </c>
      <c r="D33" t="s">
        <v>123</v>
      </c>
      <c r="E33" t="s">
        <v>64</v>
      </c>
      <c r="F33" t="s">
        <v>65</v>
      </c>
      <c r="G33">
        <v>12</v>
      </c>
      <c r="H33" s="4">
        <v>39.799999999999997</v>
      </c>
      <c r="I33">
        <v>477.6</v>
      </c>
      <c r="J33">
        <v>20.54</v>
      </c>
      <c r="K33">
        <v>157.06</v>
      </c>
      <c r="L33" t="s">
        <v>44</v>
      </c>
      <c r="M33" t="s">
        <v>31</v>
      </c>
      <c r="N33" t="s">
        <v>32</v>
      </c>
      <c r="O33">
        <f>_xlfn.XLOOKUP(E33,Product_Master!$B$2:$B$11,Product_Master!$F$2:$F$11)</f>
        <v>25</v>
      </c>
      <c r="P33">
        <f t="shared" si="0"/>
        <v>300</v>
      </c>
      <c r="Q33" s="5">
        <f t="shared" si="1"/>
        <v>0.32885259631490787</v>
      </c>
    </row>
    <row r="34" spans="1:17" x14ac:dyDescent="0.3">
      <c r="A34" t="s">
        <v>126</v>
      </c>
      <c r="B34" t="s">
        <v>34</v>
      </c>
      <c r="C34" t="s">
        <v>127</v>
      </c>
      <c r="D34" t="s">
        <v>63</v>
      </c>
      <c r="E34" t="s">
        <v>42</v>
      </c>
      <c r="F34" t="s">
        <v>43</v>
      </c>
      <c r="G34">
        <v>26</v>
      </c>
      <c r="H34" s="4">
        <v>43.23</v>
      </c>
      <c r="I34">
        <v>1123.98</v>
      </c>
      <c r="J34">
        <v>57.2</v>
      </c>
      <c r="K34">
        <v>234.78</v>
      </c>
      <c r="L34" t="s">
        <v>30</v>
      </c>
      <c r="M34" t="s">
        <v>37</v>
      </c>
      <c r="N34" t="s">
        <v>66</v>
      </c>
      <c r="O34">
        <f>_xlfn.XLOOKUP(E34,Product_Master!$B$2:$B$11,Product_Master!$F$2:$F$11)</f>
        <v>32</v>
      </c>
      <c r="P34">
        <f t="shared" si="0"/>
        <v>832</v>
      </c>
      <c r="Q34" s="5">
        <f t="shared" si="1"/>
        <v>0.20888272033310201</v>
      </c>
    </row>
    <row r="35" spans="1:17" x14ac:dyDescent="0.3">
      <c r="A35" t="s">
        <v>128</v>
      </c>
      <c r="B35" t="s">
        <v>17</v>
      </c>
      <c r="C35" t="s">
        <v>40</v>
      </c>
      <c r="D35" t="s">
        <v>36</v>
      </c>
      <c r="E35" t="s">
        <v>49</v>
      </c>
      <c r="F35" t="s">
        <v>50</v>
      </c>
      <c r="G35">
        <v>17</v>
      </c>
      <c r="H35" s="4">
        <v>66.34</v>
      </c>
      <c r="I35">
        <v>1127.78</v>
      </c>
      <c r="J35">
        <v>81.150000000000006</v>
      </c>
      <c r="K35">
        <v>366.63</v>
      </c>
      <c r="L35" t="s">
        <v>30</v>
      </c>
      <c r="M35" t="s">
        <v>37</v>
      </c>
      <c r="N35" t="s">
        <v>32</v>
      </c>
      <c r="O35">
        <f>_xlfn.XLOOKUP(E35,Product_Master!$B$2:$B$11,Product_Master!$F$2:$F$11)</f>
        <v>40</v>
      </c>
      <c r="P35">
        <f t="shared" si="0"/>
        <v>680</v>
      </c>
      <c r="Q35" s="5">
        <f t="shared" si="1"/>
        <v>0.32508999982266046</v>
      </c>
    </row>
    <row r="36" spans="1:17" x14ac:dyDescent="0.3">
      <c r="A36" t="s">
        <v>129</v>
      </c>
      <c r="B36" t="s">
        <v>39</v>
      </c>
      <c r="C36" t="s">
        <v>130</v>
      </c>
      <c r="D36" t="s">
        <v>81</v>
      </c>
      <c r="E36" t="s">
        <v>64</v>
      </c>
      <c r="F36" t="s">
        <v>65</v>
      </c>
      <c r="G36">
        <v>4</v>
      </c>
      <c r="H36" s="4">
        <v>33.869999999999997</v>
      </c>
      <c r="I36">
        <v>135.47999999999999</v>
      </c>
      <c r="J36">
        <v>6.59</v>
      </c>
      <c r="K36">
        <v>28.89</v>
      </c>
      <c r="L36" t="s">
        <v>22</v>
      </c>
      <c r="M36" t="s">
        <v>37</v>
      </c>
      <c r="N36" t="s">
        <v>66</v>
      </c>
      <c r="O36">
        <f>_xlfn.XLOOKUP(E36,Product_Master!$B$2:$B$11,Product_Master!$F$2:$F$11)</f>
        <v>25</v>
      </c>
      <c r="P36">
        <f t="shared" si="0"/>
        <v>100</v>
      </c>
      <c r="Q36" s="5">
        <f t="shared" si="1"/>
        <v>0.21324180690876884</v>
      </c>
    </row>
    <row r="37" spans="1:17" x14ac:dyDescent="0.3">
      <c r="A37" t="s">
        <v>131</v>
      </c>
      <c r="B37" t="s">
        <v>132</v>
      </c>
      <c r="C37" t="s">
        <v>133</v>
      </c>
      <c r="D37" t="s">
        <v>36</v>
      </c>
      <c r="E37" t="s">
        <v>49</v>
      </c>
      <c r="F37" t="s">
        <v>50</v>
      </c>
      <c r="G37">
        <v>10</v>
      </c>
      <c r="H37" s="4">
        <v>64.650000000000006</v>
      </c>
      <c r="I37">
        <v>646.5</v>
      </c>
      <c r="J37">
        <v>17.89</v>
      </c>
      <c r="K37">
        <v>228.61</v>
      </c>
      <c r="L37" t="s">
        <v>44</v>
      </c>
      <c r="M37" t="s">
        <v>23</v>
      </c>
      <c r="N37" t="s">
        <v>32</v>
      </c>
      <c r="O37">
        <f>_xlfn.XLOOKUP(E37,Product_Master!$B$2:$B$11,Product_Master!$F$2:$F$11)</f>
        <v>40</v>
      </c>
      <c r="P37">
        <f t="shared" si="0"/>
        <v>400</v>
      </c>
      <c r="Q37" s="5">
        <f t="shared" si="1"/>
        <v>0.35361175560711527</v>
      </c>
    </row>
    <row r="38" spans="1:17" x14ac:dyDescent="0.3">
      <c r="A38" t="s">
        <v>134</v>
      </c>
      <c r="B38" t="s">
        <v>78</v>
      </c>
      <c r="C38" t="s">
        <v>135</v>
      </c>
      <c r="D38" t="s">
        <v>101</v>
      </c>
      <c r="E38" t="s">
        <v>58</v>
      </c>
      <c r="F38" t="s">
        <v>59</v>
      </c>
      <c r="G38">
        <v>12</v>
      </c>
      <c r="H38" s="4">
        <v>29.56</v>
      </c>
      <c r="I38">
        <v>354.72</v>
      </c>
      <c r="J38">
        <v>21.4</v>
      </c>
      <c r="K38">
        <v>63.32</v>
      </c>
      <c r="L38" t="s">
        <v>30</v>
      </c>
      <c r="M38" t="s">
        <v>23</v>
      </c>
      <c r="N38" t="s">
        <v>102</v>
      </c>
      <c r="O38">
        <f>_xlfn.XLOOKUP(E38,Product_Master!$B$2:$B$11,Product_Master!$F$2:$F$11)</f>
        <v>22.5</v>
      </c>
      <c r="P38">
        <f t="shared" si="0"/>
        <v>270</v>
      </c>
      <c r="Q38" s="5">
        <f t="shared" si="1"/>
        <v>0.17850699142986015</v>
      </c>
    </row>
    <row r="39" spans="1:17" x14ac:dyDescent="0.3">
      <c r="A39" t="s">
        <v>136</v>
      </c>
      <c r="B39" t="s">
        <v>107</v>
      </c>
      <c r="C39" t="s">
        <v>137</v>
      </c>
      <c r="D39" t="s">
        <v>19</v>
      </c>
      <c r="E39" t="s">
        <v>64</v>
      </c>
      <c r="F39" t="s">
        <v>65</v>
      </c>
      <c r="G39">
        <v>4</v>
      </c>
      <c r="H39" s="4">
        <v>35.36</v>
      </c>
      <c r="I39">
        <v>141.44</v>
      </c>
      <c r="J39">
        <v>8.66</v>
      </c>
      <c r="K39">
        <v>32.78</v>
      </c>
      <c r="L39" t="s">
        <v>44</v>
      </c>
      <c r="M39" t="s">
        <v>31</v>
      </c>
      <c r="N39" t="s">
        <v>24</v>
      </c>
      <c r="O39">
        <f>_xlfn.XLOOKUP(E39,Product_Master!$B$2:$B$11,Product_Master!$F$2:$F$11)</f>
        <v>25</v>
      </c>
      <c r="P39">
        <f t="shared" si="0"/>
        <v>100</v>
      </c>
      <c r="Q39" s="5">
        <f t="shared" si="1"/>
        <v>0.23175904977375567</v>
      </c>
    </row>
    <row r="40" spans="1:17" x14ac:dyDescent="0.3">
      <c r="A40" t="s">
        <v>138</v>
      </c>
      <c r="B40" t="s">
        <v>17</v>
      </c>
      <c r="C40" t="s">
        <v>139</v>
      </c>
      <c r="D40" t="s">
        <v>36</v>
      </c>
      <c r="E40" t="s">
        <v>54</v>
      </c>
      <c r="F40" t="s">
        <v>43</v>
      </c>
      <c r="G40">
        <v>28</v>
      </c>
      <c r="H40" s="4">
        <v>31.42</v>
      </c>
      <c r="I40">
        <v>879.76</v>
      </c>
      <c r="J40">
        <v>69.319999999999993</v>
      </c>
      <c r="K40">
        <v>250.44</v>
      </c>
      <c r="L40" t="s">
        <v>22</v>
      </c>
      <c r="M40" t="s">
        <v>37</v>
      </c>
      <c r="N40" t="s">
        <v>32</v>
      </c>
      <c r="O40">
        <f>_xlfn.XLOOKUP(E40,Product_Master!$B$2:$B$11,Product_Master!$F$2:$F$11)</f>
        <v>20</v>
      </c>
      <c r="P40">
        <f t="shared" si="0"/>
        <v>560</v>
      </c>
      <c r="Q40" s="5">
        <f t="shared" si="1"/>
        <v>0.28466854596708191</v>
      </c>
    </row>
    <row r="41" spans="1:17" x14ac:dyDescent="0.3">
      <c r="A41" t="s">
        <v>140</v>
      </c>
      <c r="B41" t="s">
        <v>107</v>
      </c>
      <c r="C41" t="s">
        <v>141</v>
      </c>
      <c r="D41" t="s">
        <v>19</v>
      </c>
      <c r="E41" t="s">
        <v>20</v>
      </c>
      <c r="F41" t="s">
        <v>21</v>
      </c>
      <c r="G41">
        <v>35</v>
      </c>
      <c r="H41" s="4">
        <v>55.12</v>
      </c>
      <c r="I41">
        <v>1929.2</v>
      </c>
      <c r="J41">
        <v>58.22</v>
      </c>
      <c r="K41">
        <v>645.98</v>
      </c>
      <c r="L41" t="s">
        <v>22</v>
      </c>
      <c r="M41" t="s">
        <v>23</v>
      </c>
      <c r="N41" t="s">
        <v>24</v>
      </c>
      <c r="O41">
        <f>_xlfn.XLOOKUP(E41,Product_Master!$B$2:$B$11,Product_Master!$F$2:$F$11)</f>
        <v>35</v>
      </c>
      <c r="P41">
        <f t="shared" si="0"/>
        <v>1225</v>
      </c>
      <c r="Q41" s="5">
        <f t="shared" si="1"/>
        <v>0.3348434584283641</v>
      </c>
    </row>
    <row r="42" spans="1:17" x14ac:dyDescent="0.3">
      <c r="A42" t="s">
        <v>142</v>
      </c>
      <c r="B42" t="s">
        <v>75</v>
      </c>
      <c r="C42" t="s">
        <v>143</v>
      </c>
      <c r="D42" t="s">
        <v>88</v>
      </c>
      <c r="E42" t="s">
        <v>58</v>
      </c>
      <c r="F42" t="s">
        <v>59</v>
      </c>
      <c r="G42">
        <v>41</v>
      </c>
      <c r="H42" s="4">
        <v>33.94</v>
      </c>
      <c r="I42">
        <v>1391.54</v>
      </c>
      <c r="J42">
        <v>33.26</v>
      </c>
      <c r="K42">
        <v>435.78</v>
      </c>
      <c r="L42" t="s">
        <v>22</v>
      </c>
      <c r="M42" t="s">
        <v>37</v>
      </c>
      <c r="N42" t="s">
        <v>66</v>
      </c>
      <c r="O42">
        <f>_xlfn.XLOOKUP(E42,Product_Master!$B$2:$B$11,Product_Master!$F$2:$F$11)</f>
        <v>22.5</v>
      </c>
      <c r="P42">
        <f t="shared" si="0"/>
        <v>922.5</v>
      </c>
      <c r="Q42" s="5">
        <f t="shared" si="1"/>
        <v>0.31316383287580662</v>
      </c>
    </row>
    <row r="43" spans="1:17" x14ac:dyDescent="0.3">
      <c r="A43" t="s">
        <v>144</v>
      </c>
      <c r="B43" t="s">
        <v>71</v>
      </c>
      <c r="C43" t="s">
        <v>84</v>
      </c>
      <c r="D43" t="s">
        <v>81</v>
      </c>
      <c r="E43" t="s">
        <v>58</v>
      </c>
      <c r="F43" t="s">
        <v>59</v>
      </c>
      <c r="G43">
        <v>20</v>
      </c>
      <c r="H43" s="4">
        <v>38.43</v>
      </c>
      <c r="I43">
        <v>768.6</v>
      </c>
      <c r="J43">
        <v>60.07</v>
      </c>
      <c r="K43">
        <v>258.52999999999997</v>
      </c>
      <c r="L43" t="s">
        <v>44</v>
      </c>
      <c r="M43" t="s">
        <v>37</v>
      </c>
      <c r="N43" t="s">
        <v>66</v>
      </c>
      <c r="O43">
        <f>_xlfn.XLOOKUP(E43,Product_Master!$B$2:$B$11,Product_Master!$F$2:$F$11)</f>
        <v>22.5</v>
      </c>
      <c r="P43">
        <f t="shared" si="0"/>
        <v>450</v>
      </c>
      <c r="Q43" s="5">
        <f t="shared" si="1"/>
        <v>0.33636481915170435</v>
      </c>
    </row>
    <row r="44" spans="1:17" x14ac:dyDescent="0.3">
      <c r="A44" t="s">
        <v>145</v>
      </c>
      <c r="B44" t="s">
        <v>107</v>
      </c>
      <c r="C44" t="s">
        <v>87</v>
      </c>
      <c r="D44" t="s">
        <v>41</v>
      </c>
      <c r="E44" t="s">
        <v>64</v>
      </c>
      <c r="F44" t="s">
        <v>65</v>
      </c>
      <c r="G44">
        <v>23</v>
      </c>
      <c r="H44" s="4">
        <v>35.07</v>
      </c>
      <c r="I44">
        <v>806.61</v>
      </c>
      <c r="J44">
        <v>21.23</v>
      </c>
      <c r="K44">
        <v>210.38</v>
      </c>
      <c r="L44" t="s">
        <v>22</v>
      </c>
      <c r="M44" t="s">
        <v>37</v>
      </c>
      <c r="N44" t="s">
        <v>45</v>
      </c>
      <c r="O44">
        <f>_xlfn.XLOOKUP(E44,Product_Master!$B$2:$B$11,Product_Master!$F$2:$F$11)</f>
        <v>25</v>
      </c>
      <c r="P44">
        <f t="shared" si="0"/>
        <v>575</v>
      </c>
      <c r="Q44" s="5">
        <f t="shared" si="1"/>
        <v>0.26081997495691844</v>
      </c>
    </row>
    <row r="45" spans="1:17" x14ac:dyDescent="0.3">
      <c r="A45" t="s">
        <v>146</v>
      </c>
      <c r="B45" t="s">
        <v>104</v>
      </c>
      <c r="C45" t="s">
        <v>79</v>
      </c>
      <c r="D45" t="s">
        <v>147</v>
      </c>
      <c r="E45" t="s">
        <v>49</v>
      </c>
      <c r="F45" t="s">
        <v>50</v>
      </c>
      <c r="G45">
        <v>35</v>
      </c>
      <c r="H45" s="4">
        <v>71.44</v>
      </c>
      <c r="I45">
        <v>2500.4</v>
      </c>
      <c r="J45">
        <v>166.81</v>
      </c>
      <c r="K45">
        <v>933.59</v>
      </c>
      <c r="L45" t="s">
        <v>30</v>
      </c>
      <c r="M45" t="s">
        <v>31</v>
      </c>
      <c r="N45" t="s">
        <v>148</v>
      </c>
      <c r="O45">
        <f>_xlfn.XLOOKUP(E45,Product_Master!$B$2:$B$11,Product_Master!$F$2:$F$11)</f>
        <v>40</v>
      </c>
      <c r="P45">
        <f t="shared" si="0"/>
        <v>1400</v>
      </c>
      <c r="Q45" s="5">
        <f t="shared" si="1"/>
        <v>0.37337625979843225</v>
      </c>
    </row>
    <row r="46" spans="1:17" x14ac:dyDescent="0.3">
      <c r="A46" t="s">
        <v>149</v>
      </c>
      <c r="B46" t="s">
        <v>78</v>
      </c>
      <c r="C46" t="s">
        <v>133</v>
      </c>
      <c r="D46" t="s">
        <v>48</v>
      </c>
      <c r="E46" t="s">
        <v>29</v>
      </c>
      <c r="F46" t="s">
        <v>21</v>
      </c>
      <c r="G46">
        <v>11</v>
      </c>
      <c r="H46" s="4">
        <v>26.05</v>
      </c>
      <c r="I46">
        <v>286.55</v>
      </c>
      <c r="J46">
        <v>13.39</v>
      </c>
      <c r="K46">
        <v>75.16</v>
      </c>
      <c r="L46" t="s">
        <v>30</v>
      </c>
      <c r="M46" t="s">
        <v>23</v>
      </c>
      <c r="N46" t="s">
        <v>24</v>
      </c>
      <c r="O46">
        <f>_xlfn.XLOOKUP(E46,Product_Master!$B$2:$B$11,Product_Master!$F$2:$F$11)</f>
        <v>18</v>
      </c>
      <c r="P46">
        <f t="shared" si="0"/>
        <v>198</v>
      </c>
      <c r="Q46" s="5">
        <f t="shared" si="1"/>
        <v>0.26229279357878205</v>
      </c>
    </row>
    <row r="47" spans="1:17" x14ac:dyDescent="0.3">
      <c r="A47" t="s">
        <v>150</v>
      </c>
      <c r="B47" t="s">
        <v>83</v>
      </c>
      <c r="C47" t="s">
        <v>47</v>
      </c>
      <c r="D47" t="s">
        <v>28</v>
      </c>
      <c r="E47" t="s">
        <v>69</v>
      </c>
      <c r="F47" t="s">
        <v>59</v>
      </c>
      <c r="G47">
        <v>46</v>
      </c>
      <c r="H47" s="4">
        <v>26.67</v>
      </c>
      <c r="I47">
        <v>1226.82</v>
      </c>
      <c r="J47">
        <v>83.55</v>
      </c>
      <c r="K47">
        <v>430.27</v>
      </c>
      <c r="L47" t="s">
        <v>22</v>
      </c>
      <c r="M47" t="s">
        <v>37</v>
      </c>
      <c r="N47" t="s">
        <v>32</v>
      </c>
      <c r="O47">
        <f>_xlfn.XLOOKUP(E47,Product_Master!$B$2:$B$11,Product_Master!$F$2:$F$11)</f>
        <v>15.5</v>
      </c>
      <c r="P47">
        <f t="shared" si="0"/>
        <v>713</v>
      </c>
      <c r="Q47" s="5">
        <f t="shared" si="1"/>
        <v>0.35071974698814823</v>
      </c>
    </row>
    <row r="48" spans="1:17" x14ac:dyDescent="0.3">
      <c r="A48" t="s">
        <v>151</v>
      </c>
      <c r="B48" t="s">
        <v>132</v>
      </c>
      <c r="C48" t="s">
        <v>108</v>
      </c>
      <c r="D48" t="s">
        <v>28</v>
      </c>
      <c r="E48" t="s">
        <v>98</v>
      </c>
      <c r="F48" t="s">
        <v>59</v>
      </c>
      <c r="G48">
        <v>12</v>
      </c>
      <c r="H48" s="4">
        <v>42.84</v>
      </c>
      <c r="I48">
        <v>514.08000000000004</v>
      </c>
      <c r="J48">
        <v>22.74</v>
      </c>
      <c r="K48">
        <v>155.34</v>
      </c>
      <c r="L48" t="s">
        <v>44</v>
      </c>
      <c r="M48" t="s">
        <v>23</v>
      </c>
      <c r="N48" t="s">
        <v>32</v>
      </c>
      <c r="O48">
        <f>_xlfn.XLOOKUP(E48,Product_Master!$B$2:$B$11,Product_Master!$F$2:$F$11)</f>
        <v>28</v>
      </c>
      <c r="P48">
        <f t="shared" si="0"/>
        <v>336</v>
      </c>
      <c r="Q48" s="5">
        <f t="shared" si="1"/>
        <v>0.30217086834733892</v>
      </c>
    </row>
    <row r="49" spans="1:17" x14ac:dyDescent="0.3">
      <c r="A49" t="s">
        <v>152</v>
      </c>
      <c r="B49" t="s">
        <v>95</v>
      </c>
      <c r="C49" t="s">
        <v>153</v>
      </c>
      <c r="D49" t="s">
        <v>81</v>
      </c>
      <c r="E49" t="s">
        <v>29</v>
      </c>
      <c r="F49" t="s">
        <v>21</v>
      </c>
      <c r="G49">
        <v>18</v>
      </c>
      <c r="H49" s="4">
        <v>30.89</v>
      </c>
      <c r="I49">
        <v>556.02</v>
      </c>
      <c r="J49">
        <v>12</v>
      </c>
      <c r="K49">
        <v>220.02</v>
      </c>
      <c r="L49" t="s">
        <v>30</v>
      </c>
      <c r="M49" t="s">
        <v>23</v>
      </c>
      <c r="N49" t="s">
        <v>66</v>
      </c>
      <c r="O49">
        <f>_xlfn.XLOOKUP(E49,Product_Master!$B$2:$B$11,Product_Master!$F$2:$F$11)</f>
        <v>18</v>
      </c>
      <c r="P49">
        <f t="shared" si="0"/>
        <v>324</v>
      </c>
      <c r="Q49" s="5">
        <f t="shared" si="1"/>
        <v>0.39570519046077485</v>
      </c>
    </row>
    <row r="50" spans="1:17" x14ac:dyDescent="0.3">
      <c r="A50" t="s">
        <v>154</v>
      </c>
      <c r="B50" t="s">
        <v>78</v>
      </c>
      <c r="C50" t="s">
        <v>155</v>
      </c>
      <c r="D50" t="s">
        <v>48</v>
      </c>
      <c r="E50" t="s">
        <v>20</v>
      </c>
      <c r="F50" t="s">
        <v>21</v>
      </c>
      <c r="G50">
        <v>21</v>
      </c>
      <c r="H50" s="4">
        <v>52.41</v>
      </c>
      <c r="I50">
        <v>1100.6099999999999</v>
      </c>
      <c r="J50">
        <v>81.099999999999994</v>
      </c>
      <c r="K50">
        <v>284.51</v>
      </c>
      <c r="L50" t="s">
        <v>44</v>
      </c>
      <c r="M50" t="s">
        <v>31</v>
      </c>
      <c r="N50" t="s">
        <v>24</v>
      </c>
      <c r="O50">
        <f>_xlfn.XLOOKUP(E50,Product_Master!$B$2:$B$11,Product_Master!$F$2:$F$11)</f>
        <v>35</v>
      </c>
      <c r="P50">
        <f t="shared" si="0"/>
        <v>735</v>
      </c>
      <c r="Q50" s="5">
        <f t="shared" si="1"/>
        <v>0.25850210337903529</v>
      </c>
    </row>
    <row r="51" spans="1:17" x14ac:dyDescent="0.3">
      <c r="A51" t="s">
        <v>156</v>
      </c>
      <c r="B51" t="s">
        <v>157</v>
      </c>
      <c r="C51" t="s">
        <v>158</v>
      </c>
      <c r="D51" t="s">
        <v>147</v>
      </c>
      <c r="E51" t="s">
        <v>98</v>
      </c>
      <c r="F51" t="s">
        <v>59</v>
      </c>
      <c r="G51">
        <v>17</v>
      </c>
      <c r="H51" s="4">
        <v>38.64</v>
      </c>
      <c r="I51">
        <v>656.88</v>
      </c>
      <c r="J51">
        <v>13.86</v>
      </c>
      <c r="K51">
        <v>167.02</v>
      </c>
      <c r="L51" t="s">
        <v>30</v>
      </c>
      <c r="M51" t="s">
        <v>23</v>
      </c>
      <c r="N51" t="s">
        <v>148</v>
      </c>
      <c r="O51">
        <f>_xlfn.XLOOKUP(E51,Product_Master!$B$2:$B$11,Product_Master!$F$2:$F$11)</f>
        <v>28</v>
      </c>
      <c r="P51">
        <f t="shared" si="0"/>
        <v>476</v>
      </c>
      <c r="Q51" s="5">
        <f t="shared" si="1"/>
        <v>0.25426257459505541</v>
      </c>
    </row>
    <row r="52" spans="1:17" x14ac:dyDescent="0.3">
      <c r="A52" t="s">
        <v>159</v>
      </c>
      <c r="B52" t="s">
        <v>75</v>
      </c>
      <c r="C52" t="s">
        <v>137</v>
      </c>
      <c r="D52" t="s">
        <v>91</v>
      </c>
      <c r="E52" t="s">
        <v>29</v>
      </c>
      <c r="F52" t="s">
        <v>21</v>
      </c>
      <c r="G52">
        <v>41</v>
      </c>
      <c r="H52" s="4">
        <v>25.79</v>
      </c>
      <c r="I52">
        <v>1057.3900000000001</v>
      </c>
      <c r="J52">
        <v>71.22</v>
      </c>
      <c r="K52">
        <v>248.17</v>
      </c>
      <c r="L52" t="s">
        <v>30</v>
      </c>
      <c r="M52" t="s">
        <v>31</v>
      </c>
      <c r="N52" t="s">
        <v>66</v>
      </c>
      <c r="O52">
        <f>_xlfn.XLOOKUP(E52,Product_Master!$B$2:$B$11,Product_Master!$F$2:$F$11)</f>
        <v>18</v>
      </c>
      <c r="P52">
        <f t="shared" si="0"/>
        <v>738</v>
      </c>
      <c r="Q52" s="5">
        <f t="shared" si="1"/>
        <v>0.23470053622599038</v>
      </c>
    </row>
    <row r="53" spans="1:17" x14ac:dyDescent="0.3">
      <c r="A53" t="s">
        <v>160</v>
      </c>
      <c r="B53" t="s">
        <v>95</v>
      </c>
      <c r="C53" t="s">
        <v>161</v>
      </c>
      <c r="D53" t="s">
        <v>91</v>
      </c>
      <c r="E53" t="s">
        <v>98</v>
      </c>
      <c r="F53" t="s">
        <v>59</v>
      </c>
      <c r="G53">
        <v>41</v>
      </c>
      <c r="H53" s="4">
        <v>41.13</v>
      </c>
      <c r="I53">
        <v>1686.33</v>
      </c>
      <c r="J53">
        <v>80.12</v>
      </c>
      <c r="K53">
        <v>458.21</v>
      </c>
      <c r="L53" t="s">
        <v>30</v>
      </c>
      <c r="M53" t="s">
        <v>37</v>
      </c>
      <c r="N53" t="s">
        <v>66</v>
      </c>
      <c r="O53">
        <f>_xlfn.XLOOKUP(E53,Product_Master!$B$2:$B$11,Product_Master!$F$2:$F$11)</f>
        <v>28</v>
      </c>
      <c r="P53">
        <f t="shared" si="0"/>
        <v>1148</v>
      </c>
      <c r="Q53" s="5">
        <f t="shared" si="1"/>
        <v>0.27172024455474314</v>
      </c>
    </row>
    <row r="54" spans="1:17" x14ac:dyDescent="0.3">
      <c r="A54" t="s">
        <v>162</v>
      </c>
      <c r="B54" t="s">
        <v>132</v>
      </c>
      <c r="C54" t="s">
        <v>79</v>
      </c>
      <c r="D54" t="s">
        <v>63</v>
      </c>
      <c r="E54" t="s">
        <v>49</v>
      </c>
      <c r="F54" t="s">
        <v>50</v>
      </c>
      <c r="G54">
        <v>33</v>
      </c>
      <c r="H54" s="4">
        <v>55.67</v>
      </c>
      <c r="I54">
        <v>1837.11</v>
      </c>
      <c r="J54">
        <v>144.32</v>
      </c>
      <c r="K54">
        <v>372.79</v>
      </c>
      <c r="L54" t="s">
        <v>22</v>
      </c>
      <c r="M54" t="s">
        <v>23</v>
      </c>
      <c r="N54" t="s">
        <v>66</v>
      </c>
      <c r="O54">
        <f>_xlfn.XLOOKUP(E54,Product_Master!$B$2:$B$11,Product_Master!$F$2:$F$11)</f>
        <v>40</v>
      </c>
      <c r="P54">
        <f t="shared" si="0"/>
        <v>1320</v>
      </c>
      <c r="Q54" s="5">
        <f t="shared" si="1"/>
        <v>0.2029219807197174</v>
      </c>
    </row>
    <row r="55" spans="1:17" x14ac:dyDescent="0.3">
      <c r="A55" t="s">
        <v>163</v>
      </c>
      <c r="B55" t="s">
        <v>132</v>
      </c>
      <c r="C55" t="s">
        <v>164</v>
      </c>
      <c r="D55" t="s">
        <v>91</v>
      </c>
      <c r="E55" t="s">
        <v>49</v>
      </c>
      <c r="F55" t="s">
        <v>50</v>
      </c>
      <c r="G55">
        <v>18</v>
      </c>
      <c r="H55" s="4">
        <v>50.87</v>
      </c>
      <c r="I55">
        <v>915.66</v>
      </c>
      <c r="J55">
        <v>49.93</v>
      </c>
      <c r="K55">
        <v>145.72999999999999</v>
      </c>
      <c r="L55" t="s">
        <v>22</v>
      </c>
      <c r="M55" t="s">
        <v>31</v>
      </c>
      <c r="N55" t="s">
        <v>66</v>
      </c>
      <c r="O55">
        <f>_xlfn.XLOOKUP(E55,Product_Master!$B$2:$B$11,Product_Master!$F$2:$F$11)</f>
        <v>40</v>
      </c>
      <c r="P55">
        <f t="shared" si="0"/>
        <v>720</v>
      </c>
      <c r="Q55" s="5">
        <f t="shared" si="1"/>
        <v>0.15915296070593887</v>
      </c>
    </row>
    <row r="56" spans="1:17" x14ac:dyDescent="0.3">
      <c r="A56" t="s">
        <v>165</v>
      </c>
      <c r="B56" t="s">
        <v>75</v>
      </c>
      <c r="C56" t="s">
        <v>166</v>
      </c>
      <c r="D56" t="s">
        <v>101</v>
      </c>
      <c r="E56" t="s">
        <v>69</v>
      </c>
      <c r="F56" t="s">
        <v>59</v>
      </c>
      <c r="G56">
        <v>14</v>
      </c>
      <c r="H56" s="4">
        <v>26.7</v>
      </c>
      <c r="I56">
        <v>373.8</v>
      </c>
      <c r="J56">
        <v>11.84</v>
      </c>
      <c r="K56">
        <v>144.96</v>
      </c>
      <c r="L56" t="s">
        <v>44</v>
      </c>
      <c r="M56" t="s">
        <v>23</v>
      </c>
      <c r="N56" t="s">
        <v>102</v>
      </c>
      <c r="O56">
        <f>_xlfn.XLOOKUP(E56,Product_Master!$B$2:$B$11,Product_Master!$F$2:$F$11)</f>
        <v>15.5</v>
      </c>
      <c r="P56">
        <f t="shared" si="0"/>
        <v>217</v>
      </c>
      <c r="Q56" s="5">
        <f t="shared" si="1"/>
        <v>0.38780096308186196</v>
      </c>
    </row>
    <row r="57" spans="1:17" x14ac:dyDescent="0.3">
      <c r="A57" t="s">
        <v>167</v>
      </c>
      <c r="B57" t="s">
        <v>68</v>
      </c>
      <c r="C57" t="s">
        <v>168</v>
      </c>
      <c r="D57" t="s">
        <v>19</v>
      </c>
      <c r="E57" t="s">
        <v>29</v>
      </c>
      <c r="F57" t="s">
        <v>21</v>
      </c>
      <c r="G57">
        <v>16</v>
      </c>
      <c r="H57" s="4">
        <v>28.96</v>
      </c>
      <c r="I57">
        <v>463.36</v>
      </c>
      <c r="J57">
        <v>35.65</v>
      </c>
      <c r="K57">
        <v>139.71</v>
      </c>
      <c r="L57" t="s">
        <v>22</v>
      </c>
      <c r="M57" t="s">
        <v>37</v>
      </c>
      <c r="N57" t="s">
        <v>24</v>
      </c>
      <c r="O57">
        <f>_xlfn.XLOOKUP(E57,Product_Master!$B$2:$B$11,Product_Master!$F$2:$F$11)</f>
        <v>18</v>
      </c>
      <c r="P57">
        <f t="shared" si="0"/>
        <v>288</v>
      </c>
      <c r="Q57" s="5">
        <f t="shared" si="1"/>
        <v>0.30151502071823205</v>
      </c>
    </row>
    <row r="58" spans="1:17" x14ac:dyDescent="0.3">
      <c r="A58" t="s">
        <v>169</v>
      </c>
      <c r="B58" t="s">
        <v>107</v>
      </c>
      <c r="C58" t="s">
        <v>79</v>
      </c>
      <c r="D58" t="s">
        <v>170</v>
      </c>
      <c r="E58" t="s">
        <v>29</v>
      </c>
      <c r="F58" t="s">
        <v>21</v>
      </c>
      <c r="G58">
        <v>47</v>
      </c>
      <c r="H58" s="4">
        <v>23.03</v>
      </c>
      <c r="I58">
        <v>1082.4100000000001</v>
      </c>
      <c r="J58">
        <v>50.12</v>
      </c>
      <c r="K58">
        <v>186.29</v>
      </c>
      <c r="L58" t="s">
        <v>44</v>
      </c>
      <c r="M58" t="s">
        <v>23</v>
      </c>
      <c r="N58" t="s">
        <v>32</v>
      </c>
      <c r="O58">
        <f>_xlfn.XLOOKUP(E58,Product_Master!$B$2:$B$11,Product_Master!$F$2:$F$11)</f>
        <v>18</v>
      </c>
      <c r="P58">
        <f t="shared" si="0"/>
        <v>846</v>
      </c>
      <c r="Q58" s="5">
        <f t="shared" si="1"/>
        <v>0.1721066878539555</v>
      </c>
    </row>
    <row r="59" spans="1:17" x14ac:dyDescent="0.3">
      <c r="A59" t="s">
        <v>171</v>
      </c>
      <c r="B59" t="s">
        <v>107</v>
      </c>
      <c r="C59" t="s">
        <v>168</v>
      </c>
      <c r="D59" t="s">
        <v>147</v>
      </c>
      <c r="E59" t="s">
        <v>20</v>
      </c>
      <c r="F59" t="s">
        <v>21</v>
      </c>
      <c r="G59">
        <v>18</v>
      </c>
      <c r="H59" s="4">
        <v>50.03</v>
      </c>
      <c r="I59">
        <v>900.54</v>
      </c>
      <c r="J59">
        <v>68.44</v>
      </c>
      <c r="K59">
        <v>202.1</v>
      </c>
      <c r="L59" t="s">
        <v>44</v>
      </c>
      <c r="M59" t="s">
        <v>23</v>
      </c>
      <c r="N59" t="s">
        <v>148</v>
      </c>
      <c r="O59">
        <f>_xlfn.XLOOKUP(E59,Product_Master!$B$2:$B$11,Product_Master!$F$2:$F$11)</f>
        <v>35</v>
      </c>
      <c r="P59">
        <f t="shared" si="0"/>
        <v>630</v>
      </c>
      <c r="Q59" s="5">
        <f t="shared" si="1"/>
        <v>0.22442090301374731</v>
      </c>
    </row>
    <row r="60" spans="1:17" x14ac:dyDescent="0.3">
      <c r="A60" t="s">
        <v>172</v>
      </c>
      <c r="B60" t="s">
        <v>95</v>
      </c>
      <c r="C60" t="s">
        <v>173</v>
      </c>
      <c r="D60" t="s">
        <v>28</v>
      </c>
      <c r="E60" t="s">
        <v>64</v>
      </c>
      <c r="F60" t="s">
        <v>65</v>
      </c>
      <c r="G60">
        <v>38</v>
      </c>
      <c r="H60" s="4">
        <v>32.07</v>
      </c>
      <c r="I60">
        <v>1218.6600000000001</v>
      </c>
      <c r="J60">
        <v>54.49</v>
      </c>
      <c r="K60">
        <v>214.17</v>
      </c>
      <c r="L60" t="s">
        <v>44</v>
      </c>
      <c r="M60" t="s">
        <v>37</v>
      </c>
      <c r="N60" t="s">
        <v>32</v>
      </c>
      <c r="O60">
        <f>_xlfn.XLOOKUP(E60,Product_Master!$B$2:$B$11,Product_Master!$F$2:$F$11)</f>
        <v>25</v>
      </c>
      <c r="P60">
        <f t="shared" si="0"/>
        <v>950</v>
      </c>
      <c r="Q60" s="5">
        <f t="shared" si="1"/>
        <v>0.17574220865540838</v>
      </c>
    </row>
    <row r="61" spans="1:17" x14ac:dyDescent="0.3">
      <c r="A61" t="s">
        <v>174</v>
      </c>
      <c r="B61" t="s">
        <v>75</v>
      </c>
      <c r="C61" t="s">
        <v>175</v>
      </c>
      <c r="D61" t="s">
        <v>41</v>
      </c>
      <c r="E61" t="s">
        <v>42</v>
      </c>
      <c r="F61" t="s">
        <v>43</v>
      </c>
      <c r="G61">
        <v>23</v>
      </c>
      <c r="H61" s="4">
        <v>50.96</v>
      </c>
      <c r="I61">
        <v>1172.08</v>
      </c>
      <c r="J61">
        <v>61</v>
      </c>
      <c r="K61">
        <v>375.08</v>
      </c>
      <c r="L61" t="s">
        <v>44</v>
      </c>
      <c r="M61" t="s">
        <v>31</v>
      </c>
      <c r="N61" t="s">
        <v>45</v>
      </c>
      <c r="O61">
        <f>_xlfn.XLOOKUP(E61,Product_Master!$B$2:$B$11,Product_Master!$F$2:$F$11)</f>
        <v>32</v>
      </c>
      <c r="P61">
        <f t="shared" si="0"/>
        <v>736</v>
      </c>
      <c r="Q61" s="5">
        <f t="shared" si="1"/>
        <v>0.32001228585079516</v>
      </c>
    </row>
    <row r="62" spans="1:17" x14ac:dyDescent="0.3">
      <c r="A62" t="s">
        <v>176</v>
      </c>
      <c r="B62" t="s">
        <v>104</v>
      </c>
      <c r="C62" t="s">
        <v>177</v>
      </c>
      <c r="D62" t="s">
        <v>91</v>
      </c>
      <c r="E62" t="s">
        <v>49</v>
      </c>
      <c r="F62" t="s">
        <v>50</v>
      </c>
      <c r="G62">
        <v>46</v>
      </c>
      <c r="H62" s="4">
        <v>70.599999999999994</v>
      </c>
      <c r="I62">
        <v>3247.6</v>
      </c>
      <c r="J62">
        <v>166.91</v>
      </c>
      <c r="K62">
        <v>1240.69</v>
      </c>
      <c r="L62" t="s">
        <v>44</v>
      </c>
      <c r="M62" t="s">
        <v>31</v>
      </c>
      <c r="N62" t="s">
        <v>66</v>
      </c>
      <c r="O62">
        <f>_xlfn.XLOOKUP(E62,Product_Master!$B$2:$B$11,Product_Master!$F$2:$F$11)</f>
        <v>40</v>
      </c>
      <c r="P62">
        <f t="shared" si="0"/>
        <v>1840</v>
      </c>
      <c r="Q62" s="5">
        <f t="shared" si="1"/>
        <v>0.3820328858233773</v>
      </c>
    </row>
    <row r="63" spans="1:17" x14ac:dyDescent="0.3">
      <c r="A63" t="s">
        <v>178</v>
      </c>
      <c r="B63" t="s">
        <v>71</v>
      </c>
      <c r="C63" t="s">
        <v>108</v>
      </c>
      <c r="D63" t="s">
        <v>91</v>
      </c>
      <c r="E63" t="s">
        <v>49</v>
      </c>
      <c r="F63" t="s">
        <v>50</v>
      </c>
      <c r="G63">
        <v>15</v>
      </c>
      <c r="H63" s="4">
        <v>53.36</v>
      </c>
      <c r="I63">
        <v>800.4</v>
      </c>
      <c r="J63">
        <v>56.29</v>
      </c>
      <c r="K63">
        <v>144.11000000000001</v>
      </c>
      <c r="L63" t="s">
        <v>22</v>
      </c>
      <c r="M63" t="s">
        <v>23</v>
      </c>
      <c r="N63" t="s">
        <v>66</v>
      </c>
      <c r="O63">
        <f>_xlfn.XLOOKUP(E63,Product_Master!$B$2:$B$11,Product_Master!$F$2:$F$11)</f>
        <v>40</v>
      </c>
      <c r="P63">
        <f t="shared" si="0"/>
        <v>600</v>
      </c>
      <c r="Q63" s="5">
        <f t="shared" si="1"/>
        <v>0.18004747626186909</v>
      </c>
    </row>
    <row r="64" spans="1:17" x14ac:dyDescent="0.3">
      <c r="A64" t="s">
        <v>179</v>
      </c>
      <c r="B64" t="s">
        <v>86</v>
      </c>
      <c r="C64" t="s">
        <v>180</v>
      </c>
      <c r="D64" t="s">
        <v>147</v>
      </c>
      <c r="E64" t="s">
        <v>42</v>
      </c>
      <c r="F64" t="s">
        <v>43</v>
      </c>
      <c r="G64">
        <v>42</v>
      </c>
      <c r="H64" s="4">
        <v>39.840000000000003</v>
      </c>
      <c r="I64">
        <v>1673.28</v>
      </c>
      <c r="J64">
        <v>132.74</v>
      </c>
      <c r="K64">
        <v>196.54</v>
      </c>
      <c r="L64" t="s">
        <v>22</v>
      </c>
      <c r="M64" t="s">
        <v>37</v>
      </c>
      <c r="N64" t="s">
        <v>148</v>
      </c>
      <c r="O64">
        <f>_xlfn.XLOOKUP(E64,Product_Master!$B$2:$B$11,Product_Master!$F$2:$F$11)</f>
        <v>32</v>
      </c>
      <c r="P64">
        <f t="shared" si="0"/>
        <v>1344</v>
      </c>
      <c r="Q64" s="5">
        <f t="shared" si="1"/>
        <v>0.11745792694587875</v>
      </c>
    </row>
    <row r="65" spans="1:17" x14ac:dyDescent="0.3">
      <c r="A65" t="s">
        <v>181</v>
      </c>
      <c r="B65" t="s">
        <v>75</v>
      </c>
      <c r="C65" t="s">
        <v>164</v>
      </c>
      <c r="D65" t="s">
        <v>91</v>
      </c>
      <c r="E65" t="s">
        <v>64</v>
      </c>
      <c r="F65" t="s">
        <v>65</v>
      </c>
      <c r="G65">
        <v>31</v>
      </c>
      <c r="H65" s="4">
        <v>38.26</v>
      </c>
      <c r="I65">
        <v>1186.06</v>
      </c>
      <c r="J65">
        <v>69.33</v>
      </c>
      <c r="K65">
        <v>341.73</v>
      </c>
      <c r="L65" t="s">
        <v>30</v>
      </c>
      <c r="M65" t="s">
        <v>23</v>
      </c>
      <c r="N65" t="s">
        <v>66</v>
      </c>
      <c r="O65">
        <f>_xlfn.XLOOKUP(E65,Product_Master!$B$2:$B$11,Product_Master!$F$2:$F$11)</f>
        <v>25</v>
      </c>
      <c r="P65">
        <f t="shared" si="0"/>
        <v>775</v>
      </c>
      <c r="Q65" s="5">
        <f t="shared" si="1"/>
        <v>0.28812201743588017</v>
      </c>
    </row>
    <row r="66" spans="1:17" x14ac:dyDescent="0.3">
      <c r="A66" t="s">
        <v>182</v>
      </c>
      <c r="B66" t="s">
        <v>39</v>
      </c>
      <c r="C66" t="s">
        <v>166</v>
      </c>
      <c r="D66" t="s">
        <v>123</v>
      </c>
      <c r="E66" t="s">
        <v>69</v>
      </c>
      <c r="F66" t="s">
        <v>59</v>
      </c>
      <c r="G66">
        <v>2</v>
      </c>
      <c r="H66" s="4">
        <v>23.09</v>
      </c>
      <c r="I66">
        <v>46.18</v>
      </c>
      <c r="J66">
        <v>2.52</v>
      </c>
      <c r="K66">
        <v>12.66</v>
      </c>
      <c r="L66" t="s">
        <v>30</v>
      </c>
      <c r="M66" t="s">
        <v>31</v>
      </c>
      <c r="N66" t="s">
        <v>32</v>
      </c>
      <c r="O66">
        <f>_xlfn.XLOOKUP(E66,Product_Master!$B$2:$B$11,Product_Master!$F$2:$F$11)</f>
        <v>15.5</v>
      </c>
      <c r="P66">
        <f t="shared" si="0"/>
        <v>31</v>
      </c>
      <c r="Q66" s="5">
        <f t="shared" si="1"/>
        <v>0.27414465136422694</v>
      </c>
    </row>
    <row r="67" spans="1:17" x14ac:dyDescent="0.3">
      <c r="A67" t="s">
        <v>183</v>
      </c>
      <c r="B67" t="s">
        <v>78</v>
      </c>
      <c r="C67" t="s">
        <v>57</v>
      </c>
      <c r="D67" t="s">
        <v>88</v>
      </c>
      <c r="E67" t="s">
        <v>42</v>
      </c>
      <c r="F67" t="s">
        <v>43</v>
      </c>
      <c r="G67">
        <v>40</v>
      </c>
      <c r="H67" s="4">
        <v>46.81</v>
      </c>
      <c r="I67">
        <v>1872.4</v>
      </c>
      <c r="J67">
        <v>43.01</v>
      </c>
      <c r="K67">
        <v>549.39</v>
      </c>
      <c r="L67" t="s">
        <v>22</v>
      </c>
      <c r="M67" t="s">
        <v>37</v>
      </c>
      <c r="N67" t="s">
        <v>66</v>
      </c>
      <c r="O67">
        <f>_xlfn.XLOOKUP(E67,Product_Master!$B$2:$B$11,Product_Master!$F$2:$F$11)</f>
        <v>32</v>
      </c>
      <c r="P67">
        <f t="shared" ref="P67:P130" si="2">G67*O67</f>
        <v>1280</v>
      </c>
      <c r="Q67" s="5">
        <f t="shared" ref="Q67:Q130" si="3">K67/I67</f>
        <v>0.29341486861781668</v>
      </c>
    </row>
    <row r="68" spans="1:17" x14ac:dyDescent="0.3">
      <c r="A68" t="s">
        <v>184</v>
      </c>
      <c r="B68" t="s">
        <v>104</v>
      </c>
      <c r="C68" t="s">
        <v>185</v>
      </c>
      <c r="D68" t="s">
        <v>63</v>
      </c>
      <c r="E68" t="s">
        <v>42</v>
      </c>
      <c r="F68" t="s">
        <v>43</v>
      </c>
      <c r="G68">
        <v>43</v>
      </c>
      <c r="H68" s="4">
        <v>57.01</v>
      </c>
      <c r="I68">
        <v>2451.4299999999998</v>
      </c>
      <c r="J68">
        <v>115.04</v>
      </c>
      <c r="K68">
        <v>960.39</v>
      </c>
      <c r="L68" t="s">
        <v>30</v>
      </c>
      <c r="M68" t="s">
        <v>23</v>
      </c>
      <c r="N68" t="s">
        <v>66</v>
      </c>
      <c r="O68">
        <f>_xlfn.XLOOKUP(E68,Product_Master!$B$2:$B$11,Product_Master!$F$2:$F$11)</f>
        <v>32</v>
      </c>
      <c r="P68">
        <f t="shared" si="2"/>
        <v>1376</v>
      </c>
      <c r="Q68" s="5">
        <f t="shared" si="3"/>
        <v>0.39176725421488684</v>
      </c>
    </row>
    <row r="69" spans="1:17" x14ac:dyDescent="0.3">
      <c r="A69" t="s">
        <v>186</v>
      </c>
      <c r="B69" t="s">
        <v>86</v>
      </c>
      <c r="C69" t="s">
        <v>187</v>
      </c>
      <c r="D69" t="s">
        <v>53</v>
      </c>
      <c r="E69" t="s">
        <v>73</v>
      </c>
      <c r="F69" t="s">
        <v>43</v>
      </c>
      <c r="G69">
        <v>15</v>
      </c>
      <c r="H69" s="4">
        <v>22.23</v>
      </c>
      <c r="I69">
        <v>333.45</v>
      </c>
      <c r="J69">
        <v>16.89</v>
      </c>
      <c r="K69">
        <v>125.31</v>
      </c>
      <c r="L69" t="s">
        <v>44</v>
      </c>
      <c r="M69" t="s">
        <v>31</v>
      </c>
      <c r="N69" t="s">
        <v>24</v>
      </c>
      <c r="O69">
        <f>_xlfn.XLOOKUP(E69,Product_Master!$B$2:$B$11,Product_Master!$F$2:$F$11)</f>
        <v>12.75</v>
      </c>
      <c r="P69">
        <f t="shared" si="2"/>
        <v>191.25</v>
      </c>
      <c r="Q69" s="5">
        <f t="shared" si="3"/>
        <v>0.37579847053531268</v>
      </c>
    </row>
    <row r="70" spans="1:17" x14ac:dyDescent="0.3">
      <c r="A70" t="s">
        <v>188</v>
      </c>
      <c r="B70" t="s">
        <v>71</v>
      </c>
      <c r="C70" t="s">
        <v>189</v>
      </c>
      <c r="D70" t="s">
        <v>123</v>
      </c>
      <c r="E70" t="s">
        <v>69</v>
      </c>
      <c r="F70" t="s">
        <v>59</v>
      </c>
      <c r="G70">
        <v>15</v>
      </c>
      <c r="H70" s="4">
        <v>19.23</v>
      </c>
      <c r="I70">
        <v>288.45</v>
      </c>
      <c r="J70">
        <v>20.22</v>
      </c>
      <c r="K70">
        <v>35.729999999999997</v>
      </c>
      <c r="L70" t="s">
        <v>22</v>
      </c>
      <c r="M70" t="s">
        <v>23</v>
      </c>
      <c r="N70" t="s">
        <v>32</v>
      </c>
      <c r="O70">
        <f>_xlfn.XLOOKUP(E70,Product_Master!$B$2:$B$11,Product_Master!$F$2:$F$11)</f>
        <v>15.5</v>
      </c>
      <c r="P70">
        <f t="shared" si="2"/>
        <v>232.5</v>
      </c>
      <c r="Q70" s="5">
        <f t="shared" si="3"/>
        <v>0.12386895475819032</v>
      </c>
    </row>
    <row r="71" spans="1:17" x14ac:dyDescent="0.3">
      <c r="A71" t="s">
        <v>190</v>
      </c>
      <c r="B71" t="s">
        <v>56</v>
      </c>
      <c r="C71" t="s">
        <v>110</v>
      </c>
      <c r="D71" t="s">
        <v>36</v>
      </c>
      <c r="E71" t="s">
        <v>98</v>
      </c>
      <c r="F71" t="s">
        <v>59</v>
      </c>
      <c r="G71">
        <v>34</v>
      </c>
      <c r="H71" s="4">
        <v>45.54</v>
      </c>
      <c r="I71">
        <v>1548.36</v>
      </c>
      <c r="J71">
        <v>36.76</v>
      </c>
      <c r="K71">
        <v>559.6</v>
      </c>
      <c r="L71" t="s">
        <v>22</v>
      </c>
      <c r="M71" t="s">
        <v>23</v>
      </c>
      <c r="N71" t="s">
        <v>32</v>
      </c>
      <c r="O71">
        <f>_xlfn.XLOOKUP(E71,Product_Master!$B$2:$B$11,Product_Master!$F$2:$F$11)</f>
        <v>28</v>
      </c>
      <c r="P71">
        <f t="shared" si="2"/>
        <v>952</v>
      </c>
      <c r="Q71" s="5">
        <f t="shared" si="3"/>
        <v>0.36141465808984996</v>
      </c>
    </row>
    <row r="72" spans="1:17" x14ac:dyDescent="0.3">
      <c r="A72" t="s">
        <v>191</v>
      </c>
      <c r="B72" t="s">
        <v>71</v>
      </c>
      <c r="C72" t="s">
        <v>192</v>
      </c>
      <c r="D72" t="s">
        <v>123</v>
      </c>
      <c r="E72" t="s">
        <v>49</v>
      </c>
      <c r="F72" t="s">
        <v>50</v>
      </c>
      <c r="G72">
        <v>33</v>
      </c>
      <c r="H72" s="4">
        <v>63.88</v>
      </c>
      <c r="I72">
        <v>2108.04</v>
      </c>
      <c r="J72">
        <v>111.7</v>
      </c>
      <c r="K72">
        <v>676.34</v>
      </c>
      <c r="L72" t="s">
        <v>22</v>
      </c>
      <c r="M72" t="s">
        <v>37</v>
      </c>
      <c r="N72" t="s">
        <v>32</v>
      </c>
      <c r="O72">
        <f>_xlfn.XLOOKUP(E72,Product_Master!$B$2:$B$11,Product_Master!$F$2:$F$11)</f>
        <v>40</v>
      </c>
      <c r="P72">
        <f t="shared" si="2"/>
        <v>1320</v>
      </c>
      <c r="Q72" s="5">
        <f t="shared" si="3"/>
        <v>0.32083831426348647</v>
      </c>
    </row>
    <row r="73" spans="1:17" x14ac:dyDescent="0.3">
      <c r="A73" t="s">
        <v>193</v>
      </c>
      <c r="B73" t="s">
        <v>56</v>
      </c>
      <c r="C73" t="s">
        <v>108</v>
      </c>
      <c r="D73" t="s">
        <v>170</v>
      </c>
      <c r="E73" t="s">
        <v>29</v>
      </c>
      <c r="F73" t="s">
        <v>21</v>
      </c>
      <c r="G73">
        <v>39</v>
      </c>
      <c r="H73" s="4">
        <v>25.38</v>
      </c>
      <c r="I73">
        <v>989.82</v>
      </c>
      <c r="J73">
        <v>50.82</v>
      </c>
      <c r="K73">
        <v>237</v>
      </c>
      <c r="L73" t="s">
        <v>30</v>
      </c>
      <c r="M73" t="s">
        <v>31</v>
      </c>
      <c r="N73" t="s">
        <v>32</v>
      </c>
      <c r="O73">
        <f>_xlfn.XLOOKUP(E73,Product_Master!$B$2:$B$11,Product_Master!$F$2:$F$11)</f>
        <v>18</v>
      </c>
      <c r="P73">
        <f t="shared" si="2"/>
        <v>702</v>
      </c>
      <c r="Q73" s="5">
        <f t="shared" si="3"/>
        <v>0.23943747348002667</v>
      </c>
    </row>
    <row r="74" spans="1:17" x14ac:dyDescent="0.3">
      <c r="A74" t="s">
        <v>194</v>
      </c>
      <c r="B74" t="s">
        <v>56</v>
      </c>
      <c r="C74" t="s">
        <v>195</v>
      </c>
      <c r="D74" t="s">
        <v>196</v>
      </c>
      <c r="E74" t="s">
        <v>64</v>
      </c>
      <c r="F74" t="s">
        <v>65</v>
      </c>
      <c r="G74">
        <v>9</v>
      </c>
      <c r="H74" s="4">
        <v>38.979999999999997</v>
      </c>
      <c r="I74">
        <v>350.82</v>
      </c>
      <c r="J74">
        <v>25.56</v>
      </c>
      <c r="K74">
        <v>100.26</v>
      </c>
      <c r="L74" t="s">
        <v>22</v>
      </c>
      <c r="M74" t="s">
        <v>23</v>
      </c>
      <c r="N74" t="s">
        <v>66</v>
      </c>
      <c r="O74">
        <f>_xlfn.XLOOKUP(E74,Product_Master!$B$2:$B$11,Product_Master!$F$2:$F$11)</f>
        <v>25</v>
      </c>
      <c r="P74">
        <f t="shared" si="2"/>
        <v>225</v>
      </c>
      <c r="Q74" s="5">
        <f t="shared" si="3"/>
        <v>0.28578758337609034</v>
      </c>
    </row>
    <row r="75" spans="1:17" x14ac:dyDescent="0.3">
      <c r="A75" t="s">
        <v>197</v>
      </c>
      <c r="B75" t="s">
        <v>39</v>
      </c>
      <c r="C75" t="s">
        <v>198</v>
      </c>
      <c r="D75" t="s">
        <v>101</v>
      </c>
      <c r="E75" t="s">
        <v>54</v>
      </c>
      <c r="F75" t="s">
        <v>43</v>
      </c>
      <c r="G75">
        <v>14</v>
      </c>
      <c r="H75" s="4">
        <v>35.86</v>
      </c>
      <c r="I75">
        <v>502.04</v>
      </c>
      <c r="J75">
        <v>40.130000000000003</v>
      </c>
      <c r="K75">
        <v>181.91</v>
      </c>
      <c r="L75" t="s">
        <v>44</v>
      </c>
      <c r="M75" t="s">
        <v>37</v>
      </c>
      <c r="N75" t="s">
        <v>102</v>
      </c>
      <c r="O75">
        <f>_xlfn.XLOOKUP(E75,Product_Master!$B$2:$B$11,Product_Master!$F$2:$F$11)</f>
        <v>20</v>
      </c>
      <c r="P75">
        <f t="shared" si="2"/>
        <v>280</v>
      </c>
      <c r="Q75" s="5">
        <f t="shared" si="3"/>
        <v>0.36234164608397734</v>
      </c>
    </row>
    <row r="76" spans="1:17" x14ac:dyDescent="0.3">
      <c r="A76" t="s">
        <v>199</v>
      </c>
      <c r="B76" t="s">
        <v>157</v>
      </c>
      <c r="C76" t="s">
        <v>200</v>
      </c>
      <c r="D76" t="s">
        <v>91</v>
      </c>
      <c r="E76" t="s">
        <v>69</v>
      </c>
      <c r="F76" t="s">
        <v>59</v>
      </c>
      <c r="G76">
        <v>49</v>
      </c>
      <c r="H76" s="4">
        <v>21.37</v>
      </c>
      <c r="I76">
        <v>1047.1300000000001</v>
      </c>
      <c r="J76">
        <v>65.98</v>
      </c>
      <c r="K76">
        <v>221.65</v>
      </c>
      <c r="L76" t="s">
        <v>44</v>
      </c>
      <c r="M76" t="s">
        <v>37</v>
      </c>
      <c r="N76" t="s">
        <v>66</v>
      </c>
      <c r="O76">
        <f>_xlfn.XLOOKUP(E76,Product_Master!$B$2:$B$11,Product_Master!$F$2:$F$11)</f>
        <v>15.5</v>
      </c>
      <c r="P76">
        <f t="shared" si="2"/>
        <v>759.5</v>
      </c>
      <c r="Q76" s="5">
        <f t="shared" si="3"/>
        <v>0.21167381318460934</v>
      </c>
    </row>
    <row r="77" spans="1:17" x14ac:dyDescent="0.3">
      <c r="A77" t="s">
        <v>201</v>
      </c>
      <c r="B77" t="s">
        <v>104</v>
      </c>
      <c r="C77" t="s">
        <v>202</v>
      </c>
      <c r="D77" t="s">
        <v>53</v>
      </c>
      <c r="E77" t="s">
        <v>29</v>
      </c>
      <c r="F77" t="s">
        <v>21</v>
      </c>
      <c r="G77">
        <v>42</v>
      </c>
      <c r="H77" s="4">
        <v>24.57</v>
      </c>
      <c r="I77">
        <v>1031.94</v>
      </c>
      <c r="J77">
        <v>56.45</v>
      </c>
      <c r="K77">
        <v>219.49</v>
      </c>
      <c r="L77" t="s">
        <v>30</v>
      </c>
      <c r="M77" t="s">
        <v>23</v>
      </c>
      <c r="N77" t="s">
        <v>24</v>
      </c>
      <c r="O77">
        <f>_xlfn.XLOOKUP(E77,Product_Master!$B$2:$B$11,Product_Master!$F$2:$F$11)</f>
        <v>18</v>
      </c>
      <c r="P77">
        <f t="shared" si="2"/>
        <v>756</v>
      </c>
      <c r="Q77" s="5">
        <f t="shared" si="3"/>
        <v>0.2126964746012365</v>
      </c>
    </row>
    <row r="78" spans="1:17" x14ac:dyDescent="0.3">
      <c r="A78" t="s">
        <v>203</v>
      </c>
      <c r="B78" t="s">
        <v>132</v>
      </c>
      <c r="C78" t="s">
        <v>202</v>
      </c>
      <c r="D78" t="s">
        <v>81</v>
      </c>
      <c r="E78" t="s">
        <v>29</v>
      </c>
      <c r="F78" t="s">
        <v>21</v>
      </c>
      <c r="G78">
        <v>42</v>
      </c>
      <c r="H78" s="4">
        <v>26.39</v>
      </c>
      <c r="I78">
        <v>1108.3800000000001</v>
      </c>
      <c r="J78">
        <v>44.56</v>
      </c>
      <c r="K78">
        <v>307.82</v>
      </c>
      <c r="L78" t="s">
        <v>30</v>
      </c>
      <c r="M78" t="s">
        <v>23</v>
      </c>
      <c r="N78" t="s">
        <v>66</v>
      </c>
      <c r="O78">
        <f>_xlfn.XLOOKUP(E78,Product_Master!$B$2:$B$11,Product_Master!$F$2:$F$11)</f>
        <v>18</v>
      </c>
      <c r="P78">
        <f t="shared" si="2"/>
        <v>756</v>
      </c>
      <c r="Q78" s="5">
        <f t="shared" si="3"/>
        <v>0.27772063732654861</v>
      </c>
    </row>
    <row r="79" spans="1:17" x14ac:dyDescent="0.3">
      <c r="A79" t="s">
        <v>204</v>
      </c>
      <c r="B79" t="s">
        <v>132</v>
      </c>
      <c r="C79" t="s">
        <v>200</v>
      </c>
      <c r="D79" t="s">
        <v>48</v>
      </c>
      <c r="E79" t="s">
        <v>54</v>
      </c>
      <c r="F79" t="s">
        <v>43</v>
      </c>
      <c r="G79">
        <v>50</v>
      </c>
      <c r="H79" s="4">
        <v>29.73</v>
      </c>
      <c r="I79">
        <v>1486.5</v>
      </c>
      <c r="J79">
        <v>96.77</v>
      </c>
      <c r="K79">
        <v>389.73</v>
      </c>
      <c r="L79" t="s">
        <v>44</v>
      </c>
      <c r="M79" t="s">
        <v>23</v>
      </c>
      <c r="N79" t="s">
        <v>24</v>
      </c>
      <c r="O79">
        <f>_xlfn.XLOOKUP(E79,Product_Master!$B$2:$B$11,Product_Master!$F$2:$F$11)</f>
        <v>20</v>
      </c>
      <c r="P79">
        <f t="shared" si="2"/>
        <v>1000</v>
      </c>
      <c r="Q79" s="5">
        <f t="shared" si="3"/>
        <v>0.26217961654894045</v>
      </c>
    </row>
    <row r="80" spans="1:17" x14ac:dyDescent="0.3">
      <c r="A80" t="s">
        <v>205</v>
      </c>
      <c r="B80" t="s">
        <v>104</v>
      </c>
      <c r="C80" t="s">
        <v>198</v>
      </c>
      <c r="D80" t="s">
        <v>63</v>
      </c>
      <c r="E80" t="s">
        <v>69</v>
      </c>
      <c r="F80" t="s">
        <v>59</v>
      </c>
      <c r="G80">
        <v>39</v>
      </c>
      <c r="H80" s="4">
        <v>20.56</v>
      </c>
      <c r="I80">
        <v>801.84</v>
      </c>
      <c r="J80">
        <v>43.55</v>
      </c>
      <c r="K80">
        <v>153.79</v>
      </c>
      <c r="L80" t="s">
        <v>22</v>
      </c>
      <c r="M80" t="s">
        <v>23</v>
      </c>
      <c r="N80" t="s">
        <v>66</v>
      </c>
      <c r="O80">
        <f>_xlfn.XLOOKUP(E80,Product_Master!$B$2:$B$11,Product_Master!$F$2:$F$11)</f>
        <v>15.5</v>
      </c>
      <c r="P80">
        <f t="shared" si="2"/>
        <v>604.5</v>
      </c>
      <c r="Q80" s="5">
        <f t="shared" si="3"/>
        <v>0.19179636835278857</v>
      </c>
    </row>
    <row r="81" spans="1:17" x14ac:dyDescent="0.3">
      <c r="A81" t="s">
        <v>206</v>
      </c>
      <c r="B81" t="s">
        <v>157</v>
      </c>
      <c r="C81" t="s">
        <v>27</v>
      </c>
      <c r="D81" t="s">
        <v>63</v>
      </c>
      <c r="E81" t="s">
        <v>69</v>
      </c>
      <c r="F81" t="s">
        <v>59</v>
      </c>
      <c r="G81">
        <v>48</v>
      </c>
      <c r="H81" s="4">
        <v>24.36</v>
      </c>
      <c r="I81">
        <v>1169.28</v>
      </c>
      <c r="J81">
        <v>81.599999999999994</v>
      </c>
      <c r="K81">
        <v>343.68</v>
      </c>
      <c r="L81" t="s">
        <v>44</v>
      </c>
      <c r="M81" t="s">
        <v>37</v>
      </c>
      <c r="N81" t="s">
        <v>66</v>
      </c>
      <c r="O81">
        <f>_xlfn.XLOOKUP(E81,Product_Master!$B$2:$B$11,Product_Master!$F$2:$F$11)</f>
        <v>15.5</v>
      </c>
      <c r="P81">
        <f t="shared" si="2"/>
        <v>744</v>
      </c>
      <c r="Q81" s="5">
        <f t="shared" si="3"/>
        <v>0.29392446633825947</v>
      </c>
    </row>
    <row r="82" spans="1:17" x14ac:dyDescent="0.3">
      <c r="A82" t="s">
        <v>207</v>
      </c>
      <c r="B82" t="s">
        <v>68</v>
      </c>
      <c r="C82" t="s">
        <v>208</v>
      </c>
      <c r="D82" t="s">
        <v>170</v>
      </c>
      <c r="E82" t="s">
        <v>58</v>
      </c>
      <c r="F82" t="s">
        <v>59</v>
      </c>
      <c r="G82">
        <v>40</v>
      </c>
      <c r="H82" s="4">
        <v>27.95</v>
      </c>
      <c r="I82">
        <v>1118</v>
      </c>
      <c r="J82">
        <v>37.590000000000003</v>
      </c>
      <c r="K82">
        <v>180.41</v>
      </c>
      <c r="L82" t="s">
        <v>44</v>
      </c>
      <c r="M82" t="s">
        <v>37</v>
      </c>
      <c r="N82" t="s">
        <v>32</v>
      </c>
      <c r="O82">
        <f>_xlfn.XLOOKUP(E82,Product_Master!$B$2:$B$11,Product_Master!$F$2:$F$11)</f>
        <v>22.5</v>
      </c>
      <c r="P82">
        <f t="shared" si="2"/>
        <v>900</v>
      </c>
      <c r="Q82" s="5">
        <f t="shared" si="3"/>
        <v>0.16136851520572451</v>
      </c>
    </row>
    <row r="83" spans="1:17" x14ac:dyDescent="0.3">
      <c r="A83" t="s">
        <v>209</v>
      </c>
      <c r="B83" t="s">
        <v>26</v>
      </c>
      <c r="C83" t="s">
        <v>137</v>
      </c>
      <c r="D83" t="s">
        <v>196</v>
      </c>
      <c r="E83" t="s">
        <v>98</v>
      </c>
      <c r="F83" t="s">
        <v>59</v>
      </c>
      <c r="G83">
        <v>21</v>
      </c>
      <c r="H83" s="4">
        <v>40.19</v>
      </c>
      <c r="I83">
        <v>843.99</v>
      </c>
      <c r="J83">
        <v>32.4</v>
      </c>
      <c r="K83">
        <v>223.59</v>
      </c>
      <c r="L83" t="s">
        <v>30</v>
      </c>
      <c r="M83" t="s">
        <v>31</v>
      </c>
      <c r="N83" t="s">
        <v>66</v>
      </c>
      <c r="O83">
        <f>_xlfn.XLOOKUP(E83,Product_Master!$B$2:$B$11,Product_Master!$F$2:$F$11)</f>
        <v>28</v>
      </c>
      <c r="P83">
        <f t="shared" si="2"/>
        <v>588</v>
      </c>
      <c r="Q83" s="5">
        <f t="shared" si="3"/>
        <v>0.26492020047630899</v>
      </c>
    </row>
    <row r="84" spans="1:17" x14ac:dyDescent="0.3">
      <c r="A84" t="s">
        <v>210</v>
      </c>
      <c r="B84" t="s">
        <v>56</v>
      </c>
      <c r="C84" t="s">
        <v>105</v>
      </c>
      <c r="D84" t="s">
        <v>81</v>
      </c>
      <c r="E84" t="s">
        <v>73</v>
      </c>
      <c r="F84" t="s">
        <v>43</v>
      </c>
      <c r="G84">
        <v>26</v>
      </c>
      <c r="H84" s="4">
        <v>16.670000000000002</v>
      </c>
      <c r="I84">
        <v>433.42</v>
      </c>
      <c r="J84">
        <v>32.79</v>
      </c>
      <c r="K84">
        <v>69.13</v>
      </c>
      <c r="L84" t="s">
        <v>44</v>
      </c>
      <c r="M84" t="s">
        <v>31</v>
      </c>
      <c r="N84" t="s">
        <v>66</v>
      </c>
      <c r="O84">
        <f>_xlfn.XLOOKUP(E84,Product_Master!$B$2:$B$11,Product_Master!$F$2:$F$11)</f>
        <v>12.75</v>
      </c>
      <c r="P84">
        <f t="shared" si="2"/>
        <v>331.5</v>
      </c>
      <c r="Q84" s="5">
        <f t="shared" si="3"/>
        <v>0.15949886945687783</v>
      </c>
    </row>
    <row r="85" spans="1:17" x14ac:dyDescent="0.3">
      <c r="A85" t="s">
        <v>211</v>
      </c>
      <c r="B85" t="s">
        <v>132</v>
      </c>
      <c r="C85" t="s">
        <v>212</v>
      </c>
      <c r="D85" t="s">
        <v>41</v>
      </c>
      <c r="E85" t="s">
        <v>42</v>
      </c>
      <c r="F85" t="s">
        <v>43</v>
      </c>
      <c r="G85">
        <v>28</v>
      </c>
      <c r="H85" s="4">
        <v>39.85</v>
      </c>
      <c r="I85">
        <v>1115.8</v>
      </c>
      <c r="J85">
        <v>43.87</v>
      </c>
      <c r="K85">
        <v>175.93</v>
      </c>
      <c r="L85" t="s">
        <v>44</v>
      </c>
      <c r="M85" t="s">
        <v>23</v>
      </c>
      <c r="N85" t="s">
        <v>45</v>
      </c>
      <c r="O85">
        <f>_xlfn.XLOOKUP(E85,Product_Master!$B$2:$B$11,Product_Master!$F$2:$F$11)</f>
        <v>32</v>
      </c>
      <c r="P85">
        <f t="shared" si="2"/>
        <v>896</v>
      </c>
      <c r="Q85" s="5">
        <f t="shared" si="3"/>
        <v>0.15767162573937982</v>
      </c>
    </row>
    <row r="86" spans="1:17" x14ac:dyDescent="0.3">
      <c r="A86" t="s">
        <v>213</v>
      </c>
      <c r="B86" t="s">
        <v>132</v>
      </c>
      <c r="C86" t="s">
        <v>212</v>
      </c>
      <c r="D86" t="s">
        <v>53</v>
      </c>
      <c r="E86" t="s">
        <v>73</v>
      </c>
      <c r="F86" t="s">
        <v>43</v>
      </c>
      <c r="G86">
        <v>47</v>
      </c>
      <c r="H86" s="4">
        <v>15.97</v>
      </c>
      <c r="I86">
        <v>750.59</v>
      </c>
      <c r="J86">
        <v>48.55</v>
      </c>
      <c r="K86">
        <v>102.79</v>
      </c>
      <c r="L86" t="s">
        <v>44</v>
      </c>
      <c r="M86" t="s">
        <v>37</v>
      </c>
      <c r="N86" t="s">
        <v>24</v>
      </c>
      <c r="O86">
        <f>_xlfn.XLOOKUP(E86,Product_Master!$B$2:$B$11,Product_Master!$F$2:$F$11)</f>
        <v>12.75</v>
      </c>
      <c r="P86">
        <f t="shared" si="2"/>
        <v>599.25</v>
      </c>
      <c r="Q86" s="5">
        <f t="shared" si="3"/>
        <v>0.13694560279246992</v>
      </c>
    </row>
    <row r="87" spans="1:17" x14ac:dyDescent="0.3">
      <c r="A87" t="s">
        <v>214</v>
      </c>
      <c r="B87" t="s">
        <v>132</v>
      </c>
      <c r="C87" t="s">
        <v>153</v>
      </c>
      <c r="D87" t="s">
        <v>63</v>
      </c>
      <c r="E87" t="s">
        <v>49</v>
      </c>
      <c r="F87" t="s">
        <v>50</v>
      </c>
      <c r="G87">
        <v>28</v>
      </c>
      <c r="H87" s="4">
        <v>53.6</v>
      </c>
      <c r="I87">
        <v>1500.8</v>
      </c>
      <c r="J87">
        <v>68.55</v>
      </c>
      <c r="K87">
        <v>312.25</v>
      </c>
      <c r="L87" t="s">
        <v>30</v>
      </c>
      <c r="M87" t="s">
        <v>31</v>
      </c>
      <c r="N87" t="s">
        <v>66</v>
      </c>
      <c r="O87">
        <f>_xlfn.XLOOKUP(E87,Product_Master!$B$2:$B$11,Product_Master!$F$2:$F$11)</f>
        <v>40</v>
      </c>
      <c r="P87">
        <f t="shared" si="2"/>
        <v>1120</v>
      </c>
      <c r="Q87" s="5">
        <f t="shared" si="3"/>
        <v>0.20805570362473347</v>
      </c>
    </row>
    <row r="88" spans="1:17" x14ac:dyDescent="0.3">
      <c r="A88" t="s">
        <v>215</v>
      </c>
      <c r="B88" t="s">
        <v>78</v>
      </c>
      <c r="C88" t="s">
        <v>125</v>
      </c>
      <c r="D88" t="s">
        <v>196</v>
      </c>
      <c r="E88" t="s">
        <v>98</v>
      </c>
      <c r="F88" t="s">
        <v>59</v>
      </c>
      <c r="G88">
        <v>37</v>
      </c>
      <c r="H88" s="4">
        <v>40.049999999999997</v>
      </c>
      <c r="I88">
        <v>1481.85</v>
      </c>
      <c r="J88">
        <v>45.6</v>
      </c>
      <c r="K88">
        <v>400.25</v>
      </c>
      <c r="L88" t="s">
        <v>22</v>
      </c>
      <c r="M88" t="s">
        <v>37</v>
      </c>
      <c r="N88" t="s">
        <v>66</v>
      </c>
      <c r="O88">
        <f>_xlfn.XLOOKUP(E88,Product_Master!$B$2:$B$11,Product_Master!$F$2:$F$11)</f>
        <v>28</v>
      </c>
      <c r="P88">
        <f t="shared" si="2"/>
        <v>1036</v>
      </c>
      <c r="Q88" s="5">
        <f t="shared" si="3"/>
        <v>0.2701015622363937</v>
      </c>
    </row>
    <row r="89" spans="1:17" x14ac:dyDescent="0.3">
      <c r="A89" t="s">
        <v>216</v>
      </c>
      <c r="B89" t="s">
        <v>26</v>
      </c>
      <c r="C89" t="s">
        <v>158</v>
      </c>
      <c r="D89" t="s">
        <v>36</v>
      </c>
      <c r="E89" t="s">
        <v>20</v>
      </c>
      <c r="F89" t="s">
        <v>21</v>
      </c>
      <c r="G89">
        <v>45</v>
      </c>
      <c r="H89" s="4">
        <v>43.74</v>
      </c>
      <c r="I89">
        <v>1968.3</v>
      </c>
      <c r="J89">
        <v>80.55</v>
      </c>
      <c r="K89">
        <v>312.75</v>
      </c>
      <c r="L89" t="s">
        <v>30</v>
      </c>
      <c r="M89" t="s">
        <v>37</v>
      </c>
      <c r="N89" t="s">
        <v>32</v>
      </c>
      <c r="O89">
        <f>_xlfn.XLOOKUP(E89,Product_Master!$B$2:$B$11,Product_Master!$F$2:$F$11)</f>
        <v>35</v>
      </c>
      <c r="P89">
        <f t="shared" si="2"/>
        <v>1575</v>
      </c>
      <c r="Q89" s="5">
        <f t="shared" si="3"/>
        <v>0.15889346136259716</v>
      </c>
    </row>
    <row r="90" spans="1:17" x14ac:dyDescent="0.3">
      <c r="A90" t="s">
        <v>217</v>
      </c>
      <c r="B90" t="s">
        <v>104</v>
      </c>
      <c r="C90" t="s">
        <v>218</v>
      </c>
      <c r="D90" t="s">
        <v>28</v>
      </c>
      <c r="E90" t="s">
        <v>69</v>
      </c>
      <c r="F90" t="s">
        <v>59</v>
      </c>
      <c r="G90">
        <v>9</v>
      </c>
      <c r="H90" s="4">
        <v>24.63</v>
      </c>
      <c r="I90">
        <v>221.67</v>
      </c>
      <c r="J90">
        <v>13.53</v>
      </c>
      <c r="K90">
        <v>68.64</v>
      </c>
      <c r="L90" t="s">
        <v>30</v>
      </c>
      <c r="M90" t="s">
        <v>37</v>
      </c>
      <c r="N90" t="s">
        <v>32</v>
      </c>
      <c r="O90">
        <f>_xlfn.XLOOKUP(E90,Product_Master!$B$2:$B$11,Product_Master!$F$2:$F$11)</f>
        <v>15.5</v>
      </c>
      <c r="P90">
        <f t="shared" si="2"/>
        <v>139.5</v>
      </c>
      <c r="Q90" s="5">
        <f t="shared" si="3"/>
        <v>0.30964947895520373</v>
      </c>
    </row>
    <row r="91" spans="1:17" x14ac:dyDescent="0.3">
      <c r="A91" t="s">
        <v>219</v>
      </c>
      <c r="B91" t="s">
        <v>104</v>
      </c>
      <c r="C91" t="s">
        <v>47</v>
      </c>
      <c r="D91" t="s">
        <v>101</v>
      </c>
      <c r="E91" t="s">
        <v>69</v>
      </c>
      <c r="F91" t="s">
        <v>59</v>
      </c>
      <c r="G91">
        <v>6</v>
      </c>
      <c r="H91" s="4">
        <v>21.79</v>
      </c>
      <c r="I91">
        <v>130.74</v>
      </c>
      <c r="J91">
        <v>7.75</v>
      </c>
      <c r="K91">
        <v>29.99</v>
      </c>
      <c r="L91" t="s">
        <v>30</v>
      </c>
      <c r="M91" t="s">
        <v>37</v>
      </c>
      <c r="N91" t="s">
        <v>102</v>
      </c>
      <c r="O91">
        <f>_xlfn.XLOOKUP(E91,Product_Master!$B$2:$B$11,Product_Master!$F$2:$F$11)</f>
        <v>15.5</v>
      </c>
      <c r="P91">
        <f t="shared" si="2"/>
        <v>93</v>
      </c>
      <c r="Q91" s="5">
        <f t="shared" si="3"/>
        <v>0.22938656876242922</v>
      </c>
    </row>
    <row r="92" spans="1:17" x14ac:dyDescent="0.3">
      <c r="A92" t="s">
        <v>220</v>
      </c>
      <c r="B92" t="s">
        <v>95</v>
      </c>
      <c r="C92" t="s">
        <v>221</v>
      </c>
      <c r="D92" t="s">
        <v>123</v>
      </c>
      <c r="E92" t="s">
        <v>20</v>
      </c>
      <c r="F92" t="s">
        <v>21</v>
      </c>
      <c r="G92">
        <v>23</v>
      </c>
      <c r="H92" s="4">
        <v>58.43</v>
      </c>
      <c r="I92">
        <v>1343.89</v>
      </c>
      <c r="J92">
        <v>38.729999999999997</v>
      </c>
      <c r="K92">
        <v>500.16</v>
      </c>
      <c r="L92" t="s">
        <v>30</v>
      </c>
      <c r="M92" t="s">
        <v>23</v>
      </c>
      <c r="N92" t="s">
        <v>32</v>
      </c>
      <c r="O92">
        <f>_xlfn.XLOOKUP(E92,Product_Master!$B$2:$B$11,Product_Master!$F$2:$F$11)</f>
        <v>35</v>
      </c>
      <c r="P92">
        <f t="shared" si="2"/>
        <v>805</v>
      </c>
      <c r="Q92" s="5">
        <f t="shared" si="3"/>
        <v>0.37217331775666163</v>
      </c>
    </row>
    <row r="93" spans="1:17" x14ac:dyDescent="0.3">
      <c r="A93" t="s">
        <v>222</v>
      </c>
      <c r="B93" t="s">
        <v>68</v>
      </c>
      <c r="C93" t="s">
        <v>223</v>
      </c>
      <c r="D93" t="s">
        <v>81</v>
      </c>
      <c r="E93" t="s">
        <v>49</v>
      </c>
      <c r="F93" t="s">
        <v>50</v>
      </c>
      <c r="G93">
        <v>19</v>
      </c>
      <c r="H93" s="4">
        <v>67.06</v>
      </c>
      <c r="I93">
        <v>1274.1400000000001</v>
      </c>
      <c r="J93">
        <v>85.73</v>
      </c>
      <c r="K93">
        <v>428.41</v>
      </c>
      <c r="L93" t="s">
        <v>22</v>
      </c>
      <c r="M93" t="s">
        <v>31</v>
      </c>
      <c r="N93" t="s">
        <v>66</v>
      </c>
      <c r="O93">
        <f>_xlfn.XLOOKUP(E93,Product_Master!$B$2:$B$11,Product_Master!$F$2:$F$11)</f>
        <v>40</v>
      </c>
      <c r="P93">
        <f t="shared" si="2"/>
        <v>760</v>
      </c>
      <c r="Q93" s="5">
        <f t="shared" si="3"/>
        <v>0.33623463669612441</v>
      </c>
    </row>
    <row r="94" spans="1:17" x14ac:dyDescent="0.3">
      <c r="A94" t="s">
        <v>224</v>
      </c>
      <c r="B94" t="s">
        <v>95</v>
      </c>
      <c r="C94" t="s">
        <v>218</v>
      </c>
      <c r="D94" t="s">
        <v>36</v>
      </c>
      <c r="E94" t="s">
        <v>29</v>
      </c>
      <c r="F94" t="s">
        <v>21</v>
      </c>
      <c r="G94">
        <v>4</v>
      </c>
      <c r="H94" s="4">
        <v>25.13</v>
      </c>
      <c r="I94">
        <v>100.52</v>
      </c>
      <c r="J94">
        <v>5.6</v>
      </c>
      <c r="K94">
        <v>22.92</v>
      </c>
      <c r="L94" t="s">
        <v>30</v>
      </c>
      <c r="M94" t="s">
        <v>37</v>
      </c>
      <c r="N94" t="s">
        <v>32</v>
      </c>
      <c r="O94">
        <f>_xlfn.XLOOKUP(E94,Product_Master!$B$2:$B$11,Product_Master!$F$2:$F$11)</f>
        <v>18</v>
      </c>
      <c r="P94">
        <f t="shared" si="2"/>
        <v>72</v>
      </c>
      <c r="Q94" s="5">
        <f t="shared" si="3"/>
        <v>0.22801432550736175</v>
      </c>
    </row>
    <row r="95" spans="1:17" x14ac:dyDescent="0.3">
      <c r="A95" t="s">
        <v>225</v>
      </c>
      <c r="B95" t="s">
        <v>75</v>
      </c>
      <c r="C95" t="s">
        <v>226</v>
      </c>
      <c r="D95" t="s">
        <v>36</v>
      </c>
      <c r="E95" t="s">
        <v>69</v>
      </c>
      <c r="F95" t="s">
        <v>59</v>
      </c>
      <c r="G95">
        <v>26</v>
      </c>
      <c r="H95" s="4">
        <v>19.34</v>
      </c>
      <c r="I95">
        <v>502.84</v>
      </c>
      <c r="J95">
        <v>26.51</v>
      </c>
      <c r="K95">
        <v>73.33</v>
      </c>
      <c r="L95" t="s">
        <v>30</v>
      </c>
      <c r="M95" t="s">
        <v>23</v>
      </c>
      <c r="N95" t="s">
        <v>32</v>
      </c>
      <c r="O95">
        <f>_xlfn.XLOOKUP(E95,Product_Master!$B$2:$B$11,Product_Master!$F$2:$F$11)</f>
        <v>15.5</v>
      </c>
      <c r="P95">
        <f t="shared" si="2"/>
        <v>403</v>
      </c>
      <c r="Q95" s="5">
        <f t="shared" si="3"/>
        <v>0.14583167607986636</v>
      </c>
    </row>
    <row r="96" spans="1:17" x14ac:dyDescent="0.3">
      <c r="A96" t="s">
        <v>227</v>
      </c>
      <c r="B96" t="s">
        <v>68</v>
      </c>
      <c r="C96" t="s">
        <v>228</v>
      </c>
      <c r="D96" t="s">
        <v>101</v>
      </c>
      <c r="E96" t="s">
        <v>54</v>
      </c>
      <c r="F96" t="s">
        <v>43</v>
      </c>
      <c r="G96">
        <v>26</v>
      </c>
      <c r="H96" s="4">
        <v>35.81</v>
      </c>
      <c r="I96">
        <v>931.06</v>
      </c>
      <c r="J96">
        <v>61.06</v>
      </c>
      <c r="K96">
        <v>350</v>
      </c>
      <c r="L96" t="s">
        <v>22</v>
      </c>
      <c r="M96" t="s">
        <v>23</v>
      </c>
      <c r="N96" t="s">
        <v>102</v>
      </c>
      <c r="O96">
        <f>_xlfn.XLOOKUP(E96,Product_Master!$B$2:$B$11,Product_Master!$F$2:$F$11)</f>
        <v>20</v>
      </c>
      <c r="P96">
        <f t="shared" si="2"/>
        <v>520</v>
      </c>
      <c r="Q96" s="5">
        <f t="shared" si="3"/>
        <v>0.37591562305329412</v>
      </c>
    </row>
    <row r="97" spans="1:17" x14ac:dyDescent="0.3">
      <c r="A97" t="s">
        <v>229</v>
      </c>
      <c r="B97" t="s">
        <v>104</v>
      </c>
      <c r="C97" t="s">
        <v>230</v>
      </c>
      <c r="D97" t="s">
        <v>81</v>
      </c>
      <c r="E97" t="s">
        <v>58</v>
      </c>
      <c r="F97" t="s">
        <v>59</v>
      </c>
      <c r="G97">
        <v>42</v>
      </c>
      <c r="H97" s="4">
        <v>39.950000000000003</v>
      </c>
      <c r="I97">
        <v>1677.9</v>
      </c>
      <c r="J97">
        <v>93.95</v>
      </c>
      <c r="K97">
        <v>638.95000000000005</v>
      </c>
      <c r="L97" t="s">
        <v>30</v>
      </c>
      <c r="M97" t="s">
        <v>31</v>
      </c>
      <c r="N97" t="s">
        <v>66</v>
      </c>
      <c r="O97">
        <f>_xlfn.XLOOKUP(E97,Product_Master!$B$2:$B$11,Product_Master!$F$2:$F$11)</f>
        <v>22.5</v>
      </c>
      <c r="P97">
        <f t="shared" si="2"/>
        <v>945</v>
      </c>
      <c r="Q97" s="5">
        <f t="shared" si="3"/>
        <v>0.38080338518386081</v>
      </c>
    </row>
    <row r="98" spans="1:17" x14ac:dyDescent="0.3">
      <c r="A98" t="s">
        <v>231</v>
      </c>
      <c r="B98" t="s">
        <v>95</v>
      </c>
      <c r="C98" t="s">
        <v>105</v>
      </c>
      <c r="D98" t="s">
        <v>88</v>
      </c>
      <c r="E98" t="s">
        <v>20</v>
      </c>
      <c r="F98" t="s">
        <v>21</v>
      </c>
      <c r="G98">
        <v>38</v>
      </c>
      <c r="H98" s="4">
        <v>49.98</v>
      </c>
      <c r="I98">
        <v>1899.24</v>
      </c>
      <c r="J98">
        <v>112.91</v>
      </c>
      <c r="K98">
        <v>456.33</v>
      </c>
      <c r="L98" t="s">
        <v>44</v>
      </c>
      <c r="M98" t="s">
        <v>37</v>
      </c>
      <c r="N98" t="s">
        <v>66</v>
      </c>
      <c r="O98">
        <f>_xlfn.XLOOKUP(E98,Product_Master!$B$2:$B$11,Product_Master!$F$2:$F$11)</f>
        <v>35</v>
      </c>
      <c r="P98">
        <f t="shared" si="2"/>
        <v>1330</v>
      </c>
      <c r="Q98" s="5">
        <f t="shared" si="3"/>
        <v>0.24026979212737726</v>
      </c>
    </row>
    <row r="99" spans="1:17" x14ac:dyDescent="0.3">
      <c r="A99" t="s">
        <v>232</v>
      </c>
      <c r="B99" t="s">
        <v>71</v>
      </c>
      <c r="C99" t="s">
        <v>137</v>
      </c>
      <c r="D99" t="s">
        <v>91</v>
      </c>
      <c r="E99" t="s">
        <v>98</v>
      </c>
      <c r="F99" t="s">
        <v>59</v>
      </c>
      <c r="G99">
        <v>1</v>
      </c>
      <c r="H99" s="4">
        <v>45.84</v>
      </c>
      <c r="I99">
        <v>45.84</v>
      </c>
      <c r="J99">
        <v>1.26</v>
      </c>
      <c r="K99">
        <v>16.579999999999998</v>
      </c>
      <c r="L99" t="s">
        <v>44</v>
      </c>
      <c r="M99" t="s">
        <v>23</v>
      </c>
      <c r="N99" t="s">
        <v>66</v>
      </c>
      <c r="O99">
        <f>_xlfn.XLOOKUP(E99,Product_Master!$B$2:$B$11,Product_Master!$F$2:$F$11)</f>
        <v>28</v>
      </c>
      <c r="P99">
        <f t="shared" si="2"/>
        <v>28</v>
      </c>
      <c r="Q99" s="5">
        <f t="shared" si="3"/>
        <v>0.3616928446771378</v>
      </c>
    </row>
    <row r="100" spans="1:17" x14ac:dyDescent="0.3">
      <c r="A100" t="s">
        <v>233</v>
      </c>
      <c r="B100" t="s">
        <v>75</v>
      </c>
      <c r="C100" t="s">
        <v>208</v>
      </c>
      <c r="D100" t="s">
        <v>147</v>
      </c>
      <c r="E100" t="s">
        <v>29</v>
      </c>
      <c r="F100" t="s">
        <v>21</v>
      </c>
      <c r="G100">
        <v>38</v>
      </c>
      <c r="H100" s="4">
        <v>26.34</v>
      </c>
      <c r="I100">
        <v>1000.92</v>
      </c>
      <c r="J100">
        <v>47.88</v>
      </c>
      <c r="K100">
        <v>269.04000000000002</v>
      </c>
      <c r="L100" t="s">
        <v>22</v>
      </c>
      <c r="M100" t="s">
        <v>31</v>
      </c>
      <c r="N100" t="s">
        <v>148</v>
      </c>
      <c r="O100">
        <f>_xlfn.XLOOKUP(E100,Product_Master!$B$2:$B$11,Product_Master!$F$2:$F$11)</f>
        <v>18</v>
      </c>
      <c r="P100">
        <f t="shared" si="2"/>
        <v>684</v>
      </c>
      <c r="Q100" s="5">
        <f t="shared" si="3"/>
        <v>0.26879271070615035</v>
      </c>
    </row>
    <row r="101" spans="1:17" x14ac:dyDescent="0.3">
      <c r="A101" t="s">
        <v>234</v>
      </c>
      <c r="B101" t="s">
        <v>39</v>
      </c>
      <c r="C101" t="s">
        <v>187</v>
      </c>
      <c r="D101" t="s">
        <v>123</v>
      </c>
      <c r="E101" t="s">
        <v>64</v>
      </c>
      <c r="F101" t="s">
        <v>65</v>
      </c>
      <c r="G101">
        <v>30</v>
      </c>
      <c r="H101" s="4">
        <v>36.43</v>
      </c>
      <c r="I101">
        <v>1092.9000000000001</v>
      </c>
      <c r="J101">
        <v>61.97</v>
      </c>
      <c r="K101">
        <v>280.93</v>
      </c>
      <c r="L101" t="s">
        <v>44</v>
      </c>
      <c r="M101" t="s">
        <v>31</v>
      </c>
      <c r="N101" t="s">
        <v>32</v>
      </c>
      <c r="O101">
        <f>_xlfn.XLOOKUP(E101,Product_Master!$B$2:$B$11,Product_Master!$F$2:$F$11)</f>
        <v>25</v>
      </c>
      <c r="P101">
        <f t="shared" si="2"/>
        <v>750</v>
      </c>
      <c r="Q101" s="5">
        <f t="shared" si="3"/>
        <v>0.25705005032482386</v>
      </c>
    </row>
    <row r="102" spans="1:17" x14ac:dyDescent="0.3">
      <c r="A102" t="s">
        <v>235</v>
      </c>
      <c r="B102" t="s">
        <v>56</v>
      </c>
      <c r="C102" t="s">
        <v>212</v>
      </c>
      <c r="D102" t="s">
        <v>36</v>
      </c>
      <c r="E102" t="s">
        <v>73</v>
      </c>
      <c r="F102" t="s">
        <v>43</v>
      </c>
      <c r="G102">
        <v>9</v>
      </c>
      <c r="H102" s="4">
        <v>22.27</v>
      </c>
      <c r="I102">
        <v>200.43</v>
      </c>
      <c r="J102">
        <v>13.21</v>
      </c>
      <c r="K102">
        <v>72.47</v>
      </c>
      <c r="L102" t="s">
        <v>30</v>
      </c>
      <c r="M102" t="s">
        <v>31</v>
      </c>
      <c r="N102" t="s">
        <v>32</v>
      </c>
      <c r="O102">
        <f>_xlfn.XLOOKUP(E102,Product_Master!$B$2:$B$11,Product_Master!$F$2:$F$11)</f>
        <v>12.75</v>
      </c>
      <c r="P102">
        <f t="shared" si="2"/>
        <v>114.75</v>
      </c>
      <c r="Q102" s="5">
        <f t="shared" si="3"/>
        <v>0.36157261886943071</v>
      </c>
    </row>
    <row r="103" spans="1:17" x14ac:dyDescent="0.3">
      <c r="A103" t="s">
        <v>236</v>
      </c>
      <c r="B103" t="s">
        <v>68</v>
      </c>
      <c r="C103" t="s">
        <v>117</v>
      </c>
      <c r="D103" t="s">
        <v>147</v>
      </c>
      <c r="E103" t="s">
        <v>69</v>
      </c>
      <c r="F103" t="s">
        <v>59</v>
      </c>
      <c r="G103">
        <v>26</v>
      </c>
      <c r="H103" s="4">
        <v>27.65</v>
      </c>
      <c r="I103">
        <v>718.9</v>
      </c>
      <c r="J103">
        <v>46.25</v>
      </c>
      <c r="K103">
        <v>269.64999999999998</v>
      </c>
      <c r="L103" t="s">
        <v>30</v>
      </c>
      <c r="M103" t="s">
        <v>37</v>
      </c>
      <c r="N103" t="s">
        <v>148</v>
      </c>
      <c r="O103">
        <f>_xlfn.XLOOKUP(E103,Product_Master!$B$2:$B$11,Product_Master!$F$2:$F$11)</f>
        <v>15.5</v>
      </c>
      <c r="P103">
        <f t="shared" si="2"/>
        <v>403</v>
      </c>
      <c r="Q103" s="5">
        <f t="shared" si="3"/>
        <v>0.37508693837807761</v>
      </c>
    </row>
    <row r="104" spans="1:17" x14ac:dyDescent="0.3">
      <c r="A104" t="s">
        <v>237</v>
      </c>
      <c r="B104" t="s">
        <v>95</v>
      </c>
      <c r="C104" t="s">
        <v>208</v>
      </c>
      <c r="D104" t="s">
        <v>28</v>
      </c>
      <c r="E104" t="s">
        <v>69</v>
      </c>
      <c r="F104" t="s">
        <v>59</v>
      </c>
      <c r="G104">
        <v>23</v>
      </c>
      <c r="H104" s="4">
        <v>22.45</v>
      </c>
      <c r="I104">
        <v>516.35</v>
      </c>
      <c r="J104">
        <v>15.68</v>
      </c>
      <c r="K104">
        <v>144.16999999999999</v>
      </c>
      <c r="L104" t="s">
        <v>44</v>
      </c>
      <c r="M104" t="s">
        <v>37</v>
      </c>
      <c r="N104" t="s">
        <v>32</v>
      </c>
      <c r="O104">
        <f>_xlfn.XLOOKUP(E104,Product_Master!$B$2:$B$11,Product_Master!$F$2:$F$11)</f>
        <v>15.5</v>
      </c>
      <c r="P104">
        <f t="shared" si="2"/>
        <v>356.5</v>
      </c>
      <c r="Q104" s="5">
        <f t="shared" si="3"/>
        <v>0.2792098382879829</v>
      </c>
    </row>
    <row r="105" spans="1:17" x14ac:dyDescent="0.3">
      <c r="A105" t="s">
        <v>238</v>
      </c>
      <c r="B105" t="s">
        <v>71</v>
      </c>
      <c r="C105" t="s">
        <v>141</v>
      </c>
      <c r="D105" t="s">
        <v>28</v>
      </c>
      <c r="E105" t="s">
        <v>69</v>
      </c>
      <c r="F105" t="s">
        <v>59</v>
      </c>
      <c r="G105">
        <v>30</v>
      </c>
      <c r="H105" s="4">
        <v>21.93</v>
      </c>
      <c r="I105">
        <v>657.9</v>
      </c>
      <c r="J105">
        <v>24.66</v>
      </c>
      <c r="K105">
        <v>168.24</v>
      </c>
      <c r="L105" t="s">
        <v>30</v>
      </c>
      <c r="M105" t="s">
        <v>23</v>
      </c>
      <c r="N105" t="s">
        <v>32</v>
      </c>
      <c r="O105">
        <f>_xlfn.XLOOKUP(E105,Product_Master!$B$2:$B$11,Product_Master!$F$2:$F$11)</f>
        <v>15.5</v>
      </c>
      <c r="P105">
        <f t="shared" si="2"/>
        <v>465</v>
      </c>
      <c r="Q105" s="5">
        <f t="shared" si="3"/>
        <v>0.25572275421796625</v>
      </c>
    </row>
    <row r="106" spans="1:17" x14ac:dyDescent="0.3">
      <c r="A106" t="s">
        <v>239</v>
      </c>
      <c r="B106" t="s">
        <v>68</v>
      </c>
      <c r="C106" t="s">
        <v>240</v>
      </c>
      <c r="D106" t="s">
        <v>81</v>
      </c>
      <c r="E106" t="s">
        <v>73</v>
      </c>
      <c r="F106" t="s">
        <v>43</v>
      </c>
      <c r="G106">
        <v>43</v>
      </c>
      <c r="H106" s="4">
        <v>21.92</v>
      </c>
      <c r="I106">
        <v>942.56</v>
      </c>
      <c r="J106">
        <v>51.15</v>
      </c>
      <c r="K106">
        <v>343.16</v>
      </c>
      <c r="L106" t="s">
        <v>22</v>
      </c>
      <c r="M106" t="s">
        <v>37</v>
      </c>
      <c r="N106" t="s">
        <v>66</v>
      </c>
      <c r="O106">
        <f>_xlfn.XLOOKUP(E106,Product_Master!$B$2:$B$11,Product_Master!$F$2:$F$11)</f>
        <v>12.75</v>
      </c>
      <c r="P106">
        <f t="shared" si="2"/>
        <v>548.25</v>
      </c>
      <c r="Q106" s="5">
        <f t="shared" si="3"/>
        <v>0.36407231369886273</v>
      </c>
    </row>
    <row r="107" spans="1:17" x14ac:dyDescent="0.3">
      <c r="A107" t="s">
        <v>241</v>
      </c>
      <c r="B107" t="s">
        <v>26</v>
      </c>
      <c r="C107" t="s">
        <v>72</v>
      </c>
      <c r="D107" t="s">
        <v>41</v>
      </c>
      <c r="E107" t="s">
        <v>49</v>
      </c>
      <c r="F107" t="s">
        <v>50</v>
      </c>
      <c r="G107">
        <v>3</v>
      </c>
      <c r="H107" s="4">
        <v>56.21</v>
      </c>
      <c r="I107">
        <v>168.63</v>
      </c>
      <c r="J107">
        <v>7.56</v>
      </c>
      <c r="K107">
        <v>41.07</v>
      </c>
      <c r="L107" t="s">
        <v>44</v>
      </c>
      <c r="M107" t="s">
        <v>23</v>
      </c>
      <c r="N107" t="s">
        <v>45</v>
      </c>
      <c r="O107">
        <f>_xlfn.XLOOKUP(E107,Product_Master!$B$2:$B$11,Product_Master!$F$2:$F$11)</f>
        <v>40</v>
      </c>
      <c r="P107">
        <f t="shared" si="2"/>
        <v>120</v>
      </c>
      <c r="Q107" s="5">
        <f t="shared" si="3"/>
        <v>0.24355096957836686</v>
      </c>
    </row>
    <row r="108" spans="1:17" x14ac:dyDescent="0.3">
      <c r="A108" t="s">
        <v>242</v>
      </c>
      <c r="B108" t="s">
        <v>34</v>
      </c>
      <c r="C108" t="s">
        <v>18</v>
      </c>
      <c r="D108" t="s">
        <v>36</v>
      </c>
      <c r="E108" t="s">
        <v>73</v>
      </c>
      <c r="F108" t="s">
        <v>43</v>
      </c>
      <c r="G108">
        <v>33</v>
      </c>
      <c r="H108" s="4">
        <v>15.44</v>
      </c>
      <c r="I108">
        <v>509.52</v>
      </c>
      <c r="J108">
        <v>19.7</v>
      </c>
      <c r="K108">
        <v>69.069999999999993</v>
      </c>
      <c r="L108" t="s">
        <v>22</v>
      </c>
      <c r="M108" t="s">
        <v>37</v>
      </c>
      <c r="N108" t="s">
        <v>32</v>
      </c>
      <c r="O108">
        <f>_xlfn.XLOOKUP(E108,Product_Master!$B$2:$B$11,Product_Master!$F$2:$F$11)</f>
        <v>12.75</v>
      </c>
      <c r="P108">
        <f t="shared" si="2"/>
        <v>420.75</v>
      </c>
      <c r="Q108" s="5">
        <f t="shared" si="3"/>
        <v>0.13555895745014915</v>
      </c>
    </row>
    <row r="109" spans="1:17" x14ac:dyDescent="0.3">
      <c r="A109" t="s">
        <v>243</v>
      </c>
      <c r="B109" t="s">
        <v>68</v>
      </c>
      <c r="C109" t="s">
        <v>110</v>
      </c>
      <c r="D109" t="s">
        <v>101</v>
      </c>
      <c r="E109" t="s">
        <v>69</v>
      </c>
      <c r="F109" t="s">
        <v>59</v>
      </c>
      <c r="G109">
        <v>50</v>
      </c>
      <c r="H109" s="4">
        <v>23.02</v>
      </c>
      <c r="I109">
        <v>1151</v>
      </c>
      <c r="J109">
        <v>69.3</v>
      </c>
      <c r="K109">
        <v>306.7</v>
      </c>
      <c r="L109" t="s">
        <v>30</v>
      </c>
      <c r="M109" t="s">
        <v>31</v>
      </c>
      <c r="N109" t="s">
        <v>102</v>
      </c>
      <c r="O109">
        <f>_xlfn.XLOOKUP(E109,Product_Master!$B$2:$B$11,Product_Master!$F$2:$F$11)</f>
        <v>15.5</v>
      </c>
      <c r="P109">
        <f t="shared" si="2"/>
        <v>775</v>
      </c>
      <c r="Q109" s="5">
        <f t="shared" si="3"/>
        <v>0.26646394439617721</v>
      </c>
    </row>
    <row r="110" spans="1:17" x14ac:dyDescent="0.3">
      <c r="A110" t="s">
        <v>244</v>
      </c>
      <c r="B110" t="s">
        <v>86</v>
      </c>
      <c r="C110" t="s">
        <v>245</v>
      </c>
      <c r="D110" t="s">
        <v>41</v>
      </c>
      <c r="E110" t="s">
        <v>73</v>
      </c>
      <c r="F110" t="s">
        <v>43</v>
      </c>
      <c r="G110">
        <v>8</v>
      </c>
      <c r="H110" s="4">
        <v>17.010000000000002</v>
      </c>
      <c r="I110">
        <v>136.08000000000001</v>
      </c>
      <c r="J110">
        <v>8.84</v>
      </c>
      <c r="K110">
        <v>25.24</v>
      </c>
      <c r="L110" t="s">
        <v>22</v>
      </c>
      <c r="M110" t="s">
        <v>37</v>
      </c>
      <c r="N110" t="s">
        <v>45</v>
      </c>
      <c r="O110">
        <f>_xlfn.XLOOKUP(E110,Product_Master!$B$2:$B$11,Product_Master!$F$2:$F$11)</f>
        <v>12.75</v>
      </c>
      <c r="P110">
        <f t="shared" si="2"/>
        <v>102</v>
      </c>
      <c r="Q110" s="5">
        <f t="shared" si="3"/>
        <v>0.18547912992357435</v>
      </c>
    </row>
    <row r="111" spans="1:17" x14ac:dyDescent="0.3">
      <c r="A111" t="s">
        <v>246</v>
      </c>
      <c r="B111" t="s">
        <v>39</v>
      </c>
      <c r="C111" t="s">
        <v>208</v>
      </c>
      <c r="D111" t="s">
        <v>123</v>
      </c>
      <c r="E111" t="s">
        <v>29</v>
      </c>
      <c r="F111" t="s">
        <v>21</v>
      </c>
      <c r="G111">
        <v>16</v>
      </c>
      <c r="H111" s="4">
        <v>26.47</v>
      </c>
      <c r="I111">
        <v>423.52</v>
      </c>
      <c r="J111">
        <v>15.87</v>
      </c>
      <c r="K111">
        <v>119.65</v>
      </c>
      <c r="L111" t="s">
        <v>30</v>
      </c>
      <c r="M111" t="s">
        <v>23</v>
      </c>
      <c r="N111" t="s">
        <v>32</v>
      </c>
      <c r="O111">
        <f>_xlfn.XLOOKUP(E111,Product_Master!$B$2:$B$11,Product_Master!$F$2:$F$11)</f>
        <v>18</v>
      </c>
      <c r="P111">
        <f t="shared" si="2"/>
        <v>288</v>
      </c>
      <c r="Q111" s="5">
        <f t="shared" si="3"/>
        <v>0.28251322251605593</v>
      </c>
    </row>
    <row r="112" spans="1:17" x14ac:dyDescent="0.3">
      <c r="A112" t="s">
        <v>247</v>
      </c>
      <c r="B112" t="s">
        <v>68</v>
      </c>
      <c r="C112" t="s">
        <v>189</v>
      </c>
      <c r="D112" t="s">
        <v>41</v>
      </c>
      <c r="E112" t="s">
        <v>42</v>
      </c>
      <c r="F112" t="s">
        <v>43</v>
      </c>
      <c r="G112">
        <v>32</v>
      </c>
      <c r="H112" s="4">
        <v>43.18</v>
      </c>
      <c r="I112">
        <v>1381.76</v>
      </c>
      <c r="J112">
        <v>88.54</v>
      </c>
      <c r="K112">
        <v>269.22000000000003</v>
      </c>
      <c r="L112" t="s">
        <v>30</v>
      </c>
      <c r="M112" t="s">
        <v>37</v>
      </c>
      <c r="N112" t="s">
        <v>45</v>
      </c>
      <c r="O112">
        <f>_xlfn.XLOOKUP(E112,Product_Master!$B$2:$B$11,Product_Master!$F$2:$F$11)</f>
        <v>32</v>
      </c>
      <c r="P112">
        <f t="shared" si="2"/>
        <v>1024</v>
      </c>
      <c r="Q112" s="5">
        <f t="shared" si="3"/>
        <v>0.19483846688281614</v>
      </c>
    </row>
    <row r="113" spans="1:17" x14ac:dyDescent="0.3">
      <c r="A113" t="s">
        <v>248</v>
      </c>
      <c r="B113" t="s">
        <v>56</v>
      </c>
      <c r="C113" t="s">
        <v>127</v>
      </c>
      <c r="D113" t="s">
        <v>147</v>
      </c>
      <c r="E113" t="s">
        <v>69</v>
      </c>
      <c r="F113" t="s">
        <v>59</v>
      </c>
      <c r="G113">
        <v>29</v>
      </c>
      <c r="H113" s="4">
        <v>18.850000000000001</v>
      </c>
      <c r="I113">
        <v>546.65</v>
      </c>
      <c r="J113">
        <v>13.22</v>
      </c>
      <c r="K113">
        <v>83.93</v>
      </c>
      <c r="L113" t="s">
        <v>22</v>
      </c>
      <c r="M113" t="s">
        <v>37</v>
      </c>
      <c r="N113" t="s">
        <v>148</v>
      </c>
      <c r="O113">
        <f>_xlfn.XLOOKUP(E113,Product_Master!$B$2:$B$11,Product_Master!$F$2:$F$11)</f>
        <v>15.5</v>
      </c>
      <c r="P113">
        <f t="shared" si="2"/>
        <v>449.5</v>
      </c>
      <c r="Q113" s="5">
        <f t="shared" si="3"/>
        <v>0.153535168755145</v>
      </c>
    </row>
    <row r="114" spans="1:17" x14ac:dyDescent="0.3">
      <c r="A114" t="s">
        <v>249</v>
      </c>
      <c r="B114" t="s">
        <v>17</v>
      </c>
      <c r="C114" t="s">
        <v>250</v>
      </c>
      <c r="D114" t="s">
        <v>123</v>
      </c>
      <c r="E114" t="s">
        <v>49</v>
      </c>
      <c r="F114" t="s">
        <v>50</v>
      </c>
      <c r="G114">
        <v>16</v>
      </c>
      <c r="H114" s="4">
        <v>64.400000000000006</v>
      </c>
      <c r="I114">
        <v>1030.4000000000001</v>
      </c>
      <c r="J114">
        <v>61.72</v>
      </c>
      <c r="K114">
        <v>328.68</v>
      </c>
      <c r="L114" t="s">
        <v>30</v>
      </c>
      <c r="M114" t="s">
        <v>31</v>
      </c>
      <c r="N114" t="s">
        <v>32</v>
      </c>
      <c r="O114">
        <f>_xlfn.XLOOKUP(E114,Product_Master!$B$2:$B$11,Product_Master!$F$2:$F$11)</f>
        <v>40</v>
      </c>
      <c r="P114">
        <f t="shared" si="2"/>
        <v>640</v>
      </c>
      <c r="Q114" s="5">
        <f t="shared" si="3"/>
        <v>0.31898291925465838</v>
      </c>
    </row>
    <row r="115" spans="1:17" x14ac:dyDescent="0.3">
      <c r="A115" t="s">
        <v>251</v>
      </c>
      <c r="B115" t="s">
        <v>132</v>
      </c>
      <c r="C115" t="s">
        <v>252</v>
      </c>
      <c r="D115" t="s">
        <v>81</v>
      </c>
      <c r="E115" t="s">
        <v>69</v>
      </c>
      <c r="F115" t="s">
        <v>59</v>
      </c>
      <c r="G115">
        <v>15</v>
      </c>
      <c r="H115" s="4">
        <v>19.53</v>
      </c>
      <c r="I115">
        <v>292.95</v>
      </c>
      <c r="J115">
        <v>7.15</v>
      </c>
      <c r="K115">
        <v>53.3</v>
      </c>
      <c r="L115" t="s">
        <v>44</v>
      </c>
      <c r="M115" t="s">
        <v>31</v>
      </c>
      <c r="N115" t="s">
        <v>66</v>
      </c>
      <c r="O115">
        <f>_xlfn.XLOOKUP(E115,Product_Master!$B$2:$B$11,Product_Master!$F$2:$F$11)</f>
        <v>15.5</v>
      </c>
      <c r="P115">
        <f t="shared" si="2"/>
        <v>232.5</v>
      </c>
      <c r="Q115" s="5">
        <f t="shared" si="3"/>
        <v>0.18194231097456903</v>
      </c>
    </row>
    <row r="116" spans="1:17" x14ac:dyDescent="0.3">
      <c r="A116" t="s">
        <v>253</v>
      </c>
      <c r="B116" t="s">
        <v>95</v>
      </c>
      <c r="C116" t="s">
        <v>130</v>
      </c>
      <c r="D116" t="s">
        <v>170</v>
      </c>
      <c r="E116" t="s">
        <v>54</v>
      </c>
      <c r="F116" t="s">
        <v>43</v>
      </c>
      <c r="G116">
        <v>36</v>
      </c>
      <c r="H116" s="4">
        <v>26.05</v>
      </c>
      <c r="I116">
        <v>937.8</v>
      </c>
      <c r="J116">
        <v>32.799999999999997</v>
      </c>
      <c r="K116">
        <v>185</v>
      </c>
      <c r="L116" t="s">
        <v>22</v>
      </c>
      <c r="M116" t="s">
        <v>37</v>
      </c>
      <c r="N116" t="s">
        <v>32</v>
      </c>
      <c r="O116">
        <f>_xlfn.XLOOKUP(E116,Product_Master!$B$2:$B$11,Product_Master!$F$2:$F$11)</f>
        <v>20</v>
      </c>
      <c r="P116">
        <f t="shared" si="2"/>
        <v>720</v>
      </c>
      <c r="Q116" s="5">
        <f t="shared" si="3"/>
        <v>0.19727020686713587</v>
      </c>
    </row>
    <row r="117" spans="1:17" x14ac:dyDescent="0.3">
      <c r="A117" t="s">
        <v>254</v>
      </c>
      <c r="B117" t="s">
        <v>83</v>
      </c>
      <c r="C117" t="s">
        <v>62</v>
      </c>
      <c r="D117" t="s">
        <v>101</v>
      </c>
      <c r="E117" t="s">
        <v>42</v>
      </c>
      <c r="F117" t="s">
        <v>43</v>
      </c>
      <c r="G117">
        <v>26</v>
      </c>
      <c r="H117" s="4">
        <v>47.52</v>
      </c>
      <c r="I117">
        <v>1235.52</v>
      </c>
      <c r="J117">
        <v>31.41</v>
      </c>
      <c r="K117">
        <v>372.11</v>
      </c>
      <c r="L117" t="s">
        <v>30</v>
      </c>
      <c r="M117" t="s">
        <v>23</v>
      </c>
      <c r="N117" t="s">
        <v>102</v>
      </c>
      <c r="O117">
        <f>_xlfn.XLOOKUP(E117,Product_Master!$B$2:$B$11,Product_Master!$F$2:$F$11)</f>
        <v>32</v>
      </c>
      <c r="P117">
        <f t="shared" si="2"/>
        <v>832</v>
      </c>
      <c r="Q117" s="5">
        <f t="shared" si="3"/>
        <v>0.30117683242683246</v>
      </c>
    </row>
    <row r="118" spans="1:17" x14ac:dyDescent="0.3">
      <c r="A118" t="s">
        <v>255</v>
      </c>
      <c r="B118" t="s">
        <v>68</v>
      </c>
      <c r="C118" t="s">
        <v>230</v>
      </c>
      <c r="D118" t="s">
        <v>123</v>
      </c>
      <c r="E118" t="s">
        <v>29</v>
      </c>
      <c r="F118" t="s">
        <v>21</v>
      </c>
      <c r="G118">
        <v>38</v>
      </c>
      <c r="H118" s="4">
        <v>26.38</v>
      </c>
      <c r="I118">
        <v>1002.44</v>
      </c>
      <c r="J118">
        <v>33.049999999999997</v>
      </c>
      <c r="K118">
        <v>285.39</v>
      </c>
      <c r="L118" t="s">
        <v>30</v>
      </c>
      <c r="M118" t="s">
        <v>23</v>
      </c>
      <c r="N118" t="s">
        <v>32</v>
      </c>
      <c r="O118">
        <f>_xlfn.XLOOKUP(E118,Product_Master!$B$2:$B$11,Product_Master!$F$2:$F$11)</f>
        <v>18</v>
      </c>
      <c r="P118">
        <f t="shared" si="2"/>
        <v>684</v>
      </c>
      <c r="Q118" s="5">
        <f t="shared" si="3"/>
        <v>0.28469534336219621</v>
      </c>
    </row>
    <row r="119" spans="1:17" x14ac:dyDescent="0.3">
      <c r="A119" t="s">
        <v>256</v>
      </c>
      <c r="B119" t="s">
        <v>75</v>
      </c>
      <c r="C119" t="s">
        <v>158</v>
      </c>
      <c r="D119" t="s">
        <v>91</v>
      </c>
      <c r="E119" t="s">
        <v>73</v>
      </c>
      <c r="F119" t="s">
        <v>43</v>
      </c>
      <c r="G119">
        <v>7</v>
      </c>
      <c r="H119" s="4">
        <v>17.66</v>
      </c>
      <c r="I119">
        <v>123.62</v>
      </c>
      <c r="J119">
        <v>6.95</v>
      </c>
      <c r="K119">
        <v>27.42</v>
      </c>
      <c r="L119" t="s">
        <v>22</v>
      </c>
      <c r="M119" t="s">
        <v>23</v>
      </c>
      <c r="N119" t="s">
        <v>66</v>
      </c>
      <c r="O119">
        <f>_xlfn.XLOOKUP(E119,Product_Master!$B$2:$B$11,Product_Master!$F$2:$F$11)</f>
        <v>12.75</v>
      </c>
      <c r="P119">
        <f t="shared" si="2"/>
        <v>89.25</v>
      </c>
      <c r="Q119" s="5">
        <f t="shared" si="3"/>
        <v>0.22180876880763631</v>
      </c>
    </row>
    <row r="120" spans="1:17" x14ac:dyDescent="0.3">
      <c r="A120" t="s">
        <v>257</v>
      </c>
      <c r="B120" t="s">
        <v>132</v>
      </c>
      <c r="C120" t="s">
        <v>161</v>
      </c>
      <c r="D120" t="s">
        <v>147</v>
      </c>
      <c r="E120" t="s">
        <v>20</v>
      </c>
      <c r="F120" t="s">
        <v>21</v>
      </c>
      <c r="G120">
        <v>26</v>
      </c>
      <c r="H120" s="4">
        <v>51.5</v>
      </c>
      <c r="I120">
        <v>1339</v>
      </c>
      <c r="J120">
        <v>92.09</v>
      </c>
      <c r="K120">
        <v>336.91</v>
      </c>
      <c r="L120" t="s">
        <v>30</v>
      </c>
      <c r="M120" t="s">
        <v>31</v>
      </c>
      <c r="N120" t="s">
        <v>148</v>
      </c>
      <c r="O120">
        <f>_xlfn.XLOOKUP(E120,Product_Master!$B$2:$B$11,Product_Master!$F$2:$F$11)</f>
        <v>35</v>
      </c>
      <c r="P120">
        <f t="shared" si="2"/>
        <v>910</v>
      </c>
      <c r="Q120" s="5">
        <f t="shared" si="3"/>
        <v>0.25161314413741598</v>
      </c>
    </row>
    <row r="121" spans="1:17" x14ac:dyDescent="0.3">
      <c r="A121" t="s">
        <v>258</v>
      </c>
      <c r="B121" t="s">
        <v>75</v>
      </c>
      <c r="C121" t="s">
        <v>259</v>
      </c>
      <c r="D121" t="s">
        <v>19</v>
      </c>
      <c r="E121" t="s">
        <v>69</v>
      </c>
      <c r="F121" t="s">
        <v>59</v>
      </c>
      <c r="G121">
        <v>27</v>
      </c>
      <c r="H121" s="4">
        <v>25</v>
      </c>
      <c r="I121">
        <v>675</v>
      </c>
      <c r="J121">
        <v>15.49</v>
      </c>
      <c r="K121">
        <v>241.01</v>
      </c>
      <c r="L121" t="s">
        <v>30</v>
      </c>
      <c r="M121" t="s">
        <v>31</v>
      </c>
      <c r="N121" t="s">
        <v>24</v>
      </c>
      <c r="O121">
        <f>_xlfn.XLOOKUP(E121,Product_Master!$B$2:$B$11,Product_Master!$F$2:$F$11)</f>
        <v>15.5</v>
      </c>
      <c r="P121">
        <f t="shared" si="2"/>
        <v>418.5</v>
      </c>
      <c r="Q121" s="5">
        <f t="shared" si="3"/>
        <v>0.35705185185185184</v>
      </c>
    </row>
    <row r="122" spans="1:17" x14ac:dyDescent="0.3">
      <c r="A122" t="s">
        <v>260</v>
      </c>
      <c r="B122" t="s">
        <v>95</v>
      </c>
      <c r="C122" t="s">
        <v>52</v>
      </c>
      <c r="D122" t="s">
        <v>101</v>
      </c>
      <c r="E122" t="s">
        <v>73</v>
      </c>
      <c r="F122" t="s">
        <v>43</v>
      </c>
      <c r="G122">
        <v>4</v>
      </c>
      <c r="H122" s="4">
        <v>19</v>
      </c>
      <c r="I122">
        <v>76</v>
      </c>
      <c r="J122">
        <v>3.78</v>
      </c>
      <c r="K122">
        <v>21.22</v>
      </c>
      <c r="L122" t="s">
        <v>30</v>
      </c>
      <c r="M122" t="s">
        <v>37</v>
      </c>
      <c r="N122" t="s">
        <v>102</v>
      </c>
      <c r="O122">
        <f>_xlfn.XLOOKUP(E122,Product_Master!$B$2:$B$11,Product_Master!$F$2:$F$11)</f>
        <v>12.75</v>
      </c>
      <c r="P122">
        <f t="shared" si="2"/>
        <v>51</v>
      </c>
      <c r="Q122" s="5">
        <f t="shared" si="3"/>
        <v>0.27921052631578946</v>
      </c>
    </row>
    <row r="123" spans="1:17" x14ac:dyDescent="0.3">
      <c r="A123" t="s">
        <v>261</v>
      </c>
      <c r="B123" t="s">
        <v>107</v>
      </c>
      <c r="C123" t="s">
        <v>212</v>
      </c>
      <c r="D123" t="s">
        <v>48</v>
      </c>
      <c r="E123" t="s">
        <v>69</v>
      </c>
      <c r="F123" t="s">
        <v>59</v>
      </c>
      <c r="G123">
        <v>24</v>
      </c>
      <c r="H123" s="4">
        <v>26.63</v>
      </c>
      <c r="I123">
        <v>639.12</v>
      </c>
      <c r="J123">
        <v>31.92</v>
      </c>
      <c r="K123">
        <v>235.2</v>
      </c>
      <c r="L123" t="s">
        <v>44</v>
      </c>
      <c r="M123" t="s">
        <v>37</v>
      </c>
      <c r="N123" t="s">
        <v>24</v>
      </c>
      <c r="O123">
        <f>_xlfn.XLOOKUP(E123,Product_Master!$B$2:$B$11,Product_Master!$F$2:$F$11)</f>
        <v>15.5</v>
      </c>
      <c r="P123">
        <f t="shared" si="2"/>
        <v>372</v>
      </c>
      <c r="Q123" s="5">
        <f t="shared" si="3"/>
        <v>0.36800600826135937</v>
      </c>
    </row>
    <row r="124" spans="1:17" x14ac:dyDescent="0.3">
      <c r="A124" t="s">
        <v>262</v>
      </c>
      <c r="B124" t="s">
        <v>17</v>
      </c>
      <c r="C124" t="s">
        <v>96</v>
      </c>
      <c r="D124" t="s">
        <v>81</v>
      </c>
      <c r="E124" t="s">
        <v>64</v>
      </c>
      <c r="F124" t="s">
        <v>65</v>
      </c>
      <c r="G124">
        <v>26</v>
      </c>
      <c r="H124" s="4">
        <v>43.14</v>
      </c>
      <c r="I124">
        <v>1121.6400000000001</v>
      </c>
      <c r="J124">
        <v>48.08</v>
      </c>
      <c r="K124">
        <v>423.56</v>
      </c>
      <c r="L124" t="s">
        <v>22</v>
      </c>
      <c r="M124" t="s">
        <v>31</v>
      </c>
      <c r="N124" t="s">
        <v>66</v>
      </c>
      <c r="O124">
        <f>_xlfn.XLOOKUP(E124,Product_Master!$B$2:$B$11,Product_Master!$F$2:$F$11)</f>
        <v>25</v>
      </c>
      <c r="P124">
        <f t="shared" si="2"/>
        <v>650</v>
      </c>
      <c r="Q124" s="5">
        <f t="shared" si="3"/>
        <v>0.37762561962840124</v>
      </c>
    </row>
    <row r="125" spans="1:17" x14ac:dyDescent="0.3">
      <c r="A125" t="s">
        <v>263</v>
      </c>
      <c r="B125" t="s">
        <v>78</v>
      </c>
      <c r="C125" t="s">
        <v>218</v>
      </c>
      <c r="D125" t="s">
        <v>48</v>
      </c>
      <c r="E125" t="s">
        <v>64</v>
      </c>
      <c r="F125" t="s">
        <v>65</v>
      </c>
      <c r="G125">
        <v>39</v>
      </c>
      <c r="H125" s="4">
        <v>30.01</v>
      </c>
      <c r="I125">
        <v>1170.3900000000001</v>
      </c>
      <c r="J125">
        <v>60.43</v>
      </c>
      <c r="K125">
        <v>134.96</v>
      </c>
      <c r="L125" t="s">
        <v>30</v>
      </c>
      <c r="M125" t="s">
        <v>23</v>
      </c>
      <c r="N125" t="s">
        <v>24</v>
      </c>
      <c r="O125">
        <f>_xlfn.XLOOKUP(E125,Product_Master!$B$2:$B$11,Product_Master!$F$2:$F$11)</f>
        <v>25</v>
      </c>
      <c r="P125">
        <f t="shared" si="2"/>
        <v>975</v>
      </c>
      <c r="Q125" s="5">
        <f t="shared" si="3"/>
        <v>0.11531199002042054</v>
      </c>
    </row>
    <row r="126" spans="1:17" x14ac:dyDescent="0.3">
      <c r="A126" t="s">
        <v>264</v>
      </c>
      <c r="B126" t="s">
        <v>78</v>
      </c>
      <c r="C126" t="s">
        <v>265</v>
      </c>
      <c r="D126" t="s">
        <v>170</v>
      </c>
      <c r="E126" t="s">
        <v>58</v>
      </c>
      <c r="F126" t="s">
        <v>59</v>
      </c>
      <c r="G126">
        <v>5</v>
      </c>
      <c r="H126" s="4">
        <v>31.31</v>
      </c>
      <c r="I126">
        <v>156.55000000000001</v>
      </c>
      <c r="J126">
        <v>4.04</v>
      </c>
      <c r="K126">
        <v>40.01</v>
      </c>
      <c r="L126" t="s">
        <v>44</v>
      </c>
      <c r="M126" t="s">
        <v>37</v>
      </c>
      <c r="N126" t="s">
        <v>32</v>
      </c>
      <c r="O126">
        <f>_xlfn.XLOOKUP(E126,Product_Master!$B$2:$B$11,Product_Master!$F$2:$F$11)</f>
        <v>22.5</v>
      </c>
      <c r="P126">
        <f t="shared" si="2"/>
        <v>112.5</v>
      </c>
      <c r="Q126" s="5">
        <f t="shared" si="3"/>
        <v>0.25557329926541039</v>
      </c>
    </row>
    <row r="127" spans="1:17" x14ac:dyDescent="0.3">
      <c r="A127" t="s">
        <v>266</v>
      </c>
      <c r="B127" t="s">
        <v>71</v>
      </c>
      <c r="C127" t="s">
        <v>202</v>
      </c>
      <c r="D127" t="s">
        <v>19</v>
      </c>
      <c r="E127" t="s">
        <v>98</v>
      </c>
      <c r="F127" t="s">
        <v>59</v>
      </c>
      <c r="G127">
        <v>42</v>
      </c>
      <c r="H127" s="4">
        <v>36.950000000000003</v>
      </c>
      <c r="I127">
        <v>1551.9</v>
      </c>
      <c r="J127">
        <v>74.260000000000005</v>
      </c>
      <c r="K127">
        <v>301.64</v>
      </c>
      <c r="L127" t="s">
        <v>30</v>
      </c>
      <c r="M127" t="s">
        <v>31</v>
      </c>
      <c r="N127" t="s">
        <v>24</v>
      </c>
      <c r="O127">
        <f>_xlfn.XLOOKUP(E127,Product_Master!$B$2:$B$11,Product_Master!$F$2:$F$11)</f>
        <v>28</v>
      </c>
      <c r="P127">
        <f t="shared" si="2"/>
        <v>1176</v>
      </c>
      <c r="Q127" s="5">
        <f t="shared" si="3"/>
        <v>0.19436819382692183</v>
      </c>
    </row>
    <row r="128" spans="1:17" x14ac:dyDescent="0.3">
      <c r="A128" t="s">
        <v>267</v>
      </c>
      <c r="B128" t="s">
        <v>17</v>
      </c>
      <c r="C128" t="s">
        <v>268</v>
      </c>
      <c r="D128" t="s">
        <v>81</v>
      </c>
      <c r="E128" t="s">
        <v>49</v>
      </c>
      <c r="F128" t="s">
        <v>50</v>
      </c>
      <c r="G128">
        <v>36</v>
      </c>
      <c r="H128" s="4">
        <v>57.37</v>
      </c>
      <c r="I128">
        <v>2065.3200000000002</v>
      </c>
      <c r="J128">
        <v>94.34</v>
      </c>
      <c r="K128">
        <v>530.98</v>
      </c>
      <c r="L128" t="s">
        <v>44</v>
      </c>
      <c r="M128" t="s">
        <v>23</v>
      </c>
      <c r="N128" t="s">
        <v>66</v>
      </c>
      <c r="O128">
        <f>_xlfn.XLOOKUP(E128,Product_Master!$B$2:$B$11,Product_Master!$F$2:$F$11)</f>
        <v>40</v>
      </c>
      <c r="P128">
        <f t="shared" si="2"/>
        <v>1440</v>
      </c>
      <c r="Q128" s="5">
        <f t="shared" si="3"/>
        <v>0.25709333178393662</v>
      </c>
    </row>
    <row r="129" spans="1:17" x14ac:dyDescent="0.3">
      <c r="A129" t="s">
        <v>269</v>
      </c>
      <c r="B129" t="s">
        <v>132</v>
      </c>
      <c r="C129" t="s">
        <v>40</v>
      </c>
      <c r="D129" t="s">
        <v>88</v>
      </c>
      <c r="E129" t="s">
        <v>98</v>
      </c>
      <c r="F129" t="s">
        <v>59</v>
      </c>
      <c r="G129">
        <v>13</v>
      </c>
      <c r="H129" s="4">
        <v>40.18</v>
      </c>
      <c r="I129">
        <v>522.34</v>
      </c>
      <c r="J129">
        <v>37.369999999999997</v>
      </c>
      <c r="K129">
        <v>120.97</v>
      </c>
      <c r="L129" t="s">
        <v>30</v>
      </c>
      <c r="M129" t="s">
        <v>37</v>
      </c>
      <c r="N129" t="s">
        <v>66</v>
      </c>
      <c r="O129">
        <f>_xlfn.XLOOKUP(E129,Product_Master!$B$2:$B$11,Product_Master!$F$2:$F$11)</f>
        <v>28</v>
      </c>
      <c r="P129">
        <f t="shared" si="2"/>
        <v>364</v>
      </c>
      <c r="Q129" s="5">
        <f t="shared" si="3"/>
        <v>0.23159244936248419</v>
      </c>
    </row>
    <row r="130" spans="1:17" x14ac:dyDescent="0.3">
      <c r="A130" t="s">
        <v>270</v>
      </c>
      <c r="B130" t="s">
        <v>75</v>
      </c>
      <c r="C130" t="s">
        <v>226</v>
      </c>
      <c r="D130" t="s">
        <v>91</v>
      </c>
      <c r="E130" t="s">
        <v>42</v>
      </c>
      <c r="F130" t="s">
        <v>43</v>
      </c>
      <c r="G130">
        <v>37</v>
      </c>
      <c r="H130" s="4">
        <v>39.299999999999997</v>
      </c>
      <c r="I130">
        <v>1454.1</v>
      </c>
      <c r="J130">
        <v>67.08</v>
      </c>
      <c r="K130">
        <v>203.02</v>
      </c>
      <c r="L130" t="s">
        <v>44</v>
      </c>
      <c r="M130" t="s">
        <v>23</v>
      </c>
      <c r="N130" t="s">
        <v>66</v>
      </c>
      <c r="O130">
        <f>_xlfn.XLOOKUP(E130,Product_Master!$B$2:$B$11,Product_Master!$F$2:$F$11)</f>
        <v>32</v>
      </c>
      <c r="P130">
        <f t="shared" si="2"/>
        <v>1184</v>
      </c>
      <c r="Q130" s="5">
        <f t="shared" si="3"/>
        <v>0.13961900832129842</v>
      </c>
    </row>
    <row r="131" spans="1:17" x14ac:dyDescent="0.3">
      <c r="A131" t="s">
        <v>271</v>
      </c>
      <c r="B131" t="s">
        <v>75</v>
      </c>
      <c r="C131" t="s">
        <v>212</v>
      </c>
      <c r="D131" t="s">
        <v>48</v>
      </c>
      <c r="E131" t="s">
        <v>42</v>
      </c>
      <c r="F131" t="s">
        <v>43</v>
      </c>
      <c r="G131">
        <v>17</v>
      </c>
      <c r="H131" s="4">
        <v>43.28</v>
      </c>
      <c r="I131">
        <v>735.76</v>
      </c>
      <c r="J131">
        <v>50.96</v>
      </c>
      <c r="K131">
        <v>140.80000000000001</v>
      </c>
      <c r="L131" t="s">
        <v>30</v>
      </c>
      <c r="M131" t="s">
        <v>31</v>
      </c>
      <c r="N131" t="s">
        <v>24</v>
      </c>
      <c r="O131">
        <f>_xlfn.XLOOKUP(E131,Product_Master!$B$2:$B$11,Product_Master!$F$2:$F$11)</f>
        <v>32</v>
      </c>
      <c r="P131">
        <f t="shared" ref="P131:P194" si="4">G131*O131</f>
        <v>544</v>
      </c>
      <c r="Q131" s="5">
        <f t="shared" ref="Q131:Q194" si="5">K131/I131</f>
        <v>0.19136675002718279</v>
      </c>
    </row>
    <row r="132" spans="1:17" x14ac:dyDescent="0.3">
      <c r="A132" t="s">
        <v>272</v>
      </c>
      <c r="B132" t="s">
        <v>39</v>
      </c>
      <c r="C132" t="s">
        <v>18</v>
      </c>
      <c r="D132" t="s">
        <v>88</v>
      </c>
      <c r="E132" t="s">
        <v>20</v>
      </c>
      <c r="F132" t="s">
        <v>21</v>
      </c>
      <c r="G132">
        <v>22</v>
      </c>
      <c r="H132" s="4">
        <v>62.79</v>
      </c>
      <c r="I132">
        <v>1381.38</v>
      </c>
      <c r="J132">
        <v>75.84</v>
      </c>
      <c r="K132">
        <v>535.54</v>
      </c>
      <c r="L132" t="s">
        <v>44</v>
      </c>
      <c r="M132" t="s">
        <v>37</v>
      </c>
      <c r="N132" t="s">
        <v>66</v>
      </c>
      <c r="O132">
        <f>_xlfn.XLOOKUP(E132,Product_Master!$B$2:$B$11,Product_Master!$F$2:$F$11)</f>
        <v>35</v>
      </c>
      <c r="P132">
        <f t="shared" si="4"/>
        <v>770</v>
      </c>
      <c r="Q132" s="5">
        <f t="shared" si="5"/>
        <v>0.38768477898912673</v>
      </c>
    </row>
    <row r="133" spans="1:17" x14ac:dyDescent="0.3">
      <c r="A133" t="s">
        <v>273</v>
      </c>
      <c r="B133" t="s">
        <v>75</v>
      </c>
      <c r="C133" t="s">
        <v>175</v>
      </c>
      <c r="D133" t="s">
        <v>170</v>
      </c>
      <c r="E133" t="s">
        <v>49</v>
      </c>
      <c r="F133" t="s">
        <v>50</v>
      </c>
      <c r="G133">
        <v>23</v>
      </c>
      <c r="H133" s="4">
        <v>56.76</v>
      </c>
      <c r="I133">
        <v>1305.48</v>
      </c>
      <c r="J133">
        <v>62.93</v>
      </c>
      <c r="K133">
        <v>322.55</v>
      </c>
      <c r="L133" t="s">
        <v>44</v>
      </c>
      <c r="M133" t="s">
        <v>37</v>
      </c>
      <c r="N133" t="s">
        <v>32</v>
      </c>
      <c r="O133">
        <f>_xlfn.XLOOKUP(E133,Product_Master!$B$2:$B$11,Product_Master!$F$2:$F$11)</f>
        <v>40</v>
      </c>
      <c r="P133">
        <f t="shared" si="4"/>
        <v>920</v>
      </c>
      <c r="Q133" s="5">
        <f t="shared" si="5"/>
        <v>0.24707387321138585</v>
      </c>
    </row>
    <row r="134" spans="1:17" x14ac:dyDescent="0.3">
      <c r="A134" t="s">
        <v>274</v>
      </c>
      <c r="B134" t="s">
        <v>95</v>
      </c>
      <c r="C134" t="s">
        <v>35</v>
      </c>
      <c r="D134" t="s">
        <v>28</v>
      </c>
      <c r="E134" t="s">
        <v>49</v>
      </c>
      <c r="F134" t="s">
        <v>50</v>
      </c>
      <c r="G134">
        <v>22</v>
      </c>
      <c r="H134" s="4">
        <v>60.13</v>
      </c>
      <c r="I134">
        <v>1322.86</v>
      </c>
      <c r="J134">
        <v>54.06</v>
      </c>
      <c r="K134">
        <v>388.8</v>
      </c>
      <c r="L134" t="s">
        <v>44</v>
      </c>
      <c r="M134" t="s">
        <v>31</v>
      </c>
      <c r="N134" t="s">
        <v>32</v>
      </c>
      <c r="O134">
        <f>_xlfn.XLOOKUP(E134,Product_Master!$B$2:$B$11,Product_Master!$F$2:$F$11)</f>
        <v>40</v>
      </c>
      <c r="P134">
        <f t="shared" si="4"/>
        <v>880</v>
      </c>
      <c r="Q134" s="5">
        <f t="shared" si="5"/>
        <v>0.2939086524651135</v>
      </c>
    </row>
    <row r="135" spans="1:17" x14ac:dyDescent="0.3">
      <c r="A135" t="s">
        <v>275</v>
      </c>
      <c r="B135" t="s">
        <v>17</v>
      </c>
      <c r="C135" t="s">
        <v>276</v>
      </c>
      <c r="D135" t="s">
        <v>81</v>
      </c>
      <c r="E135" t="s">
        <v>64</v>
      </c>
      <c r="F135" t="s">
        <v>65</v>
      </c>
      <c r="G135">
        <v>21</v>
      </c>
      <c r="H135" s="4">
        <v>40.98</v>
      </c>
      <c r="I135">
        <v>860.58</v>
      </c>
      <c r="J135">
        <v>37.01</v>
      </c>
      <c r="K135">
        <v>298.57</v>
      </c>
      <c r="L135" t="s">
        <v>22</v>
      </c>
      <c r="M135" t="s">
        <v>37</v>
      </c>
      <c r="N135" t="s">
        <v>66</v>
      </c>
      <c r="O135">
        <f>_xlfn.XLOOKUP(E135,Product_Master!$B$2:$B$11,Product_Master!$F$2:$F$11)</f>
        <v>25</v>
      </c>
      <c r="P135">
        <f t="shared" si="4"/>
        <v>525</v>
      </c>
      <c r="Q135" s="5">
        <f t="shared" si="5"/>
        <v>0.34694043552023052</v>
      </c>
    </row>
    <row r="136" spans="1:17" x14ac:dyDescent="0.3">
      <c r="A136" t="s">
        <v>277</v>
      </c>
      <c r="B136" t="s">
        <v>78</v>
      </c>
      <c r="C136" t="s">
        <v>135</v>
      </c>
      <c r="D136" t="s">
        <v>41</v>
      </c>
      <c r="E136" t="s">
        <v>49</v>
      </c>
      <c r="F136" t="s">
        <v>50</v>
      </c>
      <c r="G136">
        <v>36</v>
      </c>
      <c r="H136" s="4">
        <v>54.6</v>
      </c>
      <c r="I136">
        <v>1965.6</v>
      </c>
      <c r="J136">
        <v>150.34</v>
      </c>
      <c r="K136">
        <v>375.26</v>
      </c>
      <c r="L136" t="s">
        <v>30</v>
      </c>
      <c r="M136" t="s">
        <v>23</v>
      </c>
      <c r="N136" t="s">
        <v>45</v>
      </c>
      <c r="O136">
        <f>_xlfn.XLOOKUP(E136,Product_Master!$B$2:$B$11,Product_Master!$F$2:$F$11)</f>
        <v>40</v>
      </c>
      <c r="P136">
        <f t="shared" si="4"/>
        <v>1440</v>
      </c>
      <c r="Q136" s="5">
        <f t="shared" si="5"/>
        <v>0.19091371591371592</v>
      </c>
    </row>
    <row r="137" spans="1:17" x14ac:dyDescent="0.3">
      <c r="A137" t="s">
        <v>278</v>
      </c>
      <c r="B137" t="s">
        <v>95</v>
      </c>
      <c r="C137" t="s">
        <v>245</v>
      </c>
      <c r="D137" t="s">
        <v>36</v>
      </c>
      <c r="E137" t="s">
        <v>69</v>
      </c>
      <c r="F137" t="s">
        <v>59</v>
      </c>
      <c r="G137">
        <v>1</v>
      </c>
      <c r="H137" s="4">
        <v>27.49</v>
      </c>
      <c r="I137">
        <v>27.49</v>
      </c>
      <c r="J137">
        <v>0.63</v>
      </c>
      <c r="K137">
        <v>11.36</v>
      </c>
      <c r="L137" t="s">
        <v>30</v>
      </c>
      <c r="M137" t="s">
        <v>37</v>
      </c>
      <c r="N137" t="s">
        <v>32</v>
      </c>
      <c r="O137">
        <f>_xlfn.XLOOKUP(E137,Product_Master!$B$2:$B$11,Product_Master!$F$2:$F$11)</f>
        <v>15.5</v>
      </c>
      <c r="P137">
        <f t="shared" si="4"/>
        <v>15.5</v>
      </c>
      <c r="Q137" s="5">
        <f t="shared" si="5"/>
        <v>0.41324117861040377</v>
      </c>
    </row>
    <row r="138" spans="1:17" x14ac:dyDescent="0.3">
      <c r="A138" t="s">
        <v>279</v>
      </c>
      <c r="B138" t="s">
        <v>157</v>
      </c>
      <c r="C138" t="s">
        <v>280</v>
      </c>
      <c r="D138" t="s">
        <v>81</v>
      </c>
      <c r="E138" t="s">
        <v>42</v>
      </c>
      <c r="F138" t="s">
        <v>43</v>
      </c>
      <c r="G138">
        <v>50</v>
      </c>
      <c r="H138" s="4">
        <v>41.11</v>
      </c>
      <c r="I138">
        <v>2055.5</v>
      </c>
      <c r="J138">
        <v>95.61</v>
      </c>
      <c r="K138">
        <v>359.89</v>
      </c>
      <c r="L138" t="s">
        <v>44</v>
      </c>
      <c r="M138" t="s">
        <v>31</v>
      </c>
      <c r="N138" t="s">
        <v>66</v>
      </c>
      <c r="O138">
        <f>_xlfn.XLOOKUP(E138,Product_Master!$B$2:$B$11,Product_Master!$F$2:$F$11)</f>
        <v>32</v>
      </c>
      <c r="P138">
        <f t="shared" si="4"/>
        <v>1600</v>
      </c>
      <c r="Q138" s="5">
        <f t="shared" si="5"/>
        <v>0.17508635368523473</v>
      </c>
    </row>
    <row r="139" spans="1:17" x14ac:dyDescent="0.3">
      <c r="A139" t="s">
        <v>281</v>
      </c>
      <c r="B139" t="s">
        <v>78</v>
      </c>
      <c r="C139" t="s">
        <v>137</v>
      </c>
      <c r="D139" t="s">
        <v>63</v>
      </c>
      <c r="E139" t="s">
        <v>69</v>
      </c>
      <c r="F139" t="s">
        <v>59</v>
      </c>
      <c r="G139">
        <v>18</v>
      </c>
      <c r="H139" s="4">
        <v>25.54</v>
      </c>
      <c r="I139">
        <v>459.72</v>
      </c>
      <c r="J139">
        <v>27.02</v>
      </c>
      <c r="K139">
        <v>153.69999999999999</v>
      </c>
      <c r="L139" t="s">
        <v>30</v>
      </c>
      <c r="M139" t="s">
        <v>23</v>
      </c>
      <c r="N139" t="s">
        <v>66</v>
      </c>
      <c r="O139">
        <f>_xlfn.XLOOKUP(E139,Product_Master!$B$2:$B$11,Product_Master!$F$2:$F$11)</f>
        <v>15.5</v>
      </c>
      <c r="P139">
        <f t="shared" si="4"/>
        <v>279</v>
      </c>
      <c r="Q139" s="5">
        <f t="shared" si="5"/>
        <v>0.33433394239972153</v>
      </c>
    </row>
    <row r="140" spans="1:17" x14ac:dyDescent="0.3">
      <c r="A140" t="s">
        <v>282</v>
      </c>
      <c r="B140" t="s">
        <v>17</v>
      </c>
      <c r="C140" t="s">
        <v>250</v>
      </c>
      <c r="D140" t="s">
        <v>91</v>
      </c>
      <c r="E140" t="s">
        <v>98</v>
      </c>
      <c r="F140" t="s">
        <v>59</v>
      </c>
      <c r="G140">
        <v>4</v>
      </c>
      <c r="H140" s="4">
        <v>47.52</v>
      </c>
      <c r="I140">
        <v>190.08</v>
      </c>
      <c r="J140">
        <v>10.23</v>
      </c>
      <c r="K140">
        <v>67.849999999999994</v>
      </c>
      <c r="L140" t="s">
        <v>22</v>
      </c>
      <c r="M140" t="s">
        <v>23</v>
      </c>
      <c r="N140" t="s">
        <v>66</v>
      </c>
      <c r="O140">
        <f>_xlfn.XLOOKUP(E140,Product_Master!$B$2:$B$11,Product_Master!$F$2:$F$11)</f>
        <v>28</v>
      </c>
      <c r="P140">
        <f t="shared" si="4"/>
        <v>112</v>
      </c>
      <c r="Q140" s="5">
        <f t="shared" si="5"/>
        <v>0.35695496632996626</v>
      </c>
    </row>
    <row r="141" spans="1:17" x14ac:dyDescent="0.3">
      <c r="A141" t="s">
        <v>283</v>
      </c>
      <c r="B141" t="s">
        <v>71</v>
      </c>
      <c r="C141" t="s">
        <v>189</v>
      </c>
      <c r="D141" t="s">
        <v>36</v>
      </c>
      <c r="E141" t="s">
        <v>64</v>
      </c>
      <c r="F141" t="s">
        <v>65</v>
      </c>
      <c r="G141">
        <v>29</v>
      </c>
      <c r="H141" s="4">
        <v>30.48</v>
      </c>
      <c r="I141">
        <v>883.92</v>
      </c>
      <c r="J141">
        <v>33.15</v>
      </c>
      <c r="K141">
        <v>125.77</v>
      </c>
      <c r="L141" t="s">
        <v>44</v>
      </c>
      <c r="M141" t="s">
        <v>23</v>
      </c>
      <c r="N141" t="s">
        <v>32</v>
      </c>
      <c r="O141">
        <f>_xlfn.XLOOKUP(E141,Product_Master!$B$2:$B$11,Product_Master!$F$2:$F$11)</f>
        <v>25</v>
      </c>
      <c r="P141">
        <f t="shared" si="4"/>
        <v>725</v>
      </c>
      <c r="Q141" s="5">
        <f t="shared" si="5"/>
        <v>0.14228663227441399</v>
      </c>
    </row>
    <row r="142" spans="1:17" x14ac:dyDescent="0.3">
      <c r="A142" t="s">
        <v>284</v>
      </c>
      <c r="B142" t="s">
        <v>86</v>
      </c>
      <c r="C142" t="s">
        <v>187</v>
      </c>
      <c r="D142" t="s">
        <v>101</v>
      </c>
      <c r="E142" t="s">
        <v>49</v>
      </c>
      <c r="F142" t="s">
        <v>50</v>
      </c>
      <c r="G142">
        <v>27</v>
      </c>
      <c r="H142" s="4">
        <v>50.39</v>
      </c>
      <c r="I142">
        <v>1360.53</v>
      </c>
      <c r="J142">
        <v>106.4</v>
      </c>
      <c r="K142">
        <v>174.13</v>
      </c>
      <c r="L142" t="s">
        <v>30</v>
      </c>
      <c r="M142" t="s">
        <v>31</v>
      </c>
      <c r="N142" t="s">
        <v>102</v>
      </c>
      <c r="O142">
        <f>_xlfn.XLOOKUP(E142,Product_Master!$B$2:$B$11,Product_Master!$F$2:$F$11)</f>
        <v>40</v>
      </c>
      <c r="P142">
        <f t="shared" si="4"/>
        <v>1080</v>
      </c>
      <c r="Q142" s="5">
        <f t="shared" si="5"/>
        <v>0.12798688746297399</v>
      </c>
    </row>
    <row r="143" spans="1:17" x14ac:dyDescent="0.3">
      <c r="A143" t="s">
        <v>285</v>
      </c>
      <c r="B143" t="s">
        <v>17</v>
      </c>
      <c r="C143" t="s">
        <v>164</v>
      </c>
      <c r="D143" t="s">
        <v>170</v>
      </c>
      <c r="E143" t="s">
        <v>64</v>
      </c>
      <c r="F143" t="s">
        <v>65</v>
      </c>
      <c r="G143">
        <v>34</v>
      </c>
      <c r="H143" s="4">
        <v>37.68</v>
      </c>
      <c r="I143">
        <v>1281.1199999999999</v>
      </c>
      <c r="J143">
        <v>54.86</v>
      </c>
      <c r="K143">
        <v>376.26</v>
      </c>
      <c r="L143" t="s">
        <v>44</v>
      </c>
      <c r="M143" t="s">
        <v>23</v>
      </c>
      <c r="N143" t="s">
        <v>32</v>
      </c>
      <c r="O143">
        <f>_xlfn.XLOOKUP(E143,Product_Master!$B$2:$B$11,Product_Master!$F$2:$F$11)</f>
        <v>25</v>
      </c>
      <c r="P143">
        <f t="shared" si="4"/>
        <v>850</v>
      </c>
      <c r="Q143" s="5">
        <f t="shared" si="5"/>
        <v>0.2936961408767329</v>
      </c>
    </row>
    <row r="144" spans="1:17" x14ac:dyDescent="0.3">
      <c r="A144" t="s">
        <v>286</v>
      </c>
      <c r="B144" t="s">
        <v>75</v>
      </c>
      <c r="C144" t="s">
        <v>287</v>
      </c>
      <c r="D144" t="s">
        <v>91</v>
      </c>
      <c r="E144" t="s">
        <v>64</v>
      </c>
      <c r="F144" t="s">
        <v>65</v>
      </c>
      <c r="G144">
        <v>3</v>
      </c>
      <c r="H144" s="4">
        <v>39.32</v>
      </c>
      <c r="I144">
        <v>117.96</v>
      </c>
      <c r="J144">
        <v>6.97</v>
      </c>
      <c r="K144">
        <v>35.99</v>
      </c>
      <c r="L144" t="s">
        <v>30</v>
      </c>
      <c r="M144" t="s">
        <v>31</v>
      </c>
      <c r="N144" t="s">
        <v>66</v>
      </c>
      <c r="O144">
        <f>_xlfn.XLOOKUP(E144,Product_Master!$B$2:$B$11,Product_Master!$F$2:$F$11)</f>
        <v>25</v>
      </c>
      <c r="P144">
        <f t="shared" si="4"/>
        <v>75</v>
      </c>
      <c r="Q144" s="5">
        <f t="shared" si="5"/>
        <v>0.3051034248897932</v>
      </c>
    </row>
    <row r="145" spans="1:17" x14ac:dyDescent="0.3">
      <c r="A145" t="s">
        <v>288</v>
      </c>
      <c r="B145" t="s">
        <v>78</v>
      </c>
      <c r="C145" t="s">
        <v>252</v>
      </c>
      <c r="D145" t="s">
        <v>48</v>
      </c>
      <c r="E145" t="s">
        <v>73</v>
      </c>
      <c r="F145" t="s">
        <v>43</v>
      </c>
      <c r="G145">
        <v>24</v>
      </c>
      <c r="H145" s="4">
        <v>18</v>
      </c>
      <c r="I145">
        <v>432</v>
      </c>
      <c r="J145">
        <v>22.68</v>
      </c>
      <c r="K145">
        <v>103.32</v>
      </c>
      <c r="L145" t="s">
        <v>22</v>
      </c>
      <c r="M145" t="s">
        <v>37</v>
      </c>
      <c r="N145" t="s">
        <v>24</v>
      </c>
      <c r="O145">
        <f>_xlfn.XLOOKUP(E145,Product_Master!$B$2:$B$11,Product_Master!$F$2:$F$11)</f>
        <v>12.75</v>
      </c>
      <c r="P145">
        <f t="shared" si="4"/>
        <v>306</v>
      </c>
      <c r="Q145" s="5">
        <f t="shared" si="5"/>
        <v>0.23916666666666664</v>
      </c>
    </row>
    <row r="146" spans="1:17" x14ac:dyDescent="0.3">
      <c r="A146" t="s">
        <v>289</v>
      </c>
      <c r="B146" t="s">
        <v>78</v>
      </c>
      <c r="C146" t="s">
        <v>117</v>
      </c>
      <c r="D146" t="s">
        <v>28</v>
      </c>
      <c r="E146" t="s">
        <v>58</v>
      </c>
      <c r="F146" t="s">
        <v>59</v>
      </c>
      <c r="G146">
        <v>5</v>
      </c>
      <c r="H146" s="4">
        <v>36.43</v>
      </c>
      <c r="I146">
        <v>182.15</v>
      </c>
      <c r="J146">
        <v>7.82</v>
      </c>
      <c r="K146">
        <v>61.83</v>
      </c>
      <c r="L146" t="s">
        <v>22</v>
      </c>
      <c r="M146" t="s">
        <v>37</v>
      </c>
      <c r="N146" t="s">
        <v>32</v>
      </c>
      <c r="O146">
        <f>_xlfn.XLOOKUP(E146,Product_Master!$B$2:$B$11,Product_Master!$F$2:$F$11)</f>
        <v>22.5</v>
      </c>
      <c r="P146">
        <f t="shared" si="4"/>
        <v>112.5</v>
      </c>
      <c r="Q146" s="5">
        <f t="shared" si="5"/>
        <v>0.33944551194070821</v>
      </c>
    </row>
    <row r="147" spans="1:17" x14ac:dyDescent="0.3">
      <c r="A147" t="s">
        <v>290</v>
      </c>
      <c r="B147" t="s">
        <v>95</v>
      </c>
      <c r="C147" t="s">
        <v>122</v>
      </c>
      <c r="D147" t="s">
        <v>63</v>
      </c>
      <c r="E147" t="s">
        <v>58</v>
      </c>
      <c r="F147" t="s">
        <v>59</v>
      </c>
      <c r="G147">
        <v>27</v>
      </c>
      <c r="H147" s="4">
        <v>38.39</v>
      </c>
      <c r="I147">
        <v>1036.53</v>
      </c>
      <c r="J147">
        <v>28.6</v>
      </c>
      <c r="K147">
        <v>400.43</v>
      </c>
      <c r="L147" t="s">
        <v>30</v>
      </c>
      <c r="M147" t="s">
        <v>23</v>
      </c>
      <c r="N147" t="s">
        <v>66</v>
      </c>
      <c r="O147">
        <f>_xlfn.XLOOKUP(E147,Product_Master!$B$2:$B$11,Product_Master!$F$2:$F$11)</f>
        <v>22.5</v>
      </c>
      <c r="P147">
        <f t="shared" si="4"/>
        <v>607.5</v>
      </c>
      <c r="Q147" s="5">
        <f t="shared" si="5"/>
        <v>0.38631781038657831</v>
      </c>
    </row>
    <row r="148" spans="1:17" x14ac:dyDescent="0.3">
      <c r="A148" t="s">
        <v>291</v>
      </c>
      <c r="B148" t="s">
        <v>107</v>
      </c>
      <c r="C148" t="s">
        <v>155</v>
      </c>
      <c r="D148" t="s">
        <v>41</v>
      </c>
      <c r="E148" t="s">
        <v>98</v>
      </c>
      <c r="F148" t="s">
        <v>59</v>
      </c>
      <c r="G148">
        <v>10</v>
      </c>
      <c r="H148" s="4">
        <v>47.5</v>
      </c>
      <c r="I148">
        <v>475</v>
      </c>
      <c r="J148">
        <v>15.95</v>
      </c>
      <c r="K148">
        <v>179.05</v>
      </c>
      <c r="L148" t="s">
        <v>22</v>
      </c>
      <c r="M148" t="s">
        <v>23</v>
      </c>
      <c r="N148" t="s">
        <v>45</v>
      </c>
      <c r="O148">
        <f>_xlfn.XLOOKUP(E148,Product_Master!$B$2:$B$11,Product_Master!$F$2:$F$11)</f>
        <v>28</v>
      </c>
      <c r="P148">
        <f t="shared" si="4"/>
        <v>280</v>
      </c>
      <c r="Q148" s="5">
        <f t="shared" si="5"/>
        <v>0.37694736842105264</v>
      </c>
    </row>
    <row r="149" spans="1:17" x14ac:dyDescent="0.3">
      <c r="A149" t="s">
        <v>292</v>
      </c>
      <c r="B149" t="s">
        <v>56</v>
      </c>
      <c r="C149" t="s">
        <v>293</v>
      </c>
      <c r="D149" t="s">
        <v>88</v>
      </c>
      <c r="E149" t="s">
        <v>42</v>
      </c>
      <c r="F149" t="s">
        <v>43</v>
      </c>
      <c r="G149">
        <v>47</v>
      </c>
      <c r="H149" s="4">
        <v>50.13</v>
      </c>
      <c r="I149">
        <v>2356.11</v>
      </c>
      <c r="J149">
        <v>166.22</v>
      </c>
      <c r="K149">
        <v>685.89</v>
      </c>
      <c r="L149" t="s">
        <v>22</v>
      </c>
      <c r="M149" t="s">
        <v>23</v>
      </c>
      <c r="N149" t="s">
        <v>66</v>
      </c>
      <c r="O149">
        <f>_xlfn.XLOOKUP(E149,Product_Master!$B$2:$B$11,Product_Master!$F$2:$F$11)</f>
        <v>32</v>
      </c>
      <c r="P149">
        <f t="shared" si="4"/>
        <v>1504</v>
      </c>
      <c r="Q149" s="5">
        <f t="shared" si="5"/>
        <v>0.29111119599679131</v>
      </c>
    </row>
    <row r="150" spans="1:17" x14ac:dyDescent="0.3">
      <c r="A150" t="s">
        <v>294</v>
      </c>
      <c r="B150" t="s">
        <v>39</v>
      </c>
      <c r="C150" t="s">
        <v>295</v>
      </c>
      <c r="D150" t="s">
        <v>53</v>
      </c>
      <c r="E150" t="s">
        <v>98</v>
      </c>
      <c r="F150" t="s">
        <v>59</v>
      </c>
      <c r="G150">
        <v>47</v>
      </c>
      <c r="H150" s="4">
        <v>42.25</v>
      </c>
      <c r="I150">
        <v>1985.75</v>
      </c>
      <c r="J150">
        <v>116.75</v>
      </c>
      <c r="K150">
        <v>553</v>
      </c>
      <c r="L150" t="s">
        <v>30</v>
      </c>
      <c r="M150" t="s">
        <v>23</v>
      </c>
      <c r="N150" t="s">
        <v>24</v>
      </c>
      <c r="O150">
        <f>_xlfn.XLOOKUP(E150,Product_Master!$B$2:$B$11,Product_Master!$F$2:$F$11)</f>
        <v>28</v>
      </c>
      <c r="P150">
        <f t="shared" si="4"/>
        <v>1316</v>
      </c>
      <c r="Q150" s="5">
        <f t="shared" si="5"/>
        <v>0.27848419992446177</v>
      </c>
    </row>
    <row r="151" spans="1:17" x14ac:dyDescent="0.3">
      <c r="A151" t="s">
        <v>296</v>
      </c>
      <c r="B151" t="s">
        <v>86</v>
      </c>
      <c r="C151" t="s">
        <v>297</v>
      </c>
      <c r="D151" t="s">
        <v>63</v>
      </c>
      <c r="E151" t="s">
        <v>64</v>
      </c>
      <c r="F151" t="s">
        <v>65</v>
      </c>
      <c r="G151">
        <v>18</v>
      </c>
      <c r="H151" s="4">
        <v>38.26</v>
      </c>
      <c r="I151">
        <v>688.68</v>
      </c>
      <c r="J151">
        <v>18.78</v>
      </c>
      <c r="K151">
        <v>219.9</v>
      </c>
      <c r="L151" t="s">
        <v>30</v>
      </c>
      <c r="M151" t="s">
        <v>23</v>
      </c>
      <c r="N151" t="s">
        <v>66</v>
      </c>
      <c r="O151">
        <f>_xlfn.XLOOKUP(E151,Product_Master!$B$2:$B$11,Product_Master!$F$2:$F$11)</f>
        <v>25</v>
      </c>
      <c r="P151">
        <f t="shared" si="4"/>
        <v>450</v>
      </c>
      <c r="Q151" s="5">
        <f t="shared" si="5"/>
        <v>0.31930649939013767</v>
      </c>
    </row>
    <row r="152" spans="1:17" x14ac:dyDescent="0.3">
      <c r="A152" t="s">
        <v>298</v>
      </c>
      <c r="B152" t="s">
        <v>83</v>
      </c>
      <c r="C152" t="s">
        <v>100</v>
      </c>
      <c r="D152" t="s">
        <v>81</v>
      </c>
      <c r="E152" t="s">
        <v>98</v>
      </c>
      <c r="F152" t="s">
        <v>59</v>
      </c>
      <c r="G152">
        <v>31</v>
      </c>
      <c r="H152" s="4">
        <v>46.66</v>
      </c>
      <c r="I152">
        <v>1446.46</v>
      </c>
      <c r="J152">
        <v>109.24</v>
      </c>
      <c r="K152">
        <v>469.22</v>
      </c>
      <c r="L152" t="s">
        <v>22</v>
      </c>
      <c r="M152" t="s">
        <v>37</v>
      </c>
      <c r="N152" t="s">
        <v>66</v>
      </c>
      <c r="O152">
        <f>_xlfn.XLOOKUP(E152,Product_Master!$B$2:$B$11,Product_Master!$F$2:$F$11)</f>
        <v>28</v>
      </c>
      <c r="P152">
        <f t="shared" si="4"/>
        <v>868</v>
      </c>
      <c r="Q152" s="5">
        <f t="shared" si="5"/>
        <v>0.32439196382893409</v>
      </c>
    </row>
    <row r="153" spans="1:17" x14ac:dyDescent="0.3">
      <c r="A153" t="s">
        <v>299</v>
      </c>
      <c r="B153" t="s">
        <v>86</v>
      </c>
      <c r="C153" t="s">
        <v>300</v>
      </c>
      <c r="D153" t="s">
        <v>101</v>
      </c>
      <c r="E153" t="s">
        <v>42</v>
      </c>
      <c r="F153" t="s">
        <v>43</v>
      </c>
      <c r="G153">
        <v>41</v>
      </c>
      <c r="H153" s="4">
        <v>52.65</v>
      </c>
      <c r="I153">
        <v>2158.65</v>
      </c>
      <c r="J153">
        <v>110.1</v>
      </c>
      <c r="K153">
        <v>736.55</v>
      </c>
      <c r="L153" t="s">
        <v>30</v>
      </c>
      <c r="M153" t="s">
        <v>37</v>
      </c>
      <c r="N153" t="s">
        <v>102</v>
      </c>
      <c r="O153">
        <f>_xlfn.XLOOKUP(E153,Product_Master!$B$2:$B$11,Product_Master!$F$2:$F$11)</f>
        <v>32</v>
      </c>
      <c r="P153">
        <f t="shared" si="4"/>
        <v>1312</v>
      </c>
      <c r="Q153" s="5">
        <f t="shared" si="5"/>
        <v>0.34120862576147126</v>
      </c>
    </row>
    <row r="154" spans="1:17" x14ac:dyDescent="0.3">
      <c r="A154" t="s">
        <v>301</v>
      </c>
      <c r="B154" t="s">
        <v>86</v>
      </c>
      <c r="C154" t="s">
        <v>133</v>
      </c>
      <c r="D154" t="s">
        <v>91</v>
      </c>
      <c r="E154" t="s">
        <v>29</v>
      </c>
      <c r="F154" t="s">
        <v>21</v>
      </c>
      <c r="G154">
        <v>28</v>
      </c>
      <c r="H154" s="4">
        <v>22.66</v>
      </c>
      <c r="I154">
        <v>634.48</v>
      </c>
      <c r="J154">
        <v>15.55</v>
      </c>
      <c r="K154">
        <v>114.93</v>
      </c>
      <c r="L154" t="s">
        <v>44</v>
      </c>
      <c r="M154" t="s">
        <v>23</v>
      </c>
      <c r="N154" t="s">
        <v>66</v>
      </c>
      <c r="O154">
        <f>_xlfn.XLOOKUP(E154,Product_Master!$B$2:$B$11,Product_Master!$F$2:$F$11)</f>
        <v>18</v>
      </c>
      <c r="P154">
        <f t="shared" si="4"/>
        <v>504</v>
      </c>
      <c r="Q154" s="5">
        <f t="shared" si="5"/>
        <v>0.1811404614802673</v>
      </c>
    </row>
    <row r="155" spans="1:17" x14ac:dyDescent="0.3">
      <c r="A155" t="s">
        <v>302</v>
      </c>
      <c r="B155" t="s">
        <v>26</v>
      </c>
      <c r="C155" t="s">
        <v>287</v>
      </c>
      <c r="D155" t="s">
        <v>53</v>
      </c>
      <c r="E155" t="s">
        <v>69</v>
      </c>
      <c r="F155" t="s">
        <v>59</v>
      </c>
      <c r="G155">
        <v>48</v>
      </c>
      <c r="H155" s="4">
        <v>25.07</v>
      </c>
      <c r="I155">
        <v>1203.3599999999999</v>
      </c>
      <c r="J155">
        <v>29.93</v>
      </c>
      <c r="K155">
        <v>429.43</v>
      </c>
      <c r="L155" t="s">
        <v>30</v>
      </c>
      <c r="M155" t="s">
        <v>31</v>
      </c>
      <c r="N155" t="s">
        <v>24</v>
      </c>
      <c r="O155">
        <f>_xlfn.XLOOKUP(E155,Product_Master!$B$2:$B$11,Product_Master!$F$2:$F$11)</f>
        <v>15.5</v>
      </c>
      <c r="P155">
        <f t="shared" si="4"/>
        <v>744</v>
      </c>
      <c r="Q155" s="5">
        <f t="shared" si="5"/>
        <v>0.35685912777556178</v>
      </c>
    </row>
    <row r="156" spans="1:17" x14ac:dyDescent="0.3">
      <c r="A156" t="s">
        <v>303</v>
      </c>
      <c r="B156" t="s">
        <v>107</v>
      </c>
      <c r="C156" t="s">
        <v>40</v>
      </c>
      <c r="D156" t="s">
        <v>41</v>
      </c>
      <c r="E156" t="s">
        <v>29</v>
      </c>
      <c r="F156" t="s">
        <v>21</v>
      </c>
      <c r="G156">
        <v>31</v>
      </c>
      <c r="H156" s="4">
        <v>30.53</v>
      </c>
      <c r="I156">
        <v>946.43</v>
      </c>
      <c r="J156">
        <v>72.150000000000006</v>
      </c>
      <c r="K156">
        <v>316.27999999999997</v>
      </c>
      <c r="L156" t="s">
        <v>44</v>
      </c>
      <c r="M156" t="s">
        <v>31</v>
      </c>
      <c r="N156" t="s">
        <v>45</v>
      </c>
      <c r="O156">
        <f>_xlfn.XLOOKUP(E156,Product_Master!$B$2:$B$11,Product_Master!$F$2:$F$11)</f>
        <v>18</v>
      </c>
      <c r="P156">
        <f t="shared" si="4"/>
        <v>558</v>
      </c>
      <c r="Q156" s="5">
        <f t="shared" si="5"/>
        <v>0.33418213708356664</v>
      </c>
    </row>
    <row r="157" spans="1:17" x14ac:dyDescent="0.3">
      <c r="A157" t="s">
        <v>304</v>
      </c>
      <c r="B157" t="s">
        <v>78</v>
      </c>
      <c r="C157" t="s">
        <v>305</v>
      </c>
      <c r="D157" t="s">
        <v>101</v>
      </c>
      <c r="E157" t="s">
        <v>58</v>
      </c>
      <c r="F157" t="s">
        <v>59</v>
      </c>
      <c r="G157">
        <v>33</v>
      </c>
      <c r="H157" s="4">
        <v>31</v>
      </c>
      <c r="I157">
        <v>1023</v>
      </c>
      <c r="J157">
        <v>63.94</v>
      </c>
      <c r="K157">
        <v>216.56</v>
      </c>
      <c r="L157" t="s">
        <v>30</v>
      </c>
      <c r="M157" t="s">
        <v>23</v>
      </c>
      <c r="N157" t="s">
        <v>102</v>
      </c>
      <c r="O157">
        <f>_xlfn.XLOOKUP(E157,Product_Master!$B$2:$B$11,Product_Master!$F$2:$F$11)</f>
        <v>22.5</v>
      </c>
      <c r="P157">
        <f t="shared" si="4"/>
        <v>742.5</v>
      </c>
      <c r="Q157" s="5">
        <f t="shared" si="5"/>
        <v>0.21169110459433041</v>
      </c>
    </row>
    <row r="158" spans="1:17" x14ac:dyDescent="0.3">
      <c r="A158" t="s">
        <v>306</v>
      </c>
      <c r="B158" t="s">
        <v>39</v>
      </c>
      <c r="C158" t="s">
        <v>137</v>
      </c>
      <c r="D158" t="s">
        <v>28</v>
      </c>
      <c r="E158" t="s">
        <v>69</v>
      </c>
      <c r="F158" t="s">
        <v>59</v>
      </c>
      <c r="G158">
        <v>32</v>
      </c>
      <c r="H158" s="4">
        <v>20.86</v>
      </c>
      <c r="I158">
        <v>667.52</v>
      </c>
      <c r="J158">
        <v>21.62</v>
      </c>
      <c r="K158">
        <v>149.9</v>
      </c>
      <c r="L158" t="s">
        <v>44</v>
      </c>
      <c r="M158" t="s">
        <v>37</v>
      </c>
      <c r="N158" t="s">
        <v>32</v>
      </c>
      <c r="O158">
        <f>_xlfn.XLOOKUP(E158,Product_Master!$B$2:$B$11,Product_Master!$F$2:$F$11)</f>
        <v>15.5</v>
      </c>
      <c r="P158">
        <f t="shared" si="4"/>
        <v>496</v>
      </c>
      <c r="Q158" s="5">
        <f t="shared" si="5"/>
        <v>0.22456255992329818</v>
      </c>
    </row>
    <row r="159" spans="1:17" x14ac:dyDescent="0.3">
      <c r="A159" t="s">
        <v>307</v>
      </c>
      <c r="B159" t="s">
        <v>68</v>
      </c>
      <c r="C159" t="s">
        <v>158</v>
      </c>
      <c r="D159" t="s">
        <v>170</v>
      </c>
      <c r="E159" t="s">
        <v>54</v>
      </c>
      <c r="F159" t="s">
        <v>43</v>
      </c>
      <c r="G159">
        <v>18</v>
      </c>
      <c r="H159" s="4">
        <v>24.61</v>
      </c>
      <c r="I159">
        <v>442.98</v>
      </c>
      <c r="J159">
        <v>26.99</v>
      </c>
      <c r="K159">
        <v>55.99</v>
      </c>
      <c r="L159" t="s">
        <v>44</v>
      </c>
      <c r="M159" t="s">
        <v>23</v>
      </c>
      <c r="N159" t="s">
        <v>32</v>
      </c>
      <c r="O159">
        <f>_xlfn.XLOOKUP(E159,Product_Master!$B$2:$B$11,Product_Master!$F$2:$F$11)</f>
        <v>20</v>
      </c>
      <c r="P159">
        <f t="shared" si="4"/>
        <v>360</v>
      </c>
      <c r="Q159" s="5">
        <f t="shared" si="5"/>
        <v>0.12639396812497178</v>
      </c>
    </row>
    <row r="160" spans="1:17" x14ac:dyDescent="0.3">
      <c r="A160" t="s">
        <v>308</v>
      </c>
      <c r="B160" t="s">
        <v>39</v>
      </c>
      <c r="C160" t="s">
        <v>112</v>
      </c>
      <c r="D160" t="s">
        <v>81</v>
      </c>
      <c r="E160" t="s">
        <v>49</v>
      </c>
      <c r="F160" t="s">
        <v>50</v>
      </c>
      <c r="G160">
        <v>18</v>
      </c>
      <c r="H160" s="4">
        <v>64.83</v>
      </c>
      <c r="I160">
        <v>1166.94</v>
      </c>
      <c r="J160">
        <v>34.28</v>
      </c>
      <c r="K160">
        <v>412.66</v>
      </c>
      <c r="L160" t="s">
        <v>44</v>
      </c>
      <c r="M160" t="s">
        <v>23</v>
      </c>
      <c r="N160" t="s">
        <v>66</v>
      </c>
      <c r="O160">
        <f>_xlfn.XLOOKUP(E160,Product_Master!$B$2:$B$11,Product_Master!$F$2:$F$11)</f>
        <v>40</v>
      </c>
      <c r="P160">
        <f t="shared" si="4"/>
        <v>720</v>
      </c>
      <c r="Q160" s="5">
        <f t="shared" si="5"/>
        <v>0.35362572197370901</v>
      </c>
    </row>
    <row r="161" spans="1:17" x14ac:dyDescent="0.3">
      <c r="A161" t="s">
        <v>309</v>
      </c>
      <c r="B161" t="s">
        <v>95</v>
      </c>
      <c r="C161" t="s">
        <v>310</v>
      </c>
      <c r="D161" t="s">
        <v>53</v>
      </c>
      <c r="E161" t="s">
        <v>54</v>
      </c>
      <c r="F161" t="s">
        <v>43</v>
      </c>
      <c r="G161">
        <v>49</v>
      </c>
      <c r="H161" s="4">
        <v>29.52</v>
      </c>
      <c r="I161">
        <v>1446.48</v>
      </c>
      <c r="J161">
        <v>104.7</v>
      </c>
      <c r="K161">
        <v>361.78</v>
      </c>
      <c r="L161" t="s">
        <v>44</v>
      </c>
      <c r="M161" t="s">
        <v>37</v>
      </c>
      <c r="N161" t="s">
        <v>24</v>
      </c>
      <c r="O161">
        <f>_xlfn.XLOOKUP(E161,Product_Master!$B$2:$B$11,Product_Master!$F$2:$F$11)</f>
        <v>20</v>
      </c>
      <c r="P161">
        <f t="shared" si="4"/>
        <v>980</v>
      </c>
      <c r="Q161" s="5">
        <f t="shared" si="5"/>
        <v>0.25011061335103146</v>
      </c>
    </row>
    <row r="162" spans="1:17" x14ac:dyDescent="0.3">
      <c r="A162" t="s">
        <v>311</v>
      </c>
      <c r="B162" t="s">
        <v>95</v>
      </c>
      <c r="C162" t="s">
        <v>312</v>
      </c>
      <c r="D162" t="s">
        <v>101</v>
      </c>
      <c r="E162" t="s">
        <v>54</v>
      </c>
      <c r="F162" t="s">
        <v>43</v>
      </c>
      <c r="G162">
        <v>10</v>
      </c>
      <c r="H162" s="4">
        <v>26.73</v>
      </c>
      <c r="I162">
        <v>267.3</v>
      </c>
      <c r="J162">
        <v>10.210000000000001</v>
      </c>
      <c r="K162">
        <v>57.09</v>
      </c>
      <c r="L162" t="s">
        <v>44</v>
      </c>
      <c r="M162" t="s">
        <v>37</v>
      </c>
      <c r="N162" t="s">
        <v>102</v>
      </c>
      <c r="O162">
        <f>_xlfn.XLOOKUP(E162,Product_Master!$B$2:$B$11,Product_Master!$F$2:$F$11)</f>
        <v>20</v>
      </c>
      <c r="P162">
        <f t="shared" si="4"/>
        <v>200</v>
      </c>
      <c r="Q162" s="5">
        <f t="shared" si="5"/>
        <v>0.21358024691358024</v>
      </c>
    </row>
    <row r="163" spans="1:17" x14ac:dyDescent="0.3">
      <c r="A163" t="s">
        <v>313</v>
      </c>
      <c r="B163" t="s">
        <v>83</v>
      </c>
      <c r="C163" t="s">
        <v>72</v>
      </c>
      <c r="D163" t="s">
        <v>28</v>
      </c>
      <c r="E163" t="s">
        <v>42</v>
      </c>
      <c r="F163" t="s">
        <v>43</v>
      </c>
      <c r="G163">
        <v>10</v>
      </c>
      <c r="H163" s="4">
        <v>54.45</v>
      </c>
      <c r="I163">
        <v>544.5</v>
      </c>
      <c r="J163">
        <v>16.59</v>
      </c>
      <c r="K163">
        <v>207.91</v>
      </c>
      <c r="L163" t="s">
        <v>22</v>
      </c>
      <c r="M163" t="s">
        <v>23</v>
      </c>
      <c r="N163" t="s">
        <v>32</v>
      </c>
      <c r="O163">
        <f>_xlfn.XLOOKUP(E163,Product_Master!$B$2:$B$11,Product_Master!$F$2:$F$11)</f>
        <v>32</v>
      </c>
      <c r="P163">
        <f t="shared" si="4"/>
        <v>320</v>
      </c>
      <c r="Q163" s="5">
        <f t="shared" si="5"/>
        <v>0.38183654729109273</v>
      </c>
    </row>
    <row r="164" spans="1:17" x14ac:dyDescent="0.3">
      <c r="A164" t="s">
        <v>314</v>
      </c>
      <c r="B164" t="s">
        <v>56</v>
      </c>
      <c r="C164" t="s">
        <v>72</v>
      </c>
      <c r="D164" t="s">
        <v>196</v>
      </c>
      <c r="E164" t="s">
        <v>29</v>
      </c>
      <c r="F164" t="s">
        <v>21</v>
      </c>
      <c r="G164">
        <v>46</v>
      </c>
      <c r="H164" s="4">
        <v>30.06</v>
      </c>
      <c r="I164">
        <v>1382.76</v>
      </c>
      <c r="J164">
        <v>77.17</v>
      </c>
      <c r="K164">
        <v>477.59</v>
      </c>
      <c r="L164" t="s">
        <v>30</v>
      </c>
      <c r="M164" t="s">
        <v>31</v>
      </c>
      <c r="N164" t="s">
        <v>66</v>
      </c>
      <c r="O164">
        <f>_xlfn.XLOOKUP(E164,Product_Master!$B$2:$B$11,Product_Master!$F$2:$F$11)</f>
        <v>18</v>
      </c>
      <c r="P164">
        <f t="shared" si="4"/>
        <v>828</v>
      </c>
      <c r="Q164" s="5">
        <f t="shared" si="5"/>
        <v>0.34538893228036677</v>
      </c>
    </row>
    <row r="165" spans="1:17" x14ac:dyDescent="0.3">
      <c r="A165" t="s">
        <v>315</v>
      </c>
      <c r="B165" t="s">
        <v>83</v>
      </c>
      <c r="C165" t="s">
        <v>316</v>
      </c>
      <c r="D165" t="s">
        <v>53</v>
      </c>
      <c r="E165" t="s">
        <v>69</v>
      </c>
      <c r="F165" t="s">
        <v>59</v>
      </c>
      <c r="G165">
        <v>25</v>
      </c>
      <c r="H165" s="4">
        <v>21.52</v>
      </c>
      <c r="I165">
        <v>538</v>
      </c>
      <c r="J165">
        <v>26.73</v>
      </c>
      <c r="K165">
        <v>123.77</v>
      </c>
      <c r="L165" t="s">
        <v>30</v>
      </c>
      <c r="M165" t="s">
        <v>23</v>
      </c>
      <c r="N165" t="s">
        <v>24</v>
      </c>
      <c r="O165">
        <f>_xlfn.XLOOKUP(E165,Product_Master!$B$2:$B$11,Product_Master!$F$2:$F$11)</f>
        <v>15.5</v>
      </c>
      <c r="P165">
        <f t="shared" si="4"/>
        <v>387.5</v>
      </c>
      <c r="Q165" s="5">
        <f t="shared" si="5"/>
        <v>0.23005576208178438</v>
      </c>
    </row>
    <row r="166" spans="1:17" x14ac:dyDescent="0.3">
      <c r="A166" t="s">
        <v>317</v>
      </c>
      <c r="B166" t="s">
        <v>83</v>
      </c>
      <c r="C166" t="s">
        <v>230</v>
      </c>
      <c r="D166" t="s">
        <v>196</v>
      </c>
      <c r="E166" t="s">
        <v>29</v>
      </c>
      <c r="F166" t="s">
        <v>21</v>
      </c>
      <c r="G166">
        <v>5</v>
      </c>
      <c r="H166" s="4">
        <v>26.25</v>
      </c>
      <c r="I166">
        <v>131.25</v>
      </c>
      <c r="J166">
        <v>3.35</v>
      </c>
      <c r="K166">
        <v>37.9</v>
      </c>
      <c r="L166" t="s">
        <v>30</v>
      </c>
      <c r="M166" t="s">
        <v>31</v>
      </c>
      <c r="N166" t="s">
        <v>66</v>
      </c>
      <c r="O166">
        <f>_xlfn.XLOOKUP(E166,Product_Master!$B$2:$B$11,Product_Master!$F$2:$F$11)</f>
        <v>18</v>
      </c>
      <c r="P166">
        <f t="shared" si="4"/>
        <v>90</v>
      </c>
      <c r="Q166" s="5">
        <f t="shared" si="5"/>
        <v>0.28876190476190478</v>
      </c>
    </row>
    <row r="167" spans="1:17" x14ac:dyDescent="0.3">
      <c r="A167" t="s">
        <v>318</v>
      </c>
      <c r="B167" t="s">
        <v>56</v>
      </c>
      <c r="C167" t="s">
        <v>319</v>
      </c>
      <c r="D167" t="s">
        <v>28</v>
      </c>
      <c r="E167" t="s">
        <v>64</v>
      </c>
      <c r="F167" t="s">
        <v>65</v>
      </c>
      <c r="G167">
        <v>10</v>
      </c>
      <c r="H167" s="4">
        <v>31.48</v>
      </c>
      <c r="I167">
        <v>314.8</v>
      </c>
      <c r="J167">
        <v>10.23</v>
      </c>
      <c r="K167">
        <v>54.57</v>
      </c>
      <c r="L167" t="s">
        <v>44</v>
      </c>
      <c r="M167" t="s">
        <v>37</v>
      </c>
      <c r="N167" t="s">
        <v>32</v>
      </c>
      <c r="O167">
        <f>_xlfn.XLOOKUP(E167,Product_Master!$B$2:$B$11,Product_Master!$F$2:$F$11)</f>
        <v>25</v>
      </c>
      <c r="P167">
        <f t="shared" si="4"/>
        <v>250</v>
      </c>
      <c r="Q167" s="5">
        <f t="shared" si="5"/>
        <v>0.17334815756035576</v>
      </c>
    </row>
    <row r="168" spans="1:17" x14ac:dyDescent="0.3">
      <c r="A168" t="s">
        <v>320</v>
      </c>
      <c r="B168" t="s">
        <v>71</v>
      </c>
      <c r="C168" t="s">
        <v>127</v>
      </c>
      <c r="D168" t="s">
        <v>41</v>
      </c>
      <c r="E168" t="s">
        <v>54</v>
      </c>
      <c r="F168" t="s">
        <v>43</v>
      </c>
      <c r="G168">
        <v>21</v>
      </c>
      <c r="H168" s="4">
        <v>30.91</v>
      </c>
      <c r="I168">
        <v>649.11</v>
      </c>
      <c r="J168">
        <v>38.42</v>
      </c>
      <c r="K168">
        <v>190.69</v>
      </c>
      <c r="L168" t="s">
        <v>30</v>
      </c>
      <c r="M168" t="s">
        <v>37</v>
      </c>
      <c r="N168" t="s">
        <v>45</v>
      </c>
      <c r="O168">
        <f>_xlfn.XLOOKUP(E168,Product_Master!$B$2:$B$11,Product_Master!$F$2:$F$11)</f>
        <v>20</v>
      </c>
      <c r="P168">
        <f t="shared" si="4"/>
        <v>420</v>
      </c>
      <c r="Q168" s="5">
        <f t="shared" si="5"/>
        <v>0.29377147170741474</v>
      </c>
    </row>
    <row r="169" spans="1:17" x14ac:dyDescent="0.3">
      <c r="A169" t="s">
        <v>321</v>
      </c>
      <c r="B169" t="s">
        <v>61</v>
      </c>
      <c r="C169" t="s">
        <v>322</v>
      </c>
      <c r="D169" t="s">
        <v>81</v>
      </c>
      <c r="E169" t="s">
        <v>73</v>
      </c>
      <c r="F169" t="s">
        <v>43</v>
      </c>
      <c r="G169">
        <v>29</v>
      </c>
      <c r="H169" s="4">
        <v>18.47</v>
      </c>
      <c r="I169">
        <v>535.63</v>
      </c>
      <c r="J169">
        <v>13.21</v>
      </c>
      <c r="K169">
        <v>152.66999999999999</v>
      </c>
      <c r="L169" t="s">
        <v>22</v>
      </c>
      <c r="M169" t="s">
        <v>23</v>
      </c>
      <c r="N169" t="s">
        <v>66</v>
      </c>
      <c r="O169">
        <f>_xlfn.XLOOKUP(E169,Product_Master!$B$2:$B$11,Product_Master!$F$2:$F$11)</f>
        <v>12.75</v>
      </c>
      <c r="P169">
        <f t="shared" si="4"/>
        <v>369.75</v>
      </c>
      <c r="Q169" s="5">
        <f t="shared" si="5"/>
        <v>0.28502884453820732</v>
      </c>
    </row>
    <row r="170" spans="1:17" x14ac:dyDescent="0.3">
      <c r="A170" t="s">
        <v>323</v>
      </c>
      <c r="B170" t="s">
        <v>132</v>
      </c>
      <c r="C170" t="s">
        <v>133</v>
      </c>
      <c r="D170" t="s">
        <v>53</v>
      </c>
      <c r="E170" t="s">
        <v>20</v>
      </c>
      <c r="F170" t="s">
        <v>21</v>
      </c>
      <c r="G170">
        <v>36</v>
      </c>
      <c r="H170" s="4">
        <v>44.79</v>
      </c>
      <c r="I170">
        <v>1612.44</v>
      </c>
      <c r="J170">
        <v>68.599999999999994</v>
      </c>
      <c r="K170">
        <v>283.83999999999997</v>
      </c>
      <c r="L170" t="s">
        <v>44</v>
      </c>
      <c r="M170" t="s">
        <v>31</v>
      </c>
      <c r="N170" t="s">
        <v>24</v>
      </c>
      <c r="O170">
        <f>_xlfn.XLOOKUP(E170,Product_Master!$B$2:$B$11,Product_Master!$F$2:$F$11)</f>
        <v>35</v>
      </c>
      <c r="P170">
        <f t="shared" si="4"/>
        <v>1260</v>
      </c>
      <c r="Q170" s="5">
        <f t="shared" si="5"/>
        <v>0.1760313562055022</v>
      </c>
    </row>
    <row r="171" spans="1:17" x14ac:dyDescent="0.3">
      <c r="A171" t="s">
        <v>324</v>
      </c>
      <c r="B171" t="s">
        <v>34</v>
      </c>
      <c r="C171" t="s">
        <v>325</v>
      </c>
      <c r="D171" t="s">
        <v>41</v>
      </c>
      <c r="E171" t="s">
        <v>69</v>
      </c>
      <c r="F171" t="s">
        <v>59</v>
      </c>
      <c r="G171">
        <v>3</v>
      </c>
      <c r="H171" s="4">
        <v>18.86</v>
      </c>
      <c r="I171">
        <v>56.58</v>
      </c>
      <c r="J171">
        <v>2.61</v>
      </c>
      <c r="K171">
        <v>7.47</v>
      </c>
      <c r="L171" t="s">
        <v>30</v>
      </c>
      <c r="M171" t="s">
        <v>37</v>
      </c>
      <c r="N171" t="s">
        <v>45</v>
      </c>
      <c r="O171">
        <f>_xlfn.XLOOKUP(E171,Product_Master!$B$2:$B$11,Product_Master!$F$2:$F$11)</f>
        <v>15.5</v>
      </c>
      <c r="P171">
        <f t="shared" si="4"/>
        <v>46.5</v>
      </c>
      <c r="Q171" s="5">
        <f t="shared" si="5"/>
        <v>0.1320254506892895</v>
      </c>
    </row>
    <row r="172" spans="1:17" x14ac:dyDescent="0.3">
      <c r="A172" t="s">
        <v>326</v>
      </c>
      <c r="B172" t="s">
        <v>132</v>
      </c>
      <c r="C172" t="s">
        <v>57</v>
      </c>
      <c r="D172" t="s">
        <v>63</v>
      </c>
      <c r="E172" t="s">
        <v>98</v>
      </c>
      <c r="F172" t="s">
        <v>59</v>
      </c>
      <c r="G172">
        <v>10</v>
      </c>
      <c r="H172" s="4">
        <v>45.86</v>
      </c>
      <c r="I172">
        <v>458.6</v>
      </c>
      <c r="J172">
        <v>14.4</v>
      </c>
      <c r="K172">
        <v>164.2</v>
      </c>
      <c r="L172" t="s">
        <v>44</v>
      </c>
      <c r="M172" t="s">
        <v>23</v>
      </c>
      <c r="N172" t="s">
        <v>66</v>
      </c>
      <c r="O172">
        <f>_xlfn.XLOOKUP(E172,Product_Master!$B$2:$B$11,Product_Master!$F$2:$F$11)</f>
        <v>28</v>
      </c>
      <c r="P172">
        <f t="shared" si="4"/>
        <v>280</v>
      </c>
      <c r="Q172" s="5">
        <f t="shared" si="5"/>
        <v>0.35804622764936761</v>
      </c>
    </row>
    <row r="173" spans="1:17" x14ac:dyDescent="0.3">
      <c r="A173" t="s">
        <v>327</v>
      </c>
      <c r="B173" t="s">
        <v>83</v>
      </c>
      <c r="C173" t="s">
        <v>325</v>
      </c>
      <c r="D173" t="s">
        <v>36</v>
      </c>
      <c r="E173" t="s">
        <v>29</v>
      </c>
      <c r="F173" t="s">
        <v>21</v>
      </c>
      <c r="G173">
        <v>1</v>
      </c>
      <c r="H173" s="4">
        <v>24.64</v>
      </c>
      <c r="I173">
        <v>24.64</v>
      </c>
      <c r="J173">
        <v>0.65</v>
      </c>
      <c r="K173">
        <v>5.99</v>
      </c>
      <c r="L173" t="s">
        <v>44</v>
      </c>
      <c r="M173" t="s">
        <v>31</v>
      </c>
      <c r="N173" t="s">
        <v>32</v>
      </c>
      <c r="O173">
        <f>_xlfn.XLOOKUP(E173,Product_Master!$B$2:$B$11,Product_Master!$F$2:$F$11)</f>
        <v>18</v>
      </c>
      <c r="P173">
        <f t="shared" si="4"/>
        <v>18</v>
      </c>
      <c r="Q173" s="5">
        <f t="shared" si="5"/>
        <v>0.24310064935064934</v>
      </c>
    </row>
    <row r="174" spans="1:17" x14ac:dyDescent="0.3">
      <c r="A174" t="s">
        <v>328</v>
      </c>
      <c r="B174" t="s">
        <v>95</v>
      </c>
      <c r="C174" t="s">
        <v>173</v>
      </c>
      <c r="D174" t="s">
        <v>36</v>
      </c>
      <c r="E174" t="s">
        <v>69</v>
      </c>
      <c r="F174" t="s">
        <v>59</v>
      </c>
      <c r="G174">
        <v>49</v>
      </c>
      <c r="H174" s="4">
        <v>22.8</v>
      </c>
      <c r="I174">
        <v>1117.2</v>
      </c>
      <c r="J174">
        <v>51.06</v>
      </c>
      <c r="K174">
        <v>306.64</v>
      </c>
      <c r="L174" t="s">
        <v>22</v>
      </c>
      <c r="M174" t="s">
        <v>31</v>
      </c>
      <c r="N174" t="s">
        <v>32</v>
      </c>
      <c r="O174">
        <f>_xlfn.XLOOKUP(E174,Product_Master!$B$2:$B$11,Product_Master!$F$2:$F$11)</f>
        <v>15.5</v>
      </c>
      <c r="P174">
        <f t="shared" si="4"/>
        <v>759.5</v>
      </c>
      <c r="Q174" s="5">
        <f t="shared" si="5"/>
        <v>0.27447189402076616</v>
      </c>
    </row>
    <row r="175" spans="1:17" x14ac:dyDescent="0.3">
      <c r="A175" t="s">
        <v>329</v>
      </c>
      <c r="B175" t="s">
        <v>39</v>
      </c>
      <c r="C175" t="s">
        <v>212</v>
      </c>
      <c r="D175" t="s">
        <v>53</v>
      </c>
      <c r="E175" t="s">
        <v>20</v>
      </c>
      <c r="F175" t="s">
        <v>21</v>
      </c>
      <c r="G175">
        <v>32</v>
      </c>
      <c r="H175" s="4">
        <v>44.5</v>
      </c>
      <c r="I175">
        <v>1424</v>
      </c>
      <c r="J175">
        <v>43.92</v>
      </c>
      <c r="K175">
        <v>260.08</v>
      </c>
      <c r="L175" t="s">
        <v>44</v>
      </c>
      <c r="M175" t="s">
        <v>31</v>
      </c>
      <c r="N175" t="s">
        <v>24</v>
      </c>
      <c r="O175">
        <f>_xlfn.XLOOKUP(E175,Product_Master!$B$2:$B$11,Product_Master!$F$2:$F$11)</f>
        <v>35</v>
      </c>
      <c r="P175">
        <f t="shared" si="4"/>
        <v>1120</v>
      </c>
      <c r="Q175" s="5">
        <f t="shared" si="5"/>
        <v>0.18264044943820223</v>
      </c>
    </row>
    <row r="176" spans="1:17" x14ac:dyDescent="0.3">
      <c r="A176" t="s">
        <v>330</v>
      </c>
      <c r="B176" t="s">
        <v>71</v>
      </c>
      <c r="C176" t="s">
        <v>228</v>
      </c>
      <c r="D176" t="s">
        <v>41</v>
      </c>
      <c r="E176" t="s">
        <v>20</v>
      </c>
      <c r="F176" t="s">
        <v>21</v>
      </c>
      <c r="G176">
        <v>43</v>
      </c>
      <c r="H176" s="4">
        <v>55.74</v>
      </c>
      <c r="I176">
        <v>2396.8200000000002</v>
      </c>
      <c r="J176">
        <v>63.85</v>
      </c>
      <c r="K176">
        <v>827.97</v>
      </c>
      <c r="L176" t="s">
        <v>30</v>
      </c>
      <c r="M176" t="s">
        <v>37</v>
      </c>
      <c r="N176" t="s">
        <v>45</v>
      </c>
      <c r="O176">
        <f>_xlfn.XLOOKUP(E176,Product_Master!$B$2:$B$11,Product_Master!$F$2:$F$11)</f>
        <v>35</v>
      </c>
      <c r="P176">
        <f t="shared" si="4"/>
        <v>1505</v>
      </c>
      <c r="Q176" s="5">
        <f t="shared" si="5"/>
        <v>0.34544521490975544</v>
      </c>
    </row>
    <row r="177" spans="1:17" x14ac:dyDescent="0.3">
      <c r="A177" t="s">
        <v>331</v>
      </c>
      <c r="B177" t="s">
        <v>39</v>
      </c>
      <c r="C177" t="s">
        <v>122</v>
      </c>
      <c r="D177" t="s">
        <v>81</v>
      </c>
      <c r="E177" t="s">
        <v>69</v>
      </c>
      <c r="F177" t="s">
        <v>59</v>
      </c>
      <c r="G177">
        <v>19</v>
      </c>
      <c r="H177" s="4">
        <v>25.78</v>
      </c>
      <c r="I177">
        <v>489.82</v>
      </c>
      <c r="J177">
        <v>28.4</v>
      </c>
      <c r="K177">
        <v>166.92</v>
      </c>
      <c r="L177" t="s">
        <v>44</v>
      </c>
      <c r="M177" t="s">
        <v>31</v>
      </c>
      <c r="N177" t="s">
        <v>66</v>
      </c>
      <c r="O177">
        <f>_xlfn.XLOOKUP(E177,Product_Master!$B$2:$B$11,Product_Master!$F$2:$F$11)</f>
        <v>15.5</v>
      </c>
      <c r="P177">
        <f t="shared" si="4"/>
        <v>294.5</v>
      </c>
      <c r="Q177" s="5">
        <f t="shared" si="5"/>
        <v>0.3407782450696174</v>
      </c>
    </row>
    <row r="178" spans="1:17" x14ac:dyDescent="0.3">
      <c r="A178" t="s">
        <v>332</v>
      </c>
      <c r="B178" t="s">
        <v>83</v>
      </c>
      <c r="C178" t="s">
        <v>265</v>
      </c>
      <c r="D178" t="s">
        <v>53</v>
      </c>
      <c r="E178" t="s">
        <v>29</v>
      </c>
      <c r="F178" t="s">
        <v>21</v>
      </c>
      <c r="G178">
        <v>43</v>
      </c>
      <c r="H178" s="4">
        <v>30.43</v>
      </c>
      <c r="I178">
        <v>1308.49</v>
      </c>
      <c r="J178">
        <v>35.340000000000003</v>
      </c>
      <c r="K178">
        <v>499.15</v>
      </c>
      <c r="L178" t="s">
        <v>30</v>
      </c>
      <c r="M178" t="s">
        <v>31</v>
      </c>
      <c r="N178" t="s">
        <v>24</v>
      </c>
      <c r="O178">
        <f>_xlfn.XLOOKUP(E178,Product_Master!$B$2:$B$11,Product_Master!$F$2:$F$11)</f>
        <v>18</v>
      </c>
      <c r="P178">
        <f t="shared" si="4"/>
        <v>774</v>
      </c>
      <c r="Q178" s="5">
        <f t="shared" si="5"/>
        <v>0.38147024432743082</v>
      </c>
    </row>
    <row r="179" spans="1:17" x14ac:dyDescent="0.3">
      <c r="A179" t="s">
        <v>333</v>
      </c>
      <c r="B179" t="s">
        <v>78</v>
      </c>
      <c r="C179" t="s">
        <v>334</v>
      </c>
      <c r="D179" t="s">
        <v>123</v>
      </c>
      <c r="E179" t="s">
        <v>69</v>
      </c>
      <c r="F179" t="s">
        <v>59</v>
      </c>
      <c r="G179">
        <v>17</v>
      </c>
      <c r="H179" s="4">
        <v>18.71</v>
      </c>
      <c r="I179">
        <v>318.07</v>
      </c>
      <c r="J179">
        <v>22.03</v>
      </c>
      <c r="K179">
        <v>32.54</v>
      </c>
      <c r="L179" t="s">
        <v>44</v>
      </c>
      <c r="M179" t="s">
        <v>23</v>
      </c>
      <c r="N179" t="s">
        <v>32</v>
      </c>
      <c r="O179">
        <f>_xlfn.XLOOKUP(E179,Product_Master!$B$2:$B$11,Product_Master!$F$2:$F$11)</f>
        <v>15.5</v>
      </c>
      <c r="P179">
        <f t="shared" si="4"/>
        <v>263.5</v>
      </c>
      <c r="Q179" s="5">
        <f t="shared" si="5"/>
        <v>0.10230452416134814</v>
      </c>
    </row>
    <row r="180" spans="1:17" x14ac:dyDescent="0.3">
      <c r="A180" t="s">
        <v>335</v>
      </c>
      <c r="B180" t="s">
        <v>86</v>
      </c>
      <c r="C180" t="s">
        <v>47</v>
      </c>
      <c r="D180" t="s">
        <v>63</v>
      </c>
      <c r="E180" t="s">
        <v>69</v>
      </c>
      <c r="F180" t="s">
        <v>59</v>
      </c>
      <c r="G180">
        <v>44</v>
      </c>
      <c r="H180" s="4">
        <v>23.87</v>
      </c>
      <c r="I180">
        <v>1050.28</v>
      </c>
      <c r="J180">
        <v>33.51</v>
      </c>
      <c r="K180">
        <v>334.77</v>
      </c>
      <c r="L180" t="s">
        <v>22</v>
      </c>
      <c r="M180" t="s">
        <v>31</v>
      </c>
      <c r="N180" t="s">
        <v>66</v>
      </c>
      <c r="O180">
        <f>_xlfn.XLOOKUP(E180,Product_Master!$B$2:$B$11,Product_Master!$F$2:$F$11)</f>
        <v>15.5</v>
      </c>
      <c r="P180">
        <f t="shared" si="4"/>
        <v>682</v>
      </c>
      <c r="Q180" s="5">
        <f t="shared" si="5"/>
        <v>0.31874357314240009</v>
      </c>
    </row>
    <row r="181" spans="1:17" x14ac:dyDescent="0.3">
      <c r="A181" t="s">
        <v>336</v>
      </c>
      <c r="B181" t="s">
        <v>68</v>
      </c>
      <c r="C181" t="s">
        <v>139</v>
      </c>
      <c r="D181" t="s">
        <v>147</v>
      </c>
      <c r="E181" t="s">
        <v>42</v>
      </c>
      <c r="F181" t="s">
        <v>43</v>
      </c>
      <c r="G181">
        <v>12</v>
      </c>
      <c r="H181" s="4">
        <v>42.91</v>
      </c>
      <c r="I181">
        <v>514.91999999999996</v>
      </c>
      <c r="J181">
        <v>15.18</v>
      </c>
      <c r="K181">
        <v>115.74</v>
      </c>
      <c r="L181" t="s">
        <v>44</v>
      </c>
      <c r="M181" t="s">
        <v>37</v>
      </c>
      <c r="N181" t="s">
        <v>148</v>
      </c>
      <c r="O181">
        <f>_xlfn.XLOOKUP(E181,Product_Master!$B$2:$B$11,Product_Master!$F$2:$F$11)</f>
        <v>32</v>
      </c>
      <c r="P181">
        <f t="shared" si="4"/>
        <v>384</v>
      </c>
      <c r="Q181" s="5">
        <f t="shared" si="5"/>
        <v>0.22477278023770683</v>
      </c>
    </row>
    <row r="182" spans="1:17" x14ac:dyDescent="0.3">
      <c r="A182" t="s">
        <v>337</v>
      </c>
      <c r="B182" t="s">
        <v>132</v>
      </c>
      <c r="C182" t="s">
        <v>338</v>
      </c>
      <c r="D182" t="s">
        <v>196</v>
      </c>
      <c r="E182" t="s">
        <v>49</v>
      </c>
      <c r="F182" t="s">
        <v>50</v>
      </c>
      <c r="G182">
        <v>21</v>
      </c>
      <c r="H182" s="4">
        <v>50.49</v>
      </c>
      <c r="I182">
        <v>1060.29</v>
      </c>
      <c r="J182">
        <v>32.340000000000003</v>
      </c>
      <c r="K182">
        <v>187.95</v>
      </c>
      <c r="L182" t="s">
        <v>44</v>
      </c>
      <c r="M182" t="s">
        <v>23</v>
      </c>
      <c r="N182" t="s">
        <v>66</v>
      </c>
      <c r="O182">
        <f>_xlfn.XLOOKUP(E182,Product_Master!$B$2:$B$11,Product_Master!$F$2:$F$11)</f>
        <v>40</v>
      </c>
      <c r="P182">
        <f t="shared" si="4"/>
        <v>840</v>
      </c>
      <c r="Q182" s="5">
        <f t="shared" si="5"/>
        <v>0.17726282432164783</v>
      </c>
    </row>
    <row r="183" spans="1:17" x14ac:dyDescent="0.3">
      <c r="A183" t="s">
        <v>339</v>
      </c>
      <c r="B183" t="s">
        <v>78</v>
      </c>
      <c r="C183" t="s">
        <v>212</v>
      </c>
      <c r="D183" t="s">
        <v>36</v>
      </c>
      <c r="E183" t="s">
        <v>20</v>
      </c>
      <c r="F183" t="s">
        <v>21</v>
      </c>
      <c r="G183">
        <v>41</v>
      </c>
      <c r="H183" s="4">
        <v>43.18</v>
      </c>
      <c r="I183">
        <v>1770.38</v>
      </c>
      <c r="J183">
        <v>128.4</v>
      </c>
      <c r="K183">
        <v>206.98</v>
      </c>
      <c r="L183" t="s">
        <v>30</v>
      </c>
      <c r="M183" t="s">
        <v>37</v>
      </c>
      <c r="N183" t="s">
        <v>32</v>
      </c>
      <c r="O183">
        <f>_xlfn.XLOOKUP(E183,Product_Master!$B$2:$B$11,Product_Master!$F$2:$F$11)</f>
        <v>35</v>
      </c>
      <c r="P183">
        <f t="shared" si="4"/>
        <v>1435</v>
      </c>
      <c r="Q183" s="5">
        <f t="shared" si="5"/>
        <v>0.11691275319422947</v>
      </c>
    </row>
    <row r="184" spans="1:17" x14ac:dyDescent="0.3">
      <c r="A184" t="s">
        <v>340</v>
      </c>
      <c r="B184" t="s">
        <v>86</v>
      </c>
      <c r="C184" t="s">
        <v>117</v>
      </c>
      <c r="D184" t="s">
        <v>147</v>
      </c>
      <c r="E184" t="s">
        <v>73</v>
      </c>
      <c r="F184" t="s">
        <v>43</v>
      </c>
      <c r="G184">
        <v>37</v>
      </c>
      <c r="H184" s="4">
        <v>19.8</v>
      </c>
      <c r="I184">
        <v>732.6</v>
      </c>
      <c r="J184">
        <v>54.68</v>
      </c>
      <c r="K184">
        <v>206.17</v>
      </c>
      <c r="L184" t="s">
        <v>22</v>
      </c>
      <c r="M184" t="s">
        <v>31</v>
      </c>
      <c r="N184" t="s">
        <v>148</v>
      </c>
      <c r="O184">
        <f>_xlfn.XLOOKUP(E184,Product_Master!$B$2:$B$11,Product_Master!$F$2:$F$11)</f>
        <v>12.75</v>
      </c>
      <c r="P184">
        <f t="shared" si="4"/>
        <v>471.75</v>
      </c>
      <c r="Q184" s="5">
        <f t="shared" si="5"/>
        <v>0.28142233142233142</v>
      </c>
    </row>
    <row r="185" spans="1:17" x14ac:dyDescent="0.3">
      <c r="A185" t="s">
        <v>341</v>
      </c>
      <c r="B185" t="s">
        <v>86</v>
      </c>
      <c r="C185" t="s">
        <v>342</v>
      </c>
      <c r="D185" t="s">
        <v>53</v>
      </c>
      <c r="E185" t="s">
        <v>73</v>
      </c>
      <c r="F185" t="s">
        <v>43</v>
      </c>
      <c r="G185">
        <v>4</v>
      </c>
      <c r="H185" s="4">
        <v>18.059999999999999</v>
      </c>
      <c r="I185">
        <v>72.239999999999995</v>
      </c>
      <c r="J185">
        <v>4.66</v>
      </c>
      <c r="K185">
        <v>16.579999999999998</v>
      </c>
      <c r="L185" t="s">
        <v>22</v>
      </c>
      <c r="M185" t="s">
        <v>23</v>
      </c>
      <c r="N185" t="s">
        <v>24</v>
      </c>
      <c r="O185">
        <f>_xlfn.XLOOKUP(E185,Product_Master!$B$2:$B$11,Product_Master!$F$2:$F$11)</f>
        <v>12.75</v>
      </c>
      <c r="P185">
        <f t="shared" si="4"/>
        <v>51</v>
      </c>
      <c r="Q185" s="5">
        <f t="shared" si="5"/>
        <v>0.22951273532668881</v>
      </c>
    </row>
    <row r="186" spans="1:17" x14ac:dyDescent="0.3">
      <c r="A186" t="s">
        <v>343</v>
      </c>
      <c r="B186" t="s">
        <v>78</v>
      </c>
      <c r="C186" t="s">
        <v>265</v>
      </c>
      <c r="D186" t="s">
        <v>19</v>
      </c>
      <c r="E186" t="s">
        <v>20</v>
      </c>
      <c r="F186" t="s">
        <v>21</v>
      </c>
      <c r="G186">
        <v>40</v>
      </c>
      <c r="H186" s="4">
        <v>55.59</v>
      </c>
      <c r="I186">
        <v>2223.6</v>
      </c>
      <c r="J186">
        <v>74.569999999999993</v>
      </c>
      <c r="K186">
        <v>749.03</v>
      </c>
      <c r="L186" t="s">
        <v>22</v>
      </c>
      <c r="M186" t="s">
        <v>23</v>
      </c>
      <c r="N186" t="s">
        <v>24</v>
      </c>
      <c r="O186">
        <f>_xlfn.XLOOKUP(E186,Product_Master!$B$2:$B$11,Product_Master!$F$2:$F$11)</f>
        <v>35</v>
      </c>
      <c r="P186">
        <f t="shared" si="4"/>
        <v>1400</v>
      </c>
      <c r="Q186" s="5">
        <f t="shared" si="5"/>
        <v>0.3368546501169275</v>
      </c>
    </row>
    <row r="187" spans="1:17" x14ac:dyDescent="0.3">
      <c r="A187" t="s">
        <v>344</v>
      </c>
      <c r="B187" t="s">
        <v>75</v>
      </c>
      <c r="C187" t="s">
        <v>18</v>
      </c>
      <c r="D187" t="s">
        <v>91</v>
      </c>
      <c r="E187" t="s">
        <v>64</v>
      </c>
      <c r="F187" t="s">
        <v>65</v>
      </c>
      <c r="G187">
        <v>5</v>
      </c>
      <c r="H187" s="4">
        <v>31.58</v>
      </c>
      <c r="I187">
        <v>157.9</v>
      </c>
      <c r="J187">
        <v>3.73</v>
      </c>
      <c r="K187">
        <v>29.17</v>
      </c>
      <c r="L187" t="s">
        <v>22</v>
      </c>
      <c r="M187" t="s">
        <v>31</v>
      </c>
      <c r="N187" t="s">
        <v>66</v>
      </c>
      <c r="O187">
        <f>_xlfn.XLOOKUP(E187,Product_Master!$B$2:$B$11,Product_Master!$F$2:$F$11)</f>
        <v>25</v>
      </c>
      <c r="P187">
        <f t="shared" si="4"/>
        <v>125</v>
      </c>
      <c r="Q187" s="5">
        <f t="shared" si="5"/>
        <v>0.18473717542748574</v>
      </c>
    </row>
    <row r="188" spans="1:17" x14ac:dyDescent="0.3">
      <c r="A188" t="s">
        <v>345</v>
      </c>
      <c r="B188" t="s">
        <v>34</v>
      </c>
      <c r="C188" t="s">
        <v>135</v>
      </c>
      <c r="D188" t="s">
        <v>48</v>
      </c>
      <c r="E188" t="s">
        <v>29</v>
      </c>
      <c r="F188" t="s">
        <v>21</v>
      </c>
      <c r="G188">
        <v>50</v>
      </c>
      <c r="H188" s="4">
        <v>26.67</v>
      </c>
      <c r="I188">
        <v>1333.5</v>
      </c>
      <c r="J188">
        <v>80.150000000000006</v>
      </c>
      <c r="K188">
        <v>353.35</v>
      </c>
      <c r="L188" t="s">
        <v>44</v>
      </c>
      <c r="M188" t="s">
        <v>23</v>
      </c>
      <c r="N188" t="s">
        <v>24</v>
      </c>
      <c r="O188">
        <f>_xlfn.XLOOKUP(E188,Product_Master!$B$2:$B$11,Product_Master!$F$2:$F$11)</f>
        <v>18</v>
      </c>
      <c r="P188">
        <f t="shared" si="4"/>
        <v>900</v>
      </c>
      <c r="Q188" s="5">
        <f t="shared" si="5"/>
        <v>0.26497937757780277</v>
      </c>
    </row>
    <row r="189" spans="1:17" x14ac:dyDescent="0.3">
      <c r="A189" t="s">
        <v>346</v>
      </c>
      <c r="B189" t="s">
        <v>86</v>
      </c>
      <c r="C189" t="s">
        <v>240</v>
      </c>
      <c r="D189" t="s">
        <v>81</v>
      </c>
      <c r="E189" t="s">
        <v>69</v>
      </c>
      <c r="F189" t="s">
        <v>59</v>
      </c>
      <c r="G189">
        <v>17</v>
      </c>
      <c r="H189" s="4">
        <v>20.68</v>
      </c>
      <c r="I189">
        <v>351.56</v>
      </c>
      <c r="J189">
        <v>18.47</v>
      </c>
      <c r="K189">
        <v>69.59</v>
      </c>
      <c r="L189" t="s">
        <v>44</v>
      </c>
      <c r="M189" t="s">
        <v>31</v>
      </c>
      <c r="N189" t="s">
        <v>66</v>
      </c>
      <c r="O189">
        <f>_xlfn.XLOOKUP(E189,Product_Master!$B$2:$B$11,Product_Master!$F$2:$F$11)</f>
        <v>15.5</v>
      </c>
      <c r="P189">
        <f t="shared" si="4"/>
        <v>263.5</v>
      </c>
      <c r="Q189" s="5">
        <f t="shared" si="5"/>
        <v>0.19794629650699738</v>
      </c>
    </row>
    <row r="190" spans="1:17" x14ac:dyDescent="0.3">
      <c r="A190" t="s">
        <v>347</v>
      </c>
      <c r="B190" t="s">
        <v>75</v>
      </c>
      <c r="C190" t="s">
        <v>295</v>
      </c>
      <c r="D190" t="s">
        <v>101</v>
      </c>
      <c r="E190" t="s">
        <v>20</v>
      </c>
      <c r="F190" t="s">
        <v>21</v>
      </c>
      <c r="G190">
        <v>29</v>
      </c>
      <c r="H190" s="4">
        <v>55.19</v>
      </c>
      <c r="I190">
        <v>1600.51</v>
      </c>
      <c r="J190">
        <v>103.06</v>
      </c>
      <c r="K190">
        <v>482.45</v>
      </c>
      <c r="L190" t="s">
        <v>22</v>
      </c>
      <c r="M190" t="s">
        <v>37</v>
      </c>
      <c r="N190" t="s">
        <v>102</v>
      </c>
      <c r="O190">
        <f>_xlfn.XLOOKUP(E190,Product_Master!$B$2:$B$11,Product_Master!$F$2:$F$11)</f>
        <v>35</v>
      </c>
      <c r="P190">
        <f t="shared" si="4"/>
        <v>1015</v>
      </c>
      <c r="Q190" s="5">
        <f t="shared" si="5"/>
        <v>0.30143516754034649</v>
      </c>
    </row>
    <row r="191" spans="1:17" x14ac:dyDescent="0.3">
      <c r="A191" t="s">
        <v>348</v>
      </c>
      <c r="B191" t="s">
        <v>34</v>
      </c>
      <c r="C191" t="s">
        <v>349</v>
      </c>
      <c r="D191" t="s">
        <v>81</v>
      </c>
      <c r="E191" t="s">
        <v>20</v>
      </c>
      <c r="F191" t="s">
        <v>21</v>
      </c>
      <c r="G191">
        <v>34</v>
      </c>
      <c r="H191" s="4">
        <v>61.62</v>
      </c>
      <c r="I191">
        <v>2095.08</v>
      </c>
      <c r="J191">
        <v>80.13</v>
      </c>
      <c r="K191">
        <v>824.95</v>
      </c>
      <c r="L191" t="s">
        <v>30</v>
      </c>
      <c r="M191" t="s">
        <v>23</v>
      </c>
      <c r="N191" t="s">
        <v>66</v>
      </c>
      <c r="O191">
        <f>_xlfn.XLOOKUP(E191,Product_Master!$B$2:$B$11,Product_Master!$F$2:$F$11)</f>
        <v>35</v>
      </c>
      <c r="P191">
        <f t="shared" si="4"/>
        <v>1190</v>
      </c>
      <c r="Q191" s="5">
        <f t="shared" si="5"/>
        <v>0.39375584703209426</v>
      </c>
    </row>
    <row r="192" spans="1:17" x14ac:dyDescent="0.3">
      <c r="A192" t="s">
        <v>350</v>
      </c>
      <c r="B192" t="s">
        <v>132</v>
      </c>
      <c r="C192" t="s">
        <v>192</v>
      </c>
      <c r="D192" t="s">
        <v>53</v>
      </c>
      <c r="E192" t="s">
        <v>58</v>
      </c>
      <c r="F192" t="s">
        <v>59</v>
      </c>
      <c r="G192">
        <v>10</v>
      </c>
      <c r="H192" s="4">
        <v>40.03</v>
      </c>
      <c r="I192">
        <v>400.3</v>
      </c>
      <c r="J192">
        <v>25.8</v>
      </c>
      <c r="K192">
        <v>149.5</v>
      </c>
      <c r="L192" t="s">
        <v>44</v>
      </c>
      <c r="M192" t="s">
        <v>23</v>
      </c>
      <c r="N192" t="s">
        <v>24</v>
      </c>
      <c r="O192">
        <f>_xlfn.XLOOKUP(E192,Product_Master!$B$2:$B$11,Product_Master!$F$2:$F$11)</f>
        <v>22.5</v>
      </c>
      <c r="P192">
        <f t="shared" si="4"/>
        <v>225</v>
      </c>
      <c r="Q192" s="5">
        <f t="shared" si="5"/>
        <v>0.37346989757681737</v>
      </c>
    </row>
    <row r="193" spans="1:17" x14ac:dyDescent="0.3">
      <c r="A193" t="s">
        <v>351</v>
      </c>
      <c r="B193" t="s">
        <v>104</v>
      </c>
      <c r="C193" t="s">
        <v>96</v>
      </c>
      <c r="D193" t="s">
        <v>88</v>
      </c>
      <c r="E193" t="s">
        <v>54</v>
      </c>
      <c r="F193" t="s">
        <v>43</v>
      </c>
      <c r="G193">
        <v>23</v>
      </c>
      <c r="H193" s="4">
        <v>31.3</v>
      </c>
      <c r="I193">
        <v>719.9</v>
      </c>
      <c r="J193">
        <v>47.88</v>
      </c>
      <c r="K193">
        <v>212.02</v>
      </c>
      <c r="L193" t="s">
        <v>30</v>
      </c>
      <c r="M193" t="s">
        <v>31</v>
      </c>
      <c r="N193" t="s">
        <v>66</v>
      </c>
      <c r="O193">
        <f>_xlfn.XLOOKUP(E193,Product_Master!$B$2:$B$11,Product_Master!$F$2:$F$11)</f>
        <v>20</v>
      </c>
      <c r="P193">
        <f t="shared" si="4"/>
        <v>460</v>
      </c>
      <c r="Q193" s="5">
        <f t="shared" si="5"/>
        <v>0.29451312682316994</v>
      </c>
    </row>
    <row r="194" spans="1:17" x14ac:dyDescent="0.3">
      <c r="A194" t="s">
        <v>352</v>
      </c>
      <c r="B194" t="s">
        <v>61</v>
      </c>
      <c r="C194" t="s">
        <v>108</v>
      </c>
      <c r="D194" t="s">
        <v>53</v>
      </c>
      <c r="E194" t="s">
        <v>20</v>
      </c>
      <c r="F194" t="s">
        <v>21</v>
      </c>
      <c r="G194">
        <v>37</v>
      </c>
      <c r="H194" s="4">
        <v>50.39</v>
      </c>
      <c r="I194">
        <v>1864.43</v>
      </c>
      <c r="J194">
        <v>60.06</v>
      </c>
      <c r="K194">
        <v>509.37</v>
      </c>
      <c r="L194" t="s">
        <v>30</v>
      </c>
      <c r="M194" t="s">
        <v>31</v>
      </c>
      <c r="N194" t="s">
        <v>24</v>
      </c>
      <c r="O194">
        <f>_xlfn.XLOOKUP(E194,Product_Master!$B$2:$B$11,Product_Master!$F$2:$F$11)</f>
        <v>35</v>
      </c>
      <c r="P194">
        <f t="shared" si="4"/>
        <v>1295</v>
      </c>
      <c r="Q194" s="5">
        <f t="shared" si="5"/>
        <v>0.27320414282113031</v>
      </c>
    </row>
    <row r="195" spans="1:17" x14ac:dyDescent="0.3">
      <c r="A195" t="s">
        <v>353</v>
      </c>
      <c r="B195" t="s">
        <v>78</v>
      </c>
      <c r="C195" t="s">
        <v>297</v>
      </c>
      <c r="D195" t="s">
        <v>19</v>
      </c>
      <c r="E195" t="s">
        <v>73</v>
      </c>
      <c r="F195" t="s">
        <v>43</v>
      </c>
      <c r="G195">
        <v>38</v>
      </c>
      <c r="H195" s="4">
        <v>16.97</v>
      </c>
      <c r="I195">
        <v>644.86</v>
      </c>
      <c r="J195">
        <v>40</v>
      </c>
      <c r="K195">
        <v>120.36</v>
      </c>
      <c r="L195" t="s">
        <v>44</v>
      </c>
      <c r="M195" t="s">
        <v>23</v>
      </c>
      <c r="N195" t="s">
        <v>24</v>
      </c>
      <c r="O195">
        <f>_xlfn.XLOOKUP(E195,Product_Master!$B$2:$B$11,Product_Master!$F$2:$F$11)</f>
        <v>12.75</v>
      </c>
      <c r="P195">
        <f t="shared" ref="P195:P258" si="6">G195*O195</f>
        <v>484.5</v>
      </c>
      <c r="Q195" s="5">
        <f t="shared" ref="Q195:Q258" si="7">K195/I195</f>
        <v>0.18664516329125702</v>
      </c>
    </row>
    <row r="196" spans="1:17" x14ac:dyDescent="0.3">
      <c r="A196" t="s">
        <v>354</v>
      </c>
      <c r="B196" t="s">
        <v>95</v>
      </c>
      <c r="C196" t="s">
        <v>226</v>
      </c>
      <c r="D196" t="s">
        <v>101</v>
      </c>
      <c r="E196" t="s">
        <v>54</v>
      </c>
      <c r="F196" t="s">
        <v>43</v>
      </c>
      <c r="G196">
        <v>2</v>
      </c>
      <c r="H196" s="4">
        <v>35.92</v>
      </c>
      <c r="I196">
        <v>71.84</v>
      </c>
      <c r="J196">
        <v>2.34</v>
      </c>
      <c r="K196">
        <v>29.5</v>
      </c>
      <c r="L196" t="s">
        <v>44</v>
      </c>
      <c r="M196" t="s">
        <v>31</v>
      </c>
      <c r="N196" t="s">
        <v>102</v>
      </c>
      <c r="O196">
        <f>_xlfn.XLOOKUP(E196,Product_Master!$B$2:$B$11,Product_Master!$F$2:$F$11)</f>
        <v>20</v>
      </c>
      <c r="P196">
        <f t="shared" si="6"/>
        <v>40</v>
      </c>
      <c r="Q196" s="5">
        <f t="shared" si="7"/>
        <v>0.41063474387527837</v>
      </c>
    </row>
    <row r="197" spans="1:17" x14ac:dyDescent="0.3">
      <c r="A197" t="s">
        <v>355</v>
      </c>
      <c r="B197" t="s">
        <v>107</v>
      </c>
      <c r="C197" t="s">
        <v>72</v>
      </c>
      <c r="D197" t="s">
        <v>41</v>
      </c>
      <c r="E197" t="s">
        <v>54</v>
      </c>
      <c r="F197" t="s">
        <v>43</v>
      </c>
      <c r="G197">
        <v>48</v>
      </c>
      <c r="H197" s="4">
        <v>31.87</v>
      </c>
      <c r="I197">
        <v>1529.76</v>
      </c>
      <c r="J197">
        <v>89.85</v>
      </c>
      <c r="K197">
        <v>479.91</v>
      </c>
      <c r="L197" t="s">
        <v>44</v>
      </c>
      <c r="M197" t="s">
        <v>23</v>
      </c>
      <c r="N197" t="s">
        <v>45</v>
      </c>
      <c r="O197">
        <f>_xlfn.XLOOKUP(E197,Product_Master!$B$2:$B$11,Product_Master!$F$2:$F$11)</f>
        <v>20</v>
      </c>
      <c r="P197">
        <f t="shared" si="6"/>
        <v>960</v>
      </c>
      <c r="Q197" s="5">
        <f t="shared" si="7"/>
        <v>0.31371587700031378</v>
      </c>
    </row>
    <row r="198" spans="1:17" x14ac:dyDescent="0.3">
      <c r="A198" t="s">
        <v>356</v>
      </c>
      <c r="B198" t="s">
        <v>78</v>
      </c>
      <c r="C198" t="s">
        <v>240</v>
      </c>
      <c r="D198" t="s">
        <v>147</v>
      </c>
      <c r="E198" t="s">
        <v>49</v>
      </c>
      <c r="F198" t="s">
        <v>50</v>
      </c>
      <c r="G198">
        <v>46</v>
      </c>
      <c r="H198" s="4">
        <v>70</v>
      </c>
      <c r="I198">
        <v>3220</v>
      </c>
      <c r="J198">
        <v>160.11000000000001</v>
      </c>
      <c r="K198">
        <v>1219.8900000000001</v>
      </c>
      <c r="L198" t="s">
        <v>30</v>
      </c>
      <c r="M198" t="s">
        <v>31</v>
      </c>
      <c r="N198" t="s">
        <v>148</v>
      </c>
      <c r="O198">
        <f>_xlfn.XLOOKUP(E198,Product_Master!$B$2:$B$11,Product_Master!$F$2:$F$11)</f>
        <v>40</v>
      </c>
      <c r="P198">
        <f t="shared" si="6"/>
        <v>1840</v>
      </c>
      <c r="Q198" s="5">
        <f t="shared" si="7"/>
        <v>0.37884782608695655</v>
      </c>
    </row>
    <row r="199" spans="1:17" x14ac:dyDescent="0.3">
      <c r="A199" t="s">
        <v>357</v>
      </c>
      <c r="B199" t="s">
        <v>75</v>
      </c>
      <c r="C199" t="s">
        <v>322</v>
      </c>
      <c r="D199" t="s">
        <v>81</v>
      </c>
      <c r="E199" t="s">
        <v>20</v>
      </c>
      <c r="F199" t="s">
        <v>21</v>
      </c>
      <c r="G199">
        <v>45</v>
      </c>
      <c r="H199" s="4">
        <v>57.7</v>
      </c>
      <c r="I199">
        <v>2596.5</v>
      </c>
      <c r="J199">
        <v>102.52</v>
      </c>
      <c r="K199">
        <v>918.98</v>
      </c>
      <c r="L199" t="s">
        <v>30</v>
      </c>
      <c r="M199" t="s">
        <v>23</v>
      </c>
      <c r="N199" t="s">
        <v>66</v>
      </c>
      <c r="O199">
        <f>_xlfn.XLOOKUP(E199,Product_Master!$B$2:$B$11,Product_Master!$F$2:$F$11)</f>
        <v>35</v>
      </c>
      <c r="P199">
        <f t="shared" si="6"/>
        <v>1575</v>
      </c>
      <c r="Q199" s="5">
        <f t="shared" si="7"/>
        <v>0.35393029077604471</v>
      </c>
    </row>
    <row r="200" spans="1:17" x14ac:dyDescent="0.3">
      <c r="A200" t="s">
        <v>358</v>
      </c>
      <c r="B200" t="s">
        <v>61</v>
      </c>
      <c r="C200" t="s">
        <v>137</v>
      </c>
      <c r="D200" t="s">
        <v>91</v>
      </c>
      <c r="E200" t="s">
        <v>73</v>
      </c>
      <c r="F200" t="s">
        <v>43</v>
      </c>
      <c r="G200">
        <v>23</v>
      </c>
      <c r="H200" s="4">
        <v>20.23</v>
      </c>
      <c r="I200">
        <v>465.29</v>
      </c>
      <c r="J200">
        <v>17.29</v>
      </c>
      <c r="K200">
        <v>154.75</v>
      </c>
      <c r="L200" t="s">
        <v>44</v>
      </c>
      <c r="M200" t="s">
        <v>23</v>
      </c>
      <c r="N200" t="s">
        <v>66</v>
      </c>
      <c r="O200">
        <f>_xlfn.XLOOKUP(E200,Product_Master!$B$2:$B$11,Product_Master!$F$2:$F$11)</f>
        <v>12.75</v>
      </c>
      <c r="P200">
        <f t="shared" si="6"/>
        <v>293.25</v>
      </c>
      <c r="Q200" s="5">
        <f t="shared" si="7"/>
        <v>0.33258827827806314</v>
      </c>
    </row>
    <row r="201" spans="1:17" x14ac:dyDescent="0.3">
      <c r="A201" t="s">
        <v>359</v>
      </c>
      <c r="B201" t="s">
        <v>75</v>
      </c>
      <c r="C201" t="s">
        <v>139</v>
      </c>
      <c r="D201" t="s">
        <v>36</v>
      </c>
      <c r="E201" t="s">
        <v>29</v>
      </c>
      <c r="F201" t="s">
        <v>21</v>
      </c>
      <c r="G201">
        <v>10</v>
      </c>
      <c r="H201" s="4">
        <v>22.96</v>
      </c>
      <c r="I201">
        <v>229.6</v>
      </c>
      <c r="J201">
        <v>18.260000000000002</v>
      </c>
      <c r="K201">
        <v>31.34</v>
      </c>
      <c r="L201" t="s">
        <v>22</v>
      </c>
      <c r="M201" t="s">
        <v>37</v>
      </c>
      <c r="N201" t="s">
        <v>32</v>
      </c>
      <c r="O201">
        <f>_xlfn.XLOOKUP(E201,Product_Master!$B$2:$B$11,Product_Master!$F$2:$F$11)</f>
        <v>18</v>
      </c>
      <c r="P201">
        <f t="shared" si="6"/>
        <v>180</v>
      </c>
      <c r="Q201" s="5">
        <f t="shared" si="7"/>
        <v>0.13649825783972125</v>
      </c>
    </row>
    <row r="202" spans="1:17" x14ac:dyDescent="0.3">
      <c r="A202" t="s">
        <v>360</v>
      </c>
      <c r="B202" t="s">
        <v>71</v>
      </c>
      <c r="C202" t="s">
        <v>361</v>
      </c>
      <c r="D202" t="s">
        <v>41</v>
      </c>
      <c r="E202" t="s">
        <v>20</v>
      </c>
      <c r="F202" t="s">
        <v>21</v>
      </c>
      <c r="G202">
        <v>40</v>
      </c>
      <c r="H202" s="4">
        <v>54.84</v>
      </c>
      <c r="I202">
        <v>2193.6</v>
      </c>
      <c r="J202">
        <v>89.26</v>
      </c>
      <c r="K202">
        <v>704.34</v>
      </c>
      <c r="L202" t="s">
        <v>30</v>
      </c>
      <c r="M202" t="s">
        <v>23</v>
      </c>
      <c r="N202" t="s">
        <v>45</v>
      </c>
      <c r="O202">
        <f>_xlfn.XLOOKUP(E202,Product_Master!$B$2:$B$11,Product_Master!$F$2:$F$11)</f>
        <v>35</v>
      </c>
      <c r="P202">
        <f t="shared" si="6"/>
        <v>1400</v>
      </c>
      <c r="Q202" s="5">
        <f t="shared" si="7"/>
        <v>0.32108862144420136</v>
      </c>
    </row>
    <row r="203" spans="1:17" x14ac:dyDescent="0.3">
      <c r="A203" t="s">
        <v>362</v>
      </c>
      <c r="B203" t="s">
        <v>34</v>
      </c>
      <c r="C203" t="s">
        <v>185</v>
      </c>
      <c r="D203" t="s">
        <v>81</v>
      </c>
      <c r="E203" t="s">
        <v>64</v>
      </c>
      <c r="F203" t="s">
        <v>65</v>
      </c>
      <c r="G203">
        <v>7</v>
      </c>
      <c r="H203" s="4">
        <v>36.43</v>
      </c>
      <c r="I203">
        <v>255.01</v>
      </c>
      <c r="J203">
        <v>6.3</v>
      </c>
      <c r="K203">
        <v>73.709999999999994</v>
      </c>
      <c r="L203" t="s">
        <v>22</v>
      </c>
      <c r="M203" t="s">
        <v>31</v>
      </c>
      <c r="N203" t="s">
        <v>66</v>
      </c>
      <c r="O203">
        <f>_xlfn.XLOOKUP(E203,Product_Master!$B$2:$B$11,Product_Master!$F$2:$F$11)</f>
        <v>25</v>
      </c>
      <c r="P203">
        <f t="shared" si="6"/>
        <v>175</v>
      </c>
      <c r="Q203" s="5">
        <f t="shared" si="7"/>
        <v>0.28904748833379079</v>
      </c>
    </row>
    <row r="204" spans="1:17" x14ac:dyDescent="0.3">
      <c r="A204" t="s">
        <v>363</v>
      </c>
      <c r="B204" t="s">
        <v>104</v>
      </c>
      <c r="C204" t="s">
        <v>226</v>
      </c>
      <c r="D204" t="s">
        <v>53</v>
      </c>
      <c r="E204" t="s">
        <v>73</v>
      </c>
      <c r="F204" t="s">
        <v>43</v>
      </c>
      <c r="G204">
        <v>39</v>
      </c>
      <c r="H204" s="4">
        <v>19.48</v>
      </c>
      <c r="I204">
        <v>759.72</v>
      </c>
      <c r="J204">
        <v>40.090000000000003</v>
      </c>
      <c r="K204">
        <v>222.38</v>
      </c>
      <c r="L204" t="s">
        <v>44</v>
      </c>
      <c r="M204" t="s">
        <v>31</v>
      </c>
      <c r="N204" t="s">
        <v>24</v>
      </c>
      <c r="O204">
        <f>_xlfn.XLOOKUP(E204,Product_Master!$B$2:$B$11,Product_Master!$F$2:$F$11)</f>
        <v>12.75</v>
      </c>
      <c r="P204">
        <f t="shared" si="6"/>
        <v>497.25</v>
      </c>
      <c r="Q204" s="5">
        <f t="shared" si="7"/>
        <v>0.29271310482809454</v>
      </c>
    </row>
    <row r="205" spans="1:17" x14ac:dyDescent="0.3">
      <c r="A205" t="s">
        <v>364</v>
      </c>
      <c r="B205" t="s">
        <v>83</v>
      </c>
      <c r="C205" t="s">
        <v>287</v>
      </c>
      <c r="D205" t="s">
        <v>101</v>
      </c>
      <c r="E205" t="s">
        <v>58</v>
      </c>
      <c r="F205" t="s">
        <v>59</v>
      </c>
      <c r="G205">
        <v>35</v>
      </c>
      <c r="H205" s="4">
        <v>38.83</v>
      </c>
      <c r="I205">
        <v>1359.05</v>
      </c>
      <c r="J205">
        <v>93.92</v>
      </c>
      <c r="K205">
        <v>477.63</v>
      </c>
      <c r="L205" t="s">
        <v>44</v>
      </c>
      <c r="M205" t="s">
        <v>31</v>
      </c>
      <c r="N205" t="s">
        <v>102</v>
      </c>
      <c r="O205">
        <f>_xlfn.XLOOKUP(E205,Product_Master!$B$2:$B$11,Product_Master!$F$2:$F$11)</f>
        <v>22.5</v>
      </c>
      <c r="P205">
        <f t="shared" si="6"/>
        <v>787.5</v>
      </c>
      <c r="Q205" s="5">
        <f t="shared" si="7"/>
        <v>0.35144402339869762</v>
      </c>
    </row>
    <row r="206" spans="1:17" x14ac:dyDescent="0.3">
      <c r="A206" t="s">
        <v>365</v>
      </c>
      <c r="B206" t="s">
        <v>39</v>
      </c>
      <c r="C206" t="s">
        <v>164</v>
      </c>
      <c r="D206" t="s">
        <v>63</v>
      </c>
      <c r="E206" t="s">
        <v>54</v>
      </c>
      <c r="F206" t="s">
        <v>43</v>
      </c>
      <c r="G206">
        <v>39</v>
      </c>
      <c r="H206" s="4">
        <v>32.76</v>
      </c>
      <c r="I206">
        <v>1277.6400000000001</v>
      </c>
      <c r="J206">
        <v>35.81</v>
      </c>
      <c r="K206">
        <v>461.83</v>
      </c>
      <c r="L206" t="s">
        <v>30</v>
      </c>
      <c r="M206" t="s">
        <v>37</v>
      </c>
      <c r="N206" t="s">
        <v>66</v>
      </c>
      <c r="O206">
        <f>_xlfn.XLOOKUP(E206,Product_Master!$B$2:$B$11,Product_Master!$F$2:$F$11)</f>
        <v>20</v>
      </c>
      <c r="P206">
        <f t="shared" si="6"/>
        <v>780</v>
      </c>
      <c r="Q206" s="5">
        <f t="shared" si="7"/>
        <v>0.36147114993268836</v>
      </c>
    </row>
    <row r="207" spans="1:17" x14ac:dyDescent="0.3">
      <c r="A207" t="s">
        <v>366</v>
      </c>
      <c r="B207" t="s">
        <v>17</v>
      </c>
      <c r="C207" t="s">
        <v>208</v>
      </c>
      <c r="D207" t="s">
        <v>19</v>
      </c>
      <c r="E207" t="s">
        <v>42</v>
      </c>
      <c r="F207" t="s">
        <v>43</v>
      </c>
      <c r="G207">
        <v>8</v>
      </c>
      <c r="H207" s="4">
        <v>39.869999999999997</v>
      </c>
      <c r="I207">
        <v>318.95999999999998</v>
      </c>
      <c r="J207">
        <v>15.95</v>
      </c>
      <c r="K207">
        <v>47.01</v>
      </c>
      <c r="L207" t="s">
        <v>44</v>
      </c>
      <c r="M207" t="s">
        <v>37</v>
      </c>
      <c r="N207" t="s">
        <v>24</v>
      </c>
      <c r="O207">
        <f>_xlfn.XLOOKUP(E207,Product_Master!$B$2:$B$11,Product_Master!$F$2:$F$11)</f>
        <v>32</v>
      </c>
      <c r="P207">
        <f t="shared" si="6"/>
        <v>256</v>
      </c>
      <c r="Q207" s="5">
        <f t="shared" si="7"/>
        <v>0.14738525206922498</v>
      </c>
    </row>
    <row r="208" spans="1:17" x14ac:dyDescent="0.3">
      <c r="A208" t="s">
        <v>367</v>
      </c>
      <c r="B208" t="s">
        <v>75</v>
      </c>
      <c r="C208" t="s">
        <v>280</v>
      </c>
      <c r="D208" t="s">
        <v>88</v>
      </c>
      <c r="E208" t="s">
        <v>49</v>
      </c>
      <c r="F208" t="s">
        <v>50</v>
      </c>
      <c r="G208">
        <v>10</v>
      </c>
      <c r="H208" s="4">
        <v>63.1</v>
      </c>
      <c r="I208">
        <v>631</v>
      </c>
      <c r="J208">
        <v>26.93</v>
      </c>
      <c r="K208">
        <v>204.07</v>
      </c>
      <c r="L208" t="s">
        <v>30</v>
      </c>
      <c r="M208" t="s">
        <v>31</v>
      </c>
      <c r="N208" t="s">
        <v>66</v>
      </c>
      <c r="O208">
        <f>_xlfn.XLOOKUP(E208,Product_Master!$B$2:$B$11,Product_Master!$F$2:$F$11)</f>
        <v>40</v>
      </c>
      <c r="P208">
        <f t="shared" si="6"/>
        <v>400</v>
      </c>
      <c r="Q208" s="5">
        <f t="shared" si="7"/>
        <v>0.32340729001584784</v>
      </c>
    </row>
    <row r="209" spans="1:17" x14ac:dyDescent="0.3">
      <c r="A209" t="s">
        <v>368</v>
      </c>
      <c r="B209" t="s">
        <v>107</v>
      </c>
      <c r="C209" t="s">
        <v>117</v>
      </c>
      <c r="D209" t="s">
        <v>170</v>
      </c>
      <c r="E209" t="s">
        <v>42</v>
      </c>
      <c r="F209" t="s">
        <v>43</v>
      </c>
      <c r="G209">
        <v>3</v>
      </c>
      <c r="H209" s="4">
        <v>55.1</v>
      </c>
      <c r="I209">
        <v>165.3</v>
      </c>
      <c r="J209">
        <v>9.17</v>
      </c>
      <c r="K209">
        <v>60.13</v>
      </c>
      <c r="L209" t="s">
        <v>22</v>
      </c>
      <c r="M209" t="s">
        <v>23</v>
      </c>
      <c r="N209" t="s">
        <v>32</v>
      </c>
      <c r="O209">
        <f>_xlfn.XLOOKUP(E209,Product_Master!$B$2:$B$11,Product_Master!$F$2:$F$11)</f>
        <v>32</v>
      </c>
      <c r="P209">
        <f t="shared" si="6"/>
        <v>96</v>
      </c>
      <c r="Q209" s="5">
        <f t="shared" si="7"/>
        <v>0.36376285541439807</v>
      </c>
    </row>
    <row r="210" spans="1:17" x14ac:dyDescent="0.3">
      <c r="A210" t="s">
        <v>369</v>
      </c>
      <c r="B210" t="s">
        <v>83</v>
      </c>
      <c r="C210" t="s">
        <v>84</v>
      </c>
      <c r="D210" t="s">
        <v>196</v>
      </c>
      <c r="E210" t="s">
        <v>69</v>
      </c>
      <c r="F210" t="s">
        <v>59</v>
      </c>
      <c r="G210">
        <v>26</v>
      </c>
      <c r="H210" s="4">
        <v>19.809999999999999</v>
      </c>
      <c r="I210">
        <v>515.05999999999995</v>
      </c>
      <c r="J210">
        <v>10.3</v>
      </c>
      <c r="K210">
        <v>101.76</v>
      </c>
      <c r="L210" t="s">
        <v>44</v>
      </c>
      <c r="M210" t="s">
        <v>31</v>
      </c>
      <c r="N210" t="s">
        <v>66</v>
      </c>
      <c r="O210">
        <f>_xlfn.XLOOKUP(E210,Product_Master!$B$2:$B$11,Product_Master!$F$2:$F$11)</f>
        <v>15.5</v>
      </c>
      <c r="P210">
        <f t="shared" si="6"/>
        <v>403</v>
      </c>
      <c r="Q210" s="5">
        <f t="shared" si="7"/>
        <v>0.19756921523705978</v>
      </c>
    </row>
    <row r="211" spans="1:17" x14ac:dyDescent="0.3">
      <c r="A211" t="s">
        <v>370</v>
      </c>
      <c r="B211" t="s">
        <v>75</v>
      </c>
      <c r="C211" t="s">
        <v>125</v>
      </c>
      <c r="D211" t="s">
        <v>88</v>
      </c>
      <c r="E211" t="s">
        <v>49</v>
      </c>
      <c r="F211" t="s">
        <v>50</v>
      </c>
      <c r="G211">
        <v>17</v>
      </c>
      <c r="H211" s="4">
        <v>53.34</v>
      </c>
      <c r="I211">
        <v>906.78</v>
      </c>
      <c r="J211">
        <v>30.6</v>
      </c>
      <c r="K211">
        <v>196.18</v>
      </c>
      <c r="L211" t="s">
        <v>22</v>
      </c>
      <c r="M211" t="s">
        <v>31</v>
      </c>
      <c r="N211" t="s">
        <v>66</v>
      </c>
      <c r="O211">
        <f>_xlfn.XLOOKUP(E211,Product_Master!$B$2:$B$11,Product_Master!$F$2:$F$11)</f>
        <v>40</v>
      </c>
      <c r="P211">
        <f t="shared" si="6"/>
        <v>680</v>
      </c>
      <c r="Q211" s="5">
        <f t="shared" si="7"/>
        <v>0.21634795650543684</v>
      </c>
    </row>
    <row r="212" spans="1:17" x14ac:dyDescent="0.3">
      <c r="A212" t="s">
        <v>371</v>
      </c>
      <c r="B212" t="s">
        <v>95</v>
      </c>
      <c r="C212" t="s">
        <v>110</v>
      </c>
      <c r="D212" t="s">
        <v>63</v>
      </c>
      <c r="E212" t="s">
        <v>54</v>
      </c>
      <c r="F212" t="s">
        <v>43</v>
      </c>
      <c r="G212">
        <v>17</v>
      </c>
      <c r="H212" s="4">
        <v>28.23</v>
      </c>
      <c r="I212">
        <v>479.91</v>
      </c>
      <c r="J212">
        <v>31.88</v>
      </c>
      <c r="K212">
        <v>108.03</v>
      </c>
      <c r="L212" t="s">
        <v>30</v>
      </c>
      <c r="M212" t="s">
        <v>23</v>
      </c>
      <c r="N212" t="s">
        <v>66</v>
      </c>
      <c r="O212">
        <f>_xlfn.XLOOKUP(E212,Product_Master!$B$2:$B$11,Product_Master!$F$2:$F$11)</f>
        <v>20</v>
      </c>
      <c r="P212">
        <f t="shared" si="6"/>
        <v>340</v>
      </c>
      <c r="Q212" s="5">
        <f t="shared" si="7"/>
        <v>0.22510470713258734</v>
      </c>
    </row>
    <row r="213" spans="1:17" x14ac:dyDescent="0.3">
      <c r="A213" t="s">
        <v>372</v>
      </c>
      <c r="B213" t="s">
        <v>86</v>
      </c>
      <c r="C213" t="s">
        <v>373</v>
      </c>
      <c r="D213" t="s">
        <v>170</v>
      </c>
      <c r="E213" t="s">
        <v>29</v>
      </c>
      <c r="F213" t="s">
        <v>21</v>
      </c>
      <c r="G213">
        <v>42</v>
      </c>
      <c r="H213" s="4">
        <v>25.26</v>
      </c>
      <c r="I213">
        <v>1060.92</v>
      </c>
      <c r="J213">
        <v>77.05</v>
      </c>
      <c r="K213">
        <v>227.87</v>
      </c>
      <c r="L213" t="s">
        <v>22</v>
      </c>
      <c r="M213" t="s">
        <v>37</v>
      </c>
      <c r="N213" t="s">
        <v>32</v>
      </c>
      <c r="O213">
        <f>_xlfn.XLOOKUP(E213,Product_Master!$B$2:$B$11,Product_Master!$F$2:$F$11)</f>
        <v>18</v>
      </c>
      <c r="P213">
        <f t="shared" si="6"/>
        <v>756</v>
      </c>
      <c r="Q213" s="5">
        <f t="shared" si="7"/>
        <v>0.21478528069976999</v>
      </c>
    </row>
    <row r="214" spans="1:17" x14ac:dyDescent="0.3">
      <c r="A214" t="s">
        <v>374</v>
      </c>
      <c r="B214" t="s">
        <v>68</v>
      </c>
      <c r="C214" t="s">
        <v>168</v>
      </c>
      <c r="D214" t="s">
        <v>196</v>
      </c>
      <c r="E214" t="s">
        <v>29</v>
      </c>
      <c r="F214" t="s">
        <v>21</v>
      </c>
      <c r="G214">
        <v>2</v>
      </c>
      <c r="H214" s="4">
        <v>27.27</v>
      </c>
      <c r="I214">
        <v>54.54</v>
      </c>
      <c r="J214">
        <v>1.45</v>
      </c>
      <c r="K214">
        <v>17.09</v>
      </c>
      <c r="L214" t="s">
        <v>22</v>
      </c>
      <c r="M214" t="s">
        <v>37</v>
      </c>
      <c r="N214" t="s">
        <v>66</v>
      </c>
      <c r="O214">
        <f>_xlfn.XLOOKUP(E214,Product_Master!$B$2:$B$11,Product_Master!$F$2:$F$11)</f>
        <v>18</v>
      </c>
      <c r="P214">
        <f t="shared" si="6"/>
        <v>36</v>
      </c>
      <c r="Q214" s="5">
        <f t="shared" si="7"/>
        <v>0.31334800146681335</v>
      </c>
    </row>
    <row r="215" spans="1:17" x14ac:dyDescent="0.3">
      <c r="A215" t="s">
        <v>375</v>
      </c>
      <c r="B215" t="s">
        <v>132</v>
      </c>
      <c r="C215" t="s">
        <v>250</v>
      </c>
      <c r="D215" t="s">
        <v>88</v>
      </c>
      <c r="E215" t="s">
        <v>98</v>
      </c>
      <c r="F215" t="s">
        <v>59</v>
      </c>
      <c r="G215">
        <v>48</v>
      </c>
      <c r="H215" s="4">
        <v>44.95</v>
      </c>
      <c r="I215">
        <v>2157.6</v>
      </c>
      <c r="J215">
        <v>148.41</v>
      </c>
      <c r="K215">
        <v>665.19</v>
      </c>
      <c r="L215" t="s">
        <v>22</v>
      </c>
      <c r="M215" t="s">
        <v>23</v>
      </c>
      <c r="N215" t="s">
        <v>66</v>
      </c>
      <c r="O215">
        <f>_xlfn.XLOOKUP(E215,Product_Master!$B$2:$B$11,Product_Master!$F$2:$F$11)</f>
        <v>28</v>
      </c>
      <c r="P215">
        <f t="shared" si="6"/>
        <v>1344</v>
      </c>
      <c r="Q215" s="5">
        <f t="shared" si="7"/>
        <v>0.30830088987764187</v>
      </c>
    </row>
    <row r="216" spans="1:17" x14ac:dyDescent="0.3">
      <c r="A216" t="s">
        <v>376</v>
      </c>
      <c r="B216" t="s">
        <v>75</v>
      </c>
      <c r="C216" t="s">
        <v>373</v>
      </c>
      <c r="D216" t="s">
        <v>81</v>
      </c>
      <c r="E216" t="s">
        <v>54</v>
      </c>
      <c r="F216" t="s">
        <v>43</v>
      </c>
      <c r="G216">
        <v>23</v>
      </c>
      <c r="H216" s="4">
        <v>28.6</v>
      </c>
      <c r="I216">
        <v>657.8</v>
      </c>
      <c r="J216">
        <v>13.36</v>
      </c>
      <c r="K216">
        <v>184.44</v>
      </c>
      <c r="L216" t="s">
        <v>22</v>
      </c>
      <c r="M216" t="s">
        <v>37</v>
      </c>
      <c r="N216" t="s">
        <v>66</v>
      </c>
      <c r="O216">
        <f>_xlfn.XLOOKUP(E216,Product_Master!$B$2:$B$11,Product_Master!$F$2:$F$11)</f>
        <v>20</v>
      </c>
      <c r="P216">
        <f t="shared" si="6"/>
        <v>460</v>
      </c>
      <c r="Q216" s="5">
        <f t="shared" si="7"/>
        <v>0.28038917604135</v>
      </c>
    </row>
    <row r="217" spans="1:17" x14ac:dyDescent="0.3">
      <c r="A217" t="s">
        <v>377</v>
      </c>
      <c r="B217" t="s">
        <v>132</v>
      </c>
      <c r="C217" t="s">
        <v>125</v>
      </c>
      <c r="D217" t="s">
        <v>123</v>
      </c>
      <c r="E217" t="s">
        <v>69</v>
      </c>
      <c r="F217" t="s">
        <v>59</v>
      </c>
      <c r="G217">
        <v>18</v>
      </c>
      <c r="H217" s="4">
        <v>26.1</v>
      </c>
      <c r="I217">
        <v>469.8</v>
      </c>
      <c r="J217">
        <v>19.52</v>
      </c>
      <c r="K217">
        <v>171.28</v>
      </c>
      <c r="L217" t="s">
        <v>44</v>
      </c>
      <c r="M217" t="s">
        <v>23</v>
      </c>
      <c r="N217" t="s">
        <v>32</v>
      </c>
      <c r="O217">
        <f>_xlfn.XLOOKUP(E217,Product_Master!$B$2:$B$11,Product_Master!$F$2:$F$11)</f>
        <v>15.5</v>
      </c>
      <c r="P217">
        <f t="shared" si="6"/>
        <v>279</v>
      </c>
      <c r="Q217" s="5">
        <f t="shared" si="7"/>
        <v>0.36458067262664962</v>
      </c>
    </row>
    <row r="218" spans="1:17" x14ac:dyDescent="0.3">
      <c r="A218" t="s">
        <v>378</v>
      </c>
      <c r="B218" t="s">
        <v>39</v>
      </c>
      <c r="C218" t="s">
        <v>379</v>
      </c>
      <c r="D218" t="s">
        <v>53</v>
      </c>
      <c r="E218" t="s">
        <v>98</v>
      </c>
      <c r="F218" t="s">
        <v>59</v>
      </c>
      <c r="G218">
        <v>21</v>
      </c>
      <c r="H218" s="4">
        <v>37.450000000000003</v>
      </c>
      <c r="I218">
        <v>786.45</v>
      </c>
      <c r="J218">
        <v>62.4</v>
      </c>
      <c r="K218">
        <v>136.05000000000001</v>
      </c>
      <c r="L218" t="s">
        <v>22</v>
      </c>
      <c r="M218" t="s">
        <v>37</v>
      </c>
      <c r="N218" t="s">
        <v>24</v>
      </c>
      <c r="O218">
        <f>_xlfn.XLOOKUP(E218,Product_Master!$B$2:$B$11,Product_Master!$F$2:$F$11)</f>
        <v>28</v>
      </c>
      <c r="P218">
        <f t="shared" si="6"/>
        <v>588</v>
      </c>
      <c r="Q218" s="5">
        <f t="shared" si="7"/>
        <v>0.17299256151058554</v>
      </c>
    </row>
    <row r="219" spans="1:17" x14ac:dyDescent="0.3">
      <c r="A219" t="s">
        <v>380</v>
      </c>
      <c r="B219" t="s">
        <v>78</v>
      </c>
      <c r="C219" t="s">
        <v>342</v>
      </c>
      <c r="D219" t="s">
        <v>81</v>
      </c>
      <c r="E219" t="s">
        <v>54</v>
      </c>
      <c r="F219" t="s">
        <v>43</v>
      </c>
      <c r="G219">
        <v>25</v>
      </c>
      <c r="H219" s="4">
        <v>28.54</v>
      </c>
      <c r="I219">
        <v>713.5</v>
      </c>
      <c r="J219">
        <v>50.38</v>
      </c>
      <c r="K219">
        <v>163.12</v>
      </c>
      <c r="L219" t="s">
        <v>22</v>
      </c>
      <c r="M219" t="s">
        <v>23</v>
      </c>
      <c r="N219" t="s">
        <v>66</v>
      </c>
      <c r="O219">
        <f>_xlfn.XLOOKUP(E219,Product_Master!$B$2:$B$11,Product_Master!$F$2:$F$11)</f>
        <v>20</v>
      </c>
      <c r="P219">
        <f t="shared" si="6"/>
        <v>500</v>
      </c>
      <c r="Q219" s="5">
        <f t="shared" si="7"/>
        <v>0.22861948142957253</v>
      </c>
    </row>
    <row r="220" spans="1:17" x14ac:dyDescent="0.3">
      <c r="A220" t="s">
        <v>381</v>
      </c>
      <c r="B220" t="s">
        <v>26</v>
      </c>
      <c r="C220" t="s">
        <v>130</v>
      </c>
      <c r="D220" t="s">
        <v>19</v>
      </c>
      <c r="E220" t="s">
        <v>64</v>
      </c>
      <c r="F220" t="s">
        <v>65</v>
      </c>
      <c r="G220">
        <v>11</v>
      </c>
      <c r="H220" s="4">
        <v>38.07</v>
      </c>
      <c r="I220">
        <v>418.77</v>
      </c>
      <c r="J220">
        <v>29.02</v>
      </c>
      <c r="K220">
        <v>114.75</v>
      </c>
      <c r="L220" t="s">
        <v>30</v>
      </c>
      <c r="M220" t="s">
        <v>23</v>
      </c>
      <c r="N220" t="s">
        <v>24</v>
      </c>
      <c r="O220">
        <f>_xlfn.XLOOKUP(E220,Product_Master!$B$2:$B$11,Product_Master!$F$2:$F$11)</f>
        <v>25</v>
      </c>
      <c r="P220">
        <f t="shared" si="6"/>
        <v>275</v>
      </c>
      <c r="Q220" s="5">
        <f t="shared" si="7"/>
        <v>0.27401676337846553</v>
      </c>
    </row>
    <row r="221" spans="1:17" x14ac:dyDescent="0.3">
      <c r="A221" t="s">
        <v>382</v>
      </c>
      <c r="B221" t="s">
        <v>39</v>
      </c>
      <c r="C221" t="s">
        <v>383</v>
      </c>
      <c r="D221" t="s">
        <v>48</v>
      </c>
      <c r="E221" t="s">
        <v>69</v>
      </c>
      <c r="F221" t="s">
        <v>59</v>
      </c>
      <c r="G221">
        <v>18</v>
      </c>
      <c r="H221" s="4">
        <v>19.32</v>
      </c>
      <c r="I221">
        <v>347.76</v>
      </c>
      <c r="J221">
        <v>21.34</v>
      </c>
      <c r="K221">
        <v>47.42</v>
      </c>
      <c r="L221" t="s">
        <v>30</v>
      </c>
      <c r="M221" t="s">
        <v>23</v>
      </c>
      <c r="N221" t="s">
        <v>24</v>
      </c>
      <c r="O221">
        <f>_xlfn.XLOOKUP(E221,Product_Master!$B$2:$B$11,Product_Master!$F$2:$F$11)</f>
        <v>15.5</v>
      </c>
      <c r="P221">
        <f t="shared" si="6"/>
        <v>279</v>
      </c>
      <c r="Q221" s="5">
        <f t="shared" si="7"/>
        <v>0.13635840809753855</v>
      </c>
    </row>
    <row r="222" spans="1:17" x14ac:dyDescent="0.3">
      <c r="A222" t="s">
        <v>384</v>
      </c>
      <c r="B222" t="s">
        <v>56</v>
      </c>
      <c r="C222" t="s">
        <v>76</v>
      </c>
      <c r="D222" t="s">
        <v>28</v>
      </c>
      <c r="E222" t="s">
        <v>98</v>
      </c>
      <c r="F222" t="s">
        <v>59</v>
      </c>
      <c r="G222">
        <v>42</v>
      </c>
      <c r="H222" s="4">
        <v>50.02</v>
      </c>
      <c r="I222">
        <v>2100.84</v>
      </c>
      <c r="J222">
        <v>89.65</v>
      </c>
      <c r="K222">
        <v>835.19</v>
      </c>
      <c r="L222" t="s">
        <v>30</v>
      </c>
      <c r="M222" t="s">
        <v>31</v>
      </c>
      <c r="N222" t="s">
        <v>32</v>
      </c>
      <c r="O222">
        <f>_xlfn.XLOOKUP(E222,Product_Master!$B$2:$B$11,Product_Master!$F$2:$F$11)</f>
        <v>28</v>
      </c>
      <c r="P222">
        <f t="shared" si="6"/>
        <v>1176</v>
      </c>
      <c r="Q222" s="5">
        <f t="shared" si="7"/>
        <v>0.39755050360808059</v>
      </c>
    </row>
    <row r="223" spans="1:17" x14ac:dyDescent="0.3">
      <c r="A223" t="s">
        <v>385</v>
      </c>
      <c r="B223" t="s">
        <v>17</v>
      </c>
      <c r="C223" t="s">
        <v>276</v>
      </c>
      <c r="D223" t="s">
        <v>147</v>
      </c>
      <c r="E223" t="s">
        <v>98</v>
      </c>
      <c r="F223" t="s">
        <v>59</v>
      </c>
      <c r="G223">
        <v>13</v>
      </c>
      <c r="H223" s="4">
        <v>49.39</v>
      </c>
      <c r="I223">
        <v>642.07000000000005</v>
      </c>
      <c r="J223">
        <v>38.32</v>
      </c>
      <c r="K223">
        <v>239.75</v>
      </c>
      <c r="L223" t="s">
        <v>30</v>
      </c>
      <c r="M223" t="s">
        <v>23</v>
      </c>
      <c r="N223" t="s">
        <v>148</v>
      </c>
      <c r="O223">
        <f>_xlfn.XLOOKUP(E223,Product_Master!$B$2:$B$11,Product_Master!$F$2:$F$11)</f>
        <v>28</v>
      </c>
      <c r="P223">
        <f t="shared" si="6"/>
        <v>364</v>
      </c>
      <c r="Q223" s="5">
        <f t="shared" si="7"/>
        <v>0.37340165402526199</v>
      </c>
    </row>
    <row r="224" spans="1:17" x14ac:dyDescent="0.3">
      <c r="A224" t="s">
        <v>386</v>
      </c>
      <c r="B224" t="s">
        <v>61</v>
      </c>
      <c r="C224" t="s">
        <v>135</v>
      </c>
      <c r="D224" t="s">
        <v>28</v>
      </c>
      <c r="E224" t="s">
        <v>29</v>
      </c>
      <c r="F224" t="s">
        <v>21</v>
      </c>
      <c r="G224">
        <v>15</v>
      </c>
      <c r="H224" s="4">
        <v>22.86</v>
      </c>
      <c r="I224">
        <v>342.9</v>
      </c>
      <c r="J224">
        <v>27.16</v>
      </c>
      <c r="K224">
        <v>45.74</v>
      </c>
      <c r="L224" t="s">
        <v>44</v>
      </c>
      <c r="M224" t="s">
        <v>37</v>
      </c>
      <c r="N224" t="s">
        <v>32</v>
      </c>
      <c r="O224">
        <f>_xlfn.XLOOKUP(E224,Product_Master!$B$2:$B$11,Product_Master!$F$2:$F$11)</f>
        <v>18</v>
      </c>
      <c r="P224">
        <f t="shared" si="6"/>
        <v>270</v>
      </c>
      <c r="Q224" s="5">
        <f t="shared" si="7"/>
        <v>0.13339165937591135</v>
      </c>
    </row>
    <row r="225" spans="1:17" x14ac:dyDescent="0.3">
      <c r="A225" t="s">
        <v>387</v>
      </c>
      <c r="B225" t="s">
        <v>68</v>
      </c>
      <c r="C225" t="s">
        <v>379</v>
      </c>
      <c r="D225" t="s">
        <v>196</v>
      </c>
      <c r="E225" t="s">
        <v>64</v>
      </c>
      <c r="F225" t="s">
        <v>65</v>
      </c>
      <c r="G225">
        <v>37</v>
      </c>
      <c r="H225" s="4">
        <v>37.270000000000003</v>
      </c>
      <c r="I225">
        <v>1378.99</v>
      </c>
      <c r="J225">
        <v>92.92</v>
      </c>
      <c r="K225">
        <v>361.07</v>
      </c>
      <c r="L225" t="s">
        <v>22</v>
      </c>
      <c r="M225" t="s">
        <v>23</v>
      </c>
      <c r="N225" t="s">
        <v>66</v>
      </c>
      <c r="O225">
        <f>_xlfn.XLOOKUP(E225,Product_Master!$B$2:$B$11,Product_Master!$F$2:$F$11)</f>
        <v>25</v>
      </c>
      <c r="P225">
        <f t="shared" si="6"/>
        <v>925</v>
      </c>
      <c r="Q225" s="5">
        <f t="shared" si="7"/>
        <v>0.26183656154141799</v>
      </c>
    </row>
    <row r="226" spans="1:17" x14ac:dyDescent="0.3">
      <c r="A226" t="s">
        <v>388</v>
      </c>
      <c r="B226" t="s">
        <v>86</v>
      </c>
      <c r="C226" t="s">
        <v>52</v>
      </c>
      <c r="D226" t="s">
        <v>123</v>
      </c>
      <c r="E226" t="s">
        <v>20</v>
      </c>
      <c r="F226" t="s">
        <v>21</v>
      </c>
      <c r="G226">
        <v>49</v>
      </c>
      <c r="H226" s="4">
        <v>54.05</v>
      </c>
      <c r="I226">
        <v>2648.45</v>
      </c>
      <c r="J226">
        <v>66.8</v>
      </c>
      <c r="K226">
        <v>866.65</v>
      </c>
      <c r="L226" t="s">
        <v>44</v>
      </c>
      <c r="M226" t="s">
        <v>23</v>
      </c>
      <c r="N226" t="s">
        <v>32</v>
      </c>
      <c r="O226">
        <f>_xlfn.XLOOKUP(E226,Product_Master!$B$2:$B$11,Product_Master!$F$2:$F$11)</f>
        <v>35</v>
      </c>
      <c r="P226">
        <f t="shared" si="6"/>
        <v>1715</v>
      </c>
      <c r="Q226" s="5">
        <f t="shared" si="7"/>
        <v>0.32722913402178633</v>
      </c>
    </row>
    <row r="227" spans="1:17" x14ac:dyDescent="0.3">
      <c r="A227" t="s">
        <v>389</v>
      </c>
      <c r="B227" t="s">
        <v>71</v>
      </c>
      <c r="C227" t="s">
        <v>390</v>
      </c>
      <c r="D227" t="s">
        <v>28</v>
      </c>
      <c r="E227" t="s">
        <v>73</v>
      </c>
      <c r="F227" t="s">
        <v>43</v>
      </c>
      <c r="G227">
        <v>33</v>
      </c>
      <c r="H227" s="4">
        <v>20.059999999999999</v>
      </c>
      <c r="I227">
        <v>661.98</v>
      </c>
      <c r="J227">
        <v>50.02</v>
      </c>
      <c r="K227">
        <v>191.21</v>
      </c>
      <c r="L227" t="s">
        <v>44</v>
      </c>
      <c r="M227" t="s">
        <v>31</v>
      </c>
      <c r="N227" t="s">
        <v>32</v>
      </c>
      <c r="O227">
        <f>_xlfn.XLOOKUP(E227,Product_Master!$B$2:$B$11,Product_Master!$F$2:$F$11)</f>
        <v>12.75</v>
      </c>
      <c r="P227">
        <f t="shared" si="6"/>
        <v>420.75</v>
      </c>
      <c r="Q227" s="5">
        <f t="shared" si="7"/>
        <v>0.28884558445874498</v>
      </c>
    </row>
    <row r="228" spans="1:17" x14ac:dyDescent="0.3">
      <c r="A228" t="s">
        <v>391</v>
      </c>
      <c r="B228" t="s">
        <v>132</v>
      </c>
      <c r="C228" t="s">
        <v>226</v>
      </c>
      <c r="D228" t="s">
        <v>170</v>
      </c>
      <c r="E228" t="s">
        <v>98</v>
      </c>
      <c r="F228" t="s">
        <v>59</v>
      </c>
      <c r="G228">
        <v>49</v>
      </c>
      <c r="H228" s="4">
        <v>35.68</v>
      </c>
      <c r="I228">
        <v>1748.32</v>
      </c>
      <c r="J228">
        <v>124.47</v>
      </c>
      <c r="K228">
        <v>251.85</v>
      </c>
      <c r="L228" t="s">
        <v>44</v>
      </c>
      <c r="M228" t="s">
        <v>37</v>
      </c>
      <c r="N228" t="s">
        <v>32</v>
      </c>
      <c r="O228">
        <f>_xlfn.XLOOKUP(E228,Product_Master!$B$2:$B$11,Product_Master!$F$2:$F$11)</f>
        <v>28</v>
      </c>
      <c r="P228">
        <f t="shared" si="6"/>
        <v>1372</v>
      </c>
      <c r="Q228" s="5">
        <f t="shared" si="7"/>
        <v>0.14405257618742565</v>
      </c>
    </row>
    <row r="229" spans="1:17" x14ac:dyDescent="0.3">
      <c r="A229" t="s">
        <v>392</v>
      </c>
      <c r="B229" t="s">
        <v>104</v>
      </c>
      <c r="C229" t="s">
        <v>35</v>
      </c>
      <c r="D229" t="s">
        <v>196</v>
      </c>
      <c r="E229" t="s">
        <v>64</v>
      </c>
      <c r="F229" t="s">
        <v>65</v>
      </c>
      <c r="G229">
        <v>23</v>
      </c>
      <c r="H229" s="4">
        <v>30.89</v>
      </c>
      <c r="I229">
        <v>710.47</v>
      </c>
      <c r="J229">
        <v>18.739999999999998</v>
      </c>
      <c r="K229">
        <v>116.73</v>
      </c>
      <c r="L229" t="s">
        <v>30</v>
      </c>
      <c r="M229" t="s">
        <v>23</v>
      </c>
      <c r="N229" t="s">
        <v>66</v>
      </c>
      <c r="O229">
        <f>_xlfn.XLOOKUP(E229,Product_Master!$B$2:$B$11,Product_Master!$F$2:$F$11)</f>
        <v>25</v>
      </c>
      <c r="P229">
        <f t="shared" si="6"/>
        <v>575</v>
      </c>
      <c r="Q229" s="5">
        <f t="shared" si="7"/>
        <v>0.16429968893830843</v>
      </c>
    </row>
    <row r="230" spans="1:17" x14ac:dyDescent="0.3">
      <c r="A230" t="s">
        <v>393</v>
      </c>
      <c r="B230" t="s">
        <v>39</v>
      </c>
      <c r="C230" t="s">
        <v>40</v>
      </c>
      <c r="D230" t="s">
        <v>123</v>
      </c>
      <c r="E230" t="s">
        <v>20</v>
      </c>
      <c r="F230" t="s">
        <v>21</v>
      </c>
      <c r="G230">
        <v>14</v>
      </c>
      <c r="H230" s="4">
        <v>59.6</v>
      </c>
      <c r="I230">
        <v>834.4</v>
      </c>
      <c r="J230">
        <v>19.11</v>
      </c>
      <c r="K230">
        <v>325.29000000000002</v>
      </c>
      <c r="L230" t="s">
        <v>30</v>
      </c>
      <c r="M230" t="s">
        <v>31</v>
      </c>
      <c r="N230" t="s">
        <v>32</v>
      </c>
      <c r="O230">
        <f>_xlfn.XLOOKUP(E230,Product_Master!$B$2:$B$11,Product_Master!$F$2:$F$11)</f>
        <v>35</v>
      </c>
      <c r="P230">
        <f t="shared" si="6"/>
        <v>490</v>
      </c>
      <c r="Q230" s="5">
        <f t="shared" si="7"/>
        <v>0.38984899328859063</v>
      </c>
    </row>
    <row r="231" spans="1:17" x14ac:dyDescent="0.3">
      <c r="A231" t="s">
        <v>394</v>
      </c>
      <c r="B231" t="s">
        <v>26</v>
      </c>
      <c r="C231" t="s">
        <v>322</v>
      </c>
      <c r="D231" t="s">
        <v>170</v>
      </c>
      <c r="E231" t="s">
        <v>58</v>
      </c>
      <c r="F231" t="s">
        <v>59</v>
      </c>
      <c r="G231">
        <v>3</v>
      </c>
      <c r="H231" s="4">
        <v>28.36</v>
      </c>
      <c r="I231">
        <v>85.08</v>
      </c>
      <c r="J231">
        <v>4.46</v>
      </c>
      <c r="K231">
        <v>13.12</v>
      </c>
      <c r="L231" t="s">
        <v>22</v>
      </c>
      <c r="M231" t="s">
        <v>31</v>
      </c>
      <c r="N231" t="s">
        <v>32</v>
      </c>
      <c r="O231">
        <f>_xlfn.XLOOKUP(E231,Product_Master!$B$2:$B$11,Product_Master!$F$2:$F$11)</f>
        <v>22.5</v>
      </c>
      <c r="P231">
        <f t="shared" si="6"/>
        <v>67.5</v>
      </c>
      <c r="Q231" s="5">
        <f t="shared" si="7"/>
        <v>0.15420780441936999</v>
      </c>
    </row>
    <row r="232" spans="1:17" x14ac:dyDescent="0.3">
      <c r="A232" t="s">
        <v>395</v>
      </c>
      <c r="B232" t="s">
        <v>132</v>
      </c>
      <c r="C232" t="s">
        <v>153</v>
      </c>
      <c r="D232" t="s">
        <v>170</v>
      </c>
      <c r="E232" t="s">
        <v>73</v>
      </c>
      <c r="F232" t="s">
        <v>43</v>
      </c>
      <c r="G232">
        <v>28</v>
      </c>
      <c r="H232" s="4">
        <v>22.13</v>
      </c>
      <c r="I232">
        <v>619.64</v>
      </c>
      <c r="J232">
        <v>17.2</v>
      </c>
      <c r="K232">
        <v>245.44</v>
      </c>
      <c r="L232" t="s">
        <v>30</v>
      </c>
      <c r="M232" t="s">
        <v>37</v>
      </c>
      <c r="N232" t="s">
        <v>32</v>
      </c>
      <c r="O232">
        <f>_xlfn.XLOOKUP(E232,Product_Master!$B$2:$B$11,Product_Master!$F$2:$F$11)</f>
        <v>12.75</v>
      </c>
      <c r="P232">
        <f t="shared" si="6"/>
        <v>357</v>
      </c>
      <c r="Q232" s="5">
        <f t="shared" si="7"/>
        <v>0.39610096184881544</v>
      </c>
    </row>
    <row r="233" spans="1:17" x14ac:dyDescent="0.3">
      <c r="A233" t="s">
        <v>396</v>
      </c>
      <c r="B233" t="s">
        <v>78</v>
      </c>
      <c r="C233" t="s">
        <v>252</v>
      </c>
      <c r="D233" t="s">
        <v>19</v>
      </c>
      <c r="E233" t="s">
        <v>29</v>
      </c>
      <c r="F233" t="s">
        <v>21</v>
      </c>
      <c r="G233">
        <v>28</v>
      </c>
      <c r="H233" s="4">
        <v>27.62</v>
      </c>
      <c r="I233">
        <v>773.36</v>
      </c>
      <c r="J233">
        <v>29.88</v>
      </c>
      <c r="K233">
        <v>239.48</v>
      </c>
      <c r="L233" t="s">
        <v>22</v>
      </c>
      <c r="M233" t="s">
        <v>23</v>
      </c>
      <c r="N233" t="s">
        <v>24</v>
      </c>
      <c r="O233">
        <f>_xlfn.XLOOKUP(E233,Product_Master!$B$2:$B$11,Product_Master!$F$2:$F$11)</f>
        <v>18</v>
      </c>
      <c r="P233">
        <f t="shared" si="6"/>
        <v>504</v>
      </c>
      <c r="Q233" s="5">
        <f t="shared" si="7"/>
        <v>0.30966173580221368</v>
      </c>
    </row>
    <row r="234" spans="1:17" x14ac:dyDescent="0.3">
      <c r="A234" t="s">
        <v>397</v>
      </c>
      <c r="B234" t="s">
        <v>104</v>
      </c>
      <c r="C234" t="s">
        <v>139</v>
      </c>
      <c r="D234" t="s">
        <v>48</v>
      </c>
      <c r="E234" t="s">
        <v>64</v>
      </c>
      <c r="F234" t="s">
        <v>65</v>
      </c>
      <c r="G234">
        <v>40</v>
      </c>
      <c r="H234" s="4">
        <v>34.229999999999997</v>
      </c>
      <c r="I234">
        <v>1369.2</v>
      </c>
      <c r="J234">
        <v>78.03</v>
      </c>
      <c r="K234">
        <v>291.17</v>
      </c>
      <c r="L234" t="s">
        <v>22</v>
      </c>
      <c r="M234" t="s">
        <v>23</v>
      </c>
      <c r="N234" t="s">
        <v>24</v>
      </c>
      <c r="O234">
        <f>_xlfn.XLOOKUP(E234,Product_Master!$B$2:$B$11,Product_Master!$F$2:$F$11)</f>
        <v>25</v>
      </c>
      <c r="P234">
        <f t="shared" si="6"/>
        <v>1000</v>
      </c>
      <c r="Q234" s="5">
        <f t="shared" si="7"/>
        <v>0.21265702600058428</v>
      </c>
    </row>
    <row r="235" spans="1:17" x14ac:dyDescent="0.3">
      <c r="A235" t="s">
        <v>398</v>
      </c>
      <c r="B235" t="s">
        <v>17</v>
      </c>
      <c r="C235" t="s">
        <v>198</v>
      </c>
      <c r="D235" t="s">
        <v>91</v>
      </c>
      <c r="E235" t="s">
        <v>49</v>
      </c>
      <c r="F235" t="s">
        <v>50</v>
      </c>
      <c r="G235">
        <v>9</v>
      </c>
      <c r="H235" s="4">
        <v>52.2</v>
      </c>
      <c r="I235">
        <v>469.8</v>
      </c>
      <c r="J235">
        <v>31.5</v>
      </c>
      <c r="K235">
        <v>78.3</v>
      </c>
      <c r="L235" t="s">
        <v>44</v>
      </c>
      <c r="M235" t="s">
        <v>37</v>
      </c>
      <c r="N235" t="s">
        <v>66</v>
      </c>
      <c r="O235">
        <f>_xlfn.XLOOKUP(E235,Product_Master!$B$2:$B$11,Product_Master!$F$2:$F$11)</f>
        <v>40</v>
      </c>
      <c r="P235">
        <f t="shared" si="6"/>
        <v>360</v>
      </c>
      <c r="Q235" s="5">
        <f t="shared" si="7"/>
        <v>0.16666666666666666</v>
      </c>
    </row>
    <row r="236" spans="1:17" x14ac:dyDescent="0.3">
      <c r="A236" t="s">
        <v>399</v>
      </c>
      <c r="B236" t="s">
        <v>104</v>
      </c>
      <c r="C236" t="s">
        <v>252</v>
      </c>
      <c r="D236" t="s">
        <v>123</v>
      </c>
      <c r="E236" t="s">
        <v>64</v>
      </c>
      <c r="F236" t="s">
        <v>65</v>
      </c>
      <c r="G236">
        <v>31</v>
      </c>
      <c r="H236" s="4">
        <v>43.54</v>
      </c>
      <c r="I236">
        <v>1349.74</v>
      </c>
      <c r="J236">
        <v>99.86</v>
      </c>
      <c r="K236">
        <v>474.88</v>
      </c>
      <c r="L236" t="s">
        <v>22</v>
      </c>
      <c r="M236" t="s">
        <v>31</v>
      </c>
      <c r="N236" t="s">
        <v>32</v>
      </c>
      <c r="O236">
        <f>_xlfn.XLOOKUP(E236,Product_Master!$B$2:$B$11,Product_Master!$F$2:$F$11)</f>
        <v>25</v>
      </c>
      <c r="P236">
        <f t="shared" si="6"/>
        <v>775</v>
      </c>
      <c r="Q236" s="5">
        <f t="shared" si="7"/>
        <v>0.35183072295405038</v>
      </c>
    </row>
    <row r="237" spans="1:17" x14ac:dyDescent="0.3">
      <c r="A237" t="s">
        <v>400</v>
      </c>
      <c r="B237" t="s">
        <v>61</v>
      </c>
      <c r="C237" t="s">
        <v>133</v>
      </c>
      <c r="D237" t="s">
        <v>88</v>
      </c>
      <c r="E237" t="s">
        <v>69</v>
      </c>
      <c r="F237" t="s">
        <v>59</v>
      </c>
      <c r="G237">
        <v>31</v>
      </c>
      <c r="H237" s="4">
        <v>18.63</v>
      </c>
      <c r="I237">
        <v>577.53</v>
      </c>
      <c r="J237">
        <v>36.65</v>
      </c>
      <c r="K237">
        <v>60.38</v>
      </c>
      <c r="L237" t="s">
        <v>44</v>
      </c>
      <c r="M237" t="s">
        <v>23</v>
      </c>
      <c r="N237" t="s">
        <v>66</v>
      </c>
      <c r="O237">
        <f>_xlfn.XLOOKUP(E237,Product_Master!$B$2:$B$11,Product_Master!$F$2:$F$11)</f>
        <v>15.5</v>
      </c>
      <c r="P237">
        <f t="shared" si="6"/>
        <v>480.5</v>
      </c>
      <c r="Q237" s="5">
        <f t="shared" si="7"/>
        <v>0.1045486814537773</v>
      </c>
    </row>
    <row r="238" spans="1:17" x14ac:dyDescent="0.3">
      <c r="A238" t="s">
        <v>401</v>
      </c>
      <c r="B238" t="s">
        <v>83</v>
      </c>
      <c r="C238" t="s">
        <v>297</v>
      </c>
      <c r="D238" t="s">
        <v>91</v>
      </c>
      <c r="E238" t="s">
        <v>54</v>
      </c>
      <c r="F238" t="s">
        <v>43</v>
      </c>
      <c r="G238">
        <v>38</v>
      </c>
      <c r="H238" s="4">
        <v>27.28</v>
      </c>
      <c r="I238">
        <v>1036.6400000000001</v>
      </c>
      <c r="J238">
        <v>38.770000000000003</v>
      </c>
      <c r="K238">
        <v>237.87</v>
      </c>
      <c r="L238" t="s">
        <v>22</v>
      </c>
      <c r="M238" t="s">
        <v>37</v>
      </c>
      <c r="N238" t="s">
        <v>66</v>
      </c>
      <c r="O238">
        <f>_xlfn.XLOOKUP(E238,Product_Master!$B$2:$B$11,Product_Master!$F$2:$F$11)</f>
        <v>20</v>
      </c>
      <c r="P238">
        <f t="shared" si="6"/>
        <v>760</v>
      </c>
      <c r="Q238" s="5">
        <f t="shared" si="7"/>
        <v>0.22946249421206974</v>
      </c>
    </row>
    <row r="239" spans="1:17" x14ac:dyDescent="0.3">
      <c r="A239" t="s">
        <v>402</v>
      </c>
      <c r="B239" t="s">
        <v>132</v>
      </c>
      <c r="C239" t="s">
        <v>226</v>
      </c>
      <c r="D239" t="s">
        <v>41</v>
      </c>
      <c r="E239" t="s">
        <v>29</v>
      </c>
      <c r="F239" t="s">
        <v>21</v>
      </c>
      <c r="G239">
        <v>50</v>
      </c>
      <c r="H239" s="4">
        <v>30.97</v>
      </c>
      <c r="I239">
        <v>1548.5</v>
      </c>
      <c r="J239">
        <v>82.09</v>
      </c>
      <c r="K239">
        <v>566.41</v>
      </c>
      <c r="L239" t="s">
        <v>30</v>
      </c>
      <c r="M239" t="s">
        <v>31</v>
      </c>
      <c r="N239" t="s">
        <v>45</v>
      </c>
      <c r="O239">
        <f>_xlfn.XLOOKUP(E239,Product_Master!$B$2:$B$11,Product_Master!$F$2:$F$11)</f>
        <v>18</v>
      </c>
      <c r="P239">
        <f t="shared" si="6"/>
        <v>900</v>
      </c>
      <c r="Q239" s="5">
        <f t="shared" si="7"/>
        <v>0.36577978689053919</v>
      </c>
    </row>
    <row r="240" spans="1:17" x14ac:dyDescent="0.3">
      <c r="A240" t="s">
        <v>403</v>
      </c>
      <c r="B240" t="s">
        <v>83</v>
      </c>
      <c r="C240" t="s">
        <v>90</v>
      </c>
      <c r="D240" t="s">
        <v>91</v>
      </c>
      <c r="E240" t="s">
        <v>49</v>
      </c>
      <c r="F240" t="s">
        <v>50</v>
      </c>
      <c r="G240">
        <v>17</v>
      </c>
      <c r="H240" s="4">
        <v>60.91</v>
      </c>
      <c r="I240">
        <v>1035.47</v>
      </c>
      <c r="J240">
        <v>54.09</v>
      </c>
      <c r="K240">
        <v>301.38</v>
      </c>
      <c r="L240" t="s">
        <v>44</v>
      </c>
      <c r="M240" t="s">
        <v>23</v>
      </c>
      <c r="N240" t="s">
        <v>66</v>
      </c>
      <c r="O240">
        <f>_xlfn.XLOOKUP(E240,Product_Master!$B$2:$B$11,Product_Master!$F$2:$F$11)</f>
        <v>40</v>
      </c>
      <c r="P240">
        <f t="shared" si="6"/>
        <v>680</v>
      </c>
      <c r="Q240" s="5">
        <f t="shared" si="7"/>
        <v>0.29105623533274744</v>
      </c>
    </row>
    <row r="241" spans="1:17" x14ac:dyDescent="0.3">
      <c r="A241" t="s">
        <v>404</v>
      </c>
      <c r="B241" t="s">
        <v>61</v>
      </c>
      <c r="C241" t="s">
        <v>293</v>
      </c>
      <c r="D241" t="s">
        <v>63</v>
      </c>
      <c r="E241" t="s">
        <v>54</v>
      </c>
      <c r="F241" t="s">
        <v>43</v>
      </c>
      <c r="G241">
        <v>25</v>
      </c>
      <c r="H241" s="4">
        <v>31.15</v>
      </c>
      <c r="I241">
        <v>778.75</v>
      </c>
      <c r="J241">
        <v>47.45</v>
      </c>
      <c r="K241">
        <v>231.3</v>
      </c>
      <c r="L241" t="s">
        <v>22</v>
      </c>
      <c r="M241" t="s">
        <v>37</v>
      </c>
      <c r="N241" t="s">
        <v>66</v>
      </c>
      <c r="O241">
        <f>_xlfn.XLOOKUP(E241,Product_Master!$B$2:$B$11,Product_Master!$F$2:$F$11)</f>
        <v>20</v>
      </c>
      <c r="P241">
        <f t="shared" si="6"/>
        <v>500</v>
      </c>
      <c r="Q241" s="5">
        <f t="shared" si="7"/>
        <v>0.29701444622792939</v>
      </c>
    </row>
    <row r="242" spans="1:17" x14ac:dyDescent="0.3">
      <c r="A242" t="s">
        <v>405</v>
      </c>
      <c r="B242" t="s">
        <v>95</v>
      </c>
      <c r="C242" t="s">
        <v>310</v>
      </c>
      <c r="D242" t="s">
        <v>123</v>
      </c>
      <c r="E242" t="s">
        <v>29</v>
      </c>
      <c r="F242" t="s">
        <v>21</v>
      </c>
      <c r="G242">
        <v>30</v>
      </c>
      <c r="H242" s="4">
        <v>31.12</v>
      </c>
      <c r="I242">
        <v>933.6</v>
      </c>
      <c r="J242">
        <v>50.88</v>
      </c>
      <c r="K242">
        <v>342.72</v>
      </c>
      <c r="L242" t="s">
        <v>30</v>
      </c>
      <c r="M242" t="s">
        <v>31</v>
      </c>
      <c r="N242" t="s">
        <v>32</v>
      </c>
      <c r="O242">
        <f>_xlfn.XLOOKUP(E242,Product_Master!$B$2:$B$11,Product_Master!$F$2:$F$11)</f>
        <v>18</v>
      </c>
      <c r="P242">
        <f t="shared" si="6"/>
        <v>540</v>
      </c>
      <c r="Q242" s="5">
        <f t="shared" si="7"/>
        <v>0.36709511568123393</v>
      </c>
    </row>
    <row r="243" spans="1:17" x14ac:dyDescent="0.3">
      <c r="A243" t="s">
        <v>406</v>
      </c>
      <c r="B243" t="s">
        <v>26</v>
      </c>
      <c r="C243" t="s">
        <v>130</v>
      </c>
      <c r="D243" t="s">
        <v>53</v>
      </c>
      <c r="E243" t="s">
        <v>69</v>
      </c>
      <c r="F243" t="s">
        <v>59</v>
      </c>
      <c r="G243">
        <v>17</v>
      </c>
      <c r="H243" s="4">
        <v>19.64</v>
      </c>
      <c r="I243">
        <v>333.88</v>
      </c>
      <c r="J243">
        <v>22.23</v>
      </c>
      <c r="K243">
        <v>48.15</v>
      </c>
      <c r="L243" t="s">
        <v>44</v>
      </c>
      <c r="M243" t="s">
        <v>37</v>
      </c>
      <c r="N243" t="s">
        <v>24</v>
      </c>
      <c r="O243">
        <f>_xlfn.XLOOKUP(E243,Product_Master!$B$2:$B$11,Product_Master!$F$2:$F$11)</f>
        <v>15.5</v>
      </c>
      <c r="P243">
        <f t="shared" si="6"/>
        <v>263.5</v>
      </c>
      <c r="Q243" s="5">
        <f t="shared" si="7"/>
        <v>0.14421348987660237</v>
      </c>
    </row>
    <row r="244" spans="1:17" x14ac:dyDescent="0.3">
      <c r="A244" t="s">
        <v>407</v>
      </c>
      <c r="B244" t="s">
        <v>56</v>
      </c>
      <c r="C244" t="s">
        <v>408</v>
      </c>
      <c r="D244" t="s">
        <v>19</v>
      </c>
      <c r="E244" t="s">
        <v>42</v>
      </c>
      <c r="F244" t="s">
        <v>43</v>
      </c>
      <c r="G244">
        <v>37</v>
      </c>
      <c r="H244" s="4">
        <v>57.35</v>
      </c>
      <c r="I244">
        <v>2121.9499999999998</v>
      </c>
      <c r="J244">
        <v>147.38999999999999</v>
      </c>
      <c r="K244">
        <v>790.56</v>
      </c>
      <c r="L244" t="s">
        <v>22</v>
      </c>
      <c r="M244" t="s">
        <v>23</v>
      </c>
      <c r="N244" t="s">
        <v>24</v>
      </c>
      <c r="O244">
        <f>_xlfn.XLOOKUP(E244,Product_Master!$B$2:$B$11,Product_Master!$F$2:$F$11)</f>
        <v>32</v>
      </c>
      <c r="P244">
        <f t="shared" si="6"/>
        <v>1184</v>
      </c>
      <c r="Q244" s="5">
        <f t="shared" si="7"/>
        <v>0.37256297273734068</v>
      </c>
    </row>
    <row r="245" spans="1:17" x14ac:dyDescent="0.3">
      <c r="A245" t="s">
        <v>409</v>
      </c>
      <c r="B245" t="s">
        <v>26</v>
      </c>
      <c r="C245" t="s">
        <v>18</v>
      </c>
      <c r="D245" t="s">
        <v>36</v>
      </c>
      <c r="E245" t="s">
        <v>20</v>
      </c>
      <c r="F245" t="s">
        <v>21</v>
      </c>
      <c r="G245">
        <v>45</v>
      </c>
      <c r="H245" s="4">
        <v>42.6</v>
      </c>
      <c r="I245">
        <v>1917</v>
      </c>
      <c r="J245">
        <v>104.27</v>
      </c>
      <c r="K245">
        <v>237.73</v>
      </c>
      <c r="L245" t="s">
        <v>30</v>
      </c>
      <c r="M245" t="s">
        <v>37</v>
      </c>
      <c r="N245" t="s">
        <v>32</v>
      </c>
      <c r="O245">
        <f>_xlfn.XLOOKUP(E245,Product_Master!$B$2:$B$11,Product_Master!$F$2:$F$11)</f>
        <v>35</v>
      </c>
      <c r="P245">
        <f t="shared" si="6"/>
        <v>1575</v>
      </c>
      <c r="Q245" s="5">
        <f t="shared" si="7"/>
        <v>0.12401147626499738</v>
      </c>
    </row>
    <row r="246" spans="1:17" x14ac:dyDescent="0.3">
      <c r="A246" t="s">
        <v>410</v>
      </c>
      <c r="B246" t="s">
        <v>56</v>
      </c>
      <c r="C246" t="s">
        <v>119</v>
      </c>
      <c r="D246" t="s">
        <v>28</v>
      </c>
      <c r="E246" t="s">
        <v>54</v>
      </c>
      <c r="F246" t="s">
        <v>43</v>
      </c>
      <c r="G246">
        <v>25</v>
      </c>
      <c r="H246" s="4">
        <v>31.82</v>
      </c>
      <c r="I246">
        <v>795.5</v>
      </c>
      <c r="J246">
        <v>37.33</v>
      </c>
      <c r="K246">
        <v>258.17</v>
      </c>
      <c r="L246" t="s">
        <v>22</v>
      </c>
      <c r="M246" t="s">
        <v>31</v>
      </c>
      <c r="N246" t="s">
        <v>32</v>
      </c>
      <c r="O246">
        <f>_xlfn.XLOOKUP(E246,Product_Master!$B$2:$B$11,Product_Master!$F$2:$F$11)</f>
        <v>20</v>
      </c>
      <c r="P246">
        <f t="shared" si="6"/>
        <v>500</v>
      </c>
      <c r="Q246" s="5">
        <f t="shared" si="7"/>
        <v>0.32453802639849155</v>
      </c>
    </row>
    <row r="247" spans="1:17" x14ac:dyDescent="0.3">
      <c r="A247" t="s">
        <v>411</v>
      </c>
      <c r="B247" t="s">
        <v>61</v>
      </c>
      <c r="C247" t="s">
        <v>143</v>
      </c>
      <c r="D247" t="s">
        <v>196</v>
      </c>
      <c r="E247" t="s">
        <v>64</v>
      </c>
      <c r="F247" t="s">
        <v>65</v>
      </c>
      <c r="G247">
        <v>17</v>
      </c>
      <c r="H247" s="4">
        <v>36.270000000000003</v>
      </c>
      <c r="I247">
        <v>616.59</v>
      </c>
      <c r="J247">
        <v>22.76</v>
      </c>
      <c r="K247">
        <v>168.83</v>
      </c>
      <c r="L247" t="s">
        <v>44</v>
      </c>
      <c r="M247" t="s">
        <v>23</v>
      </c>
      <c r="N247" t="s">
        <v>66</v>
      </c>
      <c r="O247">
        <f>_xlfn.XLOOKUP(E247,Product_Master!$B$2:$B$11,Product_Master!$F$2:$F$11)</f>
        <v>25</v>
      </c>
      <c r="P247">
        <f t="shared" si="6"/>
        <v>425</v>
      </c>
      <c r="Q247" s="5">
        <f t="shared" si="7"/>
        <v>0.27381241992247685</v>
      </c>
    </row>
    <row r="248" spans="1:17" x14ac:dyDescent="0.3">
      <c r="A248" t="s">
        <v>412</v>
      </c>
      <c r="B248" t="s">
        <v>132</v>
      </c>
      <c r="C248" t="s">
        <v>230</v>
      </c>
      <c r="D248" t="s">
        <v>88</v>
      </c>
      <c r="E248" t="s">
        <v>29</v>
      </c>
      <c r="F248" t="s">
        <v>21</v>
      </c>
      <c r="G248">
        <v>4</v>
      </c>
      <c r="H248" s="4">
        <v>27.01</v>
      </c>
      <c r="I248">
        <v>108.04</v>
      </c>
      <c r="J248">
        <v>4.7300000000000004</v>
      </c>
      <c r="K248">
        <v>31.31</v>
      </c>
      <c r="L248" t="s">
        <v>44</v>
      </c>
      <c r="M248" t="s">
        <v>37</v>
      </c>
      <c r="N248" t="s">
        <v>66</v>
      </c>
      <c r="O248">
        <f>_xlfn.XLOOKUP(E248,Product_Master!$B$2:$B$11,Product_Master!$F$2:$F$11)</f>
        <v>18</v>
      </c>
      <c r="P248">
        <f t="shared" si="6"/>
        <v>72</v>
      </c>
      <c r="Q248" s="5">
        <f t="shared" si="7"/>
        <v>0.28980007404664937</v>
      </c>
    </row>
    <row r="249" spans="1:17" x14ac:dyDescent="0.3">
      <c r="A249" t="s">
        <v>413</v>
      </c>
      <c r="B249" t="s">
        <v>107</v>
      </c>
      <c r="C249" t="s">
        <v>250</v>
      </c>
      <c r="D249" t="s">
        <v>53</v>
      </c>
      <c r="E249" t="s">
        <v>20</v>
      </c>
      <c r="F249" t="s">
        <v>21</v>
      </c>
      <c r="G249">
        <v>22</v>
      </c>
      <c r="H249" s="4">
        <v>57.6</v>
      </c>
      <c r="I249">
        <v>1267.2</v>
      </c>
      <c r="J249">
        <v>35.32</v>
      </c>
      <c r="K249">
        <v>461.88</v>
      </c>
      <c r="L249" t="s">
        <v>44</v>
      </c>
      <c r="M249" t="s">
        <v>23</v>
      </c>
      <c r="N249" t="s">
        <v>24</v>
      </c>
      <c r="O249">
        <f>_xlfn.XLOOKUP(E249,Product_Master!$B$2:$B$11,Product_Master!$F$2:$F$11)</f>
        <v>35</v>
      </c>
      <c r="P249">
        <f t="shared" si="6"/>
        <v>770</v>
      </c>
      <c r="Q249" s="5">
        <f t="shared" si="7"/>
        <v>0.36448863636363632</v>
      </c>
    </row>
    <row r="250" spans="1:17" x14ac:dyDescent="0.3">
      <c r="A250" t="s">
        <v>414</v>
      </c>
      <c r="B250" t="s">
        <v>157</v>
      </c>
      <c r="C250" t="s">
        <v>280</v>
      </c>
      <c r="D250" t="s">
        <v>170</v>
      </c>
      <c r="E250" t="s">
        <v>64</v>
      </c>
      <c r="F250" t="s">
        <v>65</v>
      </c>
      <c r="G250">
        <v>24</v>
      </c>
      <c r="H250" s="4">
        <v>43.34</v>
      </c>
      <c r="I250">
        <v>1040.1600000000001</v>
      </c>
      <c r="J250">
        <v>41.18</v>
      </c>
      <c r="K250">
        <v>398.98</v>
      </c>
      <c r="L250" t="s">
        <v>22</v>
      </c>
      <c r="M250" t="s">
        <v>37</v>
      </c>
      <c r="N250" t="s">
        <v>32</v>
      </c>
      <c r="O250">
        <f>_xlfn.XLOOKUP(E250,Product_Master!$B$2:$B$11,Product_Master!$F$2:$F$11)</f>
        <v>25</v>
      </c>
      <c r="P250">
        <f t="shared" si="6"/>
        <v>600</v>
      </c>
      <c r="Q250" s="5">
        <f t="shared" si="7"/>
        <v>0.38357560375326871</v>
      </c>
    </row>
    <row r="251" spans="1:17" x14ac:dyDescent="0.3">
      <c r="A251" t="s">
        <v>415</v>
      </c>
      <c r="B251" t="s">
        <v>26</v>
      </c>
      <c r="C251" t="s">
        <v>185</v>
      </c>
      <c r="D251" t="s">
        <v>53</v>
      </c>
      <c r="E251" t="s">
        <v>49</v>
      </c>
      <c r="F251" t="s">
        <v>50</v>
      </c>
      <c r="G251">
        <v>37</v>
      </c>
      <c r="H251" s="4">
        <v>71.8</v>
      </c>
      <c r="I251">
        <v>2656.6</v>
      </c>
      <c r="J251">
        <v>60.3</v>
      </c>
      <c r="K251">
        <v>1116.3</v>
      </c>
      <c r="L251" t="s">
        <v>30</v>
      </c>
      <c r="M251" t="s">
        <v>23</v>
      </c>
      <c r="N251" t="s">
        <v>24</v>
      </c>
      <c r="O251">
        <f>_xlfn.XLOOKUP(E251,Product_Master!$B$2:$B$11,Product_Master!$F$2:$F$11)</f>
        <v>40</v>
      </c>
      <c r="P251">
        <f t="shared" si="6"/>
        <v>1480</v>
      </c>
      <c r="Q251" s="5">
        <f t="shared" si="7"/>
        <v>0.42019875028231574</v>
      </c>
    </row>
    <row r="252" spans="1:17" x14ac:dyDescent="0.3">
      <c r="A252" t="s">
        <v>416</v>
      </c>
      <c r="B252" t="s">
        <v>56</v>
      </c>
      <c r="C252" t="s">
        <v>408</v>
      </c>
      <c r="D252" t="s">
        <v>88</v>
      </c>
      <c r="E252" t="s">
        <v>54</v>
      </c>
      <c r="F252" t="s">
        <v>43</v>
      </c>
      <c r="G252">
        <v>24</v>
      </c>
      <c r="H252" s="4">
        <v>29.11</v>
      </c>
      <c r="I252">
        <v>698.64</v>
      </c>
      <c r="J252">
        <v>53.99</v>
      </c>
      <c r="K252">
        <v>164.65</v>
      </c>
      <c r="L252" t="s">
        <v>44</v>
      </c>
      <c r="M252" t="s">
        <v>37</v>
      </c>
      <c r="N252" t="s">
        <v>66</v>
      </c>
      <c r="O252">
        <f>_xlfn.XLOOKUP(E252,Product_Master!$B$2:$B$11,Product_Master!$F$2:$F$11)</f>
        <v>20</v>
      </c>
      <c r="P252">
        <f t="shared" si="6"/>
        <v>480</v>
      </c>
      <c r="Q252" s="5">
        <f t="shared" si="7"/>
        <v>0.23567216305965877</v>
      </c>
    </row>
    <row r="253" spans="1:17" x14ac:dyDescent="0.3">
      <c r="A253" t="s">
        <v>417</v>
      </c>
      <c r="B253" t="s">
        <v>157</v>
      </c>
      <c r="C253" t="s">
        <v>418</v>
      </c>
      <c r="D253" t="s">
        <v>91</v>
      </c>
      <c r="E253" t="s">
        <v>58</v>
      </c>
      <c r="F253" t="s">
        <v>59</v>
      </c>
      <c r="G253">
        <v>6</v>
      </c>
      <c r="H253" s="4">
        <v>27.91</v>
      </c>
      <c r="I253">
        <v>167.46</v>
      </c>
      <c r="J253">
        <v>10.01</v>
      </c>
      <c r="K253">
        <v>22.45</v>
      </c>
      <c r="L253" t="s">
        <v>22</v>
      </c>
      <c r="M253" t="s">
        <v>23</v>
      </c>
      <c r="N253" t="s">
        <v>66</v>
      </c>
      <c r="O253">
        <f>_xlfn.XLOOKUP(E253,Product_Master!$B$2:$B$11,Product_Master!$F$2:$F$11)</f>
        <v>22.5</v>
      </c>
      <c r="P253">
        <f t="shared" si="6"/>
        <v>135</v>
      </c>
      <c r="Q253" s="5">
        <f t="shared" si="7"/>
        <v>0.1340618655201242</v>
      </c>
    </row>
    <row r="254" spans="1:17" x14ac:dyDescent="0.3">
      <c r="A254" t="s">
        <v>419</v>
      </c>
      <c r="B254" t="s">
        <v>83</v>
      </c>
      <c r="C254" t="s">
        <v>40</v>
      </c>
      <c r="D254" t="s">
        <v>63</v>
      </c>
      <c r="E254" t="s">
        <v>58</v>
      </c>
      <c r="F254" t="s">
        <v>59</v>
      </c>
      <c r="G254">
        <v>28</v>
      </c>
      <c r="H254" s="4">
        <v>27.29</v>
      </c>
      <c r="I254">
        <v>764.12</v>
      </c>
      <c r="J254">
        <v>25.78</v>
      </c>
      <c r="K254">
        <v>108.34</v>
      </c>
      <c r="L254" t="s">
        <v>44</v>
      </c>
      <c r="M254" t="s">
        <v>23</v>
      </c>
      <c r="N254" t="s">
        <v>66</v>
      </c>
      <c r="O254">
        <f>_xlfn.XLOOKUP(E254,Product_Master!$B$2:$B$11,Product_Master!$F$2:$F$11)</f>
        <v>22.5</v>
      </c>
      <c r="P254">
        <f t="shared" si="6"/>
        <v>630</v>
      </c>
      <c r="Q254" s="5">
        <f t="shared" si="7"/>
        <v>0.1417840129822541</v>
      </c>
    </row>
    <row r="255" spans="1:17" x14ac:dyDescent="0.3">
      <c r="A255" t="s">
        <v>420</v>
      </c>
      <c r="B255" t="s">
        <v>83</v>
      </c>
      <c r="C255" t="s">
        <v>338</v>
      </c>
      <c r="D255" t="s">
        <v>53</v>
      </c>
      <c r="E255" t="s">
        <v>58</v>
      </c>
      <c r="F255" t="s">
        <v>59</v>
      </c>
      <c r="G255">
        <v>47</v>
      </c>
      <c r="H255" s="4">
        <v>35.880000000000003</v>
      </c>
      <c r="I255">
        <v>1686.36</v>
      </c>
      <c r="J255">
        <v>70.3</v>
      </c>
      <c r="K255">
        <v>558.55999999999995</v>
      </c>
      <c r="L255" t="s">
        <v>22</v>
      </c>
      <c r="M255" t="s">
        <v>31</v>
      </c>
      <c r="N255" t="s">
        <v>24</v>
      </c>
      <c r="O255">
        <f>_xlfn.XLOOKUP(E255,Product_Master!$B$2:$B$11,Product_Master!$F$2:$F$11)</f>
        <v>22.5</v>
      </c>
      <c r="P255">
        <f t="shared" si="6"/>
        <v>1057.5</v>
      </c>
      <c r="Q255" s="5">
        <f t="shared" si="7"/>
        <v>0.33122227756825351</v>
      </c>
    </row>
    <row r="256" spans="1:17" x14ac:dyDescent="0.3">
      <c r="A256" t="s">
        <v>421</v>
      </c>
      <c r="B256" t="s">
        <v>56</v>
      </c>
      <c r="C256" t="s">
        <v>218</v>
      </c>
      <c r="D256" t="s">
        <v>123</v>
      </c>
      <c r="E256" t="s">
        <v>69</v>
      </c>
      <c r="F256" t="s">
        <v>59</v>
      </c>
      <c r="G256">
        <v>19</v>
      </c>
      <c r="H256" s="4">
        <v>27.47</v>
      </c>
      <c r="I256">
        <v>521.92999999999995</v>
      </c>
      <c r="J256">
        <v>31.29</v>
      </c>
      <c r="K256">
        <v>196.14</v>
      </c>
      <c r="L256" t="s">
        <v>30</v>
      </c>
      <c r="M256" t="s">
        <v>37</v>
      </c>
      <c r="N256" t="s">
        <v>32</v>
      </c>
      <c r="O256">
        <f>_xlfn.XLOOKUP(E256,Product_Master!$B$2:$B$11,Product_Master!$F$2:$F$11)</f>
        <v>15.5</v>
      </c>
      <c r="P256">
        <f t="shared" si="6"/>
        <v>294.5</v>
      </c>
      <c r="Q256" s="5">
        <f t="shared" si="7"/>
        <v>0.37579752074032918</v>
      </c>
    </row>
    <row r="257" spans="1:17" x14ac:dyDescent="0.3">
      <c r="A257" t="s">
        <v>422</v>
      </c>
      <c r="B257" t="s">
        <v>132</v>
      </c>
      <c r="C257" t="s">
        <v>153</v>
      </c>
      <c r="D257" t="s">
        <v>147</v>
      </c>
      <c r="E257" t="s">
        <v>54</v>
      </c>
      <c r="F257" t="s">
        <v>43</v>
      </c>
      <c r="G257">
        <v>13</v>
      </c>
      <c r="H257" s="4">
        <v>29.26</v>
      </c>
      <c r="I257">
        <v>380.38</v>
      </c>
      <c r="J257">
        <v>9.4700000000000006</v>
      </c>
      <c r="K257">
        <v>110.91</v>
      </c>
      <c r="L257" t="s">
        <v>30</v>
      </c>
      <c r="M257" t="s">
        <v>37</v>
      </c>
      <c r="N257" t="s">
        <v>148</v>
      </c>
      <c r="O257">
        <f>_xlfn.XLOOKUP(E257,Product_Master!$B$2:$B$11,Product_Master!$F$2:$F$11)</f>
        <v>20</v>
      </c>
      <c r="P257">
        <f t="shared" si="6"/>
        <v>260</v>
      </c>
      <c r="Q257" s="5">
        <f t="shared" si="7"/>
        <v>0.29157684420842317</v>
      </c>
    </row>
    <row r="258" spans="1:17" x14ac:dyDescent="0.3">
      <c r="A258" t="s">
        <v>423</v>
      </c>
      <c r="B258" t="s">
        <v>17</v>
      </c>
      <c r="C258" t="s">
        <v>325</v>
      </c>
      <c r="D258" t="s">
        <v>170</v>
      </c>
      <c r="E258" t="s">
        <v>29</v>
      </c>
      <c r="F258" t="s">
        <v>21</v>
      </c>
      <c r="G258">
        <v>4</v>
      </c>
      <c r="H258" s="4">
        <v>26.17</v>
      </c>
      <c r="I258">
        <v>104.68</v>
      </c>
      <c r="J258">
        <v>6.33</v>
      </c>
      <c r="K258">
        <v>26.35</v>
      </c>
      <c r="L258" t="s">
        <v>22</v>
      </c>
      <c r="M258" t="s">
        <v>31</v>
      </c>
      <c r="N258" t="s">
        <v>32</v>
      </c>
      <c r="O258">
        <f>_xlfn.XLOOKUP(E258,Product_Master!$B$2:$B$11,Product_Master!$F$2:$F$11)</f>
        <v>18</v>
      </c>
      <c r="P258">
        <f t="shared" si="6"/>
        <v>72</v>
      </c>
      <c r="Q258" s="5">
        <f t="shared" si="7"/>
        <v>0.25171952617500953</v>
      </c>
    </row>
    <row r="259" spans="1:17" x14ac:dyDescent="0.3">
      <c r="A259" t="s">
        <v>424</v>
      </c>
      <c r="B259" t="s">
        <v>157</v>
      </c>
      <c r="C259" t="s">
        <v>185</v>
      </c>
      <c r="D259" t="s">
        <v>170</v>
      </c>
      <c r="E259" t="s">
        <v>58</v>
      </c>
      <c r="F259" t="s">
        <v>59</v>
      </c>
      <c r="G259">
        <v>43</v>
      </c>
      <c r="H259" s="4">
        <v>37.32</v>
      </c>
      <c r="I259">
        <v>1604.76</v>
      </c>
      <c r="J259">
        <v>61.01</v>
      </c>
      <c r="K259">
        <v>576.25</v>
      </c>
      <c r="L259" t="s">
        <v>22</v>
      </c>
      <c r="M259" t="s">
        <v>31</v>
      </c>
      <c r="N259" t="s">
        <v>32</v>
      </c>
      <c r="O259">
        <f>_xlfn.XLOOKUP(E259,Product_Master!$B$2:$B$11,Product_Master!$F$2:$F$11)</f>
        <v>22.5</v>
      </c>
      <c r="P259">
        <f t="shared" ref="P259:P322" si="8">G259*O259</f>
        <v>967.5</v>
      </c>
      <c r="Q259" s="5">
        <f t="shared" ref="Q259:Q322" si="9">K259/I259</f>
        <v>0.35908796330915527</v>
      </c>
    </row>
    <row r="260" spans="1:17" x14ac:dyDescent="0.3">
      <c r="A260" t="s">
        <v>425</v>
      </c>
      <c r="B260" t="s">
        <v>68</v>
      </c>
      <c r="C260" t="s">
        <v>312</v>
      </c>
      <c r="D260" t="s">
        <v>101</v>
      </c>
      <c r="E260" t="s">
        <v>29</v>
      </c>
      <c r="F260" t="s">
        <v>21</v>
      </c>
      <c r="G260">
        <v>27</v>
      </c>
      <c r="H260" s="4">
        <v>23.05</v>
      </c>
      <c r="I260">
        <v>622.35</v>
      </c>
      <c r="J260">
        <v>20.440000000000001</v>
      </c>
      <c r="K260">
        <v>115.91</v>
      </c>
      <c r="L260" t="s">
        <v>44</v>
      </c>
      <c r="M260" t="s">
        <v>31</v>
      </c>
      <c r="N260" t="s">
        <v>102</v>
      </c>
      <c r="O260">
        <f>_xlfn.XLOOKUP(E260,Product_Master!$B$2:$B$11,Product_Master!$F$2:$F$11)</f>
        <v>18</v>
      </c>
      <c r="P260">
        <f t="shared" si="8"/>
        <v>486</v>
      </c>
      <c r="Q260" s="5">
        <f t="shared" si="9"/>
        <v>0.18624568169036715</v>
      </c>
    </row>
    <row r="261" spans="1:17" x14ac:dyDescent="0.3">
      <c r="A261" t="s">
        <v>426</v>
      </c>
      <c r="B261" t="s">
        <v>39</v>
      </c>
      <c r="C261" t="s">
        <v>427</v>
      </c>
      <c r="D261" t="s">
        <v>91</v>
      </c>
      <c r="E261" t="s">
        <v>73</v>
      </c>
      <c r="F261" t="s">
        <v>43</v>
      </c>
      <c r="G261">
        <v>38</v>
      </c>
      <c r="H261" s="4">
        <v>19.02</v>
      </c>
      <c r="I261">
        <v>722.76</v>
      </c>
      <c r="J261">
        <v>14.63</v>
      </c>
      <c r="K261">
        <v>223.63</v>
      </c>
      <c r="L261" t="s">
        <v>30</v>
      </c>
      <c r="M261" t="s">
        <v>31</v>
      </c>
      <c r="N261" t="s">
        <v>66</v>
      </c>
      <c r="O261">
        <f>_xlfn.XLOOKUP(E261,Product_Master!$B$2:$B$11,Product_Master!$F$2:$F$11)</f>
        <v>12.75</v>
      </c>
      <c r="P261">
        <f t="shared" si="8"/>
        <v>484.5</v>
      </c>
      <c r="Q261" s="5">
        <f t="shared" si="9"/>
        <v>0.30941114616193482</v>
      </c>
    </row>
    <row r="262" spans="1:17" x14ac:dyDescent="0.3">
      <c r="A262" t="s">
        <v>428</v>
      </c>
      <c r="B262" t="s">
        <v>56</v>
      </c>
      <c r="C262" t="s">
        <v>429</v>
      </c>
      <c r="D262" t="s">
        <v>48</v>
      </c>
      <c r="E262" t="s">
        <v>49</v>
      </c>
      <c r="F262" t="s">
        <v>50</v>
      </c>
      <c r="G262">
        <v>10</v>
      </c>
      <c r="H262" s="4">
        <v>70.94</v>
      </c>
      <c r="I262">
        <v>709.4</v>
      </c>
      <c r="J262">
        <v>18.64</v>
      </c>
      <c r="K262">
        <v>290.76</v>
      </c>
      <c r="L262" t="s">
        <v>30</v>
      </c>
      <c r="M262" t="s">
        <v>37</v>
      </c>
      <c r="N262" t="s">
        <v>24</v>
      </c>
      <c r="O262">
        <f>_xlfn.XLOOKUP(E262,Product_Master!$B$2:$B$11,Product_Master!$F$2:$F$11)</f>
        <v>40</v>
      </c>
      <c r="P262">
        <f t="shared" si="8"/>
        <v>400</v>
      </c>
      <c r="Q262" s="5">
        <f t="shared" si="9"/>
        <v>0.40986749365661124</v>
      </c>
    </row>
    <row r="263" spans="1:17" x14ac:dyDescent="0.3">
      <c r="A263" t="s">
        <v>430</v>
      </c>
      <c r="B263" t="s">
        <v>157</v>
      </c>
      <c r="C263" t="s">
        <v>297</v>
      </c>
      <c r="D263" t="s">
        <v>81</v>
      </c>
      <c r="E263" t="s">
        <v>64</v>
      </c>
      <c r="F263" t="s">
        <v>65</v>
      </c>
      <c r="G263">
        <v>17</v>
      </c>
      <c r="H263" s="4">
        <v>38.28</v>
      </c>
      <c r="I263">
        <v>650.76</v>
      </c>
      <c r="J263">
        <v>38.43</v>
      </c>
      <c r="K263">
        <v>187.33</v>
      </c>
      <c r="L263" t="s">
        <v>30</v>
      </c>
      <c r="M263" t="s">
        <v>37</v>
      </c>
      <c r="N263" t="s">
        <v>66</v>
      </c>
      <c r="O263">
        <f>_xlfn.XLOOKUP(E263,Product_Master!$B$2:$B$11,Product_Master!$F$2:$F$11)</f>
        <v>25</v>
      </c>
      <c r="P263">
        <f t="shared" si="8"/>
        <v>425</v>
      </c>
      <c r="Q263" s="5">
        <f t="shared" si="9"/>
        <v>0.28786342123056119</v>
      </c>
    </row>
    <row r="264" spans="1:17" x14ac:dyDescent="0.3">
      <c r="A264" t="s">
        <v>431</v>
      </c>
      <c r="B264" t="s">
        <v>68</v>
      </c>
      <c r="C264" t="s">
        <v>383</v>
      </c>
      <c r="D264" t="s">
        <v>19</v>
      </c>
      <c r="E264" t="s">
        <v>42</v>
      </c>
      <c r="F264" t="s">
        <v>43</v>
      </c>
      <c r="G264">
        <v>10</v>
      </c>
      <c r="H264" s="4">
        <v>38.799999999999997</v>
      </c>
      <c r="I264">
        <v>388</v>
      </c>
      <c r="J264">
        <v>16.39</v>
      </c>
      <c r="K264">
        <v>51.61</v>
      </c>
      <c r="L264" t="s">
        <v>44</v>
      </c>
      <c r="M264" t="s">
        <v>31</v>
      </c>
      <c r="N264" t="s">
        <v>24</v>
      </c>
      <c r="O264">
        <f>_xlfn.XLOOKUP(E264,Product_Master!$B$2:$B$11,Product_Master!$F$2:$F$11)</f>
        <v>32</v>
      </c>
      <c r="P264">
        <f t="shared" si="8"/>
        <v>320</v>
      </c>
      <c r="Q264" s="5">
        <f t="shared" si="9"/>
        <v>0.13301546391752578</v>
      </c>
    </row>
    <row r="265" spans="1:17" x14ac:dyDescent="0.3">
      <c r="A265" t="s">
        <v>432</v>
      </c>
      <c r="B265" t="s">
        <v>107</v>
      </c>
      <c r="C265" t="s">
        <v>185</v>
      </c>
      <c r="D265" t="s">
        <v>63</v>
      </c>
      <c r="E265" t="s">
        <v>64</v>
      </c>
      <c r="F265" t="s">
        <v>65</v>
      </c>
      <c r="G265">
        <v>3</v>
      </c>
      <c r="H265" s="4">
        <v>33.840000000000003</v>
      </c>
      <c r="I265">
        <v>101.52</v>
      </c>
      <c r="J265">
        <v>2.3199999999999998</v>
      </c>
      <c r="K265">
        <v>24.2</v>
      </c>
      <c r="L265" t="s">
        <v>44</v>
      </c>
      <c r="M265" t="s">
        <v>37</v>
      </c>
      <c r="N265" t="s">
        <v>66</v>
      </c>
      <c r="O265">
        <f>_xlfn.XLOOKUP(E265,Product_Master!$B$2:$B$11,Product_Master!$F$2:$F$11)</f>
        <v>25</v>
      </c>
      <c r="P265">
        <f t="shared" si="8"/>
        <v>75</v>
      </c>
      <c r="Q265" s="5">
        <f t="shared" si="9"/>
        <v>0.23837667454688732</v>
      </c>
    </row>
    <row r="266" spans="1:17" x14ac:dyDescent="0.3">
      <c r="A266" t="s">
        <v>433</v>
      </c>
      <c r="B266" t="s">
        <v>86</v>
      </c>
      <c r="C266" t="s">
        <v>218</v>
      </c>
      <c r="D266" t="s">
        <v>170</v>
      </c>
      <c r="E266" t="s">
        <v>69</v>
      </c>
      <c r="F266" t="s">
        <v>59</v>
      </c>
      <c r="G266">
        <v>20</v>
      </c>
      <c r="H266" s="4">
        <v>21.12</v>
      </c>
      <c r="I266">
        <v>422.4</v>
      </c>
      <c r="J266">
        <v>22.08</v>
      </c>
      <c r="K266">
        <v>90.32</v>
      </c>
      <c r="L266" t="s">
        <v>30</v>
      </c>
      <c r="M266" t="s">
        <v>37</v>
      </c>
      <c r="N266" t="s">
        <v>32</v>
      </c>
      <c r="O266">
        <f>_xlfn.XLOOKUP(E266,Product_Master!$B$2:$B$11,Product_Master!$F$2:$F$11)</f>
        <v>15.5</v>
      </c>
      <c r="P266">
        <f t="shared" si="8"/>
        <v>310</v>
      </c>
      <c r="Q266" s="5">
        <f t="shared" si="9"/>
        <v>0.21382575757575756</v>
      </c>
    </row>
    <row r="267" spans="1:17" x14ac:dyDescent="0.3">
      <c r="A267" t="s">
        <v>434</v>
      </c>
      <c r="B267" t="s">
        <v>78</v>
      </c>
      <c r="C267" t="s">
        <v>295</v>
      </c>
      <c r="D267" t="s">
        <v>101</v>
      </c>
      <c r="E267" t="s">
        <v>20</v>
      </c>
      <c r="F267" t="s">
        <v>21</v>
      </c>
      <c r="G267">
        <v>1</v>
      </c>
      <c r="H267" s="4">
        <v>58.15</v>
      </c>
      <c r="I267">
        <v>58.15</v>
      </c>
      <c r="J267">
        <v>4.2</v>
      </c>
      <c r="K267">
        <v>18.95</v>
      </c>
      <c r="L267" t="s">
        <v>30</v>
      </c>
      <c r="M267" t="s">
        <v>31</v>
      </c>
      <c r="N267" t="s">
        <v>102</v>
      </c>
      <c r="O267">
        <f>_xlfn.XLOOKUP(E267,Product_Master!$B$2:$B$11,Product_Master!$F$2:$F$11)</f>
        <v>35</v>
      </c>
      <c r="P267">
        <f t="shared" si="8"/>
        <v>35</v>
      </c>
      <c r="Q267" s="5">
        <f t="shared" si="9"/>
        <v>0.32588134135855545</v>
      </c>
    </row>
    <row r="268" spans="1:17" x14ac:dyDescent="0.3">
      <c r="A268" t="s">
        <v>435</v>
      </c>
      <c r="B268" t="s">
        <v>86</v>
      </c>
      <c r="C268" t="s">
        <v>114</v>
      </c>
      <c r="D268" t="s">
        <v>41</v>
      </c>
      <c r="E268" t="s">
        <v>42</v>
      </c>
      <c r="F268" t="s">
        <v>43</v>
      </c>
      <c r="G268">
        <v>32</v>
      </c>
      <c r="H268" s="4">
        <v>45.96</v>
      </c>
      <c r="I268">
        <v>1470.72</v>
      </c>
      <c r="J268">
        <v>82.77</v>
      </c>
      <c r="K268">
        <v>363.95</v>
      </c>
      <c r="L268" t="s">
        <v>22</v>
      </c>
      <c r="M268" t="s">
        <v>31</v>
      </c>
      <c r="N268" t="s">
        <v>45</v>
      </c>
      <c r="O268">
        <f>_xlfn.XLOOKUP(E268,Product_Master!$B$2:$B$11,Product_Master!$F$2:$F$11)</f>
        <v>32</v>
      </c>
      <c r="P268">
        <f t="shared" si="8"/>
        <v>1024</v>
      </c>
      <c r="Q268" s="5">
        <f t="shared" si="9"/>
        <v>0.24746382724107918</v>
      </c>
    </row>
    <row r="269" spans="1:17" x14ac:dyDescent="0.3">
      <c r="A269" t="s">
        <v>436</v>
      </c>
      <c r="B269" t="s">
        <v>75</v>
      </c>
      <c r="C269" t="s">
        <v>316</v>
      </c>
      <c r="D269" t="s">
        <v>36</v>
      </c>
      <c r="E269" t="s">
        <v>73</v>
      </c>
      <c r="F269" t="s">
        <v>43</v>
      </c>
      <c r="G269">
        <v>37</v>
      </c>
      <c r="H269" s="4">
        <v>16.82</v>
      </c>
      <c r="I269">
        <v>622.34</v>
      </c>
      <c r="J269">
        <v>32.9</v>
      </c>
      <c r="K269">
        <v>117.69</v>
      </c>
      <c r="L269" t="s">
        <v>44</v>
      </c>
      <c r="M269" t="s">
        <v>31</v>
      </c>
      <c r="N269" t="s">
        <v>32</v>
      </c>
      <c r="O269">
        <f>_xlfn.XLOOKUP(E269,Product_Master!$B$2:$B$11,Product_Master!$F$2:$F$11)</f>
        <v>12.75</v>
      </c>
      <c r="P269">
        <f t="shared" si="8"/>
        <v>471.75</v>
      </c>
      <c r="Q269" s="5">
        <f t="shared" si="9"/>
        <v>0.18910884725391264</v>
      </c>
    </row>
    <row r="270" spans="1:17" x14ac:dyDescent="0.3">
      <c r="A270" t="s">
        <v>437</v>
      </c>
      <c r="B270" t="s">
        <v>34</v>
      </c>
      <c r="C270" t="s">
        <v>57</v>
      </c>
      <c r="D270" t="s">
        <v>36</v>
      </c>
      <c r="E270" t="s">
        <v>42</v>
      </c>
      <c r="F270" t="s">
        <v>43</v>
      </c>
      <c r="G270">
        <v>18</v>
      </c>
      <c r="H270" s="4">
        <v>54.62</v>
      </c>
      <c r="I270">
        <v>983.16</v>
      </c>
      <c r="J270">
        <v>22.61</v>
      </c>
      <c r="K270">
        <v>384.55</v>
      </c>
      <c r="L270" t="s">
        <v>44</v>
      </c>
      <c r="M270" t="s">
        <v>31</v>
      </c>
      <c r="N270" t="s">
        <v>32</v>
      </c>
      <c r="O270">
        <f>_xlfn.XLOOKUP(E270,Product_Master!$B$2:$B$11,Product_Master!$F$2:$F$11)</f>
        <v>32</v>
      </c>
      <c r="P270">
        <f t="shared" si="8"/>
        <v>576</v>
      </c>
      <c r="Q270" s="5">
        <f t="shared" si="9"/>
        <v>0.39113674274787424</v>
      </c>
    </row>
    <row r="271" spans="1:17" x14ac:dyDescent="0.3">
      <c r="A271" t="s">
        <v>438</v>
      </c>
      <c r="B271" t="s">
        <v>104</v>
      </c>
      <c r="C271" t="s">
        <v>122</v>
      </c>
      <c r="D271" t="s">
        <v>36</v>
      </c>
      <c r="E271" t="s">
        <v>73</v>
      </c>
      <c r="F271" t="s">
        <v>43</v>
      </c>
      <c r="G271">
        <v>30</v>
      </c>
      <c r="H271" s="4">
        <v>22.83</v>
      </c>
      <c r="I271">
        <v>684.9</v>
      </c>
      <c r="J271">
        <v>32.31</v>
      </c>
      <c r="K271">
        <v>270.08999999999997</v>
      </c>
      <c r="L271" t="s">
        <v>22</v>
      </c>
      <c r="M271" t="s">
        <v>31</v>
      </c>
      <c r="N271" t="s">
        <v>32</v>
      </c>
      <c r="O271">
        <f>_xlfn.XLOOKUP(E271,Product_Master!$B$2:$B$11,Product_Master!$F$2:$F$11)</f>
        <v>12.75</v>
      </c>
      <c r="P271">
        <f t="shared" si="8"/>
        <v>382.5</v>
      </c>
      <c r="Q271" s="5">
        <f t="shared" si="9"/>
        <v>0.3943495400788436</v>
      </c>
    </row>
    <row r="272" spans="1:17" x14ac:dyDescent="0.3">
      <c r="A272" t="s">
        <v>439</v>
      </c>
      <c r="B272" t="s">
        <v>78</v>
      </c>
      <c r="C272" t="s">
        <v>440</v>
      </c>
      <c r="D272" t="s">
        <v>123</v>
      </c>
      <c r="E272" t="s">
        <v>42</v>
      </c>
      <c r="F272" t="s">
        <v>43</v>
      </c>
      <c r="G272">
        <v>39</v>
      </c>
      <c r="H272" s="4">
        <v>47.02</v>
      </c>
      <c r="I272">
        <v>1833.78</v>
      </c>
      <c r="J272">
        <v>50.01</v>
      </c>
      <c r="K272">
        <v>535.77</v>
      </c>
      <c r="L272" t="s">
        <v>44</v>
      </c>
      <c r="M272" t="s">
        <v>31</v>
      </c>
      <c r="N272" t="s">
        <v>32</v>
      </c>
      <c r="O272">
        <f>_xlfn.XLOOKUP(E272,Product_Master!$B$2:$B$11,Product_Master!$F$2:$F$11)</f>
        <v>32</v>
      </c>
      <c r="P272">
        <f t="shared" si="8"/>
        <v>1248</v>
      </c>
      <c r="Q272" s="5">
        <f t="shared" si="9"/>
        <v>0.29216699931289469</v>
      </c>
    </row>
    <row r="273" spans="1:17" x14ac:dyDescent="0.3">
      <c r="A273" t="s">
        <v>441</v>
      </c>
      <c r="B273" t="s">
        <v>75</v>
      </c>
      <c r="C273" t="s">
        <v>105</v>
      </c>
      <c r="D273" t="s">
        <v>19</v>
      </c>
      <c r="E273" t="s">
        <v>98</v>
      </c>
      <c r="F273" t="s">
        <v>59</v>
      </c>
      <c r="G273">
        <v>22</v>
      </c>
      <c r="H273" s="4">
        <v>43.32</v>
      </c>
      <c r="I273">
        <v>953.04</v>
      </c>
      <c r="J273">
        <v>71.3</v>
      </c>
      <c r="K273">
        <v>265.74</v>
      </c>
      <c r="L273" t="s">
        <v>30</v>
      </c>
      <c r="M273" t="s">
        <v>37</v>
      </c>
      <c r="N273" t="s">
        <v>24</v>
      </c>
      <c r="O273">
        <f>_xlfn.XLOOKUP(E273,Product_Master!$B$2:$B$11,Product_Master!$F$2:$F$11)</f>
        <v>28</v>
      </c>
      <c r="P273">
        <f t="shared" si="8"/>
        <v>616</v>
      </c>
      <c r="Q273" s="5">
        <f t="shared" si="9"/>
        <v>0.27883404683958701</v>
      </c>
    </row>
    <row r="274" spans="1:17" x14ac:dyDescent="0.3">
      <c r="A274" t="s">
        <v>442</v>
      </c>
      <c r="B274" t="s">
        <v>39</v>
      </c>
      <c r="C274" t="s">
        <v>319</v>
      </c>
      <c r="D274" t="s">
        <v>91</v>
      </c>
      <c r="E274" t="s">
        <v>58</v>
      </c>
      <c r="F274" t="s">
        <v>59</v>
      </c>
      <c r="G274">
        <v>6</v>
      </c>
      <c r="H274" s="4">
        <v>31.69</v>
      </c>
      <c r="I274">
        <v>190.14</v>
      </c>
      <c r="J274">
        <v>12.52</v>
      </c>
      <c r="K274">
        <v>42.62</v>
      </c>
      <c r="L274" t="s">
        <v>44</v>
      </c>
      <c r="M274" t="s">
        <v>31</v>
      </c>
      <c r="N274" t="s">
        <v>66</v>
      </c>
      <c r="O274">
        <f>_xlfn.XLOOKUP(E274,Product_Master!$B$2:$B$11,Product_Master!$F$2:$F$11)</f>
        <v>22.5</v>
      </c>
      <c r="P274">
        <f t="shared" si="8"/>
        <v>135</v>
      </c>
      <c r="Q274" s="5">
        <f t="shared" si="9"/>
        <v>0.22415062585463344</v>
      </c>
    </row>
    <row r="275" spans="1:17" x14ac:dyDescent="0.3">
      <c r="A275" t="s">
        <v>443</v>
      </c>
      <c r="B275" t="s">
        <v>56</v>
      </c>
      <c r="C275" t="s">
        <v>218</v>
      </c>
      <c r="D275" t="s">
        <v>170</v>
      </c>
      <c r="E275" t="s">
        <v>20</v>
      </c>
      <c r="F275" t="s">
        <v>21</v>
      </c>
      <c r="G275">
        <v>19</v>
      </c>
      <c r="H275" s="4">
        <v>53.28</v>
      </c>
      <c r="I275">
        <v>1012.32</v>
      </c>
      <c r="J275">
        <v>27.24</v>
      </c>
      <c r="K275">
        <v>320.08</v>
      </c>
      <c r="L275" t="s">
        <v>44</v>
      </c>
      <c r="M275" t="s">
        <v>31</v>
      </c>
      <c r="N275" t="s">
        <v>32</v>
      </c>
      <c r="O275">
        <f>_xlfn.XLOOKUP(E275,Product_Master!$B$2:$B$11,Product_Master!$F$2:$F$11)</f>
        <v>35</v>
      </c>
      <c r="P275">
        <f t="shared" si="8"/>
        <v>665</v>
      </c>
      <c r="Q275" s="5">
        <f t="shared" si="9"/>
        <v>0.31618460565828982</v>
      </c>
    </row>
    <row r="276" spans="1:17" x14ac:dyDescent="0.3">
      <c r="A276" t="s">
        <v>444</v>
      </c>
      <c r="B276" t="s">
        <v>107</v>
      </c>
      <c r="C276" t="s">
        <v>173</v>
      </c>
      <c r="D276" t="s">
        <v>19</v>
      </c>
      <c r="E276" t="s">
        <v>20</v>
      </c>
      <c r="F276" t="s">
        <v>21</v>
      </c>
      <c r="G276">
        <v>47</v>
      </c>
      <c r="H276" s="4">
        <v>47.53</v>
      </c>
      <c r="I276">
        <v>2233.91</v>
      </c>
      <c r="J276">
        <v>128.91</v>
      </c>
      <c r="K276">
        <v>460</v>
      </c>
      <c r="L276" t="s">
        <v>30</v>
      </c>
      <c r="M276" t="s">
        <v>23</v>
      </c>
      <c r="N276" t="s">
        <v>24</v>
      </c>
      <c r="O276">
        <f>_xlfn.XLOOKUP(E276,Product_Master!$B$2:$B$11,Product_Master!$F$2:$F$11)</f>
        <v>35</v>
      </c>
      <c r="P276">
        <f t="shared" si="8"/>
        <v>1645</v>
      </c>
      <c r="Q276" s="5">
        <f t="shared" si="9"/>
        <v>0.20591697964555422</v>
      </c>
    </row>
    <row r="277" spans="1:17" x14ac:dyDescent="0.3">
      <c r="A277" t="s">
        <v>445</v>
      </c>
      <c r="B277" t="s">
        <v>132</v>
      </c>
      <c r="C277" t="s">
        <v>305</v>
      </c>
      <c r="D277" t="s">
        <v>81</v>
      </c>
      <c r="E277" t="s">
        <v>54</v>
      </c>
      <c r="F277" t="s">
        <v>43</v>
      </c>
      <c r="G277">
        <v>12</v>
      </c>
      <c r="H277" s="4">
        <v>24.02</v>
      </c>
      <c r="I277">
        <v>288.24</v>
      </c>
      <c r="J277">
        <v>9.8000000000000007</v>
      </c>
      <c r="K277">
        <v>38.44</v>
      </c>
      <c r="L277" t="s">
        <v>22</v>
      </c>
      <c r="M277" t="s">
        <v>37</v>
      </c>
      <c r="N277" t="s">
        <v>66</v>
      </c>
      <c r="O277">
        <f>_xlfn.XLOOKUP(E277,Product_Master!$B$2:$B$11,Product_Master!$F$2:$F$11)</f>
        <v>20</v>
      </c>
      <c r="P277">
        <f t="shared" si="8"/>
        <v>240</v>
      </c>
      <c r="Q277" s="5">
        <f t="shared" si="9"/>
        <v>0.133361087982237</v>
      </c>
    </row>
    <row r="278" spans="1:17" x14ac:dyDescent="0.3">
      <c r="A278" t="s">
        <v>446</v>
      </c>
      <c r="B278" t="s">
        <v>17</v>
      </c>
      <c r="C278" t="s">
        <v>383</v>
      </c>
      <c r="D278" t="s">
        <v>81</v>
      </c>
      <c r="E278" t="s">
        <v>73</v>
      </c>
      <c r="F278" t="s">
        <v>43</v>
      </c>
      <c r="G278">
        <v>32</v>
      </c>
      <c r="H278" s="4">
        <v>15.64</v>
      </c>
      <c r="I278">
        <v>500.48</v>
      </c>
      <c r="J278">
        <v>24.69</v>
      </c>
      <c r="K278">
        <v>67.790000000000006</v>
      </c>
      <c r="L278" t="s">
        <v>44</v>
      </c>
      <c r="M278" t="s">
        <v>23</v>
      </c>
      <c r="N278" t="s">
        <v>66</v>
      </c>
      <c r="O278">
        <f>_xlfn.XLOOKUP(E278,Product_Master!$B$2:$B$11,Product_Master!$F$2:$F$11)</f>
        <v>12.75</v>
      </c>
      <c r="P278">
        <f t="shared" si="8"/>
        <v>408</v>
      </c>
      <c r="Q278" s="5">
        <f t="shared" si="9"/>
        <v>0.13544996803069054</v>
      </c>
    </row>
    <row r="279" spans="1:17" x14ac:dyDescent="0.3">
      <c r="A279" t="s">
        <v>447</v>
      </c>
      <c r="B279" t="s">
        <v>39</v>
      </c>
      <c r="C279" t="s">
        <v>259</v>
      </c>
      <c r="D279" t="s">
        <v>147</v>
      </c>
      <c r="E279" t="s">
        <v>42</v>
      </c>
      <c r="F279" t="s">
        <v>43</v>
      </c>
      <c r="G279">
        <v>22</v>
      </c>
      <c r="H279" s="4">
        <v>42.54</v>
      </c>
      <c r="I279">
        <v>935.88</v>
      </c>
      <c r="J279">
        <v>45.37</v>
      </c>
      <c r="K279">
        <v>186.51</v>
      </c>
      <c r="L279" t="s">
        <v>22</v>
      </c>
      <c r="M279" t="s">
        <v>37</v>
      </c>
      <c r="N279" t="s">
        <v>148</v>
      </c>
      <c r="O279">
        <f>_xlfn.XLOOKUP(E279,Product_Master!$B$2:$B$11,Product_Master!$F$2:$F$11)</f>
        <v>32</v>
      </c>
      <c r="P279">
        <f t="shared" si="8"/>
        <v>704</v>
      </c>
      <c r="Q279" s="5">
        <f t="shared" si="9"/>
        <v>0.1992883703038851</v>
      </c>
    </row>
    <row r="280" spans="1:17" x14ac:dyDescent="0.3">
      <c r="A280" t="s">
        <v>448</v>
      </c>
      <c r="B280" t="s">
        <v>56</v>
      </c>
      <c r="C280" t="s">
        <v>334</v>
      </c>
      <c r="D280" t="s">
        <v>196</v>
      </c>
      <c r="E280" t="s">
        <v>64</v>
      </c>
      <c r="F280" t="s">
        <v>65</v>
      </c>
      <c r="G280">
        <v>37</v>
      </c>
      <c r="H280" s="4">
        <v>43.55</v>
      </c>
      <c r="I280">
        <v>1611.35</v>
      </c>
      <c r="J280">
        <v>67.78</v>
      </c>
      <c r="K280">
        <v>618.57000000000005</v>
      </c>
      <c r="L280" t="s">
        <v>30</v>
      </c>
      <c r="M280" t="s">
        <v>31</v>
      </c>
      <c r="N280" t="s">
        <v>66</v>
      </c>
      <c r="O280">
        <f>_xlfn.XLOOKUP(E280,Product_Master!$B$2:$B$11,Product_Master!$F$2:$F$11)</f>
        <v>25</v>
      </c>
      <c r="P280">
        <f t="shared" si="8"/>
        <v>925</v>
      </c>
      <c r="Q280" s="5">
        <f t="shared" si="9"/>
        <v>0.38388307940546751</v>
      </c>
    </row>
    <row r="281" spans="1:17" x14ac:dyDescent="0.3">
      <c r="A281" t="s">
        <v>449</v>
      </c>
      <c r="B281" t="s">
        <v>71</v>
      </c>
      <c r="C281" t="s">
        <v>130</v>
      </c>
      <c r="D281" t="s">
        <v>41</v>
      </c>
      <c r="E281" t="s">
        <v>69</v>
      </c>
      <c r="F281" t="s">
        <v>59</v>
      </c>
      <c r="G281">
        <v>42</v>
      </c>
      <c r="H281" s="4">
        <v>20.260000000000002</v>
      </c>
      <c r="I281">
        <v>850.92</v>
      </c>
      <c r="J281">
        <v>22.43</v>
      </c>
      <c r="K281">
        <v>177.49</v>
      </c>
      <c r="L281" t="s">
        <v>44</v>
      </c>
      <c r="M281" t="s">
        <v>37</v>
      </c>
      <c r="N281" t="s">
        <v>45</v>
      </c>
      <c r="O281">
        <f>_xlfn.XLOOKUP(E281,Product_Master!$B$2:$B$11,Product_Master!$F$2:$F$11)</f>
        <v>15.5</v>
      </c>
      <c r="P281">
        <f t="shared" si="8"/>
        <v>651</v>
      </c>
      <c r="Q281" s="5">
        <f t="shared" si="9"/>
        <v>0.20858600103417479</v>
      </c>
    </row>
    <row r="282" spans="1:17" x14ac:dyDescent="0.3">
      <c r="A282" t="s">
        <v>450</v>
      </c>
      <c r="B282" t="s">
        <v>61</v>
      </c>
      <c r="C282" t="s">
        <v>79</v>
      </c>
      <c r="D282" t="s">
        <v>48</v>
      </c>
      <c r="E282" t="s">
        <v>29</v>
      </c>
      <c r="F282" t="s">
        <v>21</v>
      </c>
      <c r="G282">
        <v>43</v>
      </c>
      <c r="H282" s="4">
        <v>24.08</v>
      </c>
      <c r="I282">
        <v>1035.44</v>
      </c>
      <c r="J282">
        <v>35.07</v>
      </c>
      <c r="K282">
        <v>226.37</v>
      </c>
      <c r="L282" t="s">
        <v>30</v>
      </c>
      <c r="M282" t="s">
        <v>37</v>
      </c>
      <c r="N282" t="s">
        <v>24</v>
      </c>
      <c r="O282">
        <f>_xlfn.XLOOKUP(E282,Product_Master!$B$2:$B$11,Product_Master!$F$2:$F$11)</f>
        <v>18</v>
      </c>
      <c r="P282">
        <f t="shared" si="8"/>
        <v>774</v>
      </c>
      <c r="Q282" s="5">
        <f t="shared" si="9"/>
        <v>0.21862203507687553</v>
      </c>
    </row>
    <row r="283" spans="1:17" x14ac:dyDescent="0.3">
      <c r="A283" t="s">
        <v>451</v>
      </c>
      <c r="B283" t="s">
        <v>56</v>
      </c>
      <c r="C283" t="s">
        <v>316</v>
      </c>
      <c r="D283" t="s">
        <v>170</v>
      </c>
      <c r="E283" t="s">
        <v>49</v>
      </c>
      <c r="F283" t="s">
        <v>50</v>
      </c>
      <c r="G283">
        <v>14</v>
      </c>
      <c r="H283" s="4">
        <v>69.010000000000005</v>
      </c>
      <c r="I283">
        <v>966.14</v>
      </c>
      <c r="J283">
        <v>32.67</v>
      </c>
      <c r="K283">
        <v>373.47</v>
      </c>
      <c r="L283" t="s">
        <v>30</v>
      </c>
      <c r="M283" t="s">
        <v>23</v>
      </c>
      <c r="N283" t="s">
        <v>32</v>
      </c>
      <c r="O283">
        <f>_xlfn.XLOOKUP(E283,Product_Master!$B$2:$B$11,Product_Master!$F$2:$F$11)</f>
        <v>40</v>
      </c>
      <c r="P283">
        <f t="shared" si="8"/>
        <v>560</v>
      </c>
      <c r="Q283" s="5">
        <f t="shared" si="9"/>
        <v>0.38655888380565967</v>
      </c>
    </row>
    <row r="284" spans="1:17" x14ac:dyDescent="0.3">
      <c r="A284" t="s">
        <v>452</v>
      </c>
      <c r="B284" t="s">
        <v>107</v>
      </c>
      <c r="C284" t="s">
        <v>135</v>
      </c>
      <c r="D284" t="s">
        <v>147</v>
      </c>
      <c r="E284" t="s">
        <v>54</v>
      </c>
      <c r="F284" t="s">
        <v>43</v>
      </c>
      <c r="G284">
        <v>29</v>
      </c>
      <c r="H284" s="4">
        <v>28.29</v>
      </c>
      <c r="I284">
        <v>820.41</v>
      </c>
      <c r="J284">
        <v>63.15</v>
      </c>
      <c r="K284">
        <v>177.26</v>
      </c>
      <c r="L284" t="s">
        <v>44</v>
      </c>
      <c r="M284" t="s">
        <v>37</v>
      </c>
      <c r="N284" t="s">
        <v>148</v>
      </c>
      <c r="O284">
        <f>_xlfn.XLOOKUP(E284,Product_Master!$B$2:$B$11,Product_Master!$F$2:$F$11)</f>
        <v>20</v>
      </c>
      <c r="P284">
        <f t="shared" si="8"/>
        <v>580</v>
      </c>
      <c r="Q284" s="5">
        <f t="shared" si="9"/>
        <v>0.21606270035713851</v>
      </c>
    </row>
    <row r="285" spans="1:17" x14ac:dyDescent="0.3">
      <c r="A285" t="s">
        <v>453</v>
      </c>
      <c r="B285" t="s">
        <v>157</v>
      </c>
      <c r="C285" t="s">
        <v>240</v>
      </c>
      <c r="D285" t="s">
        <v>53</v>
      </c>
      <c r="E285" t="s">
        <v>69</v>
      </c>
      <c r="F285" t="s">
        <v>59</v>
      </c>
      <c r="G285">
        <v>29</v>
      </c>
      <c r="H285" s="4">
        <v>26.51</v>
      </c>
      <c r="I285">
        <v>768.79</v>
      </c>
      <c r="J285">
        <v>15.66</v>
      </c>
      <c r="K285">
        <v>303.63</v>
      </c>
      <c r="L285" t="s">
        <v>30</v>
      </c>
      <c r="M285" t="s">
        <v>23</v>
      </c>
      <c r="N285" t="s">
        <v>24</v>
      </c>
      <c r="O285">
        <f>_xlfn.XLOOKUP(E285,Product_Master!$B$2:$B$11,Product_Master!$F$2:$F$11)</f>
        <v>15.5</v>
      </c>
      <c r="P285">
        <f t="shared" si="8"/>
        <v>449.5</v>
      </c>
      <c r="Q285" s="5">
        <f t="shared" si="9"/>
        <v>0.3949453036589966</v>
      </c>
    </row>
    <row r="286" spans="1:17" x14ac:dyDescent="0.3">
      <c r="A286" t="s">
        <v>454</v>
      </c>
      <c r="B286" t="s">
        <v>78</v>
      </c>
      <c r="C286" t="s">
        <v>139</v>
      </c>
      <c r="D286" t="s">
        <v>48</v>
      </c>
      <c r="E286" t="s">
        <v>20</v>
      </c>
      <c r="F286" t="s">
        <v>21</v>
      </c>
      <c r="G286">
        <v>11</v>
      </c>
      <c r="H286" s="4">
        <v>58.07</v>
      </c>
      <c r="I286">
        <v>638.77</v>
      </c>
      <c r="J286">
        <v>43.89</v>
      </c>
      <c r="K286">
        <v>209.88</v>
      </c>
      <c r="L286" t="s">
        <v>22</v>
      </c>
      <c r="M286" t="s">
        <v>31</v>
      </c>
      <c r="N286" t="s">
        <v>24</v>
      </c>
      <c r="O286">
        <f>_xlfn.XLOOKUP(E286,Product_Master!$B$2:$B$11,Product_Master!$F$2:$F$11)</f>
        <v>35</v>
      </c>
      <c r="P286">
        <f t="shared" si="8"/>
        <v>385</v>
      </c>
      <c r="Q286" s="5">
        <f t="shared" si="9"/>
        <v>0.32856896848630962</v>
      </c>
    </row>
    <row r="287" spans="1:17" x14ac:dyDescent="0.3">
      <c r="A287" t="s">
        <v>455</v>
      </c>
      <c r="B287" t="s">
        <v>61</v>
      </c>
      <c r="C287" t="s">
        <v>127</v>
      </c>
      <c r="D287" t="s">
        <v>28</v>
      </c>
      <c r="E287" t="s">
        <v>42</v>
      </c>
      <c r="F287" t="s">
        <v>43</v>
      </c>
      <c r="G287">
        <v>3</v>
      </c>
      <c r="H287" s="4">
        <v>48.76</v>
      </c>
      <c r="I287">
        <v>146.28</v>
      </c>
      <c r="J287">
        <v>10.45</v>
      </c>
      <c r="K287">
        <v>39.83</v>
      </c>
      <c r="L287" t="s">
        <v>44</v>
      </c>
      <c r="M287" t="s">
        <v>31</v>
      </c>
      <c r="N287" t="s">
        <v>32</v>
      </c>
      <c r="O287">
        <f>_xlfn.XLOOKUP(E287,Product_Master!$B$2:$B$11,Product_Master!$F$2:$F$11)</f>
        <v>32</v>
      </c>
      <c r="P287">
        <f t="shared" si="8"/>
        <v>96</v>
      </c>
      <c r="Q287" s="5">
        <f t="shared" si="9"/>
        <v>0.2722860267979218</v>
      </c>
    </row>
    <row r="288" spans="1:17" x14ac:dyDescent="0.3">
      <c r="A288" t="s">
        <v>456</v>
      </c>
      <c r="B288" t="s">
        <v>107</v>
      </c>
      <c r="C288" t="s">
        <v>180</v>
      </c>
      <c r="D288" t="s">
        <v>196</v>
      </c>
      <c r="E288" t="s">
        <v>54</v>
      </c>
      <c r="F288" t="s">
        <v>43</v>
      </c>
      <c r="G288">
        <v>49</v>
      </c>
      <c r="H288" s="4">
        <v>30.46</v>
      </c>
      <c r="I288">
        <v>1492.54</v>
      </c>
      <c r="J288">
        <v>51.82</v>
      </c>
      <c r="K288">
        <v>460.72</v>
      </c>
      <c r="L288" t="s">
        <v>30</v>
      </c>
      <c r="M288" t="s">
        <v>23</v>
      </c>
      <c r="N288" t="s">
        <v>66</v>
      </c>
      <c r="O288">
        <f>_xlfn.XLOOKUP(E288,Product_Master!$B$2:$B$11,Product_Master!$F$2:$F$11)</f>
        <v>20</v>
      </c>
      <c r="P288">
        <f t="shared" si="8"/>
        <v>980</v>
      </c>
      <c r="Q288" s="5">
        <f t="shared" si="9"/>
        <v>0.30868184437268015</v>
      </c>
    </row>
    <row r="289" spans="1:17" x14ac:dyDescent="0.3">
      <c r="A289" t="s">
        <v>457</v>
      </c>
      <c r="B289" t="s">
        <v>68</v>
      </c>
      <c r="C289" t="s">
        <v>35</v>
      </c>
      <c r="D289" t="s">
        <v>63</v>
      </c>
      <c r="E289" t="s">
        <v>98</v>
      </c>
      <c r="F289" t="s">
        <v>59</v>
      </c>
      <c r="G289">
        <v>25</v>
      </c>
      <c r="H289" s="4">
        <v>35.21</v>
      </c>
      <c r="I289">
        <v>880.25</v>
      </c>
      <c r="J289">
        <v>39.799999999999997</v>
      </c>
      <c r="K289">
        <v>140.44999999999999</v>
      </c>
      <c r="L289" t="s">
        <v>44</v>
      </c>
      <c r="M289" t="s">
        <v>31</v>
      </c>
      <c r="N289" t="s">
        <v>66</v>
      </c>
      <c r="O289">
        <f>_xlfn.XLOOKUP(E289,Product_Master!$B$2:$B$11,Product_Master!$F$2:$F$11)</f>
        <v>28</v>
      </c>
      <c r="P289">
        <f t="shared" si="8"/>
        <v>700</v>
      </c>
      <c r="Q289" s="5">
        <f t="shared" si="9"/>
        <v>0.1595569440499858</v>
      </c>
    </row>
    <row r="290" spans="1:17" x14ac:dyDescent="0.3">
      <c r="A290" t="s">
        <v>458</v>
      </c>
      <c r="B290" t="s">
        <v>157</v>
      </c>
      <c r="C290" t="s">
        <v>240</v>
      </c>
      <c r="D290" t="s">
        <v>19</v>
      </c>
      <c r="E290" t="s">
        <v>98</v>
      </c>
      <c r="F290" t="s">
        <v>59</v>
      </c>
      <c r="G290">
        <v>37</v>
      </c>
      <c r="H290" s="4">
        <v>44.82</v>
      </c>
      <c r="I290">
        <v>1658.34</v>
      </c>
      <c r="J290">
        <v>65.75</v>
      </c>
      <c r="K290">
        <v>556.59</v>
      </c>
      <c r="L290" t="s">
        <v>30</v>
      </c>
      <c r="M290" t="s">
        <v>31</v>
      </c>
      <c r="N290" t="s">
        <v>24</v>
      </c>
      <c r="O290">
        <f>_xlfn.XLOOKUP(E290,Product_Master!$B$2:$B$11,Product_Master!$F$2:$F$11)</f>
        <v>28</v>
      </c>
      <c r="P290">
        <f t="shared" si="8"/>
        <v>1036</v>
      </c>
      <c r="Q290" s="5">
        <f t="shared" si="9"/>
        <v>0.33563081153442603</v>
      </c>
    </row>
    <row r="291" spans="1:17" x14ac:dyDescent="0.3">
      <c r="A291" t="s">
        <v>459</v>
      </c>
      <c r="B291" t="s">
        <v>56</v>
      </c>
      <c r="C291" t="s">
        <v>325</v>
      </c>
      <c r="D291" t="s">
        <v>170</v>
      </c>
      <c r="E291" t="s">
        <v>69</v>
      </c>
      <c r="F291" t="s">
        <v>59</v>
      </c>
      <c r="G291">
        <v>11</v>
      </c>
      <c r="H291" s="4">
        <v>18.75</v>
      </c>
      <c r="I291">
        <v>206.25</v>
      </c>
      <c r="J291">
        <v>11.67</v>
      </c>
      <c r="K291">
        <v>24.08</v>
      </c>
      <c r="L291" t="s">
        <v>22</v>
      </c>
      <c r="M291" t="s">
        <v>23</v>
      </c>
      <c r="N291" t="s">
        <v>32</v>
      </c>
      <c r="O291">
        <f>_xlfn.XLOOKUP(E291,Product_Master!$B$2:$B$11,Product_Master!$F$2:$F$11)</f>
        <v>15.5</v>
      </c>
      <c r="P291">
        <f t="shared" si="8"/>
        <v>170.5</v>
      </c>
      <c r="Q291" s="5">
        <f t="shared" si="9"/>
        <v>0.11675151515151515</v>
      </c>
    </row>
    <row r="292" spans="1:17" x14ac:dyDescent="0.3">
      <c r="A292" t="s">
        <v>460</v>
      </c>
      <c r="B292" t="s">
        <v>83</v>
      </c>
      <c r="C292" t="s">
        <v>240</v>
      </c>
      <c r="D292" t="s">
        <v>41</v>
      </c>
      <c r="E292" t="s">
        <v>54</v>
      </c>
      <c r="F292" t="s">
        <v>43</v>
      </c>
      <c r="G292">
        <v>37</v>
      </c>
      <c r="H292" s="4">
        <v>31.66</v>
      </c>
      <c r="I292">
        <v>1171.42</v>
      </c>
      <c r="J292">
        <v>58.95</v>
      </c>
      <c r="K292">
        <v>372.47</v>
      </c>
      <c r="L292" t="s">
        <v>44</v>
      </c>
      <c r="M292" t="s">
        <v>23</v>
      </c>
      <c r="N292" t="s">
        <v>45</v>
      </c>
      <c r="O292">
        <f>_xlfn.XLOOKUP(E292,Product_Master!$B$2:$B$11,Product_Master!$F$2:$F$11)</f>
        <v>20</v>
      </c>
      <c r="P292">
        <f t="shared" si="8"/>
        <v>740</v>
      </c>
      <c r="Q292" s="5">
        <f t="shared" si="9"/>
        <v>0.31796452169162215</v>
      </c>
    </row>
    <row r="293" spans="1:17" x14ac:dyDescent="0.3">
      <c r="A293" t="s">
        <v>461</v>
      </c>
      <c r="B293" t="s">
        <v>95</v>
      </c>
      <c r="C293" t="s">
        <v>319</v>
      </c>
      <c r="D293" t="s">
        <v>28</v>
      </c>
      <c r="E293" t="s">
        <v>54</v>
      </c>
      <c r="F293" t="s">
        <v>43</v>
      </c>
      <c r="G293">
        <v>17</v>
      </c>
      <c r="H293" s="4">
        <v>32.74</v>
      </c>
      <c r="I293">
        <v>556.58000000000004</v>
      </c>
      <c r="J293">
        <v>14.68</v>
      </c>
      <c r="K293">
        <v>201.9</v>
      </c>
      <c r="L293" t="s">
        <v>30</v>
      </c>
      <c r="M293" t="s">
        <v>31</v>
      </c>
      <c r="N293" t="s">
        <v>32</v>
      </c>
      <c r="O293">
        <f>_xlfn.XLOOKUP(E293,Product_Master!$B$2:$B$11,Product_Master!$F$2:$F$11)</f>
        <v>20</v>
      </c>
      <c r="P293">
        <f t="shared" si="8"/>
        <v>340</v>
      </c>
      <c r="Q293" s="5">
        <f t="shared" si="9"/>
        <v>0.36275108699558012</v>
      </c>
    </row>
    <row r="294" spans="1:17" x14ac:dyDescent="0.3">
      <c r="A294" t="s">
        <v>462</v>
      </c>
      <c r="B294" t="s">
        <v>34</v>
      </c>
      <c r="C294" t="s">
        <v>79</v>
      </c>
      <c r="D294" t="s">
        <v>19</v>
      </c>
      <c r="E294" t="s">
        <v>98</v>
      </c>
      <c r="F294" t="s">
        <v>59</v>
      </c>
      <c r="G294">
        <v>7</v>
      </c>
      <c r="H294" s="4">
        <v>46.64</v>
      </c>
      <c r="I294">
        <v>326.48</v>
      </c>
      <c r="J294">
        <v>25.19</v>
      </c>
      <c r="K294">
        <v>105.29</v>
      </c>
      <c r="L294" t="s">
        <v>30</v>
      </c>
      <c r="M294" t="s">
        <v>37</v>
      </c>
      <c r="N294" t="s">
        <v>24</v>
      </c>
      <c r="O294">
        <f>_xlfn.XLOOKUP(E294,Product_Master!$B$2:$B$11,Product_Master!$F$2:$F$11)</f>
        <v>28</v>
      </c>
      <c r="P294">
        <f t="shared" si="8"/>
        <v>196</v>
      </c>
      <c r="Q294" s="5">
        <f t="shared" si="9"/>
        <v>0.32250061259495222</v>
      </c>
    </row>
    <row r="295" spans="1:17" x14ac:dyDescent="0.3">
      <c r="A295" t="s">
        <v>463</v>
      </c>
      <c r="B295" t="s">
        <v>26</v>
      </c>
      <c r="C295" t="s">
        <v>153</v>
      </c>
      <c r="D295" t="s">
        <v>88</v>
      </c>
      <c r="E295" t="s">
        <v>29</v>
      </c>
      <c r="F295" t="s">
        <v>21</v>
      </c>
      <c r="G295">
        <v>16</v>
      </c>
      <c r="H295" s="4">
        <v>24.77</v>
      </c>
      <c r="I295">
        <v>396.32</v>
      </c>
      <c r="J295">
        <v>15.6</v>
      </c>
      <c r="K295">
        <v>92.72</v>
      </c>
      <c r="L295" t="s">
        <v>22</v>
      </c>
      <c r="M295" t="s">
        <v>37</v>
      </c>
      <c r="N295" t="s">
        <v>66</v>
      </c>
      <c r="O295">
        <f>_xlfn.XLOOKUP(E295,Product_Master!$B$2:$B$11,Product_Master!$F$2:$F$11)</f>
        <v>18</v>
      </c>
      <c r="P295">
        <f t="shared" si="8"/>
        <v>288</v>
      </c>
      <c r="Q295" s="5">
        <f t="shared" si="9"/>
        <v>0.23395236172789666</v>
      </c>
    </row>
    <row r="296" spans="1:17" x14ac:dyDescent="0.3">
      <c r="A296" t="s">
        <v>464</v>
      </c>
      <c r="B296" t="s">
        <v>75</v>
      </c>
      <c r="C296" t="s">
        <v>72</v>
      </c>
      <c r="D296" t="s">
        <v>53</v>
      </c>
      <c r="E296" t="s">
        <v>49</v>
      </c>
      <c r="F296" t="s">
        <v>50</v>
      </c>
      <c r="G296">
        <v>39</v>
      </c>
      <c r="H296" s="4">
        <v>56.5</v>
      </c>
      <c r="I296">
        <v>2203.5</v>
      </c>
      <c r="J296">
        <v>141.58000000000001</v>
      </c>
      <c r="K296">
        <v>501.92</v>
      </c>
      <c r="L296" t="s">
        <v>44</v>
      </c>
      <c r="M296" t="s">
        <v>23</v>
      </c>
      <c r="N296" t="s">
        <v>24</v>
      </c>
      <c r="O296">
        <f>_xlfn.XLOOKUP(E296,Product_Master!$B$2:$B$11,Product_Master!$F$2:$F$11)</f>
        <v>40</v>
      </c>
      <c r="P296">
        <f t="shared" si="8"/>
        <v>1560</v>
      </c>
      <c r="Q296" s="5">
        <f t="shared" si="9"/>
        <v>0.2277830723848423</v>
      </c>
    </row>
    <row r="297" spans="1:17" x14ac:dyDescent="0.3">
      <c r="A297" t="s">
        <v>465</v>
      </c>
      <c r="B297" t="s">
        <v>68</v>
      </c>
      <c r="C297" t="s">
        <v>383</v>
      </c>
      <c r="D297" t="s">
        <v>196</v>
      </c>
      <c r="E297" t="s">
        <v>69</v>
      </c>
      <c r="F297" t="s">
        <v>59</v>
      </c>
      <c r="G297">
        <v>1</v>
      </c>
      <c r="H297" s="4">
        <v>24.01</v>
      </c>
      <c r="I297">
        <v>24.01</v>
      </c>
      <c r="J297">
        <v>1.58</v>
      </c>
      <c r="K297">
        <v>6.93</v>
      </c>
      <c r="L297" t="s">
        <v>22</v>
      </c>
      <c r="M297" t="s">
        <v>23</v>
      </c>
      <c r="N297" t="s">
        <v>66</v>
      </c>
      <c r="O297">
        <f>_xlfn.XLOOKUP(E297,Product_Master!$B$2:$B$11,Product_Master!$F$2:$F$11)</f>
        <v>15.5</v>
      </c>
      <c r="P297">
        <f t="shared" si="8"/>
        <v>15.5</v>
      </c>
      <c r="Q297" s="5">
        <f t="shared" si="9"/>
        <v>0.28862973760932942</v>
      </c>
    </row>
    <row r="298" spans="1:17" x14ac:dyDescent="0.3">
      <c r="A298" t="s">
        <v>466</v>
      </c>
      <c r="B298" t="s">
        <v>78</v>
      </c>
      <c r="C298" t="s">
        <v>117</v>
      </c>
      <c r="D298" t="s">
        <v>196</v>
      </c>
      <c r="E298" t="s">
        <v>64</v>
      </c>
      <c r="F298" t="s">
        <v>65</v>
      </c>
      <c r="G298">
        <v>45</v>
      </c>
      <c r="H298" s="4">
        <v>35.99</v>
      </c>
      <c r="I298">
        <v>1619.55</v>
      </c>
      <c r="J298">
        <v>49.95</v>
      </c>
      <c r="K298">
        <v>444.6</v>
      </c>
      <c r="L298" t="s">
        <v>22</v>
      </c>
      <c r="M298" t="s">
        <v>31</v>
      </c>
      <c r="N298" t="s">
        <v>66</v>
      </c>
      <c r="O298">
        <f>_xlfn.XLOOKUP(E298,Product_Master!$B$2:$B$11,Product_Master!$F$2:$F$11)</f>
        <v>25</v>
      </c>
      <c r="P298">
        <f t="shared" si="8"/>
        <v>1125</v>
      </c>
      <c r="Q298" s="5">
        <f t="shared" si="9"/>
        <v>0.27452070019449848</v>
      </c>
    </row>
    <row r="299" spans="1:17" x14ac:dyDescent="0.3">
      <c r="A299" t="s">
        <v>467</v>
      </c>
      <c r="B299" t="s">
        <v>26</v>
      </c>
      <c r="C299" t="s">
        <v>185</v>
      </c>
      <c r="D299" t="s">
        <v>81</v>
      </c>
      <c r="E299" t="s">
        <v>54</v>
      </c>
      <c r="F299" t="s">
        <v>43</v>
      </c>
      <c r="G299">
        <v>5</v>
      </c>
      <c r="H299" s="4">
        <v>25.45</v>
      </c>
      <c r="I299">
        <v>127.25</v>
      </c>
      <c r="J299">
        <v>7.22</v>
      </c>
      <c r="K299">
        <v>20.03</v>
      </c>
      <c r="L299" t="s">
        <v>44</v>
      </c>
      <c r="M299" t="s">
        <v>37</v>
      </c>
      <c r="N299" t="s">
        <v>66</v>
      </c>
      <c r="O299">
        <f>_xlfn.XLOOKUP(E299,Product_Master!$B$2:$B$11,Product_Master!$F$2:$F$11)</f>
        <v>20</v>
      </c>
      <c r="P299">
        <f t="shared" si="8"/>
        <v>100</v>
      </c>
      <c r="Q299" s="5">
        <f t="shared" si="9"/>
        <v>0.15740667976424363</v>
      </c>
    </row>
    <row r="300" spans="1:17" x14ac:dyDescent="0.3">
      <c r="A300" t="s">
        <v>468</v>
      </c>
      <c r="B300" t="s">
        <v>17</v>
      </c>
      <c r="C300" t="s">
        <v>117</v>
      </c>
      <c r="D300" t="s">
        <v>91</v>
      </c>
      <c r="E300" t="s">
        <v>69</v>
      </c>
      <c r="F300" t="s">
        <v>59</v>
      </c>
      <c r="G300">
        <v>24</v>
      </c>
      <c r="H300" s="4">
        <v>19.53</v>
      </c>
      <c r="I300">
        <v>468.72</v>
      </c>
      <c r="J300">
        <v>14.12</v>
      </c>
      <c r="K300">
        <v>82.6</v>
      </c>
      <c r="L300" t="s">
        <v>22</v>
      </c>
      <c r="M300" t="s">
        <v>23</v>
      </c>
      <c r="N300" t="s">
        <v>66</v>
      </c>
      <c r="O300">
        <f>_xlfn.XLOOKUP(E300,Product_Master!$B$2:$B$11,Product_Master!$F$2:$F$11)</f>
        <v>15.5</v>
      </c>
      <c r="P300">
        <f t="shared" si="8"/>
        <v>372</v>
      </c>
      <c r="Q300" s="5">
        <f t="shared" si="9"/>
        <v>0.17622461170848266</v>
      </c>
    </row>
    <row r="301" spans="1:17" x14ac:dyDescent="0.3">
      <c r="A301" t="s">
        <v>469</v>
      </c>
      <c r="B301" t="s">
        <v>17</v>
      </c>
      <c r="C301" t="s">
        <v>27</v>
      </c>
      <c r="D301" t="s">
        <v>48</v>
      </c>
      <c r="E301" t="s">
        <v>73</v>
      </c>
      <c r="F301" t="s">
        <v>43</v>
      </c>
      <c r="G301">
        <v>28</v>
      </c>
      <c r="H301" s="4">
        <v>22.33</v>
      </c>
      <c r="I301">
        <v>625.24</v>
      </c>
      <c r="J301">
        <v>44.24</v>
      </c>
      <c r="K301">
        <v>224</v>
      </c>
      <c r="L301" t="s">
        <v>22</v>
      </c>
      <c r="M301" t="s">
        <v>23</v>
      </c>
      <c r="N301" t="s">
        <v>24</v>
      </c>
      <c r="O301">
        <f>_xlfn.XLOOKUP(E301,Product_Master!$B$2:$B$11,Product_Master!$F$2:$F$11)</f>
        <v>12.75</v>
      </c>
      <c r="P301">
        <f t="shared" si="8"/>
        <v>357</v>
      </c>
      <c r="Q301" s="5">
        <f t="shared" si="9"/>
        <v>0.35826242722794449</v>
      </c>
    </row>
    <row r="302" spans="1:17" x14ac:dyDescent="0.3">
      <c r="A302" t="s">
        <v>470</v>
      </c>
      <c r="B302" t="s">
        <v>132</v>
      </c>
      <c r="C302" t="s">
        <v>108</v>
      </c>
      <c r="D302" t="s">
        <v>36</v>
      </c>
      <c r="E302" t="s">
        <v>42</v>
      </c>
      <c r="F302" t="s">
        <v>43</v>
      </c>
      <c r="G302">
        <v>49</v>
      </c>
      <c r="H302" s="4">
        <v>39.31</v>
      </c>
      <c r="I302">
        <v>1926.19</v>
      </c>
      <c r="J302">
        <v>69.7</v>
      </c>
      <c r="K302">
        <v>288.49</v>
      </c>
      <c r="L302" t="s">
        <v>30</v>
      </c>
      <c r="M302" t="s">
        <v>23</v>
      </c>
      <c r="N302" t="s">
        <v>32</v>
      </c>
      <c r="O302">
        <f>_xlfn.XLOOKUP(E302,Product_Master!$B$2:$B$11,Product_Master!$F$2:$F$11)</f>
        <v>32</v>
      </c>
      <c r="P302">
        <f t="shared" si="8"/>
        <v>1568</v>
      </c>
      <c r="Q302" s="5">
        <f t="shared" si="9"/>
        <v>0.14977234852221225</v>
      </c>
    </row>
    <row r="303" spans="1:17" x14ac:dyDescent="0.3">
      <c r="A303" t="s">
        <v>471</v>
      </c>
      <c r="B303" t="s">
        <v>95</v>
      </c>
      <c r="C303" t="s">
        <v>202</v>
      </c>
      <c r="D303" t="s">
        <v>196</v>
      </c>
      <c r="E303" t="s">
        <v>69</v>
      </c>
      <c r="F303" t="s">
        <v>59</v>
      </c>
      <c r="G303">
        <v>6</v>
      </c>
      <c r="H303" s="4">
        <v>22.95</v>
      </c>
      <c r="I303">
        <v>137.69999999999999</v>
      </c>
      <c r="J303">
        <v>5.63</v>
      </c>
      <c r="K303">
        <v>39.07</v>
      </c>
      <c r="L303" t="s">
        <v>30</v>
      </c>
      <c r="M303" t="s">
        <v>31</v>
      </c>
      <c r="N303" t="s">
        <v>66</v>
      </c>
      <c r="O303">
        <f>_xlfn.XLOOKUP(E303,Product_Master!$B$2:$B$11,Product_Master!$F$2:$F$11)</f>
        <v>15.5</v>
      </c>
      <c r="P303">
        <f t="shared" si="8"/>
        <v>93</v>
      </c>
      <c r="Q303" s="5">
        <f t="shared" si="9"/>
        <v>0.28373275236020334</v>
      </c>
    </row>
    <row r="304" spans="1:17" x14ac:dyDescent="0.3">
      <c r="A304" t="s">
        <v>472</v>
      </c>
      <c r="B304" t="s">
        <v>56</v>
      </c>
      <c r="C304" t="s">
        <v>173</v>
      </c>
      <c r="D304" t="s">
        <v>53</v>
      </c>
      <c r="E304" t="s">
        <v>54</v>
      </c>
      <c r="F304" t="s">
        <v>43</v>
      </c>
      <c r="G304">
        <v>35</v>
      </c>
      <c r="H304" s="4">
        <v>27.72</v>
      </c>
      <c r="I304">
        <v>970.2</v>
      </c>
      <c r="J304">
        <v>61.74</v>
      </c>
      <c r="K304">
        <v>208.46</v>
      </c>
      <c r="L304" t="s">
        <v>22</v>
      </c>
      <c r="M304" t="s">
        <v>37</v>
      </c>
      <c r="N304" t="s">
        <v>24</v>
      </c>
      <c r="O304">
        <f>_xlfn.XLOOKUP(E304,Product_Master!$B$2:$B$11,Product_Master!$F$2:$F$11)</f>
        <v>20</v>
      </c>
      <c r="P304">
        <f t="shared" si="8"/>
        <v>700</v>
      </c>
      <c r="Q304" s="5">
        <f t="shared" si="9"/>
        <v>0.21486291486291487</v>
      </c>
    </row>
    <row r="305" spans="1:17" x14ac:dyDescent="0.3">
      <c r="A305" t="s">
        <v>473</v>
      </c>
      <c r="B305" t="s">
        <v>39</v>
      </c>
      <c r="C305" t="s">
        <v>164</v>
      </c>
      <c r="D305" t="s">
        <v>63</v>
      </c>
      <c r="E305" t="s">
        <v>49</v>
      </c>
      <c r="F305" t="s">
        <v>50</v>
      </c>
      <c r="G305">
        <v>34</v>
      </c>
      <c r="H305" s="4">
        <v>64.75</v>
      </c>
      <c r="I305">
        <v>2201.5</v>
      </c>
      <c r="J305">
        <v>68.05</v>
      </c>
      <c r="K305">
        <v>773.45</v>
      </c>
      <c r="L305" t="s">
        <v>44</v>
      </c>
      <c r="M305" t="s">
        <v>37</v>
      </c>
      <c r="N305" t="s">
        <v>66</v>
      </c>
      <c r="O305">
        <f>_xlfn.XLOOKUP(E305,Product_Master!$B$2:$B$11,Product_Master!$F$2:$F$11)</f>
        <v>40</v>
      </c>
      <c r="P305">
        <f t="shared" si="8"/>
        <v>1360</v>
      </c>
      <c r="Q305" s="5">
        <f t="shared" si="9"/>
        <v>0.35132863956393368</v>
      </c>
    </row>
    <row r="306" spans="1:17" x14ac:dyDescent="0.3">
      <c r="A306" t="s">
        <v>474</v>
      </c>
      <c r="B306" t="s">
        <v>75</v>
      </c>
      <c r="C306" t="s">
        <v>137</v>
      </c>
      <c r="D306" t="s">
        <v>147</v>
      </c>
      <c r="E306" t="s">
        <v>54</v>
      </c>
      <c r="F306" t="s">
        <v>43</v>
      </c>
      <c r="G306">
        <v>49</v>
      </c>
      <c r="H306" s="4">
        <v>26.02</v>
      </c>
      <c r="I306">
        <v>1274.98</v>
      </c>
      <c r="J306">
        <v>61.84</v>
      </c>
      <c r="K306">
        <v>233.14</v>
      </c>
      <c r="L306" t="s">
        <v>44</v>
      </c>
      <c r="M306" t="s">
        <v>31</v>
      </c>
      <c r="N306" t="s">
        <v>148</v>
      </c>
      <c r="O306">
        <f>_xlfn.XLOOKUP(E306,Product_Master!$B$2:$B$11,Product_Master!$F$2:$F$11)</f>
        <v>20</v>
      </c>
      <c r="P306">
        <f t="shared" si="8"/>
        <v>980</v>
      </c>
      <c r="Q306" s="5">
        <f t="shared" si="9"/>
        <v>0.18285777031796577</v>
      </c>
    </row>
    <row r="307" spans="1:17" x14ac:dyDescent="0.3">
      <c r="A307" t="s">
        <v>475</v>
      </c>
      <c r="B307" t="s">
        <v>78</v>
      </c>
      <c r="C307" t="s">
        <v>265</v>
      </c>
      <c r="D307" t="s">
        <v>41</v>
      </c>
      <c r="E307" t="s">
        <v>64</v>
      </c>
      <c r="F307" t="s">
        <v>65</v>
      </c>
      <c r="G307">
        <v>1</v>
      </c>
      <c r="H307" s="4">
        <v>32.979999999999997</v>
      </c>
      <c r="I307">
        <v>32.979999999999997</v>
      </c>
      <c r="J307">
        <v>1.89</v>
      </c>
      <c r="K307">
        <v>6.09</v>
      </c>
      <c r="L307" t="s">
        <v>44</v>
      </c>
      <c r="M307" t="s">
        <v>31</v>
      </c>
      <c r="N307" t="s">
        <v>45</v>
      </c>
      <c r="O307">
        <f>_xlfn.XLOOKUP(E307,Product_Master!$B$2:$B$11,Product_Master!$F$2:$F$11)</f>
        <v>25</v>
      </c>
      <c r="P307">
        <f t="shared" si="8"/>
        <v>25</v>
      </c>
      <c r="Q307" s="5">
        <f t="shared" si="9"/>
        <v>0.18465736810187994</v>
      </c>
    </row>
    <row r="308" spans="1:17" x14ac:dyDescent="0.3">
      <c r="A308" t="s">
        <v>476</v>
      </c>
      <c r="B308" t="s">
        <v>132</v>
      </c>
      <c r="C308" t="s">
        <v>334</v>
      </c>
      <c r="D308" t="s">
        <v>41</v>
      </c>
      <c r="E308" t="s">
        <v>73</v>
      </c>
      <c r="F308" t="s">
        <v>43</v>
      </c>
      <c r="G308">
        <v>18</v>
      </c>
      <c r="H308" s="4">
        <v>20.09</v>
      </c>
      <c r="I308">
        <v>361.62</v>
      </c>
      <c r="J308">
        <v>8.3800000000000008</v>
      </c>
      <c r="K308">
        <v>123.74</v>
      </c>
      <c r="L308" t="s">
        <v>22</v>
      </c>
      <c r="M308" t="s">
        <v>23</v>
      </c>
      <c r="N308" t="s">
        <v>45</v>
      </c>
      <c r="O308">
        <f>_xlfn.XLOOKUP(E308,Product_Master!$B$2:$B$11,Product_Master!$F$2:$F$11)</f>
        <v>12.75</v>
      </c>
      <c r="P308">
        <f t="shared" si="8"/>
        <v>229.5</v>
      </c>
      <c r="Q308" s="5">
        <f t="shared" si="9"/>
        <v>0.34218240141585088</v>
      </c>
    </row>
    <row r="309" spans="1:17" x14ac:dyDescent="0.3">
      <c r="A309" t="s">
        <v>477</v>
      </c>
      <c r="B309" t="s">
        <v>56</v>
      </c>
      <c r="C309" t="s">
        <v>185</v>
      </c>
      <c r="D309" t="s">
        <v>196</v>
      </c>
      <c r="E309" t="s">
        <v>20</v>
      </c>
      <c r="F309" t="s">
        <v>21</v>
      </c>
      <c r="G309">
        <v>39</v>
      </c>
      <c r="H309" s="4">
        <v>49.59</v>
      </c>
      <c r="I309">
        <v>1934.01</v>
      </c>
      <c r="J309">
        <v>62.79</v>
      </c>
      <c r="K309">
        <v>506.22</v>
      </c>
      <c r="L309" t="s">
        <v>30</v>
      </c>
      <c r="M309" t="s">
        <v>31</v>
      </c>
      <c r="N309" t="s">
        <v>66</v>
      </c>
      <c r="O309">
        <f>_xlfn.XLOOKUP(E309,Product_Master!$B$2:$B$11,Product_Master!$F$2:$F$11)</f>
        <v>35</v>
      </c>
      <c r="P309">
        <f t="shared" si="8"/>
        <v>1365</v>
      </c>
      <c r="Q309" s="5">
        <f t="shared" si="9"/>
        <v>0.26174631982254487</v>
      </c>
    </row>
    <row r="310" spans="1:17" x14ac:dyDescent="0.3">
      <c r="A310" t="s">
        <v>478</v>
      </c>
      <c r="B310" t="s">
        <v>75</v>
      </c>
      <c r="C310" t="s">
        <v>310</v>
      </c>
      <c r="D310" t="s">
        <v>48</v>
      </c>
      <c r="E310" t="s">
        <v>42</v>
      </c>
      <c r="F310" t="s">
        <v>43</v>
      </c>
      <c r="G310">
        <v>6</v>
      </c>
      <c r="H310" s="4">
        <v>41.99</v>
      </c>
      <c r="I310">
        <v>251.94</v>
      </c>
      <c r="J310">
        <v>10.76</v>
      </c>
      <c r="K310">
        <v>49.18</v>
      </c>
      <c r="L310" t="s">
        <v>22</v>
      </c>
      <c r="M310" t="s">
        <v>23</v>
      </c>
      <c r="N310" t="s">
        <v>24</v>
      </c>
      <c r="O310">
        <f>_xlfn.XLOOKUP(E310,Product_Master!$B$2:$B$11,Product_Master!$F$2:$F$11)</f>
        <v>32</v>
      </c>
      <c r="P310">
        <f t="shared" si="8"/>
        <v>192</v>
      </c>
      <c r="Q310" s="5">
        <f t="shared" si="9"/>
        <v>0.19520520758910853</v>
      </c>
    </row>
    <row r="311" spans="1:17" x14ac:dyDescent="0.3">
      <c r="A311" t="s">
        <v>479</v>
      </c>
      <c r="B311" t="s">
        <v>107</v>
      </c>
      <c r="C311" t="s">
        <v>79</v>
      </c>
      <c r="D311" t="s">
        <v>81</v>
      </c>
      <c r="E311" t="s">
        <v>20</v>
      </c>
      <c r="F311" t="s">
        <v>21</v>
      </c>
      <c r="G311">
        <v>12</v>
      </c>
      <c r="H311" s="4">
        <v>47.4</v>
      </c>
      <c r="I311">
        <v>568.79999999999995</v>
      </c>
      <c r="J311">
        <v>23.31</v>
      </c>
      <c r="K311">
        <v>125.49</v>
      </c>
      <c r="L311" t="s">
        <v>44</v>
      </c>
      <c r="M311" t="s">
        <v>23</v>
      </c>
      <c r="N311" t="s">
        <v>66</v>
      </c>
      <c r="O311">
        <f>_xlfn.XLOOKUP(E311,Product_Master!$B$2:$B$11,Product_Master!$F$2:$F$11)</f>
        <v>35</v>
      </c>
      <c r="P311">
        <f t="shared" si="8"/>
        <v>420</v>
      </c>
      <c r="Q311" s="5">
        <f t="shared" si="9"/>
        <v>0.22062236286919831</v>
      </c>
    </row>
    <row r="312" spans="1:17" x14ac:dyDescent="0.3">
      <c r="A312" t="s">
        <v>480</v>
      </c>
      <c r="B312" t="s">
        <v>95</v>
      </c>
      <c r="C312" t="s">
        <v>268</v>
      </c>
      <c r="D312" t="s">
        <v>88</v>
      </c>
      <c r="E312" t="s">
        <v>54</v>
      </c>
      <c r="F312" t="s">
        <v>43</v>
      </c>
      <c r="G312">
        <v>50</v>
      </c>
      <c r="H312" s="4">
        <v>34.28</v>
      </c>
      <c r="I312">
        <v>1714</v>
      </c>
      <c r="J312">
        <v>59.84</v>
      </c>
      <c r="K312">
        <v>654.16</v>
      </c>
      <c r="L312" t="s">
        <v>22</v>
      </c>
      <c r="M312" t="s">
        <v>23</v>
      </c>
      <c r="N312" t="s">
        <v>66</v>
      </c>
      <c r="O312">
        <f>_xlfn.XLOOKUP(E312,Product_Master!$B$2:$B$11,Product_Master!$F$2:$F$11)</f>
        <v>20</v>
      </c>
      <c r="P312">
        <f t="shared" si="8"/>
        <v>1000</v>
      </c>
      <c r="Q312" s="5">
        <f t="shared" si="9"/>
        <v>0.38165694282380397</v>
      </c>
    </row>
    <row r="313" spans="1:17" x14ac:dyDescent="0.3">
      <c r="A313" t="s">
        <v>481</v>
      </c>
      <c r="B313" t="s">
        <v>104</v>
      </c>
      <c r="C313" t="s">
        <v>223</v>
      </c>
      <c r="D313" t="s">
        <v>101</v>
      </c>
      <c r="E313" t="s">
        <v>29</v>
      </c>
      <c r="F313" t="s">
        <v>21</v>
      </c>
      <c r="G313">
        <v>50</v>
      </c>
      <c r="H313" s="4">
        <v>29.39</v>
      </c>
      <c r="I313">
        <v>1469.5</v>
      </c>
      <c r="J313">
        <v>101.51</v>
      </c>
      <c r="K313">
        <v>467.99</v>
      </c>
      <c r="L313" t="s">
        <v>44</v>
      </c>
      <c r="M313" t="s">
        <v>37</v>
      </c>
      <c r="N313" t="s">
        <v>102</v>
      </c>
      <c r="O313">
        <f>_xlfn.XLOOKUP(E313,Product_Master!$B$2:$B$11,Product_Master!$F$2:$F$11)</f>
        <v>18</v>
      </c>
      <c r="P313">
        <f t="shared" si="8"/>
        <v>900</v>
      </c>
      <c r="Q313" s="5">
        <f t="shared" si="9"/>
        <v>0.31846886696155158</v>
      </c>
    </row>
    <row r="314" spans="1:17" x14ac:dyDescent="0.3">
      <c r="A314" t="s">
        <v>482</v>
      </c>
      <c r="B314" t="s">
        <v>71</v>
      </c>
      <c r="C314" t="s">
        <v>130</v>
      </c>
      <c r="D314" t="s">
        <v>41</v>
      </c>
      <c r="E314" t="s">
        <v>29</v>
      </c>
      <c r="F314" t="s">
        <v>21</v>
      </c>
      <c r="G314">
        <v>46</v>
      </c>
      <c r="H314" s="4">
        <v>30.34</v>
      </c>
      <c r="I314">
        <v>1395.64</v>
      </c>
      <c r="J314">
        <v>104.2</v>
      </c>
      <c r="K314">
        <v>463.44</v>
      </c>
      <c r="L314" t="s">
        <v>22</v>
      </c>
      <c r="M314" t="s">
        <v>31</v>
      </c>
      <c r="N314" t="s">
        <v>45</v>
      </c>
      <c r="O314">
        <f>_xlfn.XLOOKUP(E314,Product_Master!$B$2:$B$11,Product_Master!$F$2:$F$11)</f>
        <v>18</v>
      </c>
      <c r="P314">
        <f t="shared" si="8"/>
        <v>828</v>
      </c>
      <c r="Q314" s="5">
        <f t="shared" si="9"/>
        <v>0.33206270958126732</v>
      </c>
    </row>
    <row r="315" spans="1:17" x14ac:dyDescent="0.3">
      <c r="A315" t="s">
        <v>483</v>
      </c>
      <c r="B315" t="s">
        <v>86</v>
      </c>
      <c r="C315" t="s">
        <v>484</v>
      </c>
      <c r="D315" t="s">
        <v>81</v>
      </c>
      <c r="E315" t="s">
        <v>73</v>
      </c>
      <c r="F315" t="s">
        <v>43</v>
      </c>
      <c r="G315">
        <v>50</v>
      </c>
      <c r="H315" s="4">
        <v>18.809999999999999</v>
      </c>
      <c r="I315">
        <v>940.5</v>
      </c>
      <c r="J315">
        <v>40.25</v>
      </c>
      <c r="K315">
        <v>262.75</v>
      </c>
      <c r="L315" t="s">
        <v>30</v>
      </c>
      <c r="M315" t="s">
        <v>31</v>
      </c>
      <c r="N315" t="s">
        <v>66</v>
      </c>
      <c r="O315">
        <f>_xlfn.XLOOKUP(E315,Product_Master!$B$2:$B$11,Product_Master!$F$2:$F$11)</f>
        <v>12.75</v>
      </c>
      <c r="P315">
        <f t="shared" si="8"/>
        <v>637.5</v>
      </c>
      <c r="Q315" s="5">
        <f t="shared" si="9"/>
        <v>0.27937267410951622</v>
      </c>
    </row>
    <row r="316" spans="1:17" x14ac:dyDescent="0.3">
      <c r="A316" t="s">
        <v>485</v>
      </c>
      <c r="B316" t="s">
        <v>95</v>
      </c>
      <c r="C316" t="s">
        <v>223</v>
      </c>
      <c r="D316" t="s">
        <v>147</v>
      </c>
      <c r="E316" t="s">
        <v>58</v>
      </c>
      <c r="F316" t="s">
        <v>59</v>
      </c>
      <c r="G316">
        <v>2</v>
      </c>
      <c r="H316" s="4">
        <v>29.64</v>
      </c>
      <c r="I316">
        <v>59.28</v>
      </c>
      <c r="J316">
        <v>4.59</v>
      </c>
      <c r="K316">
        <v>9.69</v>
      </c>
      <c r="L316" t="s">
        <v>30</v>
      </c>
      <c r="M316" t="s">
        <v>37</v>
      </c>
      <c r="N316" t="s">
        <v>148</v>
      </c>
      <c r="O316">
        <f>_xlfn.XLOOKUP(E316,Product_Master!$B$2:$B$11,Product_Master!$F$2:$F$11)</f>
        <v>22.5</v>
      </c>
      <c r="P316">
        <f t="shared" si="8"/>
        <v>45</v>
      </c>
      <c r="Q316" s="5">
        <f t="shared" si="9"/>
        <v>0.16346153846153846</v>
      </c>
    </row>
    <row r="317" spans="1:17" x14ac:dyDescent="0.3">
      <c r="A317" t="s">
        <v>486</v>
      </c>
      <c r="B317" t="s">
        <v>157</v>
      </c>
      <c r="C317" t="s">
        <v>383</v>
      </c>
      <c r="D317" t="s">
        <v>81</v>
      </c>
      <c r="E317" t="s">
        <v>58</v>
      </c>
      <c r="F317" t="s">
        <v>59</v>
      </c>
      <c r="G317">
        <v>48</v>
      </c>
      <c r="H317" s="4">
        <v>27.9</v>
      </c>
      <c r="I317">
        <v>1339.2</v>
      </c>
      <c r="J317">
        <v>66.31</v>
      </c>
      <c r="K317">
        <v>192.89</v>
      </c>
      <c r="L317" t="s">
        <v>30</v>
      </c>
      <c r="M317" t="s">
        <v>37</v>
      </c>
      <c r="N317" t="s">
        <v>66</v>
      </c>
      <c r="O317">
        <f>_xlfn.XLOOKUP(E317,Product_Master!$B$2:$B$11,Product_Master!$F$2:$F$11)</f>
        <v>22.5</v>
      </c>
      <c r="P317">
        <f t="shared" si="8"/>
        <v>1080</v>
      </c>
      <c r="Q317" s="5">
        <f t="shared" si="9"/>
        <v>0.1440337514934289</v>
      </c>
    </row>
    <row r="318" spans="1:17" x14ac:dyDescent="0.3">
      <c r="A318" t="s">
        <v>487</v>
      </c>
      <c r="B318" t="s">
        <v>78</v>
      </c>
      <c r="C318" t="s">
        <v>312</v>
      </c>
      <c r="D318" t="s">
        <v>123</v>
      </c>
      <c r="E318" t="s">
        <v>64</v>
      </c>
      <c r="F318" t="s">
        <v>65</v>
      </c>
      <c r="G318">
        <v>28</v>
      </c>
      <c r="H318" s="4">
        <v>38.520000000000003</v>
      </c>
      <c r="I318">
        <v>1078.56</v>
      </c>
      <c r="J318">
        <v>64.510000000000005</v>
      </c>
      <c r="K318">
        <v>314.05</v>
      </c>
      <c r="L318" t="s">
        <v>22</v>
      </c>
      <c r="M318" t="s">
        <v>31</v>
      </c>
      <c r="N318" t="s">
        <v>32</v>
      </c>
      <c r="O318">
        <f>_xlfn.XLOOKUP(E318,Product_Master!$B$2:$B$11,Product_Master!$F$2:$F$11)</f>
        <v>25</v>
      </c>
      <c r="P318">
        <f t="shared" si="8"/>
        <v>700</v>
      </c>
      <c r="Q318" s="5">
        <f t="shared" si="9"/>
        <v>0.29117527073134553</v>
      </c>
    </row>
    <row r="319" spans="1:17" x14ac:dyDescent="0.3">
      <c r="A319" t="s">
        <v>488</v>
      </c>
      <c r="B319" t="s">
        <v>86</v>
      </c>
      <c r="C319" t="s">
        <v>200</v>
      </c>
      <c r="D319" t="s">
        <v>28</v>
      </c>
      <c r="E319" t="s">
        <v>58</v>
      </c>
      <c r="F319" t="s">
        <v>59</v>
      </c>
      <c r="G319">
        <v>11</v>
      </c>
      <c r="H319" s="4">
        <v>31.08</v>
      </c>
      <c r="I319">
        <v>341.88</v>
      </c>
      <c r="J319">
        <v>17.18</v>
      </c>
      <c r="K319">
        <v>77.2</v>
      </c>
      <c r="L319" t="s">
        <v>44</v>
      </c>
      <c r="M319" t="s">
        <v>37</v>
      </c>
      <c r="N319" t="s">
        <v>32</v>
      </c>
      <c r="O319">
        <f>_xlfn.XLOOKUP(E319,Product_Master!$B$2:$B$11,Product_Master!$F$2:$F$11)</f>
        <v>22.5</v>
      </c>
      <c r="P319">
        <f t="shared" si="8"/>
        <v>247.5</v>
      </c>
      <c r="Q319" s="5">
        <f t="shared" si="9"/>
        <v>0.22581022581022583</v>
      </c>
    </row>
    <row r="320" spans="1:17" x14ac:dyDescent="0.3">
      <c r="A320" t="s">
        <v>489</v>
      </c>
      <c r="B320" t="s">
        <v>39</v>
      </c>
      <c r="C320" t="s">
        <v>265</v>
      </c>
      <c r="D320" t="s">
        <v>53</v>
      </c>
      <c r="E320" t="s">
        <v>54</v>
      </c>
      <c r="F320" t="s">
        <v>43</v>
      </c>
      <c r="G320">
        <v>42</v>
      </c>
      <c r="H320" s="4">
        <v>25.95</v>
      </c>
      <c r="I320">
        <v>1089.9000000000001</v>
      </c>
      <c r="J320">
        <v>27.5</v>
      </c>
      <c r="K320">
        <v>222.4</v>
      </c>
      <c r="L320" t="s">
        <v>44</v>
      </c>
      <c r="M320" t="s">
        <v>37</v>
      </c>
      <c r="N320" t="s">
        <v>24</v>
      </c>
      <c r="O320">
        <f>_xlfn.XLOOKUP(E320,Product_Master!$B$2:$B$11,Product_Master!$F$2:$F$11)</f>
        <v>20</v>
      </c>
      <c r="P320">
        <f t="shared" si="8"/>
        <v>840</v>
      </c>
      <c r="Q320" s="5">
        <f t="shared" si="9"/>
        <v>0.2040554179282503</v>
      </c>
    </row>
    <row r="321" spans="1:17" x14ac:dyDescent="0.3">
      <c r="A321" t="s">
        <v>490</v>
      </c>
      <c r="B321" t="s">
        <v>71</v>
      </c>
      <c r="C321" t="s">
        <v>418</v>
      </c>
      <c r="D321" t="s">
        <v>81</v>
      </c>
      <c r="E321" t="s">
        <v>64</v>
      </c>
      <c r="F321" t="s">
        <v>65</v>
      </c>
      <c r="G321">
        <v>30</v>
      </c>
      <c r="H321" s="4">
        <v>30.16</v>
      </c>
      <c r="I321">
        <v>904.8</v>
      </c>
      <c r="J321">
        <v>70.13</v>
      </c>
      <c r="K321">
        <v>84.67</v>
      </c>
      <c r="L321" t="s">
        <v>30</v>
      </c>
      <c r="M321" t="s">
        <v>23</v>
      </c>
      <c r="N321" t="s">
        <v>66</v>
      </c>
      <c r="O321">
        <f>_xlfn.XLOOKUP(E321,Product_Master!$B$2:$B$11,Product_Master!$F$2:$F$11)</f>
        <v>25</v>
      </c>
      <c r="P321">
        <f t="shared" si="8"/>
        <v>750</v>
      </c>
      <c r="Q321" s="5">
        <f t="shared" si="9"/>
        <v>9.3578691423519017E-2</v>
      </c>
    </row>
    <row r="322" spans="1:17" x14ac:dyDescent="0.3">
      <c r="A322" t="s">
        <v>491</v>
      </c>
      <c r="B322" t="s">
        <v>95</v>
      </c>
      <c r="C322" t="s">
        <v>492</v>
      </c>
      <c r="D322" t="s">
        <v>41</v>
      </c>
      <c r="E322" t="s">
        <v>54</v>
      </c>
      <c r="F322" t="s">
        <v>43</v>
      </c>
      <c r="G322">
        <v>40</v>
      </c>
      <c r="H322" s="4">
        <v>30.03</v>
      </c>
      <c r="I322">
        <v>1201.2</v>
      </c>
      <c r="J322">
        <v>71.97</v>
      </c>
      <c r="K322">
        <v>329.23</v>
      </c>
      <c r="L322" t="s">
        <v>30</v>
      </c>
      <c r="M322" t="s">
        <v>23</v>
      </c>
      <c r="N322" t="s">
        <v>45</v>
      </c>
      <c r="O322">
        <f>_xlfn.XLOOKUP(E322,Product_Master!$B$2:$B$11,Product_Master!$F$2:$F$11)</f>
        <v>20</v>
      </c>
      <c r="P322">
        <f t="shared" si="8"/>
        <v>800</v>
      </c>
      <c r="Q322" s="5">
        <f t="shared" si="9"/>
        <v>0.27408424908424911</v>
      </c>
    </row>
    <row r="323" spans="1:17" x14ac:dyDescent="0.3">
      <c r="A323" t="s">
        <v>493</v>
      </c>
      <c r="B323" t="s">
        <v>39</v>
      </c>
      <c r="C323" t="s">
        <v>117</v>
      </c>
      <c r="D323" t="s">
        <v>101</v>
      </c>
      <c r="E323" t="s">
        <v>54</v>
      </c>
      <c r="F323" t="s">
        <v>43</v>
      </c>
      <c r="G323">
        <v>15</v>
      </c>
      <c r="H323" s="4">
        <v>27.12</v>
      </c>
      <c r="I323">
        <v>406.8</v>
      </c>
      <c r="J323">
        <v>24.28</v>
      </c>
      <c r="K323">
        <v>82.52</v>
      </c>
      <c r="L323" t="s">
        <v>30</v>
      </c>
      <c r="M323" t="s">
        <v>31</v>
      </c>
      <c r="N323" t="s">
        <v>102</v>
      </c>
      <c r="O323">
        <f>_xlfn.XLOOKUP(E323,Product_Master!$B$2:$B$11,Product_Master!$F$2:$F$11)</f>
        <v>20</v>
      </c>
      <c r="P323">
        <f t="shared" ref="P323:P386" si="10">G323*O323</f>
        <v>300</v>
      </c>
      <c r="Q323" s="5">
        <f t="shared" ref="Q323:Q386" si="11">K323/I323</f>
        <v>0.20285152409046212</v>
      </c>
    </row>
    <row r="324" spans="1:17" x14ac:dyDescent="0.3">
      <c r="A324" t="s">
        <v>494</v>
      </c>
      <c r="B324" t="s">
        <v>39</v>
      </c>
      <c r="C324" t="s">
        <v>180</v>
      </c>
      <c r="D324" t="s">
        <v>123</v>
      </c>
      <c r="E324" t="s">
        <v>73</v>
      </c>
      <c r="F324" t="s">
        <v>43</v>
      </c>
      <c r="G324">
        <v>35</v>
      </c>
      <c r="H324" s="4">
        <v>18.350000000000001</v>
      </c>
      <c r="I324">
        <v>642.25</v>
      </c>
      <c r="J324">
        <v>29.35</v>
      </c>
      <c r="K324">
        <v>166.65</v>
      </c>
      <c r="L324" t="s">
        <v>22</v>
      </c>
      <c r="M324" t="s">
        <v>31</v>
      </c>
      <c r="N324" t="s">
        <v>32</v>
      </c>
      <c r="O324">
        <f>_xlfn.XLOOKUP(E324,Product_Master!$B$2:$B$11,Product_Master!$F$2:$F$11)</f>
        <v>12.75</v>
      </c>
      <c r="P324">
        <f t="shared" si="10"/>
        <v>446.25</v>
      </c>
      <c r="Q324" s="5">
        <f t="shared" si="11"/>
        <v>0.2594783962631374</v>
      </c>
    </row>
    <row r="325" spans="1:17" x14ac:dyDescent="0.3">
      <c r="A325" t="s">
        <v>495</v>
      </c>
      <c r="B325" t="s">
        <v>56</v>
      </c>
      <c r="C325" t="s">
        <v>429</v>
      </c>
      <c r="D325" t="s">
        <v>101</v>
      </c>
      <c r="E325" t="s">
        <v>20</v>
      </c>
      <c r="F325" t="s">
        <v>21</v>
      </c>
      <c r="G325">
        <v>21</v>
      </c>
      <c r="H325" s="4">
        <v>52.59</v>
      </c>
      <c r="I325">
        <v>1104.3900000000001</v>
      </c>
      <c r="J325">
        <v>57.06</v>
      </c>
      <c r="K325">
        <v>312.33</v>
      </c>
      <c r="L325" t="s">
        <v>30</v>
      </c>
      <c r="M325" t="s">
        <v>31</v>
      </c>
      <c r="N325" t="s">
        <v>102</v>
      </c>
      <c r="O325">
        <f>_xlfn.XLOOKUP(E325,Product_Master!$B$2:$B$11,Product_Master!$F$2:$F$11)</f>
        <v>35</v>
      </c>
      <c r="P325">
        <f t="shared" si="10"/>
        <v>735</v>
      </c>
      <c r="Q325" s="5">
        <f t="shared" si="11"/>
        <v>0.28280770380028791</v>
      </c>
    </row>
    <row r="326" spans="1:17" x14ac:dyDescent="0.3">
      <c r="A326" t="s">
        <v>496</v>
      </c>
      <c r="B326" t="s">
        <v>68</v>
      </c>
      <c r="C326" t="s">
        <v>383</v>
      </c>
      <c r="D326" t="s">
        <v>63</v>
      </c>
      <c r="E326" t="s">
        <v>98</v>
      </c>
      <c r="F326" t="s">
        <v>59</v>
      </c>
      <c r="G326">
        <v>10</v>
      </c>
      <c r="H326" s="4">
        <v>44.2</v>
      </c>
      <c r="I326">
        <v>442</v>
      </c>
      <c r="J326">
        <v>18.45</v>
      </c>
      <c r="K326">
        <v>143.55000000000001</v>
      </c>
      <c r="L326" t="s">
        <v>22</v>
      </c>
      <c r="M326" t="s">
        <v>23</v>
      </c>
      <c r="N326" t="s">
        <v>66</v>
      </c>
      <c r="O326">
        <f>_xlfn.XLOOKUP(E326,Product_Master!$B$2:$B$11,Product_Master!$F$2:$F$11)</f>
        <v>28</v>
      </c>
      <c r="P326">
        <f t="shared" si="10"/>
        <v>280</v>
      </c>
      <c r="Q326" s="5">
        <f t="shared" si="11"/>
        <v>0.32477375565610861</v>
      </c>
    </row>
    <row r="327" spans="1:17" x14ac:dyDescent="0.3">
      <c r="A327" t="s">
        <v>497</v>
      </c>
      <c r="B327" t="s">
        <v>78</v>
      </c>
      <c r="C327" t="s">
        <v>228</v>
      </c>
      <c r="D327" t="s">
        <v>63</v>
      </c>
      <c r="E327" t="s">
        <v>20</v>
      </c>
      <c r="F327" t="s">
        <v>21</v>
      </c>
      <c r="G327">
        <v>11</v>
      </c>
      <c r="H327" s="4">
        <v>60.9</v>
      </c>
      <c r="I327">
        <v>669.9</v>
      </c>
      <c r="J327">
        <v>26.28</v>
      </c>
      <c r="K327">
        <v>258.62</v>
      </c>
      <c r="L327" t="s">
        <v>30</v>
      </c>
      <c r="M327" t="s">
        <v>31</v>
      </c>
      <c r="N327" t="s">
        <v>66</v>
      </c>
      <c r="O327">
        <f>_xlfn.XLOOKUP(E327,Product_Master!$B$2:$B$11,Product_Master!$F$2:$F$11)</f>
        <v>35</v>
      </c>
      <c r="P327">
        <f t="shared" si="10"/>
        <v>385</v>
      </c>
      <c r="Q327" s="5">
        <f t="shared" si="11"/>
        <v>0.38605762054037918</v>
      </c>
    </row>
    <row r="328" spans="1:17" x14ac:dyDescent="0.3">
      <c r="A328" t="s">
        <v>498</v>
      </c>
      <c r="B328" t="s">
        <v>68</v>
      </c>
      <c r="C328" t="s">
        <v>62</v>
      </c>
      <c r="D328" t="s">
        <v>88</v>
      </c>
      <c r="E328" t="s">
        <v>73</v>
      </c>
      <c r="F328" t="s">
        <v>43</v>
      </c>
      <c r="G328">
        <v>26</v>
      </c>
      <c r="H328" s="4">
        <v>22.32</v>
      </c>
      <c r="I328">
        <v>580.32000000000005</v>
      </c>
      <c r="J328">
        <v>45.08</v>
      </c>
      <c r="K328">
        <v>203.74</v>
      </c>
      <c r="L328" t="s">
        <v>30</v>
      </c>
      <c r="M328" t="s">
        <v>31</v>
      </c>
      <c r="N328" t="s">
        <v>66</v>
      </c>
      <c r="O328">
        <f>_xlfn.XLOOKUP(E328,Product_Master!$B$2:$B$11,Product_Master!$F$2:$F$11)</f>
        <v>12.75</v>
      </c>
      <c r="P328">
        <f t="shared" si="10"/>
        <v>331.5</v>
      </c>
      <c r="Q328" s="5">
        <f t="shared" si="11"/>
        <v>0.3510821615660325</v>
      </c>
    </row>
    <row r="329" spans="1:17" x14ac:dyDescent="0.3">
      <c r="A329" t="s">
        <v>499</v>
      </c>
      <c r="B329" t="s">
        <v>17</v>
      </c>
      <c r="C329" t="s">
        <v>280</v>
      </c>
      <c r="D329" t="s">
        <v>63</v>
      </c>
      <c r="E329" t="s">
        <v>98</v>
      </c>
      <c r="F329" t="s">
        <v>59</v>
      </c>
      <c r="G329">
        <v>46</v>
      </c>
      <c r="H329" s="4">
        <v>41.89</v>
      </c>
      <c r="I329">
        <v>1926.94</v>
      </c>
      <c r="J329">
        <v>97.39</v>
      </c>
      <c r="K329">
        <v>541.54999999999995</v>
      </c>
      <c r="L329" t="s">
        <v>22</v>
      </c>
      <c r="M329" t="s">
        <v>37</v>
      </c>
      <c r="N329" t="s">
        <v>66</v>
      </c>
      <c r="O329">
        <f>_xlfn.XLOOKUP(E329,Product_Master!$B$2:$B$11,Product_Master!$F$2:$F$11)</f>
        <v>28</v>
      </c>
      <c r="P329">
        <f t="shared" si="10"/>
        <v>1288</v>
      </c>
      <c r="Q329" s="5">
        <f t="shared" si="11"/>
        <v>0.28104144394739844</v>
      </c>
    </row>
    <row r="330" spans="1:17" x14ac:dyDescent="0.3">
      <c r="A330" t="s">
        <v>500</v>
      </c>
      <c r="B330" t="s">
        <v>39</v>
      </c>
      <c r="C330" t="s">
        <v>192</v>
      </c>
      <c r="D330" t="s">
        <v>28</v>
      </c>
      <c r="E330" t="s">
        <v>73</v>
      </c>
      <c r="F330" t="s">
        <v>43</v>
      </c>
      <c r="G330">
        <v>43</v>
      </c>
      <c r="H330" s="4">
        <v>21.24</v>
      </c>
      <c r="I330">
        <v>913.32</v>
      </c>
      <c r="J330">
        <v>50.32</v>
      </c>
      <c r="K330">
        <v>314.75</v>
      </c>
      <c r="L330" t="s">
        <v>30</v>
      </c>
      <c r="M330" t="s">
        <v>23</v>
      </c>
      <c r="N330" t="s">
        <v>32</v>
      </c>
      <c r="O330">
        <f>_xlfn.XLOOKUP(E330,Product_Master!$B$2:$B$11,Product_Master!$F$2:$F$11)</f>
        <v>12.75</v>
      </c>
      <c r="P330">
        <f t="shared" si="10"/>
        <v>548.25</v>
      </c>
      <c r="Q330" s="5">
        <f t="shared" si="11"/>
        <v>0.34462181929663205</v>
      </c>
    </row>
    <row r="331" spans="1:17" x14ac:dyDescent="0.3">
      <c r="A331" t="s">
        <v>501</v>
      </c>
      <c r="B331" t="s">
        <v>86</v>
      </c>
      <c r="C331" t="s">
        <v>502</v>
      </c>
      <c r="D331" t="s">
        <v>170</v>
      </c>
      <c r="E331" t="s">
        <v>58</v>
      </c>
      <c r="F331" t="s">
        <v>59</v>
      </c>
      <c r="G331">
        <v>28</v>
      </c>
      <c r="H331" s="4">
        <v>33.700000000000003</v>
      </c>
      <c r="I331">
        <v>943.6</v>
      </c>
      <c r="J331">
        <v>20.170000000000002</v>
      </c>
      <c r="K331">
        <v>293.43</v>
      </c>
      <c r="L331" t="s">
        <v>22</v>
      </c>
      <c r="M331" t="s">
        <v>31</v>
      </c>
      <c r="N331" t="s">
        <v>32</v>
      </c>
      <c r="O331">
        <f>_xlfn.XLOOKUP(E331,Product_Master!$B$2:$B$11,Product_Master!$F$2:$F$11)</f>
        <v>22.5</v>
      </c>
      <c r="P331">
        <f t="shared" si="10"/>
        <v>630</v>
      </c>
      <c r="Q331" s="5">
        <f t="shared" si="11"/>
        <v>0.31096863077575243</v>
      </c>
    </row>
    <row r="332" spans="1:17" x14ac:dyDescent="0.3">
      <c r="A332" t="s">
        <v>503</v>
      </c>
      <c r="B332" t="s">
        <v>71</v>
      </c>
      <c r="C332" t="s">
        <v>230</v>
      </c>
      <c r="D332" t="s">
        <v>196</v>
      </c>
      <c r="E332" t="s">
        <v>20</v>
      </c>
      <c r="F332" t="s">
        <v>21</v>
      </c>
      <c r="G332">
        <v>41</v>
      </c>
      <c r="H332" s="4">
        <v>42.74</v>
      </c>
      <c r="I332">
        <v>1752.34</v>
      </c>
      <c r="J332">
        <v>92.09</v>
      </c>
      <c r="K332">
        <v>225.25</v>
      </c>
      <c r="L332" t="s">
        <v>44</v>
      </c>
      <c r="M332" t="s">
        <v>23</v>
      </c>
      <c r="N332" t="s">
        <v>66</v>
      </c>
      <c r="O332">
        <f>_xlfn.XLOOKUP(E332,Product_Master!$B$2:$B$11,Product_Master!$F$2:$F$11)</f>
        <v>35</v>
      </c>
      <c r="P332">
        <f t="shared" si="10"/>
        <v>1435</v>
      </c>
      <c r="Q332" s="5">
        <f t="shared" si="11"/>
        <v>0.12854240615405688</v>
      </c>
    </row>
    <row r="333" spans="1:17" x14ac:dyDescent="0.3">
      <c r="A333" t="s">
        <v>504</v>
      </c>
      <c r="B333" t="s">
        <v>68</v>
      </c>
      <c r="C333" t="s">
        <v>429</v>
      </c>
      <c r="D333" t="s">
        <v>28</v>
      </c>
      <c r="E333" t="s">
        <v>54</v>
      </c>
      <c r="F333" t="s">
        <v>43</v>
      </c>
      <c r="G333">
        <v>24</v>
      </c>
      <c r="H333" s="4">
        <v>30.18</v>
      </c>
      <c r="I333">
        <v>724.32</v>
      </c>
      <c r="J333">
        <v>44.97</v>
      </c>
      <c r="K333">
        <v>199.35</v>
      </c>
      <c r="L333" t="s">
        <v>22</v>
      </c>
      <c r="M333" t="s">
        <v>23</v>
      </c>
      <c r="N333" t="s">
        <v>32</v>
      </c>
      <c r="O333">
        <f>_xlfn.XLOOKUP(E333,Product_Master!$B$2:$B$11,Product_Master!$F$2:$F$11)</f>
        <v>20</v>
      </c>
      <c r="P333">
        <f t="shared" si="10"/>
        <v>480</v>
      </c>
      <c r="Q333" s="5">
        <f t="shared" si="11"/>
        <v>0.27522365805168986</v>
      </c>
    </row>
    <row r="334" spans="1:17" x14ac:dyDescent="0.3">
      <c r="A334" t="s">
        <v>505</v>
      </c>
      <c r="B334" t="s">
        <v>26</v>
      </c>
      <c r="C334" t="s">
        <v>127</v>
      </c>
      <c r="D334" t="s">
        <v>91</v>
      </c>
      <c r="E334" t="s">
        <v>69</v>
      </c>
      <c r="F334" t="s">
        <v>59</v>
      </c>
      <c r="G334">
        <v>44</v>
      </c>
      <c r="H334" s="4">
        <v>20.02</v>
      </c>
      <c r="I334">
        <v>880.88</v>
      </c>
      <c r="J334">
        <v>60.27</v>
      </c>
      <c r="K334">
        <v>138.61000000000001</v>
      </c>
      <c r="L334" t="s">
        <v>30</v>
      </c>
      <c r="M334" t="s">
        <v>31</v>
      </c>
      <c r="N334" t="s">
        <v>66</v>
      </c>
      <c r="O334">
        <f>_xlfn.XLOOKUP(E334,Product_Master!$B$2:$B$11,Product_Master!$F$2:$F$11)</f>
        <v>15.5</v>
      </c>
      <c r="P334">
        <f t="shared" si="10"/>
        <v>682</v>
      </c>
      <c r="Q334" s="5">
        <f t="shared" si="11"/>
        <v>0.15735400962673693</v>
      </c>
    </row>
    <row r="335" spans="1:17" x14ac:dyDescent="0.3">
      <c r="A335" t="s">
        <v>506</v>
      </c>
      <c r="B335" t="s">
        <v>71</v>
      </c>
      <c r="C335" t="s">
        <v>125</v>
      </c>
      <c r="D335" t="s">
        <v>28</v>
      </c>
      <c r="E335" t="s">
        <v>54</v>
      </c>
      <c r="F335" t="s">
        <v>43</v>
      </c>
      <c r="G335">
        <v>12</v>
      </c>
      <c r="H335" s="4">
        <v>27.45</v>
      </c>
      <c r="I335">
        <v>329.4</v>
      </c>
      <c r="J335">
        <v>13.22</v>
      </c>
      <c r="K335">
        <v>76.180000000000007</v>
      </c>
      <c r="L335" t="s">
        <v>44</v>
      </c>
      <c r="M335" t="s">
        <v>37</v>
      </c>
      <c r="N335" t="s">
        <v>32</v>
      </c>
      <c r="O335">
        <f>_xlfn.XLOOKUP(E335,Product_Master!$B$2:$B$11,Product_Master!$F$2:$F$11)</f>
        <v>20</v>
      </c>
      <c r="P335">
        <f t="shared" si="10"/>
        <v>240</v>
      </c>
      <c r="Q335" s="5">
        <f t="shared" si="11"/>
        <v>0.23126897389192475</v>
      </c>
    </row>
    <row r="336" spans="1:17" x14ac:dyDescent="0.3">
      <c r="A336" t="s">
        <v>507</v>
      </c>
      <c r="B336" t="s">
        <v>132</v>
      </c>
      <c r="C336" t="s">
        <v>105</v>
      </c>
      <c r="D336" t="s">
        <v>101</v>
      </c>
      <c r="E336" t="s">
        <v>54</v>
      </c>
      <c r="F336" t="s">
        <v>43</v>
      </c>
      <c r="G336">
        <v>26</v>
      </c>
      <c r="H336" s="4">
        <v>30.57</v>
      </c>
      <c r="I336">
        <v>794.82</v>
      </c>
      <c r="J336">
        <v>19.45</v>
      </c>
      <c r="K336">
        <v>255.37</v>
      </c>
      <c r="L336" t="s">
        <v>44</v>
      </c>
      <c r="M336" t="s">
        <v>31</v>
      </c>
      <c r="N336" t="s">
        <v>102</v>
      </c>
      <c r="O336">
        <f>_xlfn.XLOOKUP(E336,Product_Master!$B$2:$B$11,Product_Master!$F$2:$F$11)</f>
        <v>20</v>
      </c>
      <c r="P336">
        <f t="shared" si="10"/>
        <v>520</v>
      </c>
      <c r="Q336" s="5">
        <f t="shared" si="11"/>
        <v>0.32129287134193907</v>
      </c>
    </row>
    <row r="337" spans="1:17" x14ac:dyDescent="0.3">
      <c r="A337" t="s">
        <v>508</v>
      </c>
      <c r="B337" t="s">
        <v>68</v>
      </c>
      <c r="C337" t="s">
        <v>133</v>
      </c>
      <c r="D337" t="s">
        <v>91</v>
      </c>
      <c r="E337" t="s">
        <v>64</v>
      </c>
      <c r="F337" t="s">
        <v>65</v>
      </c>
      <c r="G337">
        <v>46</v>
      </c>
      <c r="H337" s="4">
        <v>32.19</v>
      </c>
      <c r="I337">
        <v>1480.74</v>
      </c>
      <c r="J337">
        <v>111.13</v>
      </c>
      <c r="K337">
        <v>219.61</v>
      </c>
      <c r="L337" t="s">
        <v>44</v>
      </c>
      <c r="M337" t="s">
        <v>31</v>
      </c>
      <c r="N337" t="s">
        <v>66</v>
      </c>
      <c r="O337">
        <f>_xlfn.XLOOKUP(E337,Product_Master!$B$2:$B$11,Product_Master!$F$2:$F$11)</f>
        <v>25</v>
      </c>
      <c r="P337">
        <f t="shared" si="10"/>
        <v>1150</v>
      </c>
      <c r="Q337" s="5">
        <f t="shared" si="11"/>
        <v>0.14831097964531248</v>
      </c>
    </row>
    <row r="338" spans="1:17" x14ac:dyDescent="0.3">
      <c r="A338" t="s">
        <v>509</v>
      </c>
      <c r="B338" t="s">
        <v>104</v>
      </c>
      <c r="C338" t="s">
        <v>100</v>
      </c>
      <c r="D338" t="s">
        <v>81</v>
      </c>
      <c r="E338" t="s">
        <v>29</v>
      </c>
      <c r="F338" t="s">
        <v>21</v>
      </c>
      <c r="G338">
        <v>20</v>
      </c>
      <c r="H338" s="4">
        <v>31.79</v>
      </c>
      <c r="I338">
        <v>635.79999999999995</v>
      </c>
      <c r="J338">
        <v>38.43</v>
      </c>
      <c r="K338">
        <v>237.37</v>
      </c>
      <c r="L338" t="s">
        <v>22</v>
      </c>
      <c r="M338" t="s">
        <v>31</v>
      </c>
      <c r="N338" t="s">
        <v>66</v>
      </c>
      <c r="O338">
        <f>_xlfn.XLOOKUP(E338,Product_Master!$B$2:$B$11,Product_Master!$F$2:$F$11)</f>
        <v>18</v>
      </c>
      <c r="P338">
        <f t="shared" si="10"/>
        <v>360</v>
      </c>
      <c r="Q338" s="5">
        <f t="shared" si="11"/>
        <v>0.37334067316766284</v>
      </c>
    </row>
    <row r="339" spans="1:17" x14ac:dyDescent="0.3">
      <c r="A339" t="s">
        <v>510</v>
      </c>
      <c r="B339" t="s">
        <v>104</v>
      </c>
      <c r="C339" t="s">
        <v>18</v>
      </c>
      <c r="D339" t="s">
        <v>147</v>
      </c>
      <c r="E339" t="s">
        <v>29</v>
      </c>
      <c r="F339" t="s">
        <v>21</v>
      </c>
      <c r="G339">
        <v>8</v>
      </c>
      <c r="H339" s="4">
        <v>28.94</v>
      </c>
      <c r="I339">
        <v>231.52</v>
      </c>
      <c r="J339">
        <v>7</v>
      </c>
      <c r="K339">
        <v>80.52</v>
      </c>
      <c r="L339" t="s">
        <v>44</v>
      </c>
      <c r="M339" t="s">
        <v>31</v>
      </c>
      <c r="N339" t="s">
        <v>148</v>
      </c>
      <c r="O339">
        <f>_xlfn.XLOOKUP(E339,Product_Master!$B$2:$B$11,Product_Master!$F$2:$F$11)</f>
        <v>18</v>
      </c>
      <c r="P339">
        <f t="shared" si="10"/>
        <v>144</v>
      </c>
      <c r="Q339" s="5">
        <f t="shared" si="11"/>
        <v>0.34778852798894261</v>
      </c>
    </row>
    <row r="340" spans="1:17" x14ac:dyDescent="0.3">
      <c r="A340" t="s">
        <v>511</v>
      </c>
      <c r="B340" t="s">
        <v>39</v>
      </c>
      <c r="C340" t="s">
        <v>230</v>
      </c>
      <c r="D340" t="s">
        <v>123</v>
      </c>
      <c r="E340" t="s">
        <v>29</v>
      </c>
      <c r="F340" t="s">
        <v>21</v>
      </c>
      <c r="G340">
        <v>40</v>
      </c>
      <c r="H340" s="4">
        <v>30.66</v>
      </c>
      <c r="I340">
        <v>1226.4000000000001</v>
      </c>
      <c r="J340">
        <v>85.24</v>
      </c>
      <c r="K340">
        <v>421.16</v>
      </c>
      <c r="L340" t="s">
        <v>22</v>
      </c>
      <c r="M340" t="s">
        <v>23</v>
      </c>
      <c r="N340" t="s">
        <v>32</v>
      </c>
      <c r="O340">
        <f>_xlfn.XLOOKUP(E340,Product_Master!$B$2:$B$11,Product_Master!$F$2:$F$11)</f>
        <v>18</v>
      </c>
      <c r="P340">
        <f t="shared" si="10"/>
        <v>720</v>
      </c>
      <c r="Q340" s="5">
        <f t="shared" si="11"/>
        <v>0.34341161121983038</v>
      </c>
    </row>
    <row r="341" spans="1:17" x14ac:dyDescent="0.3">
      <c r="A341" t="s">
        <v>512</v>
      </c>
      <c r="B341" t="s">
        <v>104</v>
      </c>
      <c r="C341" t="s">
        <v>361</v>
      </c>
      <c r="D341" t="s">
        <v>147</v>
      </c>
      <c r="E341" t="s">
        <v>42</v>
      </c>
      <c r="F341" t="s">
        <v>43</v>
      </c>
      <c r="G341">
        <v>44</v>
      </c>
      <c r="H341" s="4">
        <v>54.09</v>
      </c>
      <c r="I341">
        <v>2379.96</v>
      </c>
      <c r="J341">
        <v>106.39</v>
      </c>
      <c r="K341">
        <v>865.57</v>
      </c>
      <c r="L341" t="s">
        <v>22</v>
      </c>
      <c r="M341" t="s">
        <v>31</v>
      </c>
      <c r="N341" t="s">
        <v>148</v>
      </c>
      <c r="O341">
        <f>_xlfn.XLOOKUP(E341,Product_Master!$B$2:$B$11,Product_Master!$F$2:$F$11)</f>
        <v>32</v>
      </c>
      <c r="P341">
        <f t="shared" si="10"/>
        <v>1408</v>
      </c>
      <c r="Q341" s="5">
        <f t="shared" si="11"/>
        <v>0.36369098640313285</v>
      </c>
    </row>
    <row r="342" spans="1:17" x14ac:dyDescent="0.3">
      <c r="A342" t="s">
        <v>513</v>
      </c>
      <c r="B342" t="s">
        <v>26</v>
      </c>
      <c r="C342" t="s">
        <v>127</v>
      </c>
      <c r="D342" t="s">
        <v>81</v>
      </c>
      <c r="E342" t="s">
        <v>49</v>
      </c>
      <c r="F342" t="s">
        <v>50</v>
      </c>
      <c r="G342">
        <v>32</v>
      </c>
      <c r="H342" s="4">
        <v>68.89</v>
      </c>
      <c r="I342">
        <v>2204.48</v>
      </c>
      <c r="J342">
        <v>152.05000000000001</v>
      </c>
      <c r="K342">
        <v>772.43</v>
      </c>
      <c r="L342" t="s">
        <v>22</v>
      </c>
      <c r="M342" t="s">
        <v>31</v>
      </c>
      <c r="N342" t="s">
        <v>66</v>
      </c>
      <c r="O342">
        <f>_xlfn.XLOOKUP(E342,Product_Master!$B$2:$B$11,Product_Master!$F$2:$F$11)</f>
        <v>40</v>
      </c>
      <c r="P342">
        <f t="shared" si="10"/>
        <v>1280</v>
      </c>
      <c r="Q342" s="5">
        <f t="shared" si="11"/>
        <v>0.35039102191900129</v>
      </c>
    </row>
    <row r="343" spans="1:17" x14ac:dyDescent="0.3">
      <c r="A343" t="s">
        <v>514</v>
      </c>
      <c r="B343" t="s">
        <v>107</v>
      </c>
      <c r="C343" t="s">
        <v>484</v>
      </c>
      <c r="D343" t="s">
        <v>196</v>
      </c>
      <c r="E343" t="s">
        <v>20</v>
      </c>
      <c r="F343" t="s">
        <v>21</v>
      </c>
      <c r="G343">
        <v>44</v>
      </c>
      <c r="H343" s="4">
        <v>43.35</v>
      </c>
      <c r="I343">
        <v>1907.4</v>
      </c>
      <c r="J343">
        <v>99.05</v>
      </c>
      <c r="K343">
        <v>268.35000000000002</v>
      </c>
      <c r="L343" t="s">
        <v>44</v>
      </c>
      <c r="M343" t="s">
        <v>31</v>
      </c>
      <c r="N343" t="s">
        <v>66</v>
      </c>
      <c r="O343">
        <f>_xlfn.XLOOKUP(E343,Product_Master!$B$2:$B$11,Product_Master!$F$2:$F$11)</f>
        <v>35</v>
      </c>
      <c r="P343">
        <f t="shared" si="10"/>
        <v>1540</v>
      </c>
      <c r="Q343" s="5">
        <f t="shared" si="11"/>
        <v>0.1406888958792073</v>
      </c>
    </row>
    <row r="344" spans="1:17" x14ac:dyDescent="0.3">
      <c r="A344" t="s">
        <v>515</v>
      </c>
      <c r="B344" t="s">
        <v>95</v>
      </c>
      <c r="C344" t="s">
        <v>27</v>
      </c>
      <c r="D344" t="s">
        <v>53</v>
      </c>
      <c r="E344" t="s">
        <v>98</v>
      </c>
      <c r="F344" t="s">
        <v>59</v>
      </c>
      <c r="G344">
        <v>24</v>
      </c>
      <c r="H344" s="4">
        <v>34</v>
      </c>
      <c r="I344">
        <v>816</v>
      </c>
      <c r="J344">
        <v>42.15</v>
      </c>
      <c r="K344">
        <v>101.85</v>
      </c>
      <c r="L344" t="s">
        <v>44</v>
      </c>
      <c r="M344" t="s">
        <v>23</v>
      </c>
      <c r="N344" t="s">
        <v>24</v>
      </c>
      <c r="O344">
        <f>_xlfn.XLOOKUP(E344,Product_Master!$B$2:$B$11,Product_Master!$F$2:$F$11)</f>
        <v>28</v>
      </c>
      <c r="P344">
        <f t="shared" si="10"/>
        <v>672</v>
      </c>
      <c r="Q344" s="5">
        <f t="shared" si="11"/>
        <v>0.12481617647058822</v>
      </c>
    </row>
    <row r="345" spans="1:17" x14ac:dyDescent="0.3">
      <c r="A345" t="s">
        <v>516</v>
      </c>
      <c r="B345" t="s">
        <v>83</v>
      </c>
      <c r="C345" t="s">
        <v>168</v>
      </c>
      <c r="D345" t="s">
        <v>63</v>
      </c>
      <c r="E345" t="s">
        <v>29</v>
      </c>
      <c r="F345" t="s">
        <v>21</v>
      </c>
      <c r="G345">
        <v>41</v>
      </c>
      <c r="H345" s="4">
        <v>30.25</v>
      </c>
      <c r="I345">
        <v>1240.25</v>
      </c>
      <c r="J345">
        <v>92.86</v>
      </c>
      <c r="K345">
        <v>409.39</v>
      </c>
      <c r="L345" t="s">
        <v>22</v>
      </c>
      <c r="M345" t="s">
        <v>23</v>
      </c>
      <c r="N345" t="s">
        <v>66</v>
      </c>
      <c r="O345">
        <f>_xlfn.XLOOKUP(E345,Product_Master!$B$2:$B$11,Product_Master!$F$2:$F$11)</f>
        <v>18</v>
      </c>
      <c r="P345">
        <f t="shared" si="10"/>
        <v>738</v>
      </c>
      <c r="Q345" s="5">
        <f t="shared" si="11"/>
        <v>0.33008667607337228</v>
      </c>
    </row>
    <row r="346" spans="1:17" x14ac:dyDescent="0.3">
      <c r="A346" t="s">
        <v>517</v>
      </c>
      <c r="B346" t="s">
        <v>104</v>
      </c>
      <c r="C346" t="s">
        <v>18</v>
      </c>
      <c r="D346" t="s">
        <v>101</v>
      </c>
      <c r="E346" t="s">
        <v>69</v>
      </c>
      <c r="F346" t="s">
        <v>59</v>
      </c>
      <c r="G346">
        <v>15</v>
      </c>
      <c r="H346" s="4">
        <v>23.71</v>
      </c>
      <c r="I346">
        <v>355.65</v>
      </c>
      <c r="J346">
        <v>7.22</v>
      </c>
      <c r="K346">
        <v>115.93</v>
      </c>
      <c r="L346" t="s">
        <v>30</v>
      </c>
      <c r="M346" t="s">
        <v>31</v>
      </c>
      <c r="N346" t="s">
        <v>102</v>
      </c>
      <c r="O346">
        <f>_xlfn.XLOOKUP(E346,Product_Master!$B$2:$B$11,Product_Master!$F$2:$F$11)</f>
        <v>15.5</v>
      </c>
      <c r="P346">
        <f t="shared" si="10"/>
        <v>232.5</v>
      </c>
      <c r="Q346" s="5">
        <f t="shared" si="11"/>
        <v>0.32596654013777593</v>
      </c>
    </row>
    <row r="347" spans="1:17" x14ac:dyDescent="0.3">
      <c r="A347" t="s">
        <v>518</v>
      </c>
      <c r="B347" t="s">
        <v>71</v>
      </c>
      <c r="C347" t="s">
        <v>141</v>
      </c>
      <c r="D347" t="s">
        <v>81</v>
      </c>
      <c r="E347" t="s">
        <v>42</v>
      </c>
      <c r="F347" t="s">
        <v>43</v>
      </c>
      <c r="G347">
        <v>33</v>
      </c>
      <c r="H347" s="4">
        <v>48.64</v>
      </c>
      <c r="I347">
        <v>1605.12</v>
      </c>
      <c r="J347">
        <v>98.71</v>
      </c>
      <c r="K347">
        <v>450.41</v>
      </c>
      <c r="L347" t="s">
        <v>22</v>
      </c>
      <c r="M347" t="s">
        <v>31</v>
      </c>
      <c r="N347" t="s">
        <v>66</v>
      </c>
      <c r="O347">
        <f>_xlfn.XLOOKUP(E347,Product_Master!$B$2:$B$11,Product_Master!$F$2:$F$11)</f>
        <v>32</v>
      </c>
      <c r="P347">
        <f t="shared" si="10"/>
        <v>1056</v>
      </c>
      <c r="Q347" s="5">
        <f t="shared" si="11"/>
        <v>0.28060830342902715</v>
      </c>
    </row>
    <row r="348" spans="1:17" x14ac:dyDescent="0.3">
      <c r="A348" t="s">
        <v>519</v>
      </c>
      <c r="B348" t="s">
        <v>34</v>
      </c>
      <c r="C348" t="s">
        <v>40</v>
      </c>
      <c r="D348" t="s">
        <v>170</v>
      </c>
      <c r="E348" t="s">
        <v>20</v>
      </c>
      <c r="F348" t="s">
        <v>21</v>
      </c>
      <c r="G348">
        <v>7</v>
      </c>
      <c r="H348" s="4">
        <v>50.94</v>
      </c>
      <c r="I348">
        <v>356.58</v>
      </c>
      <c r="J348">
        <v>11.19</v>
      </c>
      <c r="K348">
        <v>100.39</v>
      </c>
      <c r="L348" t="s">
        <v>30</v>
      </c>
      <c r="M348" t="s">
        <v>23</v>
      </c>
      <c r="N348" t="s">
        <v>32</v>
      </c>
      <c r="O348">
        <f>_xlfn.XLOOKUP(E348,Product_Master!$B$2:$B$11,Product_Master!$F$2:$F$11)</f>
        <v>35</v>
      </c>
      <c r="P348">
        <f t="shared" si="10"/>
        <v>245</v>
      </c>
      <c r="Q348" s="5">
        <f t="shared" si="11"/>
        <v>0.28153570026361546</v>
      </c>
    </row>
    <row r="349" spans="1:17" x14ac:dyDescent="0.3">
      <c r="A349" t="s">
        <v>520</v>
      </c>
      <c r="B349" t="s">
        <v>17</v>
      </c>
      <c r="C349" t="s">
        <v>223</v>
      </c>
      <c r="D349" t="s">
        <v>147</v>
      </c>
      <c r="E349" t="s">
        <v>54</v>
      </c>
      <c r="F349" t="s">
        <v>43</v>
      </c>
      <c r="G349">
        <v>1</v>
      </c>
      <c r="H349" s="4">
        <v>31.4</v>
      </c>
      <c r="I349">
        <v>31.4</v>
      </c>
      <c r="J349">
        <v>1.1399999999999999</v>
      </c>
      <c r="K349">
        <v>10.26</v>
      </c>
      <c r="L349" t="s">
        <v>44</v>
      </c>
      <c r="M349" t="s">
        <v>31</v>
      </c>
      <c r="N349" t="s">
        <v>148</v>
      </c>
      <c r="O349">
        <f>_xlfn.XLOOKUP(E349,Product_Master!$B$2:$B$11,Product_Master!$F$2:$F$11)</f>
        <v>20</v>
      </c>
      <c r="P349">
        <f t="shared" si="10"/>
        <v>20</v>
      </c>
      <c r="Q349" s="5">
        <f t="shared" si="11"/>
        <v>0.32675159235668788</v>
      </c>
    </row>
    <row r="350" spans="1:17" x14ac:dyDescent="0.3">
      <c r="A350" t="s">
        <v>521</v>
      </c>
      <c r="B350" t="s">
        <v>95</v>
      </c>
      <c r="C350" t="s">
        <v>218</v>
      </c>
      <c r="D350" t="s">
        <v>36</v>
      </c>
      <c r="E350" t="s">
        <v>73</v>
      </c>
      <c r="F350" t="s">
        <v>43</v>
      </c>
      <c r="G350">
        <v>28</v>
      </c>
      <c r="H350" s="4">
        <v>18.59</v>
      </c>
      <c r="I350">
        <v>520.52</v>
      </c>
      <c r="J350">
        <v>14.08</v>
      </c>
      <c r="K350">
        <v>149.44</v>
      </c>
      <c r="L350" t="s">
        <v>22</v>
      </c>
      <c r="M350" t="s">
        <v>23</v>
      </c>
      <c r="N350" t="s">
        <v>32</v>
      </c>
      <c r="O350">
        <f>_xlfn.XLOOKUP(E350,Product_Master!$B$2:$B$11,Product_Master!$F$2:$F$11)</f>
        <v>12.75</v>
      </c>
      <c r="P350">
        <f t="shared" si="10"/>
        <v>357</v>
      </c>
      <c r="Q350" s="5">
        <f t="shared" si="11"/>
        <v>0.28709751786674864</v>
      </c>
    </row>
    <row r="351" spans="1:17" x14ac:dyDescent="0.3">
      <c r="A351" t="s">
        <v>522</v>
      </c>
      <c r="B351" t="s">
        <v>104</v>
      </c>
      <c r="C351" t="s">
        <v>523</v>
      </c>
      <c r="D351" t="s">
        <v>123</v>
      </c>
      <c r="E351" t="s">
        <v>69</v>
      </c>
      <c r="F351" t="s">
        <v>59</v>
      </c>
      <c r="G351">
        <v>50</v>
      </c>
      <c r="H351" s="4">
        <v>20.66</v>
      </c>
      <c r="I351">
        <v>1033</v>
      </c>
      <c r="J351">
        <v>34.130000000000003</v>
      </c>
      <c r="K351">
        <v>223.87</v>
      </c>
      <c r="L351" t="s">
        <v>44</v>
      </c>
      <c r="M351" t="s">
        <v>31</v>
      </c>
      <c r="N351" t="s">
        <v>32</v>
      </c>
      <c r="O351">
        <f>_xlfn.XLOOKUP(E351,Product_Master!$B$2:$B$11,Product_Master!$F$2:$F$11)</f>
        <v>15.5</v>
      </c>
      <c r="P351">
        <f t="shared" si="10"/>
        <v>775</v>
      </c>
      <c r="Q351" s="5">
        <f t="shared" si="11"/>
        <v>0.21671829622458857</v>
      </c>
    </row>
    <row r="352" spans="1:17" x14ac:dyDescent="0.3">
      <c r="A352" t="s">
        <v>524</v>
      </c>
      <c r="B352" t="s">
        <v>17</v>
      </c>
      <c r="C352" t="s">
        <v>175</v>
      </c>
      <c r="D352" t="s">
        <v>63</v>
      </c>
      <c r="E352" t="s">
        <v>20</v>
      </c>
      <c r="F352" t="s">
        <v>21</v>
      </c>
      <c r="G352">
        <v>4</v>
      </c>
      <c r="H352" s="4">
        <v>46.62</v>
      </c>
      <c r="I352">
        <v>186.48</v>
      </c>
      <c r="J352">
        <v>13.29</v>
      </c>
      <c r="K352">
        <v>33.19</v>
      </c>
      <c r="L352" t="s">
        <v>30</v>
      </c>
      <c r="M352" t="s">
        <v>23</v>
      </c>
      <c r="N352" t="s">
        <v>66</v>
      </c>
      <c r="O352">
        <f>_xlfn.XLOOKUP(E352,Product_Master!$B$2:$B$11,Product_Master!$F$2:$F$11)</f>
        <v>35</v>
      </c>
      <c r="P352">
        <f t="shared" si="10"/>
        <v>140</v>
      </c>
      <c r="Q352" s="5">
        <f t="shared" si="11"/>
        <v>0.17798155298155299</v>
      </c>
    </row>
    <row r="353" spans="1:17" x14ac:dyDescent="0.3">
      <c r="A353" t="s">
        <v>525</v>
      </c>
      <c r="B353" t="s">
        <v>17</v>
      </c>
      <c r="C353" t="s">
        <v>484</v>
      </c>
      <c r="D353" t="s">
        <v>101</v>
      </c>
      <c r="E353" t="s">
        <v>69</v>
      </c>
      <c r="F353" t="s">
        <v>59</v>
      </c>
      <c r="G353">
        <v>37</v>
      </c>
      <c r="H353" s="4">
        <v>21.81</v>
      </c>
      <c r="I353">
        <v>806.97</v>
      </c>
      <c r="J353">
        <v>19.63</v>
      </c>
      <c r="K353">
        <v>213.84</v>
      </c>
      <c r="L353" t="s">
        <v>44</v>
      </c>
      <c r="M353" t="s">
        <v>37</v>
      </c>
      <c r="N353" t="s">
        <v>102</v>
      </c>
      <c r="O353">
        <f>_xlfn.XLOOKUP(E353,Product_Master!$B$2:$B$11,Product_Master!$F$2:$F$11)</f>
        <v>15.5</v>
      </c>
      <c r="P353">
        <f t="shared" si="10"/>
        <v>573.5</v>
      </c>
      <c r="Q353" s="5">
        <f t="shared" si="11"/>
        <v>0.26499126361574782</v>
      </c>
    </row>
    <row r="354" spans="1:17" x14ac:dyDescent="0.3">
      <c r="A354" t="s">
        <v>526</v>
      </c>
      <c r="B354" t="s">
        <v>34</v>
      </c>
      <c r="C354" t="s">
        <v>153</v>
      </c>
      <c r="D354" t="s">
        <v>63</v>
      </c>
      <c r="E354" t="s">
        <v>69</v>
      </c>
      <c r="F354" t="s">
        <v>59</v>
      </c>
      <c r="G354">
        <v>48</v>
      </c>
      <c r="H354" s="4">
        <v>26.68</v>
      </c>
      <c r="I354">
        <v>1280.6400000000001</v>
      </c>
      <c r="J354">
        <v>55.36</v>
      </c>
      <c r="K354">
        <v>481.28</v>
      </c>
      <c r="L354" t="s">
        <v>22</v>
      </c>
      <c r="M354" t="s">
        <v>31</v>
      </c>
      <c r="N354" t="s">
        <v>66</v>
      </c>
      <c r="O354">
        <f>_xlfn.XLOOKUP(E354,Product_Master!$B$2:$B$11,Product_Master!$F$2:$F$11)</f>
        <v>15.5</v>
      </c>
      <c r="P354">
        <f t="shared" si="10"/>
        <v>744</v>
      </c>
      <c r="Q354" s="5">
        <f t="shared" si="11"/>
        <v>0.37581209395302345</v>
      </c>
    </row>
    <row r="355" spans="1:17" x14ac:dyDescent="0.3">
      <c r="A355" t="s">
        <v>527</v>
      </c>
      <c r="B355" t="s">
        <v>61</v>
      </c>
      <c r="C355" t="s">
        <v>137</v>
      </c>
      <c r="D355" t="s">
        <v>41</v>
      </c>
      <c r="E355" t="s">
        <v>64</v>
      </c>
      <c r="F355" t="s">
        <v>65</v>
      </c>
      <c r="G355">
        <v>24</v>
      </c>
      <c r="H355" s="4">
        <v>42.82</v>
      </c>
      <c r="I355">
        <v>1027.68</v>
      </c>
      <c r="J355">
        <v>69.95</v>
      </c>
      <c r="K355">
        <v>357.73</v>
      </c>
      <c r="L355" t="s">
        <v>22</v>
      </c>
      <c r="M355" t="s">
        <v>23</v>
      </c>
      <c r="N355" t="s">
        <v>45</v>
      </c>
      <c r="O355">
        <f>_xlfn.XLOOKUP(E355,Product_Master!$B$2:$B$11,Product_Master!$F$2:$F$11)</f>
        <v>25</v>
      </c>
      <c r="P355">
        <f t="shared" si="10"/>
        <v>600</v>
      </c>
      <c r="Q355" s="5">
        <f t="shared" si="11"/>
        <v>0.34809473766152887</v>
      </c>
    </row>
    <row r="356" spans="1:17" x14ac:dyDescent="0.3">
      <c r="A356" t="s">
        <v>528</v>
      </c>
      <c r="B356" t="s">
        <v>17</v>
      </c>
      <c r="C356" t="s">
        <v>139</v>
      </c>
      <c r="D356" t="s">
        <v>147</v>
      </c>
      <c r="E356" t="s">
        <v>58</v>
      </c>
      <c r="F356" t="s">
        <v>59</v>
      </c>
      <c r="G356">
        <v>26</v>
      </c>
      <c r="H356" s="4">
        <v>34.4</v>
      </c>
      <c r="I356">
        <v>894.4</v>
      </c>
      <c r="J356">
        <v>40.42</v>
      </c>
      <c r="K356">
        <v>268.98</v>
      </c>
      <c r="L356" t="s">
        <v>22</v>
      </c>
      <c r="M356" t="s">
        <v>23</v>
      </c>
      <c r="N356" t="s">
        <v>148</v>
      </c>
      <c r="O356">
        <f>_xlfn.XLOOKUP(E356,Product_Master!$B$2:$B$11,Product_Master!$F$2:$F$11)</f>
        <v>22.5</v>
      </c>
      <c r="P356">
        <f t="shared" si="10"/>
        <v>585</v>
      </c>
      <c r="Q356" s="5">
        <f t="shared" si="11"/>
        <v>0.3007379248658319</v>
      </c>
    </row>
    <row r="357" spans="1:17" x14ac:dyDescent="0.3">
      <c r="A357" t="s">
        <v>529</v>
      </c>
      <c r="B357" t="s">
        <v>56</v>
      </c>
      <c r="C357" t="s">
        <v>221</v>
      </c>
      <c r="D357" t="s">
        <v>36</v>
      </c>
      <c r="E357" t="s">
        <v>20</v>
      </c>
      <c r="F357" t="s">
        <v>21</v>
      </c>
      <c r="G357">
        <v>47</v>
      </c>
      <c r="H357" s="4">
        <v>44.89</v>
      </c>
      <c r="I357">
        <v>2109.83</v>
      </c>
      <c r="J357">
        <v>45.91</v>
      </c>
      <c r="K357">
        <v>418.92</v>
      </c>
      <c r="L357" t="s">
        <v>22</v>
      </c>
      <c r="M357" t="s">
        <v>31</v>
      </c>
      <c r="N357" t="s">
        <v>32</v>
      </c>
      <c r="O357">
        <f>_xlfn.XLOOKUP(E357,Product_Master!$B$2:$B$11,Product_Master!$F$2:$F$11)</f>
        <v>35</v>
      </c>
      <c r="P357">
        <f t="shared" si="10"/>
        <v>1645</v>
      </c>
      <c r="Q357" s="5">
        <f t="shared" si="11"/>
        <v>0.19855628178573631</v>
      </c>
    </row>
    <row r="358" spans="1:17" x14ac:dyDescent="0.3">
      <c r="A358" t="s">
        <v>530</v>
      </c>
      <c r="B358" t="s">
        <v>78</v>
      </c>
      <c r="C358" t="s">
        <v>198</v>
      </c>
      <c r="D358" t="s">
        <v>63</v>
      </c>
      <c r="E358" t="s">
        <v>69</v>
      </c>
      <c r="F358" t="s">
        <v>59</v>
      </c>
      <c r="G358">
        <v>1</v>
      </c>
      <c r="H358" s="4">
        <v>18.739999999999998</v>
      </c>
      <c r="I358">
        <v>18.739999999999998</v>
      </c>
      <c r="J358">
        <v>0.5</v>
      </c>
      <c r="K358">
        <v>2.74</v>
      </c>
      <c r="L358" t="s">
        <v>44</v>
      </c>
      <c r="M358" t="s">
        <v>31</v>
      </c>
      <c r="N358" t="s">
        <v>66</v>
      </c>
      <c r="O358">
        <f>_xlfn.XLOOKUP(E358,Product_Master!$B$2:$B$11,Product_Master!$F$2:$F$11)</f>
        <v>15.5</v>
      </c>
      <c r="P358">
        <f t="shared" si="10"/>
        <v>15.5</v>
      </c>
      <c r="Q358" s="5">
        <f t="shared" si="11"/>
        <v>0.14621131270010676</v>
      </c>
    </row>
    <row r="359" spans="1:17" x14ac:dyDescent="0.3">
      <c r="A359" t="s">
        <v>531</v>
      </c>
      <c r="B359" t="s">
        <v>78</v>
      </c>
      <c r="C359" t="s">
        <v>189</v>
      </c>
      <c r="D359" t="s">
        <v>81</v>
      </c>
      <c r="E359" t="s">
        <v>58</v>
      </c>
      <c r="F359" t="s">
        <v>59</v>
      </c>
      <c r="G359">
        <v>27</v>
      </c>
      <c r="H359" s="4">
        <v>36.270000000000003</v>
      </c>
      <c r="I359">
        <v>979.29</v>
      </c>
      <c r="J359">
        <v>54.58</v>
      </c>
      <c r="K359">
        <v>317.20999999999998</v>
      </c>
      <c r="L359" t="s">
        <v>30</v>
      </c>
      <c r="M359" t="s">
        <v>31</v>
      </c>
      <c r="N359" t="s">
        <v>66</v>
      </c>
      <c r="O359">
        <f>_xlfn.XLOOKUP(E359,Product_Master!$B$2:$B$11,Product_Master!$F$2:$F$11)</f>
        <v>22.5</v>
      </c>
      <c r="P359">
        <f t="shared" si="10"/>
        <v>607.5</v>
      </c>
      <c r="Q359" s="5">
        <f t="shared" si="11"/>
        <v>0.32391834900795474</v>
      </c>
    </row>
    <row r="360" spans="1:17" x14ac:dyDescent="0.3">
      <c r="A360" t="s">
        <v>532</v>
      </c>
      <c r="B360" t="s">
        <v>39</v>
      </c>
      <c r="C360" t="s">
        <v>110</v>
      </c>
      <c r="D360" t="s">
        <v>170</v>
      </c>
      <c r="E360" t="s">
        <v>73</v>
      </c>
      <c r="F360" t="s">
        <v>43</v>
      </c>
      <c r="G360">
        <v>13</v>
      </c>
      <c r="H360" s="4">
        <v>18.82</v>
      </c>
      <c r="I360">
        <v>244.66</v>
      </c>
      <c r="J360">
        <v>6.49</v>
      </c>
      <c r="K360">
        <v>72.42</v>
      </c>
      <c r="L360" t="s">
        <v>44</v>
      </c>
      <c r="M360" t="s">
        <v>31</v>
      </c>
      <c r="N360" t="s">
        <v>32</v>
      </c>
      <c r="O360">
        <f>_xlfn.XLOOKUP(E360,Product_Master!$B$2:$B$11,Product_Master!$F$2:$F$11)</f>
        <v>12.75</v>
      </c>
      <c r="P360">
        <f t="shared" si="10"/>
        <v>165.75</v>
      </c>
      <c r="Q360" s="5">
        <f t="shared" si="11"/>
        <v>0.29600261587509197</v>
      </c>
    </row>
    <row r="361" spans="1:17" x14ac:dyDescent="0.3">
      <c r="A361" t="s">
        <v>533</v>
      </c>
      <c r="B361" t="s">
        <v>26</v>
      </c>
      <c r="C361" t="s">
        <v>361</v>
      </c>
      <c r="D361" t="s">
        <v>147</v>
      </c>
      <c r="E361" t="s">
        <v>98</v>
      </c>
      <c r="F361" t="s">
        <v>59</v>
      </c>
      <c r="G361">
        <v>41</v>
      </c>
      <c r="H361" s="4">
        <v>43.19</v>
      </c>
      <c r="I361">
        <v>1770.79</v>
      </c>
      <c r="J361">
        <v>83.28</v>
      </c>
      <c r="K361">
        <v>539.51</v>
      </c>
      <c r="L361" t="s">
        <v>30</v>
      </c>
      <c r="M361" t="s">
        <v>23</v>
      </c>
      <c r="N361" t="s">
        <v>148</v>
      </c>
      <c r="O361">
        <f>_xlfn.XLOOKUP(E361,Product_Master!$B$2:$B$11,Product_Master!$F$2:$F$11)</f>
        <v>28</v>
      </c>
      <c r="P361">
        <f t="shared" si="10"/>
        <v>1148</v>
      </c>
      <c r="Q361" s="5">
        <f t="shared" si="11"/>
        <v>0.30467192608948551</v>
      </c>
    </row>
    <row r="362" spans="1:17" x14ac:dyDescent="0.3">
      <c r="A362" t="s">
        <v>534</v>
      </c>
      <c r="B362" t="s">
        <v>86</v>
      </c>
      <c r="C362" t="s">
        <v>76</v>
      </c>
      <c r="D362" t="s">
        <v>63</v>
      </c>
      <c r="E362" t="s">
        <v>98</v>
      </c>
      <c r="F362" t="s">
        <v>59</v>
      </c>
      <c r="G362">
        <v>40</v>
      </c>
      <c r="H362" s="4">
        <v>42.31</v>
      </c>
      <c r="I362">
        <v>1692.4</v>
      </c>
      <c r="J362">
        <v>118.59</v>
      </c>
      <c r="K362">
        <v>453.81</v>
      </c>
      <c r="L362" t="s">
        <v>30</v>
      </c>
      <c r="M362" t="s">
        <v>37</v>
      </c>
      <c r="N362" t="s">
        <v>66</v>
      </c>
      <c r="O362">
        <f>_xlfn.XLOOKUP(E362,Product_Master!$B$2:$B$11,Product_Master!$F$2:$F$11)</f>
        <v>28</v>
      </c>
      <c r="P362">
        <f t="shared" si="10"/>
        <v>1120</v>
      </c>
      <c r="Q362" s="5">
        <f t="shared" si="11"/>
        <v>0.26814582840935947</v>
      </c>
    </row>
    <row r="363" spans="1:17" x14ac:dyDescent="0.3">
      <c r="A363" t="s">
        <v>535</v>
      </c>
      <c r="B363" t="s">
        <v>61</v>
      </c>
      <c r="C363" t="s">
        <v>295</v>
      </c>
      <c r="D363" t="s">
        <v>196</v>
      </c>
      <c r="E363" t="s">
        <v>42</v>
      </c>
      <c r="F363" t="s">
        <v>43</v>
      </c>
      <c r="G363">
        <v>1</v>
      </c>
      <c r="H363" s="4">
        <v>57.15</v>
      </c>
      <c r="I363">
        <v>57.15</v>
      </c>
      <c r="J363">
        <v>4.1100000000000003</v>
      </c>
      <c r="K363">
        <v>21.04</v>
      </c>
      <c r="L363" t="s">
        <v>30</v>
      </c>
      <c r="M363" t="s">
        <v>23</v>
      </c>
      <c r="N363" t="s">
        <v>66</v>
      </c>
      <c r="O363">
        <f>_xlfn.XLOOKUP(E363,Product_Master!$B$2:$B$11,Product_Master!$F$2:$F$11)</f>
        <v>32</v>
      </c>
      <c r="P363">
        <f t="shared" si="10"/>
        <v>32</v>
      </c>
      <c r="Q363" s="5">
        <f t="shared" si="11"/>
        <v>0.36815398075240596</v>
      </c>
    </row>
    <row r="364" spans="1:17" x14ac:dyDescent="0.3">
      <c r="A364" t="s">
        <v>536</v>
      </c>
      <c r="B364" t="s">
        <v>107</v>
      </c>
      <c r="C364" t="s">
        <v>187</v>
      </c>
      <c r="D364" t="s">
        <v>48</v>
      </c>
      <c r="E364" t="s">
        <v>54</v>
      </c>
      <c r="F364" t="s">
        <v>43</v>
      </c>
      <c r="G364">
        <v>15</v>
      </c>
      <c r="H364" s="4">
        <v>30.03</v>
      </c>
      <c r="I364">
        <v>450.45</v>
      </c>
      <c r="J364">
        <v>29.99</v>
      </c>
      <c r="K364">
        <v>120.46</v>
      </c>
      <c r="L364" t="s">
        <v>44</v>
      </c>
      <c r="M364" t="s">
        <v>31</v>
      </c>
      <c r="N364" t="s">
        <v>24</v>
      </c>
      <c r="O364">
        <f>_xlfn.XLOOKUP(E364,Product_Master!$B$2:$B$11,Product_Master!$F$2:$F$11)</f>
        <v>20</v>
      </c>
      <c r="P364">
        <f t="shared" si="10"/>
        <v>300</v>
      </c>
      <c r="Q364" s="5">
        <f t="shared" si="11"/>
        <v>0.26742146742146744</v>
      </c>
    </row>
    <row r="365" spans="1:17" x14ac:dyDescent="0.3">
      <c r="A365" t="s">
        <v>537</v>
      </c>
      <c r="B365" t="s">
        <v>107</v>
      </c>
      <c r="C365" t="s">
        <v>180</v>
      </c>
      <c r="D365" t="s">
        <v>41</v>
      </c>
      <c r="E365" t="s">
        <v>54</v>
      </c>
      <c r="F365" t="s">
        <v>43</v>
      </c>
      <c r="G365">
        <v>48</v>
      </c>
      <c r="H365" s="4">
        <v>30.91</v>
      </c>
      <c r="I365">
        <v>1483.68</v>
      </c>
      <c r="J365">
        <v>85.5</v>
      </c>
      <c r="K365">
        <v>438.18</v>
      </c>
      <c r="L365" t="s">
        <v>22</v>
      </c>
      <c r="M365" t="s">
        <v>31</v>
      </c>
      <c r="N365" t="s">
        <v>45</v>
      </c>
      <c r="O365">
        <f>_xlfn.XLOOKUP(E365,Product_Master!$B$2:$B$11,Product_Master!$F$2:$F$11)</f>
        <v>20</v>
      </c>
      <c r="P365">
        <f t="shared" si="10"/>
        <v>960</v>
      </c>
      <c r="Q365" s="5">
        <f t="shared" si="11"/>
        <v>0.29533322549336782</v>
      </c>
    </row>
    <row r="366" spans="1:17" x14ac:dyDescent="0.3">
      <c r="A366" t="s">
        <v>538</v>
      </c>
      <c r="B366" t="s">
        <v>157</v>
      </c>
      <c r="C366" t="s">
        <v>342</v>
      </c>
      <c r="D366" t="s">
        <v>53</v>
      </c>
      <c r="E366" t="s">
        <v>58</v>
      </c>
      <c r="F366" t="s">
        <v>59</v>
      </c>
      <c r="G366">
        <v>8</v>
      </c>
      <c r="H366" s="4">
        <v>32.19</v>
      </c>
      <c r="I366">
        <v>257.52</v>
      </c>
      <c r="J366">
        <v>11.85</v>
      </c>
      <c r="K366">
        <v>65.67</v>
      </c>
      <c r="L366" t="s">
        <v>22</v>
      </c>
      <c r="M366" t="s">
        <v>23</v>
      </c>
      <c r="N366" t="s">
        <v>24</v>
      </c>
      <c r="O366">
        <f>_xlfn.XLOOKUP(E366,Product_Master!$B$2:$B$11,Product_Master!$F$2:$F$11)</f>
        <v>22.5</v>
      </c>
      <c r="P366">
        <f t="shared" si="10"/>
        <v>180</v>
      </c>
      <c r="Q366" s="5">
        <f t="shared" si="11"/>
        <v>0.25500931966449208</v>
      </c>
    </row>
    <row r="367" spans="1:17" x14ac:dyDescent="0.3">
      <c r="A367" t="s">
        <v>539</v>
      </c>
      <c r="B367" t="s">
        <v>71</v>
      </c>
      <c r="C367" t="s">
        <v>166</v>
      </c>
      <c r="D367" t="s">
        <v>88</v>
      </c>
      <c r="E367" t="s">
        <v>49</v>
      </c>
      <c r="F367" t="s">
        <v>50</v>
      </c>
      <c r="G367">
        <v>22</v>
      </c>
      <c r="H367" s="4">
        <v>60.75</v>
      </c>
      <c r="I367">
        <v>1336.5</v>
      </c>
      <c r="J367">
        <v>38.340000000000003</v>
      </c>
      <c r="K367">
        <v>418.16</v>
      </c>
      <c r="L367" t="s">
        <v>22</v>
      </c>
      <c r="M367" t="s">
        <v>31</v>
      </c>
      <c r="N367" t="s">
        <v>66</v>
      </c>
      <c r="O367">
        <f>_xlfn.XLOOKUP(E367,Product_Master!$B$2:$B$11,Product_Master!$F$2:$F$11)</f>
        <v>40</v>
      </c>
      <c r="P367">
        <f t="shared" si="10"/>
        <v>880</v>
      </c>
      <c r="Q367" s="5">
        <f t="shared" si="11"/>
        <v>0.3128769173213618</v>
      </c>
    </row>
    <row r="368" spans="1:17" x14ac:dyDescent="0.3">
      <c r="A368" t="s">
        <v>540</v>
      </c>
      <c r="B368" t="s">
        <v>104</v>
      </c>
      <c r="C368" t="s">
        <v>137</v>
      </c>
      <c r="D368" t="s">
        <v>36</v>
      </c>
      <c r="E368" t="s">
        <v>49</v>
      </c>
      <c r="F368" t="s">
        <v>50</v>
      </c>
      <c r="G368">
        <v>38</v>
      </c>
      <c r="H368" s="4">
        <v>66.06</v>
      </c>
      <c r="I368">
        <v>2510.2800000000002</v>
      </c>
      <c r="J368">
        <v>50.37</v>
      </c>
      <c r="K368">
        <v>939.91</v>
      </c>
      <c r="L368" t="s">
        <v>22</v>
      </c>
      <c r="M368" t="s">
        <v>23</v>
      </c>
      <c r="N368" t="s">
        <v>32</v>
      </c>
      <c r="O368">
        <f>_xlfn.XLOOKUP(E368,Product_Master!$B$2:$B$11,Product_Master!$F$2:$F$11)</f>
        <v>40</v>
      </c>
      <c r="P368">
        <f t="shared" si="10"/>
        <v>1520</v>
      </c>
      <c r="Q368" s="5">
        <f t="shared" si="11"/>
        <v>0.37442436700288412</v>
      </c>
    </row>
    <row r="369" spans="1:17" x14ac:dyDescent="0.3">
      <c r="A369" t="s">
        <v>541</v>
      </c>
      <c r="B369" t="s">
        <v>68</v>
      </c>
      <c r="C369" t="s">
        <v>114</v>
      </c>
      <c r="D369" t="s">
        <v>19</v>
      </c>
      <c r="E369" t="s">
        <v>20</v>
      </c>
      <c r="F369" t="s">
        <v>21</v>
      </c>
      <c r="G369">
        <v>33</v>
      </c>
      <c r="H369" s="4">
        <v>50.88</v>
      </c>
      <c r="I369">
        <v>1679.04</v>
      </c>
      <c r="J369">
        <v>61.48</v>
      </c>
      <c r="K369">
        <v>462.56</v>
      </c>
      <c r="L369" t="s">
        <v>22</v>
      </c>
      <c r="M369" t="s">
        <v>31</v>
      </c>
      <c r="N369" t="s">
        <v>24</v>
      </c>
      <c r="O369">
        <f>_xlfn.XLOOKUP(E369,Product_Master!$B$2:$B$11,Product_Master!$F$2:$F$11)</f>
        <v>35</v>
      </c>
      <c r="P369">
        <f t="shared" si="10"/>
        <v>1155</v>
      </c>
      <c r="Q369" s="5">
        <f t="shared" si="11"/>
        <v>0.27549075662283212</v>
      </c>
    </row>
    <row r="370" spans="1:17" x14ac:dyDescent="0.3">
      <c r="A370" t="s">
        <v>542</v>
      </c>
      <c r="B370" t="s">
        <v>95</v>
      </c>
      <c r="C370" t="s">
        <v>280</v>
      </c>
      <c r="D370" t="s">
        <v>63</v>
      </c>
      <c r="E370" t="s">
        <v>98</v>
      </c>
      <c r="F370" t="s">
        <v>59</v>
      </c>
      <c r="G370">
        <v>49</v>
      </c>
      <c r="H370" s="4">
        <v>34.479999999999997</v>
      </c>
      <c r="I370">
        <v>1689.52</v>
      </c>
      <c r="J370">
        <v>53.06</v>
      </c>
      <c r="K370">
        <v>264.45999999999998</v>
      </c>
      <c r="L370" t="s">
        <v>44</v>
      </c>
      <c r="M370" t="s">
        <v>37</v>
      </c>
      <c r="N370" t="s">
        <v>66</v>
      </c>
      <c r="O370">
        <f>_xlfn.XLOOKUP(E370,Product_Master!$B$2:$B$11,Product_Master!$F$2:$F$11)</f>
        <v>28</v>
      </c>
      <c r="P370">
        <f t="shared" si="10"/>
        <v>1372</v>
      </c>
      <c r="Q370" s="5">
        <f t="shared" si="11"/>
        <v>0.15652966523036127</v>
      </c>
    </row>
    <row r="371" spans="1:17" x14ac:dyDescent="0.3">
      <c r="A371" t="s">
        <v>543</v>
      </c>
      <c r="B371" t="s">
        <v>157</v>
      </c>
      <c r="C371" t="s">
        <v>187</v>
      </c>
      <c r="D371" t="s">
        <v>91</v>
      </c>
      <c r="E371" t="s">
        <v>54</v>
      </c>
      <c r="F371" t="s">
        <v>43</v>
      </c>
      <c r="G371">
        <v>31</v>
      </c>
      <c r="H371" s="4">
        <v>25.43</v>
      </c>
      <c r="I371">
        <v>788.33</v>
      </c>
      <c r="J371">
        <v>57.81</v>
      </c>
      <c r="K371">
        <v>110.52</v>
      </c>
      <c r="L371" t="s">
        <v>22</v>
      </c>
      <c r="M371" t="s">
        <v>31</v>
      </c>
      <c r="N371" t="s">
        <v>66</v>
      </c>
      <c r="O371">
        <f>_xlfn.XLOOKUP(E371,Product_Master!$B$2:$B$11,Product_Master!$F$2:$F$11)</f>
        <v>20</v>
      </c>
      <c r="P371">
        <f t="shared" si="10"/>
        <v>620</v>
      </c>
      <c r="Q371" s="5">
        <f t="shared" si="11"/>
        <v>0.14019509596235077</v>
      </c>
    </row>
    <row r="372" spans="1:17" x14ac:dyDescent="0.3">
      <c r="A372" t="s">
        <v>544</v>
      </c>
      <c r="B372" t="s">
        <v>83</v>
      </c>
      <c r="C372" t="s">
        <v>245</v>
      </c>
      <c r="D372" t="s">
        <v>170</v>
      </c>
      <c r="E372" t="s">
        <v>54</v>
      </c>
      <c r="F372" t="s">
        <v>43</v>
      </c>
      <c r="G372">
        <v>29</v>
      </c>
      <c r="H372" s="4">
        <v>31.68</v>
      </c>
      <c r="I372">
        <v>918.72</v>
      </c>
      <c r="J372">
        <v>22.22</v>
      </c>
      <c r="K372">
        <v>316.5</v>
      </c>
      <c r="L372" t="s">
        <v>44</v>
      </c>
      <c r="M372" t="s">
        <v>23</v>
      </c>
      <c r="N372" t="s">
        <v>32</v>
      </c>
      <c r="O372">
        <f>_xlfn.XLOOKUP(E372,Product_Master!$B$2:$B$11,Product_Master!$F$2:$F$11)</f>
        <v>20</v>
      </c>
      <c r="P372">
        <f t="shared" si="10"/>
        <v>580</v>
      </c>
      <c r="Q372" s="5">
        <f t="shared" si="11"/>
        <v>0.34450104493207939</v>
      </c>
    </row>
    <row r="373" spans="1:17" x14ac:dyDescent="0.3">
      <c r="A373" t="s">
        <v>545</v>
      </c>
      <c r="B373" t="s">
        <v>104</v>
      </c>
      <c r="C373" t="s">
        <v>373</v>
      </c>
      <c r="D373" t="s">
        <v>81</v>
      </c>
      <c r="E373" t="s">
        <v>98</v>
      </c>
      <c r="F373" t="s">
        <v>59</v>
      </c>
      <c r="G373">
        <v>42</v>
      </c>
      <c r="H373" s="4">
        <v>33.89</v>
      </c>
      <c r="I373">
        <v>1423.38</v>
      </c>
      <c r="J373">
        <v>85.4</v>
      </c>
      <c r="K373">
        <v>161.97999999999999</v>
      </c>
      <c r="L373" t="s">
        <v>44</v>
      </c>
      <c r="M373" t="s">
        <v>23</v>
      </c>
      <c r="N373" t="s">
        <v>66</v>
      </c>
      <c r="O373">
        <f>_xlfn.XLOOKUP(E373,Product_Master!$B$2:$B$11,Product_Master!$F$2:$F$11)</f>
        <v>28</v>
      </c>
      <c r="P373">
        <f t="shared" si="10"/>
        <v>1176</v>
      </c>
      <c r="Q373" s="5">
        <f t="shared" si="11"/>
        <v>0.11379954755581782</v>
      </c>
    </row>
    <row r="374" spans="1:17" x14ac:dyDescent="0.3">
      <c r="A374" t="s">
        <v>546</v>
      </c>
      <c r="B374" t="s">
        <v>68</v>
      </c>
      <c r="C374" t="s">
        <v>57</v>
      </c>
      <c r="D374" t="s">
        <v>81</v>
      </c>
      <c r="E374" t="s">
        <v>29</v>
      </c>
      <c r="F374" t="s">
        <v>21</v>
      </c>
      <c r="G374">
        <v>13</v>
      </c>
      <c r="H374" s="4">
        <v>21.75</v>
      </c>
      <c r="I374">
        <v>282.75</v>
      </c>
      <c r="J374">
        <v>12.5</v>
      </c>
      <c r="K374">
        <v>36.25</v>
      </c>
      <c r="L374" t="s">
        <v>44</v>
      </c>
      <c r="M374" t="s">
        <v>31</v>
      </c>
      <c r="N374" t="s">
        <v>66</v>
      </c>
      <c r="O374">
        <f>_xlfn.XLOOKUP(E374,Product_Master!$B$2:$B$11,Product_Master!$F$2:$F$11)</f>
        <v>18</v>
      </c>
      <c r="P374">
        <f t="shared" si="10"/>
        <v>234</v>
      </c>
      <c r="Q374" s="5">
        <f t="shared" si="11"/>
        <v>0.12820512820512819</v>
      </c>
    </row>
    <row r="375" spans="1:17" x14ac:dyDescent="0.3">
      <c r="A375" t="s">
        <v>547</v>
      </c>
      <c r="B375" t="s">
        <v>86</v>
      </c>
      <c r="C375" t="s">
        <v>117</v>
      </c>
      <c r="D375" t="s">
        <v>91</v>
      </c>
      <c r="E375" t="s">
        <v>58</v>
      </c>
      <c r="F375" t="s">
        <v>59</v>
      </c>
      <c r="G375">
        <v>25</v>
      </c>
      <c r="H375" s="4">
        <v>37.58</v>
      </c>
      <c r="I375">
        <v>939.5</v>
      </c>
      <c r="J375">
        <v>48.44</v>
      </c>
      <c r="K375">
        <v>328.56</v>
      </c>
      <c r="L375" t="s">
        <v>44</v>
      </c>
      <c r="M375" t="s">
        <v>37</v>
      </c>
      <c r="N375" t="s">
        <v>66</v>
      </c>
      <c r="O375">
        <f>_xlfn.XLOOKUP(E375,Product_Master!$B$2:$B$11,Product_Master!$F$2:$F$11)</f>
        <v>22.5</v>
      </c>
      <c r="P375">
        <f t="shared" si="10"/>
        <v>562.5</v>
      </c>
      <c r="Q375" s="5">
        <f t="shared" si="11"/>
        <v>0.34971793507184673</v>
      </c>
    </row>
    <row r="376" spans="1:17" x14ac:dyDescent="0.3">
      <c r="A376" t="s">
        <v>548</v>
      </c>
      <c r="B376" t="s">
        <v>26</v>
      </c>
      <c r="C376" t="s">
        <v>322</v>
      </c>
      <c r="D376" t="s">
        <v>170</v>
      </c>
      <c r="E376" t="s">
        <v>54</v>
      </c>
      <c r="F376" t="s">
        <v>43</v>
      </c>
      <c r="G376">
        <v>16</v>
      </c>
      <c r="H376" s="4">
        <v>25.25</v>
      </c>
      <c r="I376">
        <v>404</v>
      </c>
      <c r="J376">
        <v>18.75</v>
      </c>
      <c r="K376">
        <v>65.25</v>
      </c>
      <c r="L376" t="s">
        <v>30</v>
      </c>
      <c r="M376" t="s">
        <v>37</v>
      </c>
      <c r="N376" t="s">
        <v>32</v>
      </c>
      <c r="O376">
        <f>_xlfn.XLOOKUP(E376,Product_Master!$B$2:$B$11,Product_Master!$F$2:$F$11)</f>
        <v>20</v>
      </c>
      <c r="P376">
        <f t="shared" si="10"/>
        <v>320</v>
      </c>
      <c r="Q376" s="5">
        <f t="shared" si="11"/>
        <v>0.16150990099009901</v>
      </c>
    </row>
    <row r="377" spans="1:17" x14ac:dyDescent="0.3">
      <c r="A377" t="s">
        <v>549</v>
      </c>
      <c r="B377" t="s">
        <v>68</v>
      </c>
      <c r="C377" t="s">
        <v>259</v>
      </c>
      <c r="D377" t="s">
        <v>91</v>
      </c>
      <c r="E377" t="s">
        <v>69</v>
      </c>
      <c r="F377" t="s">
        <v>59</v>
      </c>
      <c r="G377">
        <v>37</v>
      </c>
      <c r="H377" s="4">
        <v>25.85</v>
      </c>
      <c r="I377">
        <v>956.45</v>
      </c>
      <c r="J377">
        <v>31.7</v>
      </c>
      <c r="K377">
        <v>351.25</v>
      </c>
      <c r="L377" t="s">
        <v>44</v>
      </c>
      <c r="M377" t="s">
        <v>37</v>
      </c>
      <c r="N377" t="s">
        <v>66</v>
      </c>
      <c r="O377">
        <f>_xlfn.XLOOKUP(E377,Product_Master!$B$2:$B$11,Product_Master!$F$2:$F$11)</f>
        <v>15.5</v>
      </c>
      <c r="P377">
        <f t="shared" si="10"/>
        <v>573.5</v>
      </c>
      <c r="Q377" s="5">
        <f t="shared" si="11"/>
        <v>0.3672434523498353</v>
      </c>
    </row>
    <row r="378" spans="1:17" x14ac:dyDescent="0.3">
      <c r="A378" t="s">
        <v>550</v>
      </c>
      <c r="B378" t="s">
        <v>17</v>
      </c>
      <c r="C378" t="s">
        <v>62</v>
      </c>
      <c r="D378" t="s">
        <v>81</v>
      </c>
      <c r="E378" t="s">
        <v>54</v>
      </c>
      <c r="F378" t="s">
        <v>43</v>
      </c>
      <c r="G378">
        <v>1</v>
      </c>
      <c r="H378" s="4">
        <v>25.72</v>
      </c>
      <c r="I378">
        <v>25.72</v>
      </c>
      <c r="J378">
        <v>2.04</v>
      </c>
      <c r="K378">
        <v>3.68</v>
      </c>
      <c r="L378" t="s">
        <v>44</v>
      </c>
      <c r="M378" t="s">
        <v>37</v>
      </c>
      <c r="N378" t="s">
        <v>66</v>
      </c>
      <c r="O378">
        <f>_xlfn.XLOOKUP(E378,Product_Master!$B$2:$B$11,Product_Master!$F$2:$F$11)</f>
        <v>20</v>
      </c>
      <c r="P378">
        <f t="shared" si="10"/>
        <v>20</v>
      </c>
      <c r="Q378" s="5">
        <f t="shared" si="11"/>
        <v>0.14307931570762053</v>
      </c>
    </row>
    <row r="379" spans="1:17" x14ac:dyDescent="0.3">
      <c r="A379" t="s">
        <v>551</v>
      </c>
      <c r="B379" t="s">
        <v>132</v>
      </c>
      <c r="C379" t="s">
        <v>361</v>
      </c>
      <c r="D379" t="s">
        <v>81</v>
      </c>
      <c r="E379" t="s">
        <v>98</v>
      </c>
      <c r="F379" t="s">
        <v>59</v>
      </c>
      <c r="G379">
        <v>48</v>
      </c>
      <c r="H379" s="4">
        <v>47.05</v>
      </c>
      <c r="I379">
        <v>2258.4</v>
      </c>
      <c r="J379">
        <v>179.44</v>
      </c>
      <c r="K379">
        <v>734.96</v>
      </c>
      <c r="L379" t="s">
        <v>30</v>
      </c>
      <c r="M379" t="s">
        <v>31</v>
      </c>
      <c r="N379" t="s">
        <v>66</v>
      </c>
      <c r="O379">
        <f>_xlfn.XLOOKUP(E379,Product_Master!$B$2:$B$11,Product_Master!$F$2:$F$11)</f>
        <v>28</v>
      </c>
      <c r="P379">
        <f t="shared" si="10"/>
        <v>1344</v>
      </c>
      <c r="Q379" s="5">
        <f t="shared" si="11"/>
        <v>0.32543393552957844</v>
      </c>
    </row>
    <row r="380" spans="1:17" x14ac:dyDescent="0.3">
      <c r="A380" t="s">
        <v>552</v>
      </c>
      <c r="B380" t="s">
        <v>86</v>
      </c>
      <c r="C380" t="s">
        <v>141</v>
      </c>
      <c r="D380" t="s">
        <v>41</v>
      </c>
      <c r="E380" t="s">
        <v>54</v>
      </c>
      <c r="F380" t="s">
        <v>43</v>
      </c>
      <c r="G380">
        <v>48</v>
      </c>
      <c r="H380" s="4">
        <v>29.94</v>
      </c>
      <c r="I380">
        <v>1437.12</v>
      </c>
      <c r="J380">
        <v>30.14</v>
      </c>
      <c r="K380">
        <v>446.98</v>
      </c>
      <c r="L380" t="s">
        <v>30</v>
      </c>
      <c r="M380" t="s">
        <v>31</v>
      </c>
      <c r="N380" t="s">
        <v>45</v>
      </c>
      <c r="O380">
        <f>_xlfn.XLOOKUP(E380,Product_Master!$B$2:$B$11,Product_Master!$F$2:$F$11)</f>
        <v>20</v>
      </c>
      <c r="P380">
        <f t="shared" si="10"/>
        <v>960</v>
      </c>
      <c r="Q380" s="5">
        <f t="shared" si="11"/>
        <v>0.31102482743264309</v>
      </c>
    </row>
    <row r="381" spans="1:17" x14ac:dyDescent="0.3">
      <c r="A381" t="s">
        <v>553</v>
      </c>
      <c r="B381" t="s">
        <v>71</v>
      </c>
      <c r="C381" t="s">
        <v>390</v>
      </c>
      <c r="D381" t="s">
        <v>36</v>
      </c>
      <c r="E381" t="s">
        <v>58</v>
      </c>
      <c r="F381" t="s">
        <v>59</v>
      </c>
      <c r="G381">
        <v>12</v>
      </c>
      <c r="H381" s="4">
        <v>35.68</v>
      </c>
      <c r="I381">
        <v>428.16</v>
      </c>
      <c r="J381">
        <v>13.07</v>
      </c>
      <c r="K381">
        <v>145.09</v>
      </c>
      <c r="L381" t="s">
        <v>30</v>
      </c>
      <c r="M381" t="s">
        <v>37</v>
      </c>
      <c r="N381" t="s">
        <v>32</v>
      </c>
      <c r="O381">
        <f>_xlfn.XLOOKUP(E381,Product_Master!$B$2:$B$11,Product_Master!$F$2:$F$11)</f>
        <v>22.5</v>
      </c>
      <c r="P381">
        <f t="shared" si="10"/>
        <v>270</v>
      </c>
      <c r="Q381" s="5">
        <f t="shared" si="11"/>
        <v>0.33886864723467863</v>
      </c>
    </row>
    <row r="382" spans="1:17" x14ac:dyDescent="0.3">
      <c r="A382" t="s">
        <v>554</v>
      </c>
      <c r="B382" t="s">
        <v>68</v>
      </c>
      <c r="C382" t="s">
        <v>305</v>
      </c>
      <c r="D382" t="s">
        <v>19</v>
      </c>
      <c r="E382" t="s">
        <v>42</v>
      </c>
      <c r="F382" t="s">
        <v>43</v>
      </c>
      <c r="G382">
        <v>30</v>
      </c>
      <c r="H382" s="4">
        <v>49.32</v>
      </c>
      <c r="I382">
        <v>1479.6</v>
      </c>
      <c r="J382">
        <v>105.97</v>
      </c>
      <c r="K382">
        <v>413.63</v>
      </c>
      <c r="L382" t="s">
        <v>30</v>
      </c>
      <c r="M382" t="s">
        <v>31</v>
      </c>
      <c r="N382" t="s">
        <v>24</v>
      </c>
      <c r="O382">
        <f>_xlfn.XLOOKUP(E382,Product_Master!$B$2:$B$11,Product_Master!$F$2:$F$11)</f>
        <v>32</v>
      </c>
      <c r="P382">
        <f t="shared" si="10"/>
        <v>960</v>
      </c>
      <c r="Q382" s="5">
        <f t="shared" si="11"/>
        <v>0.27955528521221951</v>
      </c>
    </row>
    <row r="383" spans="1:17" x14ac:dyDescent="0.3">
      <c r="A383" t="s">
        <v>555</v>
      </c>
      <c r="B383" t="s">
        <v>157</v>
      </c>
      <c r="C383" t="s">
        <v>319</v>
      </c>
      <c r="D383" t="s">
        <v>123</v>
      </c>
      <c r="E383" t="s">
        <v>98</v>
      </c>
      <c r="F383" t="s">
        <v>59</v>
      </c>
      <c r="G383">
        <v>27</v>
      </c>
      <c r="H383" s="4">
        <v>37.68</v>
      </c>
      <c r="I383">
        <v>1017.36</v>
      </c>
      <c r="J383">
        <v>80.739999999999995</v>
      </c>
      <c r="K383">
        <v>180.62</v>
      </c>
      <c r="L383" t="s">
        <v>44</v>
      </c>
      <c r="M383" t="s">
        <v>23</v>
      </c>
      <c r="N383" t="s">
        <v>32</v>
      </c>
      <c r="O383">
        <f>_xlfn.XLOOKUP(E383,Product_Master!$B$2:$B$11,Product_Master!$F$2:$F$11)</f>
        <v>28</v>
      </c>
      <c r="P383">
        <f t="shared" si="10"/>
        <v>756</v>
      </c>
      <c r="Q383" s="5">
        <f t="shared" si="11"/>
        <v>0.17753794133836598</v>
      </c>
    </row>
    <row r="384" spans="1:17" x14ac:dyDescent="0.3">
      <c r="A384" t="s">
        <v>556</v>
      </c>
      <c r="B384" t="s">
        <v>104</v>
      </c>
      <c r="C384" t="s">
        <v>192</v>
      </c>
      <c r="D384" t="s">
        <v>36</v>
      </c>
      <c r="E384" t="s">
        <v>64</v>
      </c>
      <c r="F384" t="s">
        <v>65</v>
      </c>
      <c r="G384">
        <v>39</v>
      </c>
      <c r="H384" s="4">
        <v>36.340000000000003</v>
      </c>
      <c r="I384">
        <v>1417.26</v>
      </c>
      <c r="J384">
        <v>67</v>
      </c>
      <c r="K384">
        <v>375.26</v>
      </c>
      <c r="L384" t="s">
        <v>44</v>
      </c>
      <c r="M384" t="s">
        <v>31</v>
      </c>
      <c r="N384" t="s">
        <v>32</v>
      </c>
      <c r="O384">
        <f>_xlfn.XLOOKUP(E384,Product_Master!$B$2:$B$11,Product_Master!$F$2:$F$11)</f>
        <v>25</v>
      </c>
      <c r="P384">
        <f t="shared" si="10"/>
        <v>975</v>
      </c>
      <c r="Q384" s="5">
        <f t="shared" si="11"/>
        <v>0.26477851629200005</v>
      </c>
    </row>
    <row r="385" spans="1:17" x14ac:dyDescent="0.3">
      <c r="A385" t="s">
        <v>557</v>
      </c>
      <c r="B385" t="s">
        <v>107</v>
      </c>
      <c r="C385" t="s">
        <v>62</v>
      </c>
      <c r="D385" t="s">
        <v>63</v>
      </c>
      <c r="E385" t="s">
        <v>69</v>
      </c>
      <c r="F385" t="s">
        <v>59</v>
      </c>
      <c r="G385">
        <v>16</v>
      </c>
      <c r="H385" s="4">
        <v>24.33</v>
      </c>
      <c r="I385">
        <v>389.28</v>
      </c>
      <c r="J385">
        <v>22.33</v>
      </c>
      <c r="K385">
        <v>118.95</v>
      </c>
      <c r="L385" t="s">
        <v>22</v>
      </c>
      <c r="M385" t="s">
        <v>37</v>
      </c>
      <c r="N385" t="s">
        <v>66</v>
      </c>
      <c r="O385">
        <f>_xlfn.XLOOKUP(E385,Product_Master!$B$2:$B$11,Product_Master!$F$2:$F$11)</f>
        <v>15.5</v>
      </c>
      <c r="P385">
        <f t="shared" si="10"/>
        <v>248</v>
      </c>
      <c r="Q385" s="5">
        <f t="shared" si="11"/>
        <v>0.30556411837237979</v>
      </c>
    </row>
    <row r="386" spans="1:17" x14ac:dyDescent="0.3">
      <c r="A386" t="s">
        <v>558</v>
      </c>
      <c r="B386" t="s">
        <v>17</v>
      </c>
      <c r="C386" t="s">
        <v>319</v>
      </c>
      <c r="D386" t="s">
        <v>88</v>
      </c>
      <c r="E386" t="s">
        <v>69</v>
      </c>
      <c r="F386" t="s">
        <v>59</v>
      </c>
      <c r="G386">
        <v>40</v>
      </c>
      <c r="H386" s="4">
        <v>22.28</v>
      </c>
      <c r="I386">
        <v>891.2</v>
      </c>
      <c r="J386">
        <v>32.729999999999997</v>
      </c>
      <c r="K386">
        <v>238.47</v>
      </c>
      <c r="L386" t="s">
        <v>22</v>
      </c>
      <c r="M386" t="s">
        <v>31</v>
      </c>
      <c r="N386" t="s">
        <v>66</v>
      </c>
      <c r="O386">
        <f>_xlfn.XLOOKUP(E386,Product_Master!$B$2:$B$11,Product_Master!$F$2:$F$11)</f>
        <v>15.5</v>
      </c>
      <c r="P386">
        <f t="shared" si="10"/>
        <v>620</v>
      </c>
      <c r="Q386" s="5">
        <f t="shared" si="11"/>
        <v>0.26758303411131057</v>
      </c>
    </row>
    <row r="387" spans="1:17" x14ac:dyDescent="0.3">
      <c r="A387" t="s">
        <v>559</v>
      </c>
      <c r="B387" t="s">
        <v>71</v>
      </c>
      <c r="C387" t="s">
        <v>122</v>
      </c>
      <c r="D387" t="s">
        <v>91</v>
      </c>
      <c r="E387" t="s">
        <v>73</v>
      </c>
      <c r="F387" t="s">
        <v>43</v>
      </c>
      <c r="G387">
        <v>45</v>
      </c>
      <c r="H387" s="4">
        <v>21.71</v>
      </c>
      <c r="I387">
        <v>976.95</v>
      </c>
      <c r="J387">
        <v>51.6</v>
      </c>
      <c r="K387">
        <v>351.6</v>
      </c>
      <c r="L387" t="s">
        <v>22</v>
      </c>
      <c r="M387" t="s">
        <v>23</v>
      </c>
      <c r="N387" t="s">
        <v>66</v>
      </c>
      <c r="O387">
        <f>_xlfn.XLOOKUP(E387,Product_Master!$B$2:$B$11,Product_Master!$F$2:$F$11)</f>
        <v>12.75</v>
      </c>
      <c r="P387">
        <f t="shared" ref="P387:P450" si="12">G387*O387</f>
        <v>573.75</v>
      </c>
      <c r="Q387" s="5">
        <f t="shared" ref="Q387:Q450" si="13">K387/I387</f>
        <v>0.35989559342852756</v>
      </c>
    </row>
    <row r="388" spans="1:17" x14ac:dyDescent="0.3">
      <c r="A388" t="s">
        <v>560</v>
      </c>
      <c r="B388" t="s">
        <v>71</v>
      </c>
      <c r="C388" t="s">
        <v>200</v>
      </c>
      <c r="D388" t="s">
        <v>170</v>
      </c>
      <c r="E388" t="s">
        <v>64</v>
      </c>
      <c r="F388" t="s">
        <v>65</v>
      </c>
      <c r="G388">
        <v>8</v>
      </c>
      <c r="H388" s="4">
        <v>31.07</v>
      </c>
      <c r="I388">
        <v>248.56</v>
      </c>
      <c r="J388">
        <v>10.97</v>
      </c>
      <c r="K388">
        <v>37.590000000000003</v>
      </c>
      <c r="L388" t="s">
        <v>22</v>
      </c>
      <c r="M388" t="s">
        <v>31</v>
      </c>
      <c r="N388" t="s">
        <v>32</v>
      </c>
      <c r="O388">
        <f>_xlfn.XLOOKUP(E388,Product_Master!$B$2:$B$11,Product_Master!$F$2:$F$11)</f>
        <v>25</v>
      </c>
      <c r="P388">
        <f t="shared" si="12"/>
        <v>200</v>
      </c>
      <c r="Q388" s="5">
        <f t="shared" si="13"/>
        <v>0.15123109108464758</v>
      </c>
    </row>
    <row r="389" spans="1:17" x14ac:dyDescent="0.3">
      <c r="A389" t="s">
        <v>561</v>
      </c>
      <c r="B389" t="s">
        <v>83</v>
      </c>
      <c r="C389" t="s">
        <v>250</v>
      </c>
      <c r="D389" t="s">
        <v>123</v>
      </c>
      <c r="E389" t="s">
        <v>73</v>
      </c>
      <c r="F389" t="s">
        <v>43</v>
      </c>
      <c r="G389">
        <v>47</v>
      </c>
      <c r="H389" s="4">
        <v>21.93</v>
      </c>
      <c r="I389">
        <v>1030.71</v>
      </c>
      <c r="J389">
        <v>70.989999999999995</v>
      </c>
      <c r="K389">
        <v>360.47</v>
      </c>
      <c r="L389" t="s">
        <v>44</v>
      </c>
      <c r="M389" t="s">
        <v>23</v>
      </c>
      <c r="N389" t="s">
        <v>32</v>
      </c>
      <c r="O389">
        <f>_xlfn.XLOOKUP(E389,Product_Master!$B$2:$B$11,Product_Master!$F$2:$F$11)</f>
        <v>12.75</v>
      </c>
      <c r="P389">
        <f t="shared" si="12"/>
        <v>599.25</v>
      </c>
      <c r="Q389" s="5">
        <f t="shared" si="13"/>
        <v>0.3497297979062976</v>
      </c>
    </row>
    <row r="390" spans="1:17" x14ac:dyDescent="0.3">
      <c r="A390" t="s">
        <v>562</v>
      </c>
      <c r="B390" t="s">
        <v>95</v>
      </c>
      <c r="C390" t="s">
        <v>119</v>
      </c>
      <c r="D390" t="s">
        <v>123</v>
      </c>
      <c r="E390" t="s">
        <v>73</v>
      </c>
      <c r="F390" t="s">
        <v>43</v>
      </c>
      <c r="G390">
        <v>46</v>
      </c>
      <c r="H390" s="4">
        <v>21.46</v>
      </c>
      <c r="I390">
        <v>987.16</v>
      </c>
      <c r="J390">
        <v>21.64</v>
      </c>
      <c r="K390">
        <v>379.02</v>
      </c>
      <c r="L390" t="s">
        <v>30</v>
      </c>
      <c r="M390" t="s">
        <v>23</v>
      </c>
      <c r="N390" t="s">
        <v>32</v>
      </c>
      <c r="O390">
        <f>_xlfn.XLOOKUP(E390,Product_Master!$B$2:$B$11,Product_Master!$F$2:$F$11)</f>
        <v>12.75</v>
      </c>
      <c r="P390">
        <f t="shared" si="12"/>
        <v>586.5</v>
      </c>
      <c r="Q390" s="5">
        <f t="shared" si="13"/>
        <v>0.38394991693342517</v>
      </c>
    </row>
    <row r="391" spans="1:17" x14ac:dyDescent="0.3">
      <c r="A391" t="s">
        <v>563</v>
      </c>
      <c r="B391" t="s">
        <v>26</v>
      </c>
      <c r="C391" t="s">
        <v>90</v>
      </c>
      <c r="D391" t="s">
        <v>19</v>
      </c>
      <c r="E391" t="s">
        <v>98</v>
      </c>
      <c r="F391" t="s">
        <v>59</v>
      </c>
      <c r="G391">
        <v>45</v>
      </c>
      <c r="H391" s="4">
        <v>47.1</v>
      </c>
      <c r="I391">
        <v>2119.5</v>
      </c>
      <c r="J391">
        <v>120.16</v>
      </c>
      <c r="K391">
        <v>739.34</v>
      </c>
      <c r="L391" t="s">
        <v>30</v>
      </c>
      <c r="M391" t="s">
        <v>31</v>
      </c>
      <c r="N391" t="s">
        <v>24</v>
      </c>
      <c r="O391">
        <f>_xlfn.XLOOKUP(E391,Product_Master!$B$2:$B$11,Product_Master!$F$2:$F$11)</f>
        <v>28</v>
      </c>
      <c r="P391">
        <f t="shared" si="12"/>
        <v>1260</v>
      </c>
      <c r="Q391" s="5">
        <f t="shared" si="13"/>
        <v>0.34882755366831802</v>
      </c>
    </row>
    <row r="392" spans="1:17" x14ac:dyDescent="0.3">
      <c r="A392" t="s">
        <v>564</v>
      </c>
      <c r="B392" t="s">
        <v>104</v>
      </c>
      <c r="C392" t="s">
        <v>18</v>
      </c>
      <c r="D392" t="s">
        <v>196</v>
      </c>
      <c r="E392" t="s">
        <v>20</v>
      </c>
      <c r="F392" t="s">
        <v>21</v>
      </c>
      <c r="G392">
        <v>2</v>
      </c>
      <c r="H392" s="4">
        <v>58.32</v>
      </c>
      <c r="I392">
        <v>116.64</v>
      </c>
      <c r="J392">
        <v>8.99</v>
      </c>
      <c r="K392">
        <v>37.65</v>
      </c>
      <c r="L392" t="s">
        <v>22</v>
      </c>
      <c r="M392" t="s">
        <v>31</v>
      </c>
      <c r="N392" t="s">
        <v>66</v>
      </c>
      <c r="O392">
        <f>_xlfn.XLOOKUP(E392,Product_Master!$B$2:$B$11,Product_Master!$F$2:$F$11)</f>
        <v>35</v>
      </c>
      <c r="P392">
        <f t="shared" si="12"/>
        <v>70</v>
      </c>
      <c r="Q392" s="5">
        <f t="shared" si="13"/>
        <v>0.32278806584362141</v>
      </c>
    </row>
    <row r="393" spans="1:17" x14ac:dyDescent="0.3">
      <c r="A393" t="s">
        <v>565</v>
      </c>
      <c r="B393" t="s">
        <v>83</v>
      </c>
      <c r="C393" t="s">
        <v>319</v>
      </c>
      <c r="D393" t="s">
        <v>123</v>
      </c>
      <c r="E393" t="s">
        <v>20</v>
      </c>
      <c r="F393" t="s">
        <v>21</v>
      </c>
      <c r="G393">
        <v>31</v>
      </c>
      <c r="H393" s="4">
        <v>61.34</v>
      </c>
      <c r="I393">
        <v>1901.54</v>
      </c>
      <c r="J393">
        <v>147.43</v>
      </c>
      <c r="K393">
        <v>669.11</v>
      </c>
      <c r="L393" t="s">
        <v>30</v>
      </c>
      <c r="M393" t="s">
        <v>23</v>
      </c>
      <c r="N393" t="s">
        <v>32</v>
      </c>
      <c r="O393">
        <f>_xlfn.XLOOKUP(E393,Product_Master!$B$2:$B$11,Product_Master!$F$2:$F$11)</f>
        <v>35</v>
      </c>
      <c r="P393">
        <f t="shared" si="12"/>
        <v>1085</v>
      </c>
      <c r="Q393" s="5">
        <f t="shared" si="13"/>
        <v>0.35187795155505541</v>
      </c>
    </row>
    <row r="394" spans="1:17" x14ac:dyDescent="0.3">
      <c r="A394" t="s">
        <v>566</v>
      </c>
      <c r="B394" t="s">
        <v>86</v>
      </c>
      <c r="C394" t="s">
        <v>185</v>
      </c>
      <c r="D394" t="s">
        <v>48</v>
      </c>
      <c r="E394" t="s">
        <v>64</v>
      </c>
      <c r="F394" t="s">
        <v>65</v>
      </c>
      <c r="G394">
        <v>15</v>
      </c>
      <c r="H394" s="4">
        <v>43.9</v>
      </c>
      <c r="I394">
        <v>658.5</v>
      </c>
      <c r="J394">
        <v>36.479999999999997</v>
      </c>
      <c r="K394">
        <v>247.02</v>
      </c>
      <c r="L394" t="s">
        <v>44</v>
      </c>
      <c r="M394" t="s">
        <v>31</v>
      </c>
      <c r="N394" t="s">
        <v>24</v>
      </c>
      <c r="O394">
        <f>_xlfn.XLOOKUP(E394,Product_Master!$B$2:$B$11,Product_Master!$F$2:$F$11)</f>
        <v>25</v>
      </c>
      <c r="P394">
        <f t="shared" si="12"/>
        <v>375</v>
      </c>
      <c r="Q394" s="5">
        <f t="shared" si="13"/>
        <v>0.37512528473804102</v>
      </c>
    </row>
    <row r="395" spans="1:17" x14ac:dyDescent="0.3">
      <c r="A395" t="s">
        <v>567</v>
      </c>
      <c r="B395" t="s">
        <v>132</v>
      </c>
      <c r="C395" t="s">
        <v>185</v>
      </c>
      <c r="D395" t="s">
        <v>36</v>
      </c>
      <c r="E395" t="s">
        <v>73</v>
      </c>
      <c r="F395" t="s">
        <v>43</v>
      </c>
      <c r="G395">
        <v>4</v>
      </c>
      <c r="H395" s="4">
        <v>20.53</v>
      </c>
      <c r="I395">
        <v>82.12</v>
      </c>
      <c r="J395">
        <v>4.05</v>
      </c>
      <c r="K395">
        <v>27.07</v>
      </c>
      <c r="L395" t="s">
        <v>22</v>
      </c>
      <c r="M395" t="s">
        <v>37</v>
      </c>
      <c r="N395" t="s">
        <v>32</v>
      </c>
      <c r="O395">
        <f>_xlfn.XLOOKUP(E395,Product_Master!$B$2:$B$11,Product_Master!$F$2:$F$11)</f>
        <v>12.75</v>
      </c>
      <c r="P395">
        <f t="shared" si="12"/>
        <v>51</v>
      </c>
      <c r="Q395" s="5">
        <f t="shared" si="13"/>
        <v>0.32963955187530442</v>
      </c>
    </row>
    <row r="396" spans="1:17" x14ac:dyDescent="0.3">
      <c r="A396" t="s">
        <v>568</v>
      </c>
      <c r="B396" t="s">
        <v>95</v>
      </c>
      <c r="C396" t="s">
        <v>168</v>
      </c>
      <c r="D396" t="s">
        <v>147</v>
      </c>
      <c r="E396" t="s">
        <v>54</v>
      </c>
      <c r="F396" t="s">
        <v>43</v>
      </c>
      <c r="G396">
        <v>6</v>
      </c>
      <c r="H396" s="4">
        <v>24.7</v>
      </c>
      <c r="I396">
        <v>148.19999999999999</v>
      </c>
      <c r="J396">
        <v>3.76</v>
      </c>
      <c r="K396">
        <v>24.44</v>
      </c>
      <c r="L396" t="s">
        <v>44</v>
      </c>
      <c r="M396" t="s">
        <v>23</v>
      </c>
      <c r="N396" t="s">
        <v>148</v>
      </c>
      <c r="O396">
        <f>_xlfn.XLOOKUP(E396,Product_Master!$B$2:$B$11,Product_Master!$F$2:$F$11)</f>
        <v>20</v>
      </c>
      <c r="P396">
        <f t="shared" si="12"/>
        <v>120</v>
      </c>
      <c r="Q396" s="5">
        <f t="shared" si="13"/>
        <v>0.1649122807017544</v>
      </c>
    </row>
    <row r="397" spans="1:17" x14ac:dyDescent="0.3">
      <c r="A397" t="s">
        <v>569</v>
      </c>
      <c r="B397" t="s">
        <v>78</v>
      </c>
      <c r="C397" t="s">
        <v>349</v>
      </c>
      <c r="D397" t="s">
        <v>41</v>
      </c>
      <c r="E397" t="s">
        <v>73</v>
      </c>
      <c r="F397" t="s">
        <v>43</v>
      </c>
      <c r="G397">
        <v>19</v>
      </c>
      <c r="H397" s="4">
        <v>19.170000000000002</v>
      </c>
      <c r="I397">
        <v>364.23</v>
      </c>
      <c r="J397">
        <v>15.16</v>
      </c>
      <c r="K397">
        <v>106.82</v>
      </c>
      <c r="L397" t="s">
        <v>30</v>
      </c>
      <c r="M397" t="s">
        <v>31</v>
      </c>
      <c r="N397" t="s">
        <v>45</v>
      </c>
      <c r="O397">
        <f>_xlfn.XLOOKUP(E397,Product_Master!$B$2:$B$11,Product_Master!$F$2:$F$11)</f>
        <v>12.75</v>
      </c>
      <c r="P397">
        <f t="shared" si="12"/>
        <v>242.25</v>
      </c>
      <c r="Q397" s="5">
        <f t="shared" si="13"/>
        <v>0.29327622656014052</v>
      </c>
    </row>
    <row r="398" spans="1:17" x14ac:dyDescent="0.3">
      <c r="A398" t="s">
        <v>570</v>
      </c>
      <c r="B398" t="s">
        <v>107</v>
      </c>
      <c r="C398" t="s">
        <v>418</v>
      </c>
      <c r="D398" t="s">
        <v>63</v>
      </c>
      <c r="E398" t="s">
        <v>49</v>
      </c>
      <c r="F398" t="s">
        <v>50</v>
      </c>
      <c r="G398">
        <v>2</v>
      </c>
      <c r="H398" s="4">
        <v>55.28</v>
      </c>
      <c r="I398">
        <v>110.56</v>
      </c>
      <c r="J398">
        <v>5.37</v>
      </c>
      <c r="K398">
        <v>25.19</v>
      </c>
      <c r="L398" t="s">
        <v>44</v>
      </c>
      <c r="M398" t="s">
        <v>31</v>
      </c>
      <c r="N398" t="s">
        <v>66</v>
      </c>
      <c r="O398">
        <f>_xlfn.XLOOKUP(E398,Product_Master!$B$2:$B$11,Product_Master!$F$2:$F$11)</f>
        <v>40</v>
      </c>
      <c r="P398">
        <f t="shared" si="12"/>
        <v>80</v>
      </c>
      <c r="Q398" s="5">
        <f t="shared" si="13"/>
        <v>0.22784008683068019</v>
      </c>
    </row>
    <row r="399" spans="1:17" x14ac:dyDescent="0.3">
      <c r="A399" t="s">
        <v>571</v>
      </c>
      <c r="B399" t="s">
        <v>56</v>
      </c>
      <c r="C399" t="s">
        <v>230</v>
      </c>
      <c r="D399" t="s">
        <v>41</v>
      </c>
      <c r="E399" t="s">
        <v>64</v>
      </c>
      <c r="F399" t="s">
        <v>65</v>
      </c>
      <c r="G399">
        <v>49</v>
      </c>
      <c r="H399" s="4">
        <v>43.91</v>
      </c>
      <c r="I399">
        <v>2151.59</v>
      </c>
      <c r="J399">
        <v>63.55</v>
      </c>
      <c r="K399">
        <v>863.04</v>
      </c>
      <c r="L399" t="s">
        <v>22</v>
      </c>
      <c r="M399" t="s">
        <v>31</v>
      </c>
      <c r="N399" t="s">
        <v>45</v>
      </c>
      <c r="O399">
        <f>_xlfn.XLOOKUP(E399,Product_Master!$B$2:$B$11,Product_Master!$F$2:$F$11)</f>
        <v>25</v>
      </c>
      <c r="P399">
        <f t="shared" si="12"/>
        <v>1225</v>
      </c>
      <c r="Q399" s="5">
        <f t="shared" si="13"/>
        <v>0.40111731324276462</v>
      </c>
    </row>
    <row r="400" spans="1:17" x14ac:dyDescent="0.3">
      <c r="A400" t="s">
        <v>572</v>
      </c>
      <c r="B400" t="s">
        <v>34</v>
      </c>
      <c r="C400" t="s">
        <v>212</v>
      </c>
      <c r="D400" t="s">
        <v>41</v>
      </c>
      <c r="E400" t="s">
        <v>64</v>
      </c>
      <c r="F400" t="s">
        <v>65</v>
      </c>
      <c r="G400">
        <v>29</v>
      </c>
      <c r="H400" s="4">
        <v>41.84</v>
      </c>
      <c r="I400">
        <v>1213.3599999999999</v>
      </c>
      <c r="J400">
        <v>56.83</v>
      </c>
      <c r="K400">
        <v>431.53</v>
      </c>
      <c r="L400" t="s">
        <v>44</v>
      </c>
      <c r="M400" t="s">
        <v>37</v>
      </c>
      <c r="N400" t="s">
        <v>45</v>
      </c>
      <c r="O400">
        <f>_xlfn.XLOOKUP(E400,Product_Master!$B$2:$B$11,Product_Master!$F$2:$F$11)</f>
        <v>25</v>
      </c>
      <c r="P400">
        <f t="shared" si="12"/>
        <v>725</v>
      </c>
      <c r="Q400" s="5">
        <f t="shared" si="13"/>
        <v>0.35564877694995717</v>
      </c>
    </row>
    <row r="401" spans="1:17" x14ac:dyDescent="0.3">
      <c r="A401" t="s">
        <v>573</v>
      </c>
      <c r="B401" t="s">
        <v>56</v>
      </c>
      <c r="C401" t="s">
        <v>195</v>
      </c>
      <c r="D401" t="s">
        <v>101</v>
      </c>
      <c r="E401" t="s">
        <v>69</v>
      </c>
      <c r="F401" t="s">
        <v>59</v>
      </c>
      <c r="G401">
        <v>43</v>
      </c>
      <c r="H401" s="4">
        <v>27.41</v>
      </c>
      <c r="I401">
        <v>1178.6300000000001</v>
      </c>
      <c r="J401">
        <v>55.82</v>
      </c>
      <c r="K401">
        <v>456.31</v>
      </c>
      <c r="L401" t="s">
        <v>44</v>
      </c>
      <c r="M401" t="s">
        <v>31</v>
      </c>
      <c r="N401" t="s">
        <v>102</v>
      </c>
      <c r="O401">
        <f>_xlfn.XLOOKUP(E401,Product_Master!$B$2:$B$11,Product_Master!$F$2:$F$11)</f>
        <v>15.5</v>
      </c>
      <c r="P401">
        <f t="shared" si="12"/>
        <v>666.5</v>
      </c>
      <c r="Q401" s="5">
        <f t="shared" si="13"/>
        <v>0.38715288088713162</v>
      </c>
    </row>
    <row r="402" spans="1:17" x14ac:dyDescent="0.3">
      <c r="A402" t="s">
        <v>574</v>
      </c>
      <c r="B402" t="s">
        <v>71</v>
      </c>
      <c r="C402" t="s">
        <v>492</v>
      </c>
      <c r="D402" t="s">
        <v>53</v>
      </c>
      <c r="E402" t="s">
        <v>54</v>
      </c>
      <c r="F402" t="s">
        <v>43</v>
      </c>
      <c r="G402">
        <v>28</v>
      </c>
      <c r="H402" s="4">
        <v>31.84</v>
      </c>
      <c r="I402">
        <v>891.52</v>
      </c>
      <c r="J402">
        <v>54.24</v>
      </c>
      <c r="K402">
        <v>277.27999999999997</v>
      </c>
      <c r="L402" t="s">
        <v>22</v>
      </c>
      <c r="M402" t="s">
        <v>31</v>
      </c>
      <c r="N402" t="s">
        <v>24</v>
      </c>
      <c r="O402">
        <f>_xlfn.XLOOKUP(E402,Product_Master!$B$2:$B$11,Product_Master!$F$2:$F$11)</f>
        <v>20</v>
      </c>
      <c r="P402">
        <f t="shared" si="12"/>
        <v>560</v>
      </c>
      <c r="Q402" s="5">
        <f t="shared" si="13"/>
        <v>0.31101938262742279</v>
      </c>
    </row>
    <row r="403" spans="1:17" x14ac:dyDescent="0.3">
      <c r="A403" t="s">
        <v>575</v>
      </c>
      <c r="B403" t="s">
        <v>78</v>
      </c>
      <c r="C403" t="s">
        <v>310</v>
      </c>
      <c r="D403" t="s">
        <v>63</v>
      </c>
      <c r="E403" t="s">
        <v>64</v>
      </c>
      <c r="F403" t="s">
        <v>65</v>
      </c>
      <c r="G403">
        <v>42</v>
      </c>
      <c r="H403" s="4">
        <v>35.840000000000003</v>
      </c>
      <c r="I403">
        <v>1505.28</v>
      </c>
      <c r="J403">
        <v>60.65</v>
      </c>
      <c r="K403">
        <v>394.63</v>
      </c>
      <c r="L403" t="s">
        <v>44</v>
      </c>
      <c r="M403" t="s">
        <v>31</v>
      </c>
      <c r="N403" t="s">
        <v>66</v>
      </c>
      <c r="O403">
        <f>_xlfn.XLOOKUP(E403,Product_Master!$B$2:$B$11,Product_Master!$F$2:$F$11)</f>
        <v>25</v>
      </c>
      <c r="P403">
        <f t="shared" si="12"/>
        <v>1050</v>
      </c>
      <c r="Q403" s="5">
        <f t="shared" si="13"/>
        <v>0.262163849914966</v>
      </c>
    </row>
    <row r="404" spans="1:17" x14ac:dyDescent="0.3">
      <c r="A404" t="s">
        <v>576</v>
      </c>
      <c r="B404" t="s">
        <v>68</v>
      </c>
      <c r="C404" t="s">
        <v>72</v>
      </c>
      <c r="D404" t="s">
        <v>81</v>
      </c>
      <c r="E404" t="s">
        <v>58</v>
      </c>
      <c r="F404" t="s">
        <v>59</v>
      </c>
      <c r="G404">
        <v>22</v>
      </c>
      <c r="H404" s="4">
        <v>30.55</v>
      </c>
      <c r="I404">
        <v>672.1</v>
      </c>
      <c r="J404">
        <v>46.8</v>
      </c>
      <c r="K404">
        <v>130.30000000000001</v>
      </c>
      <c r="L404" t="s">
        <v>30</v>
      </c>
      <c r="M404" t="s">
        <v>37</v>
      </c>
      <c r="N404" t="s">
        <v>66</v>
      </c>
      <c r="O404">
        <f>_xlfn.XLOOKUP(E404,Product_Master!$B$2:$B$11,Product_Master!$F$2:$F$11)</f>
        <v>22.5</v>
      </c>
      <c r="P404">
        <f t="shared" si="12"/>
        <v>495</v>
      </c>
      <c r="Q404" s="5">
        <f t="shared" si="13"/>
        <v>0.19386995982740665</v>
      </c>
    </row>
    <row r="405" spans="1:17" x14ac:dyDescent="0.3">
      <c r="A405" t="s">
        <v>577</v>
      </c>
      <c r="B405" t="s">
        <v>75</v>
      </c>
      <c r="C405" t="s">
        <v>240</v>
      </c>
      <c r="D405" t="s">
        <v>91</v>
      </c>
      <c r="E405" t="s">
        <v>98</v>
      </c>
      <c r="F405" t="s">
        <v>59</v>
      </c>
      <c r="G405">
        <v>13</v>
      </c>
      <c r="H405" s="4">
        <v>45.16</v>
      </c>
      <c r="I405">
        <v>587.08000000000004</v>
      </c>
      <c r="J405">
        <v>29.68</v>
      </c>
      <c r="K405">
        <v>193.4</v>
      </c>
      <c r="L405" t="s">
        <v>30</v>
      </c>
      <c r="M405" t="s">
        <v>31</v>
      </c>
      <c r="N405" t="s">
        <v>66</v>
      </c>
      <c r="O405">
        <f>_xlfn.XLOOKUP(E405,Product_Master!$B$2:$B$11,Product_Master!$F$2:$F$11)</f>
        <v>28</v>
      </c>
      <c r="P405">
        <f t="shared" si="12"/>
        <v>364</v>
      </c>
      <c r="Q405" s="5">
        <f t="shared" si="13"/>
        <v>0.32942699461742864</v>
      </c>
    </row>
    <row r="406" spans="1:17" x14ac:dyDescent="0.3">
      <c r="A406" t="s">
        <v>578</v>
      </c>
      <c r="B406" t="s">
        <v>56</v>
      </c>
      <c r="C406" t="s">
        <v>161</v>
      </c>
      <c r="D406" t="s">
        <v>147</v>
      </c>
      <c r="E406" t="s">
        <v>20</v>
      </c>
      <c r="F406" t="s">
        <v>21</v>
      </c>
      <c r="G406">
        <v>40</v>
      </c>
      <c r="H406" s="4">
        <v>45.23</v>
      </c>
      <c r="I406">
        <v>1809.2</v>
      </c>
      <c r="J406">
        <v>136.25</v>
      </c>
      <c r="K406">
        <v>272.95</v>
      </c>
      <c r="L406" t="s">
        <v>44</v>
      </c>
      <c r="M406" t="s">
        <v>37</v>
      </c>
      <c r="N406" t="s">
        <v>148</v>
      </c>
      <c r="O406">
        <f>_xlfn.XLOOKUP(E406,Product_Master!$B$2:$B$11,Product_Master!$F$2:$F$11)</f>
        <v>35</v>
      </c>
      <c r="P406">
        <f t="shared" si="12"/>
        <v>1400</v>
      </c>
      <c r="Q406" s="5">
        <f t="shared" si="13"/>
        <v>0.15086778686712357</v>
      </c>
    </row>
    <row r="407" spans="1:17" x14ac:dyDescent="0.3">
      <c r="A407" t="s">
        <v>579</v>
      </c>
      <c r="B407" t="s">
        <v>157</v>
      </c>
      <c r="C407" t="s">
        <v>276</v>
      </c>
      <c r="D407" t="s">
        <v>91</v>
      </c>
      <c r="E407" t="s">
        <v>29</v>
      </c>
      <c r="F407" t="s">
        <v>21</v>
      </c>
      <c r="G407">
        <v>41</v>
      </c>
      <c r="H407" s="4">
        <v>22.78</v>
      </c>
      <c r="I407">
        <v>933.98</v>
      </c>
      <c r="J407">
        <v>38.369999999999997</v>
      </c>
      <c r="K407">
        <v>157.61000000000001</v>
      </c>
      <c r="L407" t="s">
        <v>30</v>
      </c>
      <c r="M407" t="s">
        <v>23</v>
      </c>
      <c r="N407" t="s">
        <v>66</v>
      </c>
      <c r="O407">
        <f>_xlfn.XLOOKUP(E407,Product_Master!$B$2:$B$11,Product_Master!$F$2:$F$11)</f>
        <v>18</v>
      </c>
      <c r="P407">
        <f t="shared" si="12"/>
        <v>738</v>
      </c>
      <c r="Q407" s="5">
        <f t="shared" si="13"/>
        <v>0.16875093685089618</v>
      </c>
    </row>
    <row r="408" spans="1:17" x14ac:dyDescent="0.3">
      <c r="A408" t="s">
        <v>580</v>
      </c>
      <c r="B408" t="s">
        <v>95</v>
      </c>
      <c r="C408" t="s">
        <v>119</v>
      </c>
      <c r="D408" t="s">
        <v>123</v>
      </c>
      <c r="E408" t="s">
        <v>69</v>
      </c>
      <c r="F408" t="s">
        <v>59</v>
      </c>
      <c r="G408">
        <v>34</v>
      </c>
      <c r="H408" s="4">
        <v>24.21</v>
      </c>
      <c r="I408">
        <v>823.14</v>
      </c>
      <c r="J408">
        <v>58.25</v>
      </c>
      <c r="K408">
        <v>237.89</v>
      </c>
      <c r="L408" t="s">
        <v>22</v>
      </c>
      <c r="M408" t="s">
        <v>23</v>
      </c>
      <c r="N408" t="s">
        <v>32</v>
      </c>
      <c r="O408">
        <f>_xlfn.XLOOKUP(E408,Product_Master!$B$2:$B$11,Product_Master!$F$2:$F$11)</f>
        <v>15.5</v>
      </c>
      <c r="P408">
        <f t="shared" si="12"/>
        <v>527</v>
      </c>
      <c r="Q408" s="5">
        <f t="shared" si="13"/>
        <v>0.28900308574483075</v>
      </c>
    </row>
    <row r="409" spans="1:17" x14ac:dyDescent="0.3">
      <c r="A409" t="s">
        <v>581</v>
      </c>
      <c r="B409" t="s">
        <v>75</v>
      </c>
      <c r="C409" t="s">
        <v>133</v>
      </c>
      <c r="D409" t="s">
        <v>28</v>
      </c>
      <c r="E409" t="s">
        <v>54</v>
      </c>
      <c r="F409" t="s">
        <v>43</v>
      </c>
      <c r="G409">
        <v>46</v>
      </c>
      <c r="H409" s="4">
        <v>34.64</v>
      </c>
      <c r="I409">
        <v>1593.44</v>
      </c>
      <c r="J409">
        <v>45.93</v>
      </c>
      <c r="K409">
        <v>627.51</v>
      </c>
      <c r="L409" t="s">
        <v>44</v>
      </c>
      <c r="M409" t="s">
        <v>23</v>
      </c>
      <c r="N409" t="s">
        <v>32</v>
      </c>
      <c r="O409">
        <f>_xlfn.XLOOKUP(E409,Product_Master!$B$2:$B$11,Product_Master!$F$2:$F$11)</f>
        <v>20</v>
      </c>
      <c r="P409">
        <f t="shared" si="12"/>
        <v>920</v>
      </c>
      <c r="Q409" s="5">
        <f t="shared" si="13"/>
        <v>0.39380836429360377</v>
      </c>
    </row>
    <row r="410" spans="1:17" x14ac:dyDescent="0.3">
      <c r="A410" t="s">
        <v>582</v>
      </c>
      <c r="B410" t="s">
        <v>157</v>
      </c>
      <c r="C410" t="s">
        <v>161</v>
      </c>
      <c r="D410" t="s">
        <v>48</v>
      </c>
      <c r="E410" t="s">
        <v>54</v>
      </c>
      <c r="F410" t="s">
        <v>43</v>
      </c>
      <c r="G410">
        <v>10</v>
      </c>
      <c r="H410" s="4">
        <v>27.06</v>
      </c>
      <c r="I410">
        <v>270.60000000000002</v>
      </c>
      <c r="J410">
        <v>15.35</v>
      </c>
      <c r="K410">
        <v>55.25</v>
      </c>
      <c r="L410" t="s">
        <v>22</v>
      </c>
      <c r="M410" t="s">
        <v>37</v>
      </c>
      <c r="N410" t="s">
        <v>24</v>
      </c>
      <c r="O410">
        <f>_xlfn.XLOOKUP(E410,Product_Master!$B$2:$B$11,Product_Master!$F$2:$F$11)</f>
        <v>20</v>
      </c>
      <c r="P410">
        <f t="shared" si="12"/>
        <v>200</v>
      </c>
      <c r="Q410" s="5">
        <f t="shared" si="13"/>
        <v>0.20417590539541758</v>
      </c>
    </row>
    <row r="411" spans="1:17" x14ac:dyDescent="0.3">
      <c r="A411" t="s">
        <v>583</v>
      </c>
      <c r="B411" t="s">
        <v>39</v>
      </c>
      <c r="C411" t="s">
        <v>158</v>
      </c>
      <c r="D411" t="s">
        <v>28</v>
      </c>
      <c r="E411" t="s">
        <v>29</v>
      </c>
      <c r="F411" t="s">
        <v>21</v>
      </c>
      <c r="G411">
        <v>11</v>
      </c>
      <c r="H411" s="4">
        <v>27.74</v>
      </c>
      <c r="I411">
        <v>305.14</v>
      </c>
      <c r="J411">
        <v>10.81</v>
      </c>
      <c r="K411">
        <v>96.33</v>
      </c>
      <c r="L411" t="s">
        <v>30</v>
      </c>
      <c r="M411" t="s">
        <v>37</v>
      </c>
      <c r="N411" t="s">
        <v>32</v>
      </c>
      <c r="O411">
        <f>_xlfn.XLOOKUP(E411,Product_Master!$B$2:$B$11,Product_Master!$F$2:$F$11)</f>
        <v>18</v>
      </c>
      <c r="P411">
        <f t="shared" si="12"/>
        <v>198</v>
      </c>
      <c r="Q411" s="5">
        <f t="shared" si="13"/>
        <v>0.31569115815691157</v>
      </c>
    </row>
    <row r="412" spans="1:17" x14ac:dyDescent="0.3">
      <c r="A412" t="s">
        <v>584</v>
      </c>
      <c r="B412" t="s">
        <v>157</v>
      </c>
      <c r="C412" t="s">
        <v>114</v>
      </c>
      <c r="D412" t="s">
        <v>48</v>
      </c>
      <c r="E412" t="s">
        <v>98</v>
      </c>
      <c r="F412" t="s">
        <v>59</v>
      </c>
      <c r="G412">
        <v>29</v>
      </c>
      <c r="H412" s="4">
        <v>38.08</v>
      </c>
      <c r="I412">
        <v>1104.32</v>
      </c>
      <c r="J412">
        <v>25.63</v>
      </c>
      <c r="K412">
        <v>266.69</v>
      </c>
      <c r="L412" t="s">
        <v>30</v>
      </c>
      <c r="M412" t="s">
        <v>37</v>
      </c>
      <c r="N412" t="s">
        <v>24</v>
      </c>
      <c r="O412">
        <f>_xlfn.XLOOKUP(E412,Product_Master!$B$2:$B$11,Product_Master!$F$2:$F$11)</f>
        <v>28</v>
      </c>
      <c r="P412">
        <f t="shared" si="12"/>
        <v>812</v>
      </c>
      <c r="Q412" s="5">
        <f t="shared" si="13"/>
        <v>0.24149702984642135</v>
      </c>
    </row>
    <row r="413" spans="1:17" x14ac:dyDescent="0.3">
      <c r="A413" t="s">
        <v>585</v>
      </c>
      <c r="B413" t="s">
        <v>75</v>
      </c>
      <c r="C413" t="s">
        <v>137</v>
      </c>
      <c r="D413" t="s">
        <v>48</v>
      </c>
      <c r="E413" t="s">
        <v>98</v>
      </c>
      <c r="F413" t="s">
        <v>59</v>
      </c>
      <c r="G413">
        <v>18</v>
      </c>
      <c r="H413" s="4">
        <v>43.65</v>
      </c>
      <c r="I413">
        <v>785.7</v>
      </c>
      <c r="J413">
        <v>54.52</v>
      </c>
      <c r="K413">
        <v>227.18</v>
      </c>
      <c r="L413" t="s">
        <v>30</v>
      </c>
      <c r="M413" t="s">
        <v>23</v>
      </c>
      <c r="N413" t="s">
        <v>24</v>
      </c>
      <c r="O413">
        <f>_xlfn.XLOOKUP(E413,Product_Master!$B$2:$B$11,Product_Master!$F$2:$F$11)</f>
        <v>28</v>
      </c>
      <c r="P413">
        <f t="shared" si="12"/>
        <v>504</v>
      </c>
      <c r="Q413" s="5">
        <f t="shared" si="13"/>
        <v>0.28914343897161765</v>
      </c>
    </row>
    <row r="414" spans="1:17" x14ac:dyDescent="0.3">
      <c r="A414" t="s">
        <v>586</v>
      </c>
      <c r="B414" t="s">
        <v>83</v>
      </c>
      <c r="C414" t="s">
        <v>373</v>
      </c>
      <c r="D414" t="s">
        <v>123</v>
      </c>
      <c r="E414" t="s">
        <v>20</v>
      </c>
      <c r="F414" t="s">
        <v>21</v>
      </c>
      <c r="G414">
        <v>49</v>
      </c>
      <c r="H414" s="4">
        <v>51.97</v>
      </c>
      <c r="I414">
        <v>2546.5300000000002</v>
      </c>
      <c r="J414">
        <v>112.26</v>
      </c>
      <c r="K414">
        <v>719.27</v>
      </c>
      <c r="L414" t="s">
        <v>30</v>
      </c>
      <c r="M414" t="s">
        <v>31</v>
      </c>
      <c r="N414" t="s">
        <v>32</v>
      </c>
      <c r="O414">
        <f>_xlfn.XLOOKUP(E414,Product_Master!$B$2:$B$11,Product_Master!$F$2:$F$11)</f>
        <v>35</v>
      </c>
      <c r="P414">
        <f t="shared" si="12"/>
        <v>1715</v>
      </c>
      <c r="Q414" s="5">
        <f t="shared" si="13"/>
        <v>0.28245102158623692</v>
      </c>
    </row>
    <row r="415" spans="1:17" x14ac:dyDescent="0.3">
      <c r="A415" t="s">
        <v>587</v>
      </c>
      <c r="B415" t="s">
        <v>17</v>
      </c>
      <c r="C415" t="s">
        <v>141</v>
      </c>
      <c r="D415" t="s">
        <v>81</v>
      </c>
      <c r="E415" t="s">
        <v>64</v>
      </c>
      <c r="F415" t="s">
        <v>65</v>
      </c>
      <c r="G415">
        <v>13</v>
      </c>
      <c r="H415" s="4">
        <v>36.85</v>
      </c>
      <c r="I415">
        <v>479.05</v>
      </c>
      <c r="J415">
        <v>10.15</v>
      </c>
      <c r="K415">
        <v>143.9</v>
      </c>
      <c r="L415" t="s">
        <v>22</v>
      </c>
      <c r="M415" t="s">
        <v>37</v>
      </c>
      <c r="N415" t="s">
        <v>66</v>
      </c>
      <c r="O415">
        <f>_xlfn.XLOOKUP(E415,Product_Master!$B$2:$B$11,Product_Master!$F$2:$F$11)</f>
        <v>25</v>
      </c>
      <c r="P415">
        <f t="shared" si="12"/>
        <v>325</v>
      </c>
      <c r="Q415" s="5">
        <f t="shared" si="13"/>
        <v>0.30038618098319592</v>
      </c>
    </row>
    <row r="416" spans="1:17" x14ac:dyDescent="0.3">
      <c r="A416" t="s">
        <v>588</v>
      </c>
      <c r="B416" t="s">
        <v>107</v>
      </c>
      <c r="C416" t="s">
        <v>87</v>
      </c>
      <c r="D416" t="s">
        <v>48</v>
      </c>
      <c r="E416" t="s">
        <v>42</v>
      </c>
      <c r="F416" t="s">
        <v>43</v>
      </c>
      <c r="G416">
        <v>33</v>
      </c>
      <c r="H416" s="4">
        <v>38.520000000000003</v>
      </c>
      <c r="I416">
        <v>1271.1600000000001</v>
      </c>
      <c r="J416">
        <v>81.459999999999994</v>
      </c>
      <c r="K416">
        <v>133.69999999999999</v>
      </c>
      <c r="L416" t="s">
        <v>22</v>
      </c>
      <c r="M416" t="s">
        <v>23</v>
      </c>
      <c r="N416" t="s">
        <v>24</v>
      </c>
      <c r="O416">
        <f>_xlfn.XLOOKUP(E416,Product_Master!$B$2:$B$11,Product_Master!$F$2:$F$11)</f>
        <v>32</v>
      </c>
      <c r="P416">
        <f t="shared" si="12"/>
        <v>1056</v>
      </c>
      <c r="Q416" s="5">
        <f t="shared" si="13"/>
        <v>0.10517952106737152</v>
      </c>
    </row>
    <row r="417" spans="1:17" x14ac:dyDescent="0.3">
      <c r="A417" t="s">
        <v>589</v>
      </c>
      <c r="B417" t="s">
        <v>75</v>
      </c>
      <c r="C417" t="s">
        <v>259</v>
      </c>
      <c r="D417" t="s">
        <v>63</v>
      </c>
      <c r="E417" t="s">
        <v>69</v>
      </c>
      <c r="F417" t="s">
        <v>59</v>
      </c>
      <c r="G417">
        <v>41</v>
      </c>
      <c r="H417" s="4">
        <v>26.98</v>
      </c>
      <c r="I417">
        <v>1106.18</v>
      </c>
      <c r="J417">
        <v>51.77</v>
      </c>
      <c r="K417">
        <v>418.91</v>
      </c>
      <c r="L417" t="s">
        <v>44</v>
      </c>
      <c r="M417" t="s">
        <v>31</v>
      </c>
      <c r="N417" t="s">
        <v>66</v>
      </c>
      <c r="O417">
        <f>_xlfn.XLOOKUP(E417,Product_Master!$B$2:$B$11,Product_Master!$F$2:$F$11)</f>
        <v>15.5</v>
      </c>
      <c r="P417">
        <f t="shared" si="12"/>
        <v>635.5</v>
      </c>
      <c r="Q417" s="5">
        <f t="shared" si="13"/>
        <v>0.37869966913160608</v>
      </c>
    </row>
    <row r="418" spans="1:17" x14ac:dyDescent="0.3">
      <c r="A418" t="s">
        <v>590</v>
      </c>
      <c r="B418" t="s">
        <v>83</v>
      </c>
      <c r="C418" t="s">
        <v>114</v>
      </c>
      <c r="D418" t="s">
        <v>123</v>
      </c>
      <c r="E418" t="s">
        <v>69</v>
      </c>
      <c r="F418" t="s">
        <v>59</v>
      </c>
      <c r="G418">
        <v>4</v>
      </c>
      <c r="H418" s="4">
        <v>23.56</v>
      </c>
      <c r="I418">
        <v>94.24</v>
      </c>
      <c r="J418">
        <v>7.03</v>
      </c>
      <c r="K418">
        <v>25.21</v>
      </c>
      <c r="L418" t="s">
        <v>44</v>
      </c>
      <c r="M418" t="s">
        <v>37</v>
      </c>
      <c r="N418" t="s">
        <v>32</v>
      </c>
      <c r="O418">
        <f>_xlfn.XLOOKUP(E418,Product_Master!$B$2:$B$11,Product_Master!$F$2:$F$11)</f>
        <v>15.5</v>
      </c>
      <c r="P418">
        <f t="shared" si="12"/>
        <v>62</v>
      </c>
      <c r="Q418" s="5">
        <f t="shared" si="13"/>
        <v>0.26750848896434637</v>
      </c>
    </row>
    <row r="419" spans="1:17" x14ac:dyDescent="0.3">
      <c r="A419" t="s">
        <v>591</v>
      </c>
      <c r="B419" t="s">
        <v>95</v>
      </c>
      <c r="C419" t="s">
        <v>316</v>
      </c>
      <c r="D419" t="s">
        <v>196</v>
      </c>
      <c r="E419" t="s">
        <v>42</v>
      </c>
      <c r="F419" t="s">
        <v>43</v>
      </c>
      <c r="G419">
        <v>17</v>
      </c>
      <c r="H419" s="4">
        <v>57.14</v>
      </c>
      <c r="I419">
        <v>971.38</v>
      </c>
      <c r="J419">
        <v>70.010000000000005</v>
      </c>
      <c r="K419">
        <v>357.37</v>
      </c>
      <c r="L419" t="s">
        <v>44</v>
      </c>
      <c r="M419" t="s">
        <v>31</v>
      </c>
      <c r="N419" t="s">
        <v>66</v>
      </c>
      <c r="O419">
        <f>_xlfn.XLOOKUP(E419,Product_Master!$B$2:$B$11,Product_Master!$F$2:$F$11)</f>
        <v>32</v>
      </c>
      <c r="P419">
        <f t="shared" si="12"/>
        <v>544</v>
      </c>
      <c r="Q419" s="5">
        <f t="shared" si="13"/>
        <v>0.36789927731680705</v>
      </c>
    </row>
    <row r="420" spans="1:17" x14ac:dyDescent="0.3">
      <c r="A420" t="s">
        <v>592</v>
      </c>
      <c r="B420" t="s">
        <v>26</v>
      </c>
      <c r="C420" t="s">
        <v>130</v>
      </c>
      <c r="D420" t="s">
        <v>147</v>
      </c>
      <c r="E420" t="s">
        <v>64</v>
      </c>
      <c r="F420" t="s">
        <v>65</v>
      </c>
      <c r="G420">
        <v>44</v>
      </c>
      <c r="H420" s="4">
        <v>38.14</v>
      </c>
      <c r="I420">
        <v>1678.16</v>
      </c>
      <c r="J420">
        <v>124.49</v>
      </c>
      <c r="K420">
        <v>453.67</v>
      </c>
      <c r="L420" t="s">
        <v>44</v>
      </c>
      <c r="M420" t="s">
        <v>23</v>
      </c>
      <c r="N420" t="s">
        <v>148</v>
      </c>
      <c r="O420">
        <f>_xlfn.XLOOKUP(E420,Product_Master!$B$2:$B$11,Product_Master!$F$2:$F$11)</f>
        <v>25</v>
      </c>
      <c r="P420">
        <f t="shared" si="12"/>
        <v>1100</v>
      </c>
      <c r="Q420" s="5">
        <f t="shared" si="13"/>
        <v>0.27033775087000045</v>
      </c>
    </row>
    <row r="421" spans="1:17" x14ac:dyDescent="0.3">
      <c r="A421" t="s">
        <v>593</v>
      </c>
      <c r="B421" t="s">
        <v>95</v>
      </c>
      <c r="C421" t="s">
        <v>119</v>
      </c>
      <c r="D421" t="s">
        <v>101</v>
      </c>
      <c r="E421" t="s">
        <v>29</v>
      </c>
      <c r="F421" t="s">
        <v>21</v>
      </c>
      <c r="G421">
        <v>14</v>
      </c>
      <c r="H421" s="4">
        <v>24</v>
      </c>
      <c r="I421">
        <v>336</v>
      </c>
      <c r="J421">
        <v>22.88</v>
      </c>
      <c r="K421">
        <v>61.12</v>
      </c>
      <c r="L421" t="s">
        <v>30</v>
      </c>
      <c r="M421" t="s">
        <v>31</v>
      </c>
      <c r="N421" t="s">
        <v>102</v>
      </c>
      <c r="O421">
        <f>_xlfn.XLOOKUP(E421,Product_Master!$B$2:$B$11,Product_Master!$F$2:$F$11)</f>
        <v>18</v>
      </c>
      <c r="P421">
        <f t="shared" si="12"/>
        <v>252</v>
      </c>
      <c r="Q421" s="5">
        <f t="shared" si="13"/>
        <v>0.1819047619047619</v>
      </c>
    </row>
    <row r="422" spans="1:17" x14ac:dyDescent="0.3">
      <c r="A422" t="s">
        <v>594</v>
      </c>
      <c r="B422" t="s">
        <v>83</v>
      </c>
      <c r="C422" t="s">
        <v>90</v>
      </c>
      <c r="D422" t="s">
        <v>63</v>
      </c>
      <c r="E422" t="s">
        <v>69</v>
      </c>
      <c r="F422" t="s">
        <v>59</v>
      </c>
      <c r="G422">
        <v>50</v>
      </c>
      <c r="H422" s="4">
        <v>26.91</v>
      </c>
      <c r="I422">
        <v>1345.5</v>
      </c>
      <c r="J422">
        <v>91.7</v>
      </c>
      <c r="K422">
        <v>478.8</v>
      </c>
      <c r="L422" t="s">
        <v>44</v>
      </c>
      <c r="M422" t="s">
        <v>23</v>
      </c>
      <c r="N422" t="s">
        <v>66</v>
      </c>
      <c r="O422">
        <f>_xlfn.XLOOKUP(E422,Product_Master!$B$2:$B$11,Product_Master!$F$2:$F$11)</f>
        <v>15.5</v>
      </c>
      <c r="P422">
        <f t="shared" si="12"/>
        <v>775</v>
      </c>
      <c r="Q422" s="5">
        <f t="shared" si="13"/>
        <v>0.35585284280936458</v>
      </c>
    </row>
    <row r="423" spans="1:17" x14ac:dyDescent="0.3">
      <c r="A423" t="s">
        <v>595</v>
      </c>
      <c r="B423" t="s">
        <v>61</v>
      </c>
      <c r="C423" t="s">
        <v>305</v>
      </c>
      <c r="D423" t="s">
        <v>36</v>
      </c>
      <c r="E423" t="s">
        <v>49</v>
      </c>
      <c r="F423" t="s">
        <v>50</v>
      </c>
      <c r="G423">
        <v>7</v>
      </c>
      <c r="H423" s="4">
        <v>59.41</v>
      </c>
      <c r="I423">
        <v>415.87</v>
      </c>
      <c r="J423">
        <v>25.51</v>
      </c>
      <c r="K423">
        <v>110.36</v>
      </c>
      <c r="L423" t="s">
        <v>22</v>
      </c>
      <c r="M423" t="s">
        <v>37</v>
      </c>
      <c r="N423" t="s">
        <v>32</v>
      </c>
      <c r="O423">
        <f>_xlfn.XLOOKUP(E423,Product_Master!$B$2:$B$11,Product_Master!$F$2:$F$11)</f>
        <v>40</v>
      </c>
      <c r="P423">
        <f t="shared" si="12"/>
        <v>280</v>
      </c>
      <c r="Q423" s="5">
        <f t="shared" si="13"/>
        <v>0.26537139009786714</v>
      </c>
    </row>
    <row r="424" spans="1:17" x14ac:dyDescent="0.3">
      <c r="A424" t="s">
        <v>596</v>
      </c>
      <c r="B424" t="s">
        <v>157</v>
      </c>
      <c r="C424" t="s">
        <v>268</v>
      </c>
      <c r="D424" t="s">
        <v>91</v>
      </c>
      <c r="E424" t="s">
        <v>64</v>
      </c>
      <c r="F424" t="s">
        <v>65</v>
      </c>
      <c r="G424">
        <v>48</v>
      </c>
      <c r="H424" s="4">
        <v>37.31</v>
      </c>
      <c r="I424">
        <v>1790.88</v>
      </c>
      <c r="J424">
        <v>67.45</v>
      </c>
      <c r="K424">
        <v>523.42999999999995</v>
      </c>
      <c r="L424" t="s">
        <v>22</v>
      </c>
      <c r="M424" t="s">
        <v>31</v>
      </c>
      <c r="N424" t="s">
        <v>66</v>
      </c>
      <c r="O424">
        <f>_xlfn.XLOOKUP(E424,Product_Master!$B$2:$B$11,Product_Master!$F$2:$F$11)</f>
        <v>25</v>
      </c>
      <c r="P424">
        <f t="shared" si="12"/>
        <v>1200</v>
      </c>
      <c r="Q424" s="5">
        <f t="shared" si="13"/>
        <v>0.29227530599481816</v>
      </c>
    </row>
    <row r="425" spans="1:17" x14ac:dyDescent="0.3">
      <c r="A425" t="s">
        <v>597</v>
      </c>
      <c r="B425" t="s">
        <v>95</v>
      </c>
      <c r="C425" t="s">
        <v>198</v>
      </c>
      <c r="D425" t="s">
        <v>88</v>
      </c>
      <c r="E425" t="s">
        <v>49</v>
      </c>
      <c r="F425" t="s">
        <v>50</v>
      </c>
      <c r="G425">
        <v>38</v>
      </c>
      <c r="H425" s="4">
        <v>52.91</v>
      </c>
      <c r="I425">
        <v>2010.58</v>
      </c>
      <c r="J425">
        <v>94.22</v>
      </c>
      <c r="K425">
        <v>396.36</v>
      </c>
      <c r="L425" t="s">
        <v>22</v>
      </c>
      <c r="M425" t="s">
        <v>23</v>
      </c>
      <c r="N425" t="s">
        <v>66</v>
      </c>
      <c r="O425">
        <f>_xlfn.XLOOKUP(E425,Product_Master!$B$2:$B$11,Product_Master!$F$2:$F$11)</f>
        <v>40</v>
      </c>
      <c r="P425">
        <f t="shared" si="12"/>
        <v>1520</v>
      </c>
      <c r="Q425" s="5">
        <f t="shared" si="13"/>
        <v>0.19713714450556558</v>
      </c>
    </row>
    <row r="426" spans="1:17" x14ac:dyDescent="0.3">
      <c r="A426" t="s">
        <v>598</v>
      </c>
      <c r="B426" t="s">
        <v>61</v>
      </c>
      <c r="C426" t="s">
        <v>79</v>
      </c>
      <c r="D426" t="s">
        <v>28</v>
      </c>
      <c r="E426" t="s">
        <v>29</v>
      </c>
      <c r="F426" t="s">
        <v>21</v>
      </c>
      <c r="G426">
        <v>14</v>
      </c>
      <c r="H426" s="4">
        <v>27.09</v>
      </c>
      <c r="I426">
        <v>379.26</v>
      </c>
      <c r="J426">
        <v>14.42</v>
      </c>
      <c r="K426">
        <v>112.84</v>
      </c>
      <c r="L426" t="s">
        <v>44</v>
      </c>
      <c r="M426" t="s">
        <v>37</v>
      </c>
      <c r="N426" t="s">
        <v>32</v>
      </c>
      <c r="O426">
        <f>_xlfn.XLOOKUP(E426,Product_Master!$B$2:$B$11,Product_Master!$F$2:$F$11)</f>
        <v>18</v>
      </c>
      <c r="P426">
        <f t="shared" si="12"/>
        <v>252</v>
      </c>
      <c r="Q426" s="5">
        <f t="shared" si="13"/>
        <v>0.29752676264304173</v>
      </c>
    </row>
    <row r="427" spans="1:17" x14ac:dyDescent="0.3">
      <c r="A427" t="s">
        <v>599</v>
      </c>
      <c r="B427" t="s">
        <v>83</v>
      </c>
      <c r="C427" t="s">
        <v>130</v>
      </c>
      <c r="D427" t="s">
        <v>91</v>
      </c>
      <c r="E427" t="s">
        <v>58</v>
      </c>
      <c r="F427" t="s">
        <v>59</v>
      </c>
      <c r="G427">
        <v>41</v>
      </c>
      <c r="H427" s="4">
        <v>30.52</v>
      </c>
      <c r="I427">
        <v>1251.32</v>
      </c>
      <c r="J427">
        <v>56.88</v>
      </c>
      <c r="K427">
        <v>271.94</v>
      </c>
      <c r="L427" t="s">
        <v>22</v>
      </c>
      <c r="M427" t="s">
        <v>37</v>
      </c>
      <c r="N427" t="s">
        <v>66</v>
      </c>
      <c r="O427">
        <f>_xlfn.XLOOKUP(E427,Product_Master!$B$2:$B$11,Product_Master!$F$2:$F$11)</f>
        <v>22.5</v>
      </c>
      <c r="P427">
        <f t="shared" si="12"/>
        <v>922.5</v>
      </c>
      <c r="Q427" s="5">
        <f t="shared" si="13"/>
        <v>0.21732250743215165</v>
      </c>
    </row>
    <row r="428" spans="1:17" x14ac:dyDescent="0.3">
      <c r="A428" t="s">
        <v>600</v>
      </c>
      <c r="B428" t="s">
        <v>107</v>
      </c>
      <c r="C428" t="s">
        <v>250</v>
      </c>
      <c r="D428" t="s">
        <v>48</v>
      </c>
      <c r="E428" t="s">
        <v>98</v>
      </c>
      <c r="F428" t="s">
        <v>59</v>
      </c>
      <c r="G428">
        <v>23</v>
      </c>
      <c r="H428" s="4">
        <v>40.94</v>
      </c>
      <c r="I428">
        <v>941.62</v>
      </c>
      <c r="J428">
        <v>71.66</v>
      </c>
      <c r="K428">
        <v>225.96</v>
      </c>
      <c r="L428" t="s">
        <v>30</v>
      </c>
      <c r="M428" t="s">
        <v>37</v>
      </c>
      <c r="N428" t="s">
        <v>24</v>
      </c>
      <c r="O428">
        <f>_xlfn.XLOOKUP(E428,Product_Master!$B$2:$B$11,Product_Master!$F$2:$F$11)</f>
        <v>28</v>
      </c>
      <c r="P428">
        <f t="shared" si="12"/>
        <v>644</v>
      </c>
      <c r="Q428" s="5">
        <f t="shared" si="13"/>
        <v>0.23996941441345768</v>
      </c>
    </row>
    <row r="429" spans="1:17" x14ac:dyDescent="0.3">
      <c r="A429" t="s">
        <v>601</v>
      </c>
      <c r="B429" t="s">
        <v>56</v>
      </c>
      <c r="C429" t="s">
        <v>316</v>
      </c>
      <c r="D429" t="s">
        <v>170</v>
      </c>
      <c r="E429" t="s">
        <v>98</v>
      </c>
      <c r="F429" t="s">
        <v>59</v>
      </c>
      <c r="G429">
        <v>34</v>
      </c>
      <c r="H429" s="4">
        <v>41.77</v>
      </c>
      <c r="I429">
        <v>1420.18</v>
      </c>
      <c r="J429">
        <v>112.45</v>
      </c>
      <c r="K429">
        <v>355.73</v>
      </c>
      <c r="L429" t="s">
        <v>30</v>
      </c>
      <c r="M429" t="s">
        <v>37</v>
      </c>
      <c r="N429" t="s">
        <v>32</v>
      </c>
      <c r="O429">
        <f>_xlfn.XLOOKUP(E429,Product_Master!$B$2:$B$11,Product_Master!$F$2:$F$11)</f>
        <v>28</v>
      </c>
      <c r="P429">
        <f t="shared" si="12"/>
        <v>952</v>
      </c>
      <c r="Q429" s="5">
        <f t="shared" si="13"/>
        <v>0.25048233322536578</v>
      </c>
    </row>
    <row r="430" spans="1:17" x14ac:dyDescent="0.3">
      <c r="A430" t="s">
        <v>602</v>
      </c>
      <c r="B430" t="s">
        <v>71</v>
      </c>
      <c r="C430" t="s">
        <v>119</v>
      </c>
      <c r="D430" t="s">
        <v>196</v>
      </c>
      <c r="E430" t="s">
        <v>49</v>
      </c>
      <c r="F430" t="s">
        <v>50</v>
      </c>
      <c r="G430">
        <v>32</v>
      </c>
      <c r="H430" s="4">
        <v>69.98</v>
      </c>
      <c r="I430">
        <v>2239.36</v>
      </c>
      <c r="J430">
        <v>133.51</v>
      </c>
      <c r="K430">
        <v>825.85</v>
      </c>
      <c r="L430" t="s">
        <v>44</v>
      </c>
      <c r="M430" t="s">
        <v>23</v>
      </c>
      <c r="N430" t="s">
        <v>66</v>
      </c>
      <c r="O430">
        <f>_xlfn.XLOOKUP(E430,Product_Master!$B$2:$B$11,Product_Master!$F$2:$F$11)</f>
        <v>40</v>
      </c>
      <c r="P430">
        <f t="shared" si="12"/>
        <v>1280</v>
      </c>
      <c r="Q430" s="5">
        <f t="shared" si="13"/>
        <v>0.3687884038296656</v>
      </c>
    </row>
    <row r="431" spans="1:17" x14ac:dyDescent="0.3">
      <c r="A431" t="s">
        <v>603</v>
      </c>
      <c r="B431" t="s">
        <v>157</v>
      </c>
      <c r="C431" t="s">
        <v>185</v>
      </c>
      <c r="D431" t="s">
        <v>28</v>
      </c>
      <c r="E431" t="s">
        <v>20</v>
      </c>
      <c r="F431" t="s">
        <v>21</v>
      </c>
      <c r="G431">
        <v>25</v>
      </c>
      <c r="H431" s="4">
        <v>42.91</v>
      </c>
      <c r="I431">
        <v>1072.75</v>
      </c>
      <c r="J431">
        <v>80.02</v>
      </c>
      <c r="K431">
        <v>117.73</v>
      </c>
      <c r="L431" t="s">
        <v>30</v>
      </c>
      <c r="M431" t="s">
        <v>31</v>
      </c>
      <c r="N431" t="s">
        <v>32</v>
      </c>
      <c r="O431">
        <f>_xlfn.XLOOKUP(E431,Product_Master!$B$2:$B$11,Product_Master!$F$2:$F$11)</f>
        <v>35</v>
      </c>
      <c r="P431">
        <f t="shared" si="12"/>
        <v>875</v>
      </c>
      <c r="Q431" s="5">
        <f t="shared" si="13"/>
        <v>0.10974597995805174</v>
      </c>
    </row>
    <row r="432" spans="1:17" x14ac:dyDescent="0.3">
      <c r="A432" t="s">
        <v>604</v>
      </c>
      <c r="B432" t="s">
        <v>78</v>
      </c>
      <c r="C432" t="s">
        <v>427</v>
      </c>
      <c r="D432" t="s">
        <v>48</v>
      </c>
      <c r="E432" t="s">
        <v>73</v>
      </c>
      <c r="F432" t="s">
        <v>43</v>
      </c>
      <c r="G432">
        <v>7</v>
      </c>
      <c r="H432" s="4">
        <v>22.6</v>
      </c>
      <c r="I432">
        <v>158.19999999999999</v>
      </c>
      <c r="J432">
        <v>7.04</v>
      </c>
      <c r="K432">
        <v>61.91</v>
      </c>
      <c r="L432" t="s">
        <v>44</v>
      </c>
      <c r="M432" t="s">
        <v>23</v>
      </c>
      <c r="N432" t="s">
        <v>24</v>
      </c>
      <c r="O432">
        <f>_xlfn.XLOOKUP(E432,Product_Master!$B$2:$B$11,Product_Master!$F$2:$F$11)</f>
        <v>12.75</v>
      </c>
      <c r="P432">
        <f t="shared" si="12"/>
        <v>89.25</v>
      </c>
      <c r="Q432" s="5">
        <f t="shared" si="13"/>
        <v>0.39134007585335018</v>
      </c>
    </row>
    <row r="433" spans="1:17" x14ac:dyDescent="0.3">
      <c r="A433" t="s">
        <v>605</v>
      </c>
      <c r="B433" t="s">
        <v>56</v>
      </c>
      <c r="C433" t="s">
        <v>105</v>
      </c>
      <c r="D433" t="s">
        <v>19</v>
      </c>
      <c r="E433" t="s">
        <v>73</v>
      </c>
      <c r="F433" t="s">
        <v>43</v>
      </c>
      <c r="G433">
        <v>48</v>
      </c>
      <c r="H433" s="4">
        <v>19.5</v>
      </c>
      <c r="I433">
        <v>936</v>
      </c>
      <c r="J433">
        <v>70.069999999999993</v>
      </c>
      <c r="K433">
        <v>253.93</v>
      </c>
      <c r="L433" t="s">
        <v>22</v>
      </c>
      <c r="M433" t="s">
        <v>31</v>
      </c>
      <c r="N433" t="s">
        <v>24</v>
      </c>
      <c r="O433">
        <f>_xlfn.XLOOKUP(E433,Product_Master!$B$2:$B$11,Product_Master!$F$2:$F$11)</f>
        <v>12.75</v>
      </c>
      <c r="P433">
        <f t="shared" si="12"/>
        <v>612</v>
      </c>
      <c r="Q433" s="5">
        <f t="shared" si="13"/>
        <v>0.27129273504273504</v>
      </c>
    </row>
    <row r="434" spans="1:17" x14ac:dyDescent="0.3">
      <c r="A434" t="s">
        <v>606</v>
      </c>
      <c r="B434" t="s">
        <v>68</v>
      </c>
      <c r="C434" t="s">
        <v>35</v>
      </c>
      <c r="D434" t="s">
        <v>147</v>
      </c>
      <c r="E434" t="s">
        <v>49</v>
      </c>
      <c r="F434" t="s">
        <v>50</v>
      </c>
      <c r="G434">
        <v>32</v>
      </c>
      <c r="H434" s="4">
        <v>49.97</v>
      </c>
      <c r="I434">
        <v>1599.04</v>
      </c>
      <c r="J434">
        <v>43.1</v>
      </c>
      <c r="K434">
        <v>275.94</v>
      </c>
      <c r="L434" t="s">
        <v>30</v>
      </c>
      <c r="M434" t="s">
        <v>37</v>
      </c>
      <c r="N434" t="s">
        <v>148</v>
      </c>
      <c r="O434">
        <f>_xlfn.XLOOKUP(E434,Product_Master!$B$2:$B$11,Product_Master!$F$2:$F$11)</f>
        <v>40</v>
      </c>
      <c r="P434">
        <f t="shared" si="12"/>
        <v>1280</v>
      </c>
      <c r="Q434" s="5">
        <f t="shared" si="13"/>
        <v>0.17256603962377426</v>
      </c>
    </row>
    <row r="435" spans="1:17" x14ac:dyDescent="0.3">
      <c r="A435" t="s">
        <v>607</v>
      </c>
      <c r="B435" t="s">
        <v>17</v>
      </c>
      <c r="C435" t="s">
        <v>18</v>
      </c>
      <c r="D435" t="s">
        <v>123</v>
      </c>
      <c r="E435" t="s">
        <v>69</v>
      </c>
      <c r="F435" t="s">
        <v>59</v>
      </c>
      <c r="G435">
        <v>41</v>
      </c>
      <c r="H435" s="4">
        <v>25.62</v>
      </c>
      <c r="I435">
        <v>1050.42</v>
      </c>
      <c r="J435">
        <v>79.2</v>
      </c>
      <c r="K435">
        <v>335.72</v>
      </c>
      <c r="L435" t="s">
        <v>22</v>
      </c>
      <c r="M435" t="s">
        <v>31</v>
      </c>
      <c r="N435" t="s">
        <v>32</v>
      </c>
      <c r="O435">
        <f>_xlfn.XLOOKUP(E435,Product_Master!$B$2:$B$11,Product_Master!$F$2:$F$11)</f>
        <v>15.5</v>
      </c>
      <c r="P435">
        <f t="shared" si="12"/>
        <v>635.5</v>
      </c>
      <c r="Q435" s="5">
        <f t="shared" si="13"/>
        <v>0.31960549113687858</v>
      </c>
    </row>
    <row r="436" spans="1:17" x14ac:dyDescent="0.3">
      <c r="A436" t="s">
        <v>608</v>
      </c>
      <c r="B436" t="s">
        <v>83</v>
      </c>
      <c r="C436" t="s">
        <v>312</v>
      </c>
      <c r="D436" t="s">
        <v>19</v>
      </c>
      <c r="E436" t="s">
        <v>73</v>
      </c>
      <c r="F436" t="s">
        <v>43</v>
      </c>
      <c r="G436">
        <v>46</v>
      </c>
      <c r="H436" s="4">
        <v>16.78</v>
      </c>
      <c r="I436">
        <v>771.88</v>
      </c>
      <c r="J436">
        <v>18.04</v>
      </c>
      <c r="K436">
        <v>167.34</v>
      </c>
      <c r="L436" t="s">
        <v>44</v>
      </c>
      <c r="M436" t="s">
        <v>37</v>
      </c>
      <c r="N436" t="s">
        <v>24</v>
      </c>
      <c r="O436">
        <f>_xlfn.XLOOKUP(E436,Product_Master!$B$2:$B$11,Product_Master!$F$2:$F$11)</f>
        <v>12.75</v>
      </c>
      <c r="P436">
        <f t="shared" si="12"/>
        <v>586.5</v>
      </c>
      <c r="Q436" s="5">
        <f t="shared" si="13"/>
        <v>0.21679535679121106</v>
      </c>
    </row>
    <row r="437" spans="1:17" x14ac:dyDescent="0.3">
      <c r="A437" t="s">
        <v>609</v>
      </c>
      <c r="B437" t="s">
        <v>83</v>
      </c>
      <c r="C437" t="s">
        <v>338</v>
      </c>
      <c r="D437" t="s">
        <v>36</v>
      </c>
      <c r="E437" t="s">
        <v>42</v>
      </c>
      <c r="F437" t="s">
        <v>43</v>
      </c>
      <c r="G437">
        <v>16</v>
      </c>
      <c r="H437" s="4">
        <v>42.18</v>
      </c>
      <c r="I437">
        <v>674.88</v>
      </c>
      <c r="J437">
        <v>19.100000000000001</v>
      </c>
      <c r="K437">
        <v>143.78</v>
      </c>
      <c r="L437" t="s">
        <v>22</v>
      </c>
      <c r="M437" t="s">
        <v>37</v>
      </c>
      <c r="N437" t="s">
        <v>32</v>
      </c>
      <c r="O437">
        <f>_xlfn.XLOOKUP(E437,Product_Master!$B$2:$B$11,Product_Master!$F$2:$F$11)</f>
        <v>32</v>
      </c>
      <c r="P437">
        <f t="shared" si="12"/>
        <v>512</v>
      </c>
      <c r="Q437" s="5">
        <f t="shared" si="13"/>
        <v>0.21304528212422949</v>
      </c>
    </row>
    <row r="438" spans="1:17" x14ac:dyDescent="0.3">
      <c r="A438" t="s">
        <v>610</v>
      </c>
      <c r="B438" t="s">
        <v>71</v>
      </c>
      <c r="C438" t="s">
        <v>79</v>
      </c>
      <c r="D438" t="s">
        <v>123</v>
      </c>
      <c r="E438" t="s">
        <v>64</v>
      </c>
      <c r="F438" t="s">
        <v>65</v>
      </c>
      <c r="G438">
        <v>12</v>
      </c>
      <c r="H438" s="4">
        <v>34.97</v>
      </c>
      <c r="I438">
        <v>419.64</v>
      </c>
      <c r="J438">
        <v>28.48</v>
      </c>
      <c r="K438">
        <v>91.16</v>
      </c>
      <c r="L438" t="s">
        <v>22</v>
      </c>
      <c r="M438" t="s">
        <v>23</v>
      </c>
      <c r="N438" t="s">
        <v>32</v>
      </c>
      <c r="O438">
        <f>_xlfn.XLOOKUP(E438,Product_Master!$B$2:$B$11,Product_Master!$F$2:$F$11)</f>
        <v>25</v>
      </c>
      <c r="P438">
        <f t="shared" si="12"/>
        <v>300</v>
      </c>
      <c r="Q438" s="5">
        <f t="shared" si="13"/>
        <v>0.21723381946430273</v>
      </c>
    </row>
    <row r="439" spans="1:17" x14ac:dyDescent="0.3">
      <c r="A439" t="s">
        <v>611</v>
      </c>
      <c r="B439" t="s">
        <v>78</v>
      </c>
      <c r="C439" t="s">
        <v>155</v>
      </c>
      <c r="D439" t="s">
        <v>41</v>
      </c>
      <c r="E439" t="s">
        <v>54</v>
      </c>
      <c r="F439" t="s">
        <v>43</v>
      </c>
      <c r="G439">
        <v>31</v>
      </c>
      <c r="H439" s="4">
        <v>33.619999999999997</v>
      </c>
      <c r="I439">
        <v>1042.22</v>
      </c>
      <c r="J439">
        <v>26.33</v>
      </c>
      <c r="K439">
        <v>395.89</v>
      </c>
      <c r="L439" t="s">
        <v>44</v>
      </c>
      <c r="M439" t="s">
        <v>37</v>
      </c>
      <c r="N439" t="s">
        <v>45</v>
      </c>
      <c r="O439">
        <f>_xlfn.XLOOKUP(E439,Product_Master!$B$2:$B$11,Product_Master!$F$2:$F$11)</f>
        <v>20</v>
      </c>
      <c r="P439">
        <f t="shared" si="12"/>
        <v>620</v>
      </c>
      <c r="Q439" s="5">
        <f t="shared" si="13"/>
        <v>0.37985262228704109</v>
      </c>
    </row>
    <row r="440" spans="1:17" x14ac:dyDescent="0.3">
      <c r="A440" t="s">
        <v>612</v>
      </c>
      <c r="B440" t="s">
        <v>132</v>
      </c>
      <c r="C440" t="s">
        <v>440</v>
      </c>
      <c r="D440" t="s">
        <v>88</v>
      </c>
      <c r="E440" t="s">
        <v>58</v>
      </c>
      <c r="F440" t="s">
        <v>59</v>
      </c>
      <c r="G440">
        <v>40</v>
      </c>
      <c r="H440" s="4">
        <v>30.56</v>
      </c>
      <c r="I440">
        <v>1222.4000000000001</v>
      </c>
      <c r="J440">
        <v>26.42</v>
      </c>
      <c r="K440">
        <v>295.98</v>
      </c>
      <c r="L440" t="s">
        <v>22</v>
      </c>
      <c r="M440" t="s">
        <v>23</v>
      </c>
      <c r="N440" t="s">
        <v>66</v>
      </c>
      <c r="O440">
        <f>_xlfn.XLOOKUP(E440,Product_Master!$B$2:$B$11,Product_Master!$F$2:$F$11)</f>
        <v>22.5</v>
      </c>
      <c r="P440">
        <f t="shared" si="12"/>
        <v>900</v>
      </c>
      <c r="Q440" s="5">
        <f t="shared" si="13"/>
        <v>0.24213023560209423</v>
      </c>
    </row>
    <row r="441" spans="1:17" x14ac:dyDescent="0.3">
      <c r="A441" t="s">
        <v>613</v>
      </c>
      <c r="B441" t="s">
        <v>17</v>
      </c>
      <c r="C441" t="s">
        <v>161</v>
      </c>
      <c r="D441" t="s">
        <v>170</v>
      </c>
      <c r="E441" t="s">
        <v>20</v>
      </c>
      <c r="F441" t="s">
        <v>21</v>
      </c>
      <c r="G441">
        <v>15</v>
      </c>
      <c r="H441" s="4">
        <v>61.93</v>
      </c>
      <c r="I441">
        <v>928.95</v>
      </c>
      <c r="J441">
        <v>25.68</v>
      </c>
      <c r="K441">
        <v>378.27</v>
      </c>
      <c r="L441" t="s">
        <v>30</v>
      </c>
      <c r="M441" t="s">
        <v>37</v>
      </c>
      <c r="N441" t="s">
        <v>32</v>
      </c>
      <c r="O441">
        <f>_xlfn.XLOOKUP(E441,Product_Master!$B$2:$B$11,Product_Master!$F$2:$F$11)</f>
        <v>35</v>
      </c>
      <c r="P441">
        <f t="shared" si="12"/>
        <v>525</v>
      </c>
      <c r="Q441" s="5">
        <f t="shared" si="13"/>
        <v>0.407201679315356</v>
      </c>
    </row>
    <row r="442" spans="1:17" x14ac:dyDescent="0.3">
      <c r="A442" t="s">
        <v>614</v>
      </c>
      <c r="B442" t="s">
        <v>157</v>
      </c>
      <c r="C442" t="s">
        <v>139</v>
      </c>
      <c r="D442" t="s">
        <v>63</v>
      </c>
      <c r="E442" t="s">
        <v>54</v>
      </c>
      <c r="F442" t="s">
        <v>43</v>
      </c>
      <c r="G442">
        <v>20</v>
      </c>
      <c r="H442" s="4">
        <v>35.770000000000003</v>
      </c>
      <c r="I442">
        <v>715.4</v>
      </c>
      <c r="J442">
        <v>39.229999999999997</v>
      </c>
      <c r="K442">
        <v>276.17</v>
      </c>
      <c r="L442" t="s">
        <v>22</v>
      </c>
      <c r="M442" t="s">
        <v>23</v>
      </c>
      <c r="N442" t="s">
        <v>66</v>
      </c>
      <c r="O442">
        <f>_xlfn.XLOOKUP(E442,Product_Master!$B$2:$B$11,Product_Master!$F$2:$F$11)</f>
        <v>20</v>
      </c>
      <c r="P442">
        <f t="shared" si="12"/>
        <v>400</v>
      </c>
      <c r="Q442" s="5">
        <f t="shared" si="13"/>
        <v>0.38603578417668438</v>
      </c>
    </row>
    <row r="443" spans="1:17" x14ac:dyDescent="0.3">
      <c r="A443" t="s">
        <v>615</v>
      </c>
      <c r="B443" t="s">
        <v>56</v>
      </c>
      <c r="C443" t="s">
        <v>265</v>
      </c>
      <c r="D443" t="s">
        <v>28</v>
      </c>
      <c r="E443" t="s">
        <v>73</v>
      </c>
      <c r="F443" t="s">
        <v>43</v>
      </c>
      <c r="G443">
        <v>21</v>
      </c>
      <c r="H443" s="4">
        <v>22.48</v>
      </c>
      <c r="I443">
        <v>472.08</v>
      </c>
      <c r="J443">
        <v>12.96</v>
      </c>
      <c r="K443">
        <v>191.37</v>
      </c>
      <c r="L443" t="s">
        <v>30</v>
      </c>
      <c r="M443" t="s">
        <v>23</v>
      </c>
      <c r="N443" t="s">
        <v>32</v>
      </c>
      <c r="O443">
        <f>_xlfn.XLOOKUP(E443,Product_Master!$B$2:$B$11,Product_Master!$F$2:$F$11)</f>
        <v>12.75</v>
      </c>
      <c r="P443">
        <f t="shared" si="12"/>
        <v>267.75</v>
      </c>
      <c r="Q443" s="5">
        <f t="shared" si="13"/>
        <v>0.40537620742247077</v>
      </c>
    </row>
    <row r="444" spans="1:17" x14ac:dyDescent="0.3">
      <c r="A444" t="s">
        <v>616</v>
      </c>
      <c r="B444" t="s">
        <v>17</v>
      </c>
      <c r="C444" t="s">
        <v>293</v>
      </c>
      <c r="D444" t="s">
        <v>63</v>
      </c>
      <c r="E444" t="s">
        <v>29</v>
      </c>
      <c r="F444" t="s">
        <v>21</v>
      </c>
      <c r="G444">
        <v>8</v>
      </c>
      <c r="H444" s="4">
        <v>27.53</v>
      </c>
      <c r="I444">
        <v>220.24</v>
      </c>
      <c r="J444">
        <v>12.66</v>
      </c>
      <c r="K444">
        <v>63.58</v>
      </c>
      <c r="L444" t="s">
        <v>30</v>
      </c>
      <c r="M444" t="s">
        <v>31</v>
      </c>
      <c r="N444" t="s">
        <v>66</v>
      </c>
      <c r="O444">
        <f>_xlfn.XLOOKUP(E444,Product_Master!$B$2:$B$11,Product_Master!$F$2:$F$11)</f>
        <v>18</v>
      </c>
      <c r="P444">
        <f t="shared" si="12"/>
        <v>144</v>
      </c>
      <c r="Q444" s="5">
        <f t="shared" si="13"/>
        <v>0.28868507083181982</v>
      </c>
    </row>
    <row r="445" spans="1:17" x14ac:dyDescent="0.3">
      <c r="A445" t="s">
        <v>617</v>
      </c>
      <c r="B445" t="s">
        <v>68</v>
      </c>
      <c r="C445" t="s">
        <v>245</v>
      </c>
      <c r="D445" t="s">
        <v>196</v>
      </c>
      <c r="E445" t="s">
        <v>58</v>
      </c>
      <c r="F445" t="s">
        <v>59</v>
      </c>
      <c r="G445">
        <v>35</v>
      </c>
      <c r="H445" s="4">
        <v>39.65</v>
      </c>
      <c r="I445">
        <v>1387.75</v>
      </c>
      <c r="J445">
        <v>60.95</v>
      </c>
      <c r="K445">
        <v>539.29999999999995</v>
      </c>
      <c r="L445" t="s">
        <v>44</v>
      </c>
      <c r="M445" t="s">
        <v>31</v>
      </c>
      <c r="N445" t="s">
        <v>66</v>
      </c>
      <c r="O445">
        <f>_xlfn.XLOOKUP(E445,Product_Master!$B$2:$B$11,Product_Master!$F$2:$F$11)</f>
        <v>22.5</v>
      </c>
      <c r="P445">
        <f t="shared" si="12"/>
        <v>787.5</v>
      </c>
      <c r="Q445" s="5">
        <f t="shared" si="13"/>
        <v>0.38861466402450007</v>
      </c>
    </row>
    <row r="446" spans="1:17" x14ac:dyDescent="0.3">
      <c r="A446" t="s">
        <v>618</v>
      </c>
      <c r="B446" t="s">
        <v>83</v>
      </c>
      <c r="C446" t="s">
        <v>200</v>
      </c>
      <c r="D446" t="s">
        <v>101</v>
      </c>
      <c r="E446" t="s">
        <v>69</v>
      </c>
      <c r="F446" t="s">
        <v>59</v>
      </c>
      <c r="G446">
        <v>50</v>
      </c>
      <c r="H446" s="4">
        <v>23.68</v>
      </c>
      <c r="I446">
        <v>1184</v>
      </c>
      <c r="J446">
        <v>46.62</v>
      </c>
      <c r="K446">
        <v>362.38</v>
      </c>
      <c r="L446" t="s">
        <v>30</v>
      </c>
      <c r="M446" t="s">
        <v>31</v>
      </c>
      <c r="N446" t="s">
        <v>102</v>
      </c>
      <c r="O446">
        <f>_xlfn.XLOOKUP(E446,Product_Master!$B$2:$B$11,Product_Master!$F$2:$F$11)</f>
        <v>15.5</v>
      </c>
      <c r="P446">
        <f t="shared" si="12"/>
        <v>775</v>
      </c>
      <c r="Q446" s="5">
        <f t="shared" si="13"/>
        <v>0.30606418918918921</v>
      </c>
    </row>
    <row r="447" spans="1:17" x14ac:dyDescent="0.3">
      <c r="A447" t="s">
        <v>619</v>
      </c>
      <c r="B447" t="s">
        <v>26</v>
      </c>
      <c r="C447" t="s">
        <v>202</v>
      </c>
      <c r="D447" t="s">
        <v>88</v>
      </c>
      <c r="E447" t="s">
        <v>73</v>
      </c>
      <c r="F447" t="s">
        <v>43</v>
      </c>
      <c r="G447">
        <v>5</v>
      </c>
      <c r="H447" s="4">
        <v>19.809999999999999</v>
      </c>
      <c r="I447">
        <v>99.05</v>
      </c>
      <c r="J447">
        <v>5.91</v>
      </c>
      <c r="K447">
        <v>29.39</v>
      </c>
      <c r="L447" t="s">
        <v>30</v>
      </c>
      <c r="M447" t="s">
        <v>37</v>
      </c>
      <c r="N447" t="s">
        <v>66</v>
      </c>
      <c r="O447">
        <f>_xlfn.XLOOKUP(E447,Product_Master!$B$2:$B$11,Product_Master!$F$2:$F$11)</f>
        <v>12.75</v>
      </c>
      <c r="P447">
        <f t="shared" si="12"/>
        <v>63.75</v>
      </c>
      <c r="Q447" s="5">
        <f t="shared" si="13"/>
        <v>0.2967188288743059</v>
      </c>
    </row>
    <row r="448" spans="1:17" x14ac:dyDescent="0.3">
      <c r="A448" t="s">
        <v>620</v>
      </c>
      <c r="B448" t="s">
        <v>107</v>
      </c>
      <c r="C448" t="s">
        <v>90</v>
      </c>
      <c r="D448" t="s">
        <v>41</v>
      </c>
      <c r="E448" t="s">
        <v>73</v>
      </c>
      <c r="F448" t="s">
        <v>43</v>
      </c>
      <c r="G448">
        <v>27</v>
      </c>
      <c r="H448" s="4">
        <v>18.03</v>
      </c>
      <c r="I448">
        <v>486.81</v>
      </c>
      <c r="J448">
        <v>36.630000000000003</v>
      </c>
      <c r="K448">
        <v>105.93</v>
      </c>
      <c r="L448" t="s">
        <v>22</v>
      </c>
      <c r="M448" t="s">
        <v>37</v>
      </c>
      <c r="N448" t="s">
        <v>45</v>
      </c>
      <c r="O448">
        <f>_xlfn.XLOOKUP(E448,Product_Master!$B$2:$B$11,Product_Master!$F$2:$F$11)</f>
        <v>12.75</v>
      </c>
      <c r="P448">
        <f t="shared" si="12"/>
        <v>344.25</v>
      </c>
      <c r="Q448" s="5">
        <f t="shared" si="13"/>
        <v>0.21760029580329082</v>
      </c>
    </row>
    <row r="449" spans="1:17" x14ac:dyDescent="0.3">
      <c r="A449" t="s">
        <v>621</v>
      </c>
      <c r="B449" t="s">
        <v>34</v>
      </c>
      <c r="C449" t="s">
        <v>280</v>
      </c>
      <c r="D449" t="s">
        <v>101</v>
      </c>
      <c r="E449" t="s">
        <v>29</v>
      </c>
      <c r="F449" t="s">
        <v>21</v>
      </c>
      <c r="G449">
        <v>45</v>
      </c>
      <c r="H449" s="4">
        <v>26.93</v>
      </c>
      <c r="I449">
        <v>1211.8499999999999</v>
      </c>
      <c r="J449">
        <v>62.85</v>
      </c>
      <c r="K449">
        <v>339</v>
      </c>
      <c r="L449" t="s">
        <v>30</v>
      </c>
      <c r="M449" t="s">
        <v>31</v>
      </c>
      <c r="N449" t="s">
        <v>102</v>
      </c>
      <c r="O449">
        <f>_xlfn.XLOOKUP(E449,Product_Master!$B$2:$B$11,Product_Master!$F$2:$F$11)</f>
        <v>18</v>
      </c>
      <c r="P449">
        <f t="shared" si="12"/>
        <v>810</v>
      </c>
      <c r="Q449" s="5">
        <f t="shared" si="13"/>
        <v>0.2797375912860503</v>
      </c>
    </row>
    <row r="450" spans="1:17" x14ac:dyDescent="0.3">
      <c r="A450" t="s">
        <v>622</v>
      </c>
      <c r="B450" t="s">
        <v>56</v>
      </c>
      <c r="C450" t="s">
        <v>338</v>
      </c>
      <c r="D450" t="s">
        <v>36</v>
      </c>
      <c r="E450" t="s">
        <v>54</v>
      </c>
      <c r="F450" t="s">
        <v>43</v>
      </c>
      <c r="G450">
        <v>40</v>
      </c>
      <c r="H450" s="4">
        <v>32.54</v>
      </c>
      <c r="I450">
        <v>1301.5999999999999</v>
      </c>
      <c r="J450">
        <v>47.06</v>
      </c>
      <c r="K450">
        <v>454.54</v>
      </c>
      <c r="L450" t="s">
        <v>22</v>
      </c>
      <c r="M450" t="s">
        <v>31</v>
      </c>
      <c r="N450" t="s">
        <v>32</v>
      </c>
      <c r="O450">
        <f>_xlfn.XLOOKUP(E450,Product_Master!$B$2:$B$11,Product_Master!$F$2:$F$11)</f>
        <v>20</v>
      </c>
      <c r="P450">
        <f t="shared" si="12"/>
        <v>800</v>
      </c>
      <c r="Q450" s="5">
        <f t="shared" si="13"/>
        <v>0.34921634910878924</v>
      </c>
    </row>
    <row r="451" spans="1:17" x14ac:dyDescent="0.3">
      <c r="A451" t="s">
        <v>623</v>
      </c>
      <c r="B451" t="s">
        <v>61</v>
      </c>
      <c r="C451" t="s">
        <v>100</v>
      </c>
      <c r="D451" t="s">
        <v>196</v>
      </c>
      <c r="E451" t="s">
        <v>58</v>
      </c>
      <c r="F451" t="s">
        <v>59</v>
      </c>
      <c r="G451">
        <v>26</v>
      </c>
      <c r="H451" s="4">
        <v>35.32</v>
      </c>
      <c r="I451">
        <v>918.32</v>
      </c>
      <c r="J451">
        <v>60.02</v>
      </c>
      <c r="K451">
        <v>273.3</v>
      </c>
      <c r="L451" t="s">
        <v>44</v>
      </c>
      <c r="M451" t="s">
        <v>23</v>
      </c>
      <c r="N451" t="s">
        <v>66</v>
      </c>
      <c r="O451">
        <f>_xlfn.XLOOKUP(E451,Product_Master!$B$2:$B$11,Product_Master!$F$2:$F$11)</f>
        <v>22.5</v>
      </c>
      <c r="P451">
        <f t="shared" ref="P451:P501" si="14">G451*O451</f>
        <v>585</v>
      </c>
      <c r="Q451" s="5">
        <f t="shared" ref="Q451:Q501" si="15">K451/I451</f>
        <v>0.29760867671399949</v>
      </c>
    </row>
    <row r="452" spans="1:17" x14ac:dyDescent="0.3">
      <c r="A452" t="s">
        <v>624</v>
      </c>
      <c r="B452" t="s">
        <v>17</v>
      </c>
      <c r="C452" t="s">
        <v>110</v>
      </c>
      <c r="D452" t="s">
        <v>41</v>
      </c>
      <c r="E452" t="s">
        <v>73</v>
      </c>
      <c r="F452" t="s">
        <v>43</v>
      </c>
      <c r="G452">
        <v>16</v>
      </c>
      <c r="H452" s="4">
        <v>16.440000000000001</v>
      </c>
      <c r="I452">
        <v>263.04000000000002</v>
      </c>
      <c r="J452">
        <v>17.64</v>
      </c>
      <c r="K452">
        <v>41.4</v>
      </c>
      <c r="L452" t="s">
        <v>22</v>
      </c>
      <c r="M452" t="s">
        <v>23</v>
      </c>
      <c r="N452" t="s">
        <v>45</v>
      </c>
      <c r="O452">
        <f>_xlfn.XLOOKUP(E452,Product_Master!$B$2:$B$11,Product_Master!$F$2:$F$11)</f>
        <v>12.75</v>
      </c>
      <c r="P452">
        <f t="shared" si="14"/>
        <v>204</v>
      </c>
      <c r="Q452" s="5">
        <f t="shared" si="15"/>
        <v>0.1573905109489051</v>
      </c>
    </row>
    <row r="453" spans="1:17" x14ac:dyDescent="0.3">
      <c r="A453" t="s">
        <v>625</v>
      </c>
      <c r="B453" t="s">
        <v>104</v>
      </c>
      <c r="C453" t="s">
        <v>245</v>
      </c>
      <c r="D453" t="s">
        <v>123</v>
      </c>
      <c r="E453" t="s">
        <v>98</v>
      </c>
      <c r="F453" t="s">
        <v>59</v>
      </c>
      <c r="G453">
        <v>39</v>
      </c>
      <c r="H453" s="4">
        <v>46.27</v>
      </c>
      <c r="I453">
        <v>1804.53</v>
      </c>
      <c r="J453">
        <v>38.57</v>
      </c>
      <c r="K453">
        <v>673.96</v>
      </c>
      <c r="L453" t="s">
        <v>44</v>
      </c>
      <c r="M453" t="s">
        <v>37</v>
      </c>
      <c r="N453" t="s">
        <v>32</v>
      </c>
      <c r="O453">
        <f>_xlfn.XLOOKUP(E453,Product_Master!$B$2:$B$11,Product_Master!$F$2:$F$11)</f>
        <v>28</v>
      </c>
      <c r="P453">
        <f t="shared" si="14"/>
        <v>1092</v>
      </c>
      <c r="Q453" s="5">
        <f t="shared" si="15"/>
        <v>0.37348229178788939</v>
      </c>
    </row>
    <row r="454" spans="1:17" x14ac:dyDescent="0.3">
      <c r="A454" t="s">
        <v>626</v>
      </c>
      <c r="B454" t="s">
        <v>39</v>
      </c>
      <c r="C454" t="s">
        <v>173</v>
      </c>
      <c r="D454" t="s">
        <v>28</v>
      </c>
      <c r="E454" t="s">
        <v>64</v>
      </c>
      <c r="F454" t="s">
        <v>65</v>
      </c>
      <c r="G454">
        <v>15</v>
      </c>
      <c r="H454" s="4">
        <v>33.22</v>
      </c>
      <c r="I454">
        <v>498.3</v>
      </c>
      <c r="J454">
        <v>36.85</v>
      </c>
      <c r="K454">
        <v>86.45</v>
      </c>
      <c r="L454" t="s">
        <v>44</v>
      </c>
      <c r="M454" t="s">
        <v>37</v>
      </c>
      <c r="N454" t="s">
        <v>32</v>
      </c>
      <c r="O454">
        <f>_xlfn.XLOOKUP(E454,Product_Master!$B$2:$B$11,Product_Master!$F$2:$F$11)</f>
        <v>25</v>
      </c>
      <c r="P454">
        <f t="shared" si="14"/>
        <v>375</v>
      </c>
      <c r="Q454" s="5">
        <f t="shared" si="15"/>
        <v>0.17348986554284568</v>
      </c>
    </row>
    <row r="455" spans="1:17" x14ac:dyDescent="0.3">
      <c r="A455" t="s">
        <v>627</v>
      </c>
      <c r="B455" t="s">
        <v>56</v>
      </c>
      <c r="C455" t="s">
        <v>226</v>
      </c>
      <c r="D455" t="s">
        <v>101</v>
      </c>
      <c r="E455" t="s">
        <v>49</v>
      </c>
      <c r="F455" t="s">
        <v>50</v>
      </c>
      <c r="G455">
        <v>35</v>
      </c>
      <c r="H455" s="4">
        <v>71.02</v>
      </c>
      <c r="I455">
        <v>2485.6999999999998</v>
      </c>
      <c r="J455">
        <v>137.22</v>
      </c>
      <c r="K455">
        <v>948.48</v>
      </c>
      <c r="L455" t="s">
        <v>30</v>
      </c>
      <c r="M455" t="s">
        <v>31</v>
      </c>
      <c r="N455" t="s">
        <v>102</v>
      </c>
      <c r="O455">
        <f>_xlfn.XLOOKUP(E455,Product_Master!$B$2:$B$11,Product_Master!$F$2:$F$11)</f>
        <v>40</v>
      </c>
      <c r="P455">
        <f t="shared" si="14"/>
        <v>1400</v>
      </c>
      <c r="Q455" s="5">
        <f t="shared" si="15"/>
        <v>0.38157460675061355</v>
      </c>
    </row>
    <row r="456" spans="1:17" x14ac:dyDescent="0.3">
      <c r="A456" t="s">
        <v>628</v>
      </c>
      <c r="B456" t="s">
        <v>68</v>
      </c>
      <c r="C456" t="s">
        <v>119</v>
      </c>
      <c r="D456" t="s">
        <v>88</v>
      </c>
      <c r="E456" t="s">
        <v>98</v>
      </c>
      <c r="F456" t="s">
        <v>59</v>
      </c>
      <c r="G456">
        <v>2</v>
      </c>
      <c r="H456" s="4">
        <v>42.31</v>
      </c>
      <c r="I456">
        <v>84.62</v>
      </c>
      <c r="J456">
        <v>4.28</v>
      </c>
      <c r="K456">
        <v>24.34</v>
      </c>
      <c r="L456" t="s">
        <v>30</v>
      </c>
      <c r="M456" t="s">
        <v>31</v>
      </c>
      <c r="N456" t="s">
        <v>66</v>
      </c>
      <c r="O456">
        <f>_xlfn.XLOOKUP(E456,Product_Master!$B$2:$B$11,Product_Master!$F$2:$F$11)</f>
        <v>28</v>
      </c>
      <c r="P456">
        <f t="shared" si="14"/>
        <v>56</v>
      </c>
      <c r="Q456" s="5">
        <f t="shared" si="15"/>
        <v>0.28763885606239659</v>
      </c>
    </row>
    <row r="457" spans="1:17" x14ac:dyDescent="0.3">
      <c r="A457" t="s">
        <v>629</v>
      </c>
      <c r="B457" t="s">
        <v>75</v>
      </c>
      <c r="C457" t="s">
        <v>108</v>
      </c>
      <c r="D457" t="s">
        <v>81</v>
      </c>
      <c r="E457" t="s">
        <v>64</v>
      </c>
      <c r="F457" t="s">
        <v>65</v>
      </c>
      <c r="G457">
        <v>8</v>
      </c>
      <c r="H457" s="4">
        <v>41.36</v>
      </c>
      <c r="I457">
        <v>330.88</v>
      </c>
      <c r="J457">
        <v>11.78</v>
      </c>
      <c r="K457">
        <v>119.1</v>
      </c>
      <c r="L457" t="s">
        <v>22</v>
      </c>
      <c r="M457" t="s">
        <v>23</v>
      </c>
      <c r="N457" t="s">
        <v>66</v>
      </c>
      <c r="O457">
        <f>_xlfn.XLOOKUP(E457,Product_Master!$B$2:$B$11,Product_Master!$F$2:$F$11)</f>
        <v>25</v>
      </c>
      <c r="P457">
        <f t="shared" si="14"/>
        <v>200</v>
      </c>
      <c r="Q457" s="5">
        <f t="shared" si="15"/>
        <v>0.35994922630560927</v>
      </c>
    </row>
    <row r="458" spans="1:17" x14ac:dyDescent="0.3">
      <c r="A458" t="s">
        <v>630</v>
      </c>
      <c r="B458" t="s">
        <v>68</v>
      </c>
      <c r="C458" t="s">
        <v>139</v>
      </c>
      <c r="D458" t="s">
        <v>48</v>
      </c>
      <c r="E458" t="s">
        <v>29</v>
      </c>
      <c r="F458" t="s">
        <v>21</v>
      </c>
      <c r="G458">
        <v>3</v>
      </c>
      <c r="H458" s="4">
        <v>31.39</v>
      </c>
      <c r="I458">
        <v>94.17</v>
      </c>
      <c r="J458">
        <v>2.52</v>
      </c>
      <c r="K458">
        <v>37.65</v>
      </c>
      <c r="L458" t="s">
        <v>44</v>
      </c>
      <c r="M458" t="s">
        <v>37</v>
      </c>
      <c r="N458" t="s">
        <v>24</v>
      </c>
      <c r="O458">
        <f>_xlfn.XLOOKUP(E458,Product_Master!$B$2:$B$11,Product_Master!$F$2:$F$11)</f>
        <v>18</v>
      </c>
      <c r="P458">
        <f t="shared" si="14"/>
        <v>54</v>
      </c>
      <c r="Q458" s="5">
        <f t="shared" si="15"/>
        <v>0.39980885632366991</v>
      </c>
    </row>
    <row r="459" spans="1:17" x14ac:dyDescent="0.3">
      <c r="A459" t="s">
        <v>631</v>
      </c>
      <c r="B459" t="s">
        <v>17</v>
      </c>
      <c r="C459" t="s">
        <v>164</v>
      </c>
      <c r="D459" t="s">
        <v>123</v>
      </c>
      <c r="E459" t="s">
        <v>58</v>
      </c>
      <c r="F459" t="s">
        <v>59</v>
      </c>
      <c r="G459">
        <v>48</v>
      </c>
      <c r="H459" s="4">
        <v>33.61</v>
      </c>
      <c r="I459">
        <v>1613.28</v>
      </c>
      <c r="J459">
        <v>109.92</v>
      </c>
      <c r="K459">
        <v>423.36</v>
      </c>
      <c r="L459" t="s">
        <v>22</v>
      </c>
      <c r="M459" t="s">
        <v>37</v>
      </c>
      <c r="N459" t="s">
        <v>32</v>
      </c>
      <c r="O459">
        <f>_xlfn.XLOOKUP(E459,Product_Master!$B$2:$B$11,Product_Master!$F$2:$F$11)</f>
        <v>22.5</v>
      </c>
      <c r="P459">
        <f t="shared" si="14"/>
        <v>1080</v>
      </c>
      <c r="Q459" s="5">
        <f t="shared" si="15"/>
        <v>0.26242189824457007</v>
      </c>
    </row>
    <row r="460" spans="1:17" x14ac:dyDescent="0.3">
      <c r="A460" t="s">
        <v>632</v>
      </c>
      <c r="B460" t="s">
        <v>83</v>
      </c>
      <c r="C460" t="s">
        <v>192</v>
      </c>
      <c r="D460" t="s">
        <v>170</v>
      </c>
      <c r="E460" t="s">
        <v>42</v>
      </c>
      <c r="F460" t="s">
        <v>43</v>
      </c>
      <c r="G460">
        <v>9</v>
      </c>
      <c r="H460" s="4">
        <v>50.29</v>
      </c>
      <c r="I460">
        <v>452.61</v>
      </c>
      <c r="J460">
        <v>32.93</v>
      </c>
      <c r="K460">
        <v>131.68</v>
      </c>
      <c r="L460" t="s">
        <v>30</v>
      </c>
      <c r="M460" t="s">
        <v>37</v>
      </c>
      <c r="N460" t="s">
        <v>32</v>
      </c>
      <c r="O460">
        <f>_xlfn.XLOOKUP(E460,Product_Master!$B$2:$B$11,Product_Master!$F$2:$F$11)</f>
        <v>32</v>
      </c>
      <c r="P460">
        <f t="shared" si="14"/>
        <v>288</v>
      </c>
      <c r="Q460" s="5">
        <f t="shared" si="15"/>
        <v>0.29093480038001812</v>
      </c>
    </row>
    <row r="461" spans="1:17" x14ac:dyDescent="0.3">
      <c r="A461" t="s">
        <v>633</v>
      </c>
      <c r="B461" t="s">
        <v>39</v>
      </c>
      <c r="C461" t="s">
        <v>164</v>
      </c>
      <c r="D461" t="s">
        <v>19</v>
      </c>
      <c r="E461" t="s">
        <v>58</v>
      </c>
      <c r="F461" t="s">
        <v>59</v>
      </c>
      <c r="G461">
        <v>12</v>
      </c>
      <c r="H461" s="4">
        <v>34.96</v>
      </c>
      <c r="I461">
        <v>419.52</v>
      </c>
      <c r="J461">
        <v>15.43</v>
      </c>
      <c r="K461">
        <v>134.09</v>
      </c>
      <c r="L461" t="s">
        <v>30</v>
      </c>
      <c r="M461" t="s">
        <v>37</v>
      </c>
      <c r="N461" t="s">
        <v>24</v>
      </c>
      <c r="O461">
        <f>_xlfn.XLOOKUP(E461,Product_Master!$B$2:$B$11,Product_Master!$F$2:$F$11)</f>
        <v>22.5</v>
      </c>
      <c r="P461">
        <f t="shared" si="14"/>
        <v>270</v>
      </c>
      <c r="Q461" s="5">
        <f t="shared" si="15"/>
        <v>0.31962719298245618</v>
      </c>
    </row>
    <row r="462" spans="1:17" x14ac:dyDescent="0.3">
      <c r="A462" t="s">
        <v>634</v>
      </c>
      <c r="B462" t="s">
        <v>26</v>
      </c>
      <c r="C462" t="s">
        <v>390</v>
      </c>
      <c r="D462" t="s">
        <v>147</v>
      </c>
      <c r="E462" t="s">
        <v>20</v>
      </c>
      <c r="F462" t="s">
        <v>21</v>
      </c>
      <c r="G462">
        <v>29</v>
      </c>
      <c r="H462" s="4">
        <v>52.72</v>
      </c>
      <c r="I462">
        <v>1528.88</v>
      </c>
      <c r="J462">
        <v>96.91</v>
      </c>
      <c r="K462">
        <v>416.97</v>
      </c>
      <c r="L462" t="s">
        <v>30</v>
      </c>
      <c r="M462" t="s">
        <v>37</v>
      </c>
      <c r="N462" t="s">
        <v>148</v>
      </c>
      <c r="O462">
        <f>_xlfn.XLOOKUP(E462,Product_Master!$B$2:$B$11,Product_Master!$F$2:$F$11)</f>
        <v>35</v>
      </c>
      <c r="P462">
        <f t="shared" si="14"/>
        <v>1015</v>
      </c>
      <c r="Q462" s="5">
        <f t="shared" si="15"/>
        <v>0.27272905656428237</v>
      </c>
    </row>
    <row r="463" spans="1:17" x14ac:dyDescent="0.3">
      <c r="A463" t="s">
        <v>635</v>
      </c>
      <c r="B463" t="s">
        <v>26</v>
      </c>
      <c r="C463" t="s">
        <v>349</v>
      </c>
      <c r="D463" t="s">
        <v>48</v>
      </c>
      <c r="E463" t="s">
        <v>69</v>
      </c>
      <c r="F463" t="s">
        <v>59</v>
      </c>
      <c r="G463">
        <v>39</v>
      </c>
      <c r="H463" s="4">
        <v>22.18</v>
      </c>
      <c r="I463">
        <v>865.02</v>
      </c>
      <c r="J463">
        <v>26.23</v>
      </c>
      <c r="K463">
        <v>234.29</v>
      </c>
      <c r="L463" t="s">
        <v>22</v>
      </c>
      <c r="M463" t="s">
        <v>37</v>
      </c>
      <c r="N463" t="s">
        <v>24</v>
      </c>
      <c r="O463">
        <f>_xlfn.XLOOKUP(E463,Product_Master!$B$2:$B$11,Product_Master!$F$2:$F$11)</f>
        <v>15.5</v>
      </c>
      <c r="P463">
        <f t="shared" si="14"/>
        <v>604.5</v>
      </c>
      <c r="Q463" s="5">
        <f t="shared" si="15"/>
        <v>0.27084922891956253</v>
      </c>
    </row>
    <row r="464" spans="1:17" x14ac:dyDescent="0.3">
      <c r="A464" t="s">
        <v>636</v>
      </c>
      <c r="B464" t="s">
        <v>26</v>
      </c>
      <c r="C464" t="s">
        <v>342</v>
      </c>
      <c r="D464" t="s">
        <v>81</v>
      </c>
      <c r="E464" t="s">
        <v>69</v>
      </c>
      <c r="F464" t="s">
        <v>59</v>
      </c>
      <c r="G464">
        <v>11</v>
      </c>
      <c r="H464" s="4">
        <v>21.4</v>
      </c>
      <c r="I464">
        <v>235.4</v>
      </c>
      <c r="J464">
        <v>11.64</v>
      </c>
      <c r="K464">
        <v>53.26</v>
      </c>
      <c r="L464" t="s">
        <v>22</v>
      </c>
      <c r="M464" t="s">
        <v>37</v>
      </c>
      <c r="N464" t="s">
        <v>66</v>
      </c>
      <c r="O464">
        <f>_xlfn.XLOOKUP(E464,Product_Master!$B$2:$B$11,Product_Master!$F$2:$F$11)</f>
        <v>15.5</v>
      </c>
      <c r="P464">
        <f t="shared" si="14"/>
        <v>170.5</v>
      </c>
      <c r="Q464" s="5">
        <f t="shared" si="15"/>
        <v>0.22625318606627015</v>
      </c>
    </row>
    <row r="465" spans="1:17" x14ac:dyDescent="0.3">
      <c r="A465" t="s">
        <v>637</v>
      </c>
      <c r="B465" t="s">
        <v>34</v>
      </c>
      <c r="C465" t="s">
        <v>310</v>
      </c>
      <c r="D465" t="s">
        <v>81</v>
      </c>
      <c r="E465" t="s">
        <v>64</v>
      </c>
      <c r="F465" t="s">
        <v>65</v>
      </c>
      <c r="G465">
        <v>21</v>
      </c>
      <c r="H465" s="4">
        <v>36.26</v>
      </c>
      <c r="I465">
        <v>761.46</v>
      </c>
      <c r="J465">
        <v>56.99</v>
      </c>
      <c r="K465">
        <v>179.47</v>
      </c>
      <c r="L465" t="s">
        <v>30</v>
      </c>
      <c r="M465" t="s">
        <v>23</v>
      </c>
      <c r="N465" t="s">
        <v>66</v>
      </c>
      <c r="O465">
        <f>_xlfn.XLOOKUP(E465,Product_Master!$B$2:$B$11,Product_Master!$F$2:$F$11)</f>
        <v>25</v>
      </c>
      <c r="P465">
        <f t="shared" si="14"/>
        <v>525</v>
      </c>
      <c r="Q465" s="5">
        <f t="shared" si="15"/>
        <v>0.23569196018175609</v>
      </c>
    </row>
    <row r="466" spans="1:17" x14ac:dyDescent="0.3">
      <c r="A466" t="s">
        <v>638</v>
      </c>
      <c r="B466" t="s">
        <v>39</v>
      </c>
      <c r="C466" t="s">
        <v>226</v>
      </c>
      <c r="D466" t="s">
        <v>63</v>
      </c>
      <c r="E466" t="s">
        <v>58</v>
      </c>
      <c r="F466" t="s">
        <v>59</v>
      </c>
      <c r="G466">
        <v>39</v>
      </c>
      <c r="H466" s="4">
        <v>35.409999999999997</v>
      </c>
      <c r="I466">
        <v>1380.99</v>
      </c>
      <c r="J466">
        <v>84.56</v>
      </c>
      <c r="K466">
        <v>418.93</v>
      </c>
      <c r="L466" t="s">
        <v>30</v>
      </c>
      <c r="M466" t="s">
        <v>23</v>
      </c>
      <c r="N466" t="s">
        <v>66</v>
      </c>
      <c r="O466">
        <f>_xlfn.XLOOKUP(E466,Product_Master!$B$2:$B$11,Product_Master!$F$2:$F$11)</f>
        <v>22.5</v>
      </c>
      <c r="P466">
        <f t="shared" si="14"/>
        <v>877.5</v>
      </c>
      <c r="Q466" s="5">
        <f t="shared" si="15"/>
        <v>0.30335483964402349</v>
      </c>
    </row>
    <row r="467" spans="1:17" x14ac:dyDescent="0.3">
      <c r="A467" t="s">
        <v>639</v>
      </c>
      <c r="B467" t="s">
        <v>34</v>
      </c>
      <c r="C467" t="s">
        <v>127</v>
      </c>
      <c r="D467" t="s">
        <v>63</v>
      </c>
      <c r="E467" t="s">
        <v>29</v>
      </c>
      <c r="F467" t="s">
        <v>21</v>
      </c>
      <c r="G467">
        <v>13</v>
      </c>
      <c r="H467" s="4">
        <v>27.35</v>
      </c>
      <c r="I467">
        <v>355.55</v>
      </c>
      <c r="J467">
        <v>26.23</v>
      </c>
      <c r="K467">
        <v>95.32</v>
      </c>
      <c r="L467" t="s">
        <v>30</v>
      </c>
      <c r="M467" t="s">
        <v>37</v>
      </c>
      <c r="N467" t="s">
        <v>66</v>
      </c>
      <c r="O467">
        <f>_xlfn.XLOOKUP(E467,Product_Master!$B$2:$B$11,Product_Master!$F$2:$F$11)</f>
        <v>18</v>
      </c>
      <c r="P467">
        <f t="shared" si="14"/>
        <v>234</v>
      </c>
      <c r="Q467" s="5">
        <f t="shared" si="15"/>
        <v>0.26809168893263957</v>
      </c>
    </row>
    <row r="468" spans="1:17" x14ac:dyDescent="0.3">
      <c r="A468" t="s">
        <v>640</v>
      </c>
      <c r="B468" t="s">
        <v>157</v>
      </c>
      <c r="C468" t="s">
        <v>108</v>
      </c>
      <c r="D468" t="s">
        <v>41</v>
      </c>
      <c r="E468" t="s">
        <v>73</v>
      </c>
      <c r="F468" t="s">
        <v>43</v>
      </c>
      <c r="G468">
        <v>40</v>
      </c>
      <c r="H468" s="4">
        <v>21.08</v>
      </c>
      <c r="I468">
        <v>843.2</v>
      </c>
      <c r="J468">
        <v>66.81</v>
      </c>
      <c r="K468">
        <v>266.39</v>
      </c>
      <c r="L468" t="s">
        <v>44</v>
      </c>
      <c r="M468" t="s">
        <v>31</v>
      </c>
      <c r="N468" t="s">
        <v>45</v>
      </c>
      <c r="O468">
        <f>_xlfn.XLOOKUP(E468,Product_Master!$B$2:$B$11,Product_Master!$F$2:$F$11)</f>
        <v>12.75</v>
      </c>
      <c r="P468">
        <f t="shared" si="14"/>
        <v>510</v>
      </c>
      <c r="Q468" s="5">
        <f t="shared" si="15"/>
        <v>0.3159274193548387</v>
      </c>
    </row>
    <row r="469" spans="1:17" x14ac:dyDescent="0.3">
      <c r="A469" t="s">
        <v>641</v>
      </c>
      <c r="B469" t="s">
        <v>39</v>
      </c>
      <c r="C469" t="s">
        <v>390</v>
      </c>
      <c r="D469" t="s">
        <v>53</v>
      </c>
      <c r="E469" t="s">
        <v>69</v>
      </c>
      <c r="F469" t="s">
        <v>59</v>
      </c>
      <c r="G469">
        <v>47</v>
      </c>
      <c r="H469" s="4">
        <v>27.54</v>
      </c>
      <c r="I469">
        <v>1294.3800000000001</v>
      </c>
      <c r="J469">
        <v>62.78</v>
      </c>
      <c r="K469">
        <v>503.1</v>
      </c>
      <c r="L469" t="s">
        <v>22</v>
      </c>
      <c r="M469" t="s">
        <v>23</v>
      </c>
      <c r="N469" t="s">
        <v>24</v>
      </c>
      <c r="O469">
        <f>_xlfn.XLOOKUP(E469,Product_Master!$B$2:$B$11,Product_Master!$F$2:$F$11)</f>
        <v>15.5</v>
      </c>
      <c r="P469">
        <f t="shared" si="14"/>
        <v>728.5</v>
      </c>
      <c r="Q469" s="5">
        <f t="shared" si="15"/>
        <v>0.38868029481296062</v>
      </c>
    </row>
    <row r="470" spans="1:17" x14ac:dyDescent="0.3">
      <c r="A470" t="s">
        <v>642</v>
      </c>
      <c r="B470" t="s">
        <v>86</v>
      </c>
      <c r="C470" t="s">
        <v>40</v>
      </c>
      <c r="D470" t="s">
        <v>196</v>
      </c>
      <c r="E470" t="s">
        <v>42</v>
      </c>
      <c r="F470" t="s">
        <v>43</v>
      </c>
      <c r="G470">
        <v>16</v>
      </c>
      <c r="H470" s="4">
        <v>45.08</v>
      </c>
      <c r="I470">
        <v>721.28</v>
      </c>
      <c r="J470">
        <v>21.61</v>
      </c>
      <c r="K470">
        <v>187.67</v>
      </c>
      <c r="L470" t="s">
        <v>30</v>
      </c>
      <c r="M470" t="s">
        <v>37</v>
      </c>
      <c r="N470" t="s">
        <v>66</v>
      </c>
      <c r="O470">
        <f>_xlfn.XLOOKUP(E470,Product_Master!$B$2:$B$11,Product_Master!$F$2:$F$11)</f>
        <v>32</v>
      </c>
      <c r="P470">
        <f t="shared" si="14"/>
        <v>512</v>
      </c>
      <c r="Q470" s="5">
        <f t="shared" si="15"/>
        <v>0.26019021739130432</v>
      </c>
    </row>
    <row r="471" spans="1:17" x14ac:dyDescent="0.3">
      <c r="A471" t="s">
        <v>643</v>
      </c>
      <c r="B471" t="s">
        <v>75</v>
      </c>
      <c r="C471" t="s">
        <v>141</v>
      </c>
      <c r="D471" t="s">
        <v>88</v>
      </c>
      <c r="E471" t="s">
        <v>58</v>
      </c>
      <c r="F471" t="s">
        <v>59</v>
      </c>
      <c r="G471">
        <v>37</v>
      </c>
      <c r="H471" s="4">
        <v>33.200000000000003</v>
      </c>
      <c r="I471">
        <v>1228.4000000000001</v>
      </c>
      <c r="J471">
        <v>41.34</v>
      </c>
      <c r="K471">
        <v>354.56</v>
      </c>
      <c r="L471" t="s">
        <v>44</v>
      </c>
      <c r="M471" t="s">
        <v>31</v>
      </c>
      <c r="N471" t="s">
        <v>66</v>
      </c>
      <c r="O471">
        <f>_xlfn.XLOOKUP(E471,Product_Master!$B$2:$B$11,Product_Master!$F$2:$F$11)</f>
        <v>22.5</v>
      </c>
      <c r="P471">
        <f t="shared" si="14"/>
        <v>832.5</v>
      </c>
      <c r="Q471" s="5">
        <f t="shared" si="15"/>
        <v>0.28863562357538258</v>
      </c>
    </row>
    <row r="472" spans="1:17" x14ac:dyDescent="0.3">
      <c r="A472" t="s">
        <v>644</v>
      </c>
      <c r="B472" t="s">
        <v>78</v>
      </c>
      <c r="C472" t="s">
        <v>18</v>
      </c>
      <c r="D472" t="s">
        <v>88</v>
      </c>
      <c r="E472" t="s">
        <v>29</v>
      </c>
      <c r="F472" t="s">
        <v>21</v>
      </c>
      <c r="G472">
        <v>8</v>
      </c>
      <c r="H472" s="4">
        <v>27.31</v>
      </c>
      <c r="I472">
        <v>218.48</v>
      </c>
      <c r="J472">
        <v>9.51</v>
      </c>
      <c r="K472">
        <v>64.97</v>
      </c>
      <c r="L472" t="s">
        <v>44</v>
      </c>
      <c r="M472" t="s">
        <v>23</v>
      </c>
      <c r="N472" t="s">
        <v>66</v>
      </c>
      <c r="O472">
        <f>_xlfn.XLOOKUP(E472,Product_Master!$B$2:$B$11,Product_Master!$F$2:$F$11)</f>
        <v>18</v>
      </c>
      <c r="P472">
        <f t="shared" si="14"/>
        <v>144</v>
      </c>
      <c r="Q472" s="5">
        <f t="shared" si="15"/>
        <v>0.29737275723178325</v>
      </c>
    </row>
    <row r="473" spans="1:17" x14ac:dyDescent="0.3">
      <c r="A473" t="s">
        <v>645</v>
      </c>
      <c r="B473" t="s">
        <v>34</v>
      </c>
      <c r="C473" t="s">
        <v>114</v>
      </c>
      <c r="D473" t="s">
        <v>101</v>
      </c>
      <c r="E473" t="s">
        <v>29</v>
      </c>
      <c r="F473" t="s">
        <v>21</v>
      </c>
      <c r="G473">
        <v>19</v>
      </c>
      <c r="H473" s="4">
        <v>29.14</v>
      </c>
      <c r="I473">
        <v>553.66</v>
      </c>
      <c r="J473">
        <v>19.7</v>
      </c>
      <c r="K473">
        <v>191.96</v>
      </c>
      <c r="L473" t="s">
        <v>22</v>
      </c>
      <c r="M473" t="s">
        <v>31</v>
      </c>
      <c r="N473" t="s">
        <v>102</v>
      </c>
      <c r="O473">
        <f>_xlfn.XLOOKUP(E473,Product_Master!$B$2:$B$11,Product_Master!$F$2:$F$11)</f>
        <v>18</v>
      </c>
      <c r="P473">
        <f t="shared" si="14"/>
        <v>342</v>
      </c>
      <c r="Q473" s="5">
        <f t="shared" si="15"/>
        <v>0.34671097785644622</v>
      </c>
    </row>
    <row r="474" spans="1:17" x14ac:dyDescent="0.3">
      <c r="A474" t="s">
        <v>646</v>
      </c>
      <c r="B474" t="s">
        <v>68</v>
      </c>
      <c r="C474" t="s">
        <v>228</v>
      </c>
      <c r="D474" t="s">
        <v>81</v>
      </c>
      <c r="E474" t="s">
        <v>20</v>
      </c>
      <c r="F474" t="s">
        <v>21</v>
      </c>
      <c r="G474">
        <v>6</v>
      </c>
      <c r="H474" s="4">
        <v>55.41</v>
      </c>
      <c r="I474">
        <v>332.46</v>
      </c>
      <c r="J474">
        <v>15.57</v>
      </c>
      <c r="K474">
        <v>106.89</v>
      </c>
      <c r="L474" t="s">
        <v>22</v>
      </c>
      <c r="M474" t="s">
        <v>23</v>
      </c>
      <c r="N474" t="s">
        <v>66</v>
      </c>
      <c r="O474">
        <f>_xlfn.XLOOKUP(E474,Product_Master!$B$2:$B$11,Product_Master!$F$2:$F$11)</f>
        <v>35</v>
      </c>
      <c r="P474">
        <f t="shared" si="14"/>
        <v>210</v>
      </c>
      <c r="Q474" s="5">
        <f t="shared" si="15"/>
        <v>0.3215123623894604</v>
      </c>
    </row>
    <row r="475" spans="1:17" x14ac:dyDescent="0.3">
      <c r="A475" t="s">
        <v>647</v>
      </c>
      <c r="B475" t="s">
        <v>75</v>
      </c>
      <c r="C475" t="s">
        <v>212</v>
      </c>
      <c r="D475" t="s">
        <v>88</v>
      </c>
      <c r="E475" t="s">
        <v>29</v>
      </c>
      <c r="F475" t="s">
        <v>21</v>
      </c>
      <c r="G475">
        <v>48</v>
      </c>
      <c r="H475" s="4">
        <v>29.07</v>
      </c>
      <c r="I475">
        <v>1395.36</v>
      </c>
      <c r="J475">
        <v>70.38</v>
      </c>
      <c r="K475">
        <v>460.98</v>
      </c>
      <c r="L475" t="s">
        <v>30</v>
      </c>
      <c r="M475" t="s">
        <v>37</v>
      </c>
      <c r="N475" t="s">
        <v>66</v>
      </c>
      <c r="O475">
        <f>_xlfn.XLOOKUP(E475,Product_Master!$B$2:$B$11,Product_Master!$F$2:$F$11)</f>
        <v>18</v>
      </c>
      <c r="P475">
        <f t="shared" si="14"/>
        <v>864</v>
      </c>
      <c r="Q475" s="5">
        <f t="shared" si="15"/>
        <v>0.33036635706914347</v>
      </c>
    </row>
    <row r="476" spans="1:17" x14ac:dyDescent="0.3">
      <c r="A476" t="s">
        <v>648</v>
      </c>
      <c r="B476" t="s">
        <v>107</v>
      </c>
      <c r="C476" t="s">
        <v>305</v>
      </c>
      <c r="D476" t="s">
        <v>41</v>
      </c>
      <c r="E476" t="s">
        <v>58</v>
      </c>
      <c r="F476" t="s">
        <v>59</v>
      </c>
      <c r="G476">
        <v>26</v>
      </c>
      <c r="H476" s="4">
        <v>27.17</v>
      </c>
      <c r="I476">
        <v>706.42</v>
      </c>
      <c r="J476">
        <v>33.94</v>
      </c>
      <c r="K476">
        <v>87.48</v>
      </c>
      <c r="L476" t="s">
        <v>44</v>
      </c>
      <c r="M476" t="s">
        <v>31</v>
      </c>
      <c r="N476" t="s">
        <v>45</v>
      </c>
      <c r="O476">
        <f>_xlfn.XLOOKUP(E476,Product_Master!$B$2:$B$11,Product_Master!$F$2:$F$11)</f>
        <v>22.5</v>
      </c>
      <c r="P476">
        <f t="shared" si="14"/>
        <v>585</v>
      </c>
      <c r="Q476" s="5">
        <f t="shared" si="15"/>
        <v>0.12383567849154895</v>
      </c>
    </row>
    <row r="477" spans="1:17" x14ac:dyDescent="0.3">
      <c r="A477" t="s">
        <v>649</v>
      </c>
      <c r="B477" t="s">
        <v>650</v>
      </c>
      <c r="C477" t="s">
        <v>122</v>
      </c>
      <c r="D477" t="s">
        <v>91</v>
      </c>
      <c r="E477" t="s">
        <v>20</v>
      </c>
      <c r="F477" t="s">
        <v>21</v>
      </c>
      <c r="G477">
        <v>9</v>
      </c>
      <c r="H477" s="4">
        <v>48.76</v>
      </c>
      <c r="I477">
        <v>438.84</v>
      </c>
      <c r="J477">
        <v>16.91</v>
      </c>
      <c r="K477">
        <v>106.93</v>
      </c>
      <c r="L477" t="s">
        <v>44</v>
      </c>
      <c r="M477" t="s">
        <v>23</v>
      </c>
      <c r="N477" t="s">
        <v>66</v>
      </c>
      <c r="O477">
        <f>_xlfn.XLOOKUP(E477,Product_Master!$B$2:$B$11,Product_Master!$F$2:$F$11)</f>
        <v>35</v>
      </c>
      <c r="P477">
        <f t="shared" si="14"/>
        <v>315</v>
      </c>
      <c r="Q477" s="5">
        <f t="shared" si="15"/>
        <v>0.24366511712697114</v>
      </c>
    </row>
    <row r="478" spans="1:17" x14ac:dyDescent="0.3">
      <c r="A478" t="s">
        <v>651</v>
      </c>
      <c r="B478" t="s">
        <v>652</v>
      </c>
      <c r="C478" t="s">
        <v>245</v>
      </c>
      <c r="D478" t="s">
        <v>28</v>
      </c>
      <c r="E478" t="s">
        <v>58</v>
      </c>
      <c r="F478" t="s">
        <v>59</v>
      </c>
      <c r="G478">
        <v>37</v>
      </c>
      <c r="H478" s="4">
        <v>33.21</v>
      </c>
      <c r="I478">
        <v>1228.77</v>
      </c>
      <c r="J478">
        <v>96.12</v>
      </c>
      <c r="K478">
        <v>300.14999999999998</v>
      </c>
      <c r="L478" t="s">
        <v>44</v>
      </c>
      <c r="M478" t="s">
        <v>31</v>
      </c>
      <c r="N478" t="s">
        <v>32</v>
      </c>
      <c r="O478">
        <f>_xlfn.XLOOKUP(E478,Product_Master!$B$2:$B$11,Product_Master!$F$2:$F$11)</f>
        <v>22.5</v>
      </c>
      <c r="P478">
        <f t="shared" si="14"/>
        <v>832.5</v>
      </c>
      <c r="Q478" s="5">
        <f t="shared" si="15"/>
        <v>0.24426865890280522</v>
      </c>
    </row>
    <row r="479" spans="1:17" x14ac:dyDescent="0.3">
      <c r="A479" t="s">
        <v>653</v>
      </c>
      <c r="B479" t="s">
        <v>654</v>
      </c>
      <c r="C479" t="s">
        <v>122</v>
      </c>
      <c r="D479" t="s">
        <v>41</v>
      </c>
      <c r="E479" t="s">
        <v>73</v>
      </c>
      <c r="F479" t="s">
        <v>43</v>
      </c>
      <c r="G479">
        <v>29</v>
      </c>
      <c r="H479" s="4">
        <v>16.54</v>
      </c>
      <c r="I479">
        <v>479.66</v>
      </c>
      <c r="J479">
        <v>30.23</v>
      </c>
      <c r="K479">
        <v>79.680000000000007</v>
      </c>
      <c r="L479" t="s">
        <v>30</v>
      </c>
      <c r="M479" t="s">
        <v>37</v>
      </c>
      <c r="N479" t="s">
        <v>45</v>
      </c>
      <c r="O479">
        <f>_xlfn.XLOOKUP(E479,Product_Master!$B$2:$B$11,Product_Master!$F$2:$F$11)</f>
        <v>12.75</v>
      </c>
      <c r="P479">
        <f t="shared" si="14"/>
        <v>369.75</v>
      </c>
      <c r="Q479" s="5">
        <f t="shared" si="15"/>
        <v>0.16611766668056541</v>
      </c>
    </row>
    <row r="480" spans="1:17" x14ac:dyDescent="0.3">
      <c r="A480" t="s">
        <v>655</v>
      </c>
      <c r="B480" t="s">
        <v>656</v>
      </c>
      <c r="C480" t="s">
        <v>90</v>
      </c>
      <c r="D480" t="s">
        <v>147</v>
      </c>
      <c r="E480" t="s">
        <v>64</v>
      </c>
      <c r="F480" t="s">
        <v>65</v>
      </c>
      <c r="G480">
        <v>11</v>
      </c>
      <c r="H480" s="4">
        <v>44.56</v>
      </c>
      <c r="I480">
        <v>490.16</v>
      </c>
      <c r="J480">
        <v>23.97</v>
      </c>
      <c r="K480">
        <v>191.19</v>
      </c>
      <c r="L480" t="s">
        <v>30</v>
      </c>
      <c r="M480" t="s">
        <v>37</v>
      </c>
      <c r="N480" t="s">
        <v>148</v>
      </c>
      <c r="O480">
        <f>_xlfn.XLOOKUP(E480,Product_Master!$B$2:$B$11,Product_Master!$F$2:$F$11)</f>
        <v>25</v>
      </c>
      <c r="P480">
        <f t="shared" si="14"/>
        <v>275</v>
      </c>
      <c r="Q480" s="5">
        <f t="shared" si="15"/>
        <v>0.39005630814427938</v>
      </c>
    </row>
    <row r="481" spans="1:17" x14ac:dyDescent="0.3">
      <c r="A481" t="s">
        <v>657</v>
      </c>
      <c r="B481" t="s">
        <v>658</v>
      </c>
      <c r="C481" t="s">
        <v>57</v>
      </c>
      <c r="D481" t="s">
        <v>53</v>
      </c>
      <c r="E481" t="s">
        <v>42</v>
      </c>
      <c r="F481" t="s">
        <v>43</v>
      </c>
      <c r="G481">
        <v>50</v>
      </c>
      <c r="H481" s="4">
        <v>44.78</v>
      </c>
      <c r="I481">
        <v>2239</v>
      </c>
      <c r="J481">
        <v>169.97</v>
      </c>
      <c r="K481">
        <v>469.03</v>
      </c>
      <c r="L481" t="s">
        <v>22</v>
      </c>
      <c r="M481" t="s">
        <v>37</v>
      </c>
      <c r="N481" t="s">
        <v>24</v>
      </c>
      <c r="O481">
        <f>_xlfn.XLOOKUP(E481,Product_Master!$B$2:$B$11,Product_Master!$F$2:$F$11)</f>
        <v>32</v>
      </c>
      <c r="P481">
        <f t="shared" si="14"/>
        <v>1600</v>
      </c>
      <c r="Q481" s="5">
        <f t="shared" si="15"/>
        <v>0.20948191156766413</v>
      </c>
    </row>
    <row r="482" spans="1:17" x14ac:dyDescent="0.3">
      <c r="A482" t="s">
        <v>659</v>
      </c>
      <c r="B482" t="s">
        <v>660</v>
      </c>
      <c r="C482" t="s">
        <v>87</v>
      </c>
      <c r="D482" t="s">
        <v>19</v>
      </c>
      <c r="E482" t="s">
        <v>29</v>
      </c>
      <c r="F482" t="s">
        <v>21</v>
      </c>
      <c r="G482">
        <v>30</v>
      </c>
      <c r="H482" s="4">
        <v>22.51</v>
      </c>
      <c r="I482">
        <v>675.3</v>
      </c>
      <c r="J482">
        <v>26.26</v>
      </c>
      <c r="K482">
        <v>109.04</v>
      </c>
      <c r="L482" t="s">
        <v>22</v>
      </c>
      <c r="M482" t="s">
        <v>23</v>
      </c>
      <c r="N482" t="s">
        <v>24</v>
      </c>
      <c r="O482">
        <f>_xlfn.XLOOKUP(E482,Product_Master!$B$2:$B$11,Product_Master!$F$2:$F$11)</f>
        <v>18</v>
      </c>
      <c r="P482">
        <f t="shared" si="14"/>
        <v>540</v>
      </c>
      <c r="Q482" s="5">
        <f t="shared" si="15"/>
        <v>0.16146897675107361</v>
      </c>
    </row>
    <row r="483" spans="1:17" x14ac:dyDescent="0.3">
      <c r="A483" t="s">
        <v>661</v>
      </c>
      <c r="B483" t="s">
        <v>662</v>
      </c>
      <c r="C483" t="s">
        <v>265</v>
      </c>
      <c r="D483" t="s">
        <v>147</v>
      </c>
      <c r="E483" t="s">
        <v>69</v>
      </c>
      <c r="F483" t="s">
        <v>59</v>
      </c>
      <c r="G483">
        <v>50</v>
      </c>
      <c r="H483" s="4">
        <v>27.18</v>
      </c>
      <c r="I483">
        <v>1359</v>
      </c>
      <c r="J483">
        <v>45.67</v>
      </c>
      <c r="K483">
        <v>538.33000000000004</v>
      </c>
      <c r="L483" t="s">
        <v>22</v>
      </c>
      <c r="M483" t="s">
        <v>37</v>
      </c>
      <c r="N483" t="s">
        <v>148</v>
      </c>
      <c r="O483">
        <f>_xlfn.XLOOKUP(E483,Product_Master!$B$2:$B$11,Product_Master!$F$2:$F$11)</f>
        <v>15.5</v>
      </c>
      <c r="P483">
        <f t="shared" si="14"/>
        <v>775</v>
      </c>
      <c r="Q483" s="5">
        <f t="shared" si="15"/>
        <v>0.39612214863870499</v>
      </c>
    </row>
    <row r="484" spans="1:17" x14ac:dyDescent="0.3">
      <c r="A484" t="s">
        <v>663</v>
      </c>
      <c r="B484" t="s">
        <v>664</v>
      </c>
      <c r="C484" t="s">
        <v>153</v>
      </c>
      <c r="D484" t="s">
        <v>36</v>
      </c>
      <c r="E484" t="s">
        <v>98</v>
      </c>
      <c r="F484" t="s">
        <v>59</v>
      </c>
      <c r="G484">
        <v>28</v>
      </c>
      <c r="H484" s="4">
        <v>37.51</v>
      </c>
      <c r="I484">
        <v>1050.28</v>
      </c>
      <c r="J484">
        <v>45.83</v>
      </c>
      <c r="K484">
        <v>220.45</v>
      </c>
      <c r="L484" t="s">
        <v>44</v>
      </c>
      <c r="M484" t="s">
        <v>31</v>
      </c>
      <c r="N484" t="s">
        <v>32</v>
      </c>
      <c r="O484">
        <f>_xlfn.XLOOKUP(E484,Product_Master!$B$2:$B$11,Product_Master!$F$2:$F$11)</f>
        <v>28</v>
      </c>
      <c r="P484">
        <f t="shared" si="14"/>
        <v>784</v>
      </c>
      <c r="Q484" s="5">
        <f t="shared" si="15"/>
        <v>0.20989640857676048</v>
      </c>
    </row>
    <row r="485" spans="1:17" x14ac:dyDescent="0.3">
      <c r="A485" t="s">
        <v>665</v>
      </c>
      <c r="B485" t="s">
        <v>666</v>
      </c>
      <c r="C485" t="s">
        <v>79</v>
      </c>
      <c r="D485" t="s">
        <v>147</v>
      </c>
      <c r="E485" t="s">
        <v>49</v>
      </c>
      <c r="F485" t="s">
        <v>50</v>
      </c>
      <c r="G485">
        <v>50</v>
      </c>
      <c r="H485" s="4">
        <v>53.71</v>
      </c>
      <c r="I485">
        <v>2685.5</v>
      </c>
      <c r="J485">
        <v>197.89</v>
      </c>
      <c r="K485">
        <v>487.61</v>
      </c>
      <c r="L485" t="s">
        <v>30</v>
      </c>
      <c r="M485" t="s">
        <v>37</v>
      </c>
      <c r="N485" t="s">
        <v>148</v>
      </c>
      <c r="O485">
        <f>_xlfn.XLOOKUP(E485,Product_Master!$B$2:$B$11,Product_Master!$F$2:$F$11)</f>
        <v>40</v>
      </c>
      <c r="P485">
        <f t="shared" si="14"/>
        <v>2000</v>
      </c>
      <c r="Q485" s="5">
        <f t="shared" si="15"/>
        <v>0.18157140197356172</v>
      </c>
    </row>
    <row r="486" spans="1:17" x14ac:dyDescent="0.3">
      <c r="A486" t="s">
        <v>667</v>
      </c>
      <c r="B486" t="s">
        <v>668</v>
      </c>
      <c r="C486" t="s">
        <v>418</v>
      </c>
      <c r="D486" t="s">
        <v>101</v>
      </c>
      <c r="E486" t="s">
        <v>69</v>
      </c>
      <c r="F486" t="s">
        <v>59</v>
      </c>
      <c r="G486">
        <v>24</v>
      </c>
      <c r="H486" s="4">
        <v>18.62</v>
      </c>
      <c r="I486">
        <v>446.88</v>
      </c>
      <c r="J486">
        <v>26.91</v>
      </c>
      <c r="K486">
        <v>47.97</v>
      </c>
      <c r="L486" t="s">
        <v>30</v>
      </c>
      <c r="M486" t="s">
        <v>31</v>
      </c>
      <c r="N486" t="s">
        <v>102</v>
      </c>
      <c r="O486">
        <f>_xlfn.XLOOKUP(E486,Product_Master!$B$2:$B$11,Product_Master!$F$2:$F$11)</f>
        <v>15.5</v>
      </c>
      <c r="P486">
        <f t="shared" si="14"/>
        <v>372</v>
      </c>
      <c r="Q486" s="5">
        <f t="shared" si="15"/>
        <v>0.10734425349087003</v>
      </c>
    </row>
    <row r="487" spans="1:17" x14ac:dyDescent="0.3">
      <c r="A487" t="s">
        <v>669</v>
      </c>
      <c r="B487" t="s">
        <v>670</v>
      </c>
      <c r="C487" t="s">
        <v>202</v>
      </c>
      <c r="D487" t="s">
        <v>81</v>
      </c>
      <c r="E487" t="s">
        <v>49</v>
      </c>
      <c r="F487" t="s">
        <v>50</v>
      </c>
      <c r="G487">
        <v>10</v>
      </c>
      <c r="H487" s="4">
        <v>49.15</v>
      </c>
      <c r="I487">
        <v>491.5</v>
      </c>
      <c r="J487">
        <v>13.3</v>
      </c>
      <c r="K487">
        <v>78.2</v>
      </c>
      <c r="L487" t="s">
        <v>44</v>
      </c>
      <c r="M487" t="s">
        <v>37</v>
      </c>
      <c r="N487" t="s">
        <v>66</v>
      </c>
      <c r="O487">
        <f>_xlfn.XLOOKUP(E487,Product_Master!$B$2:$B$11,Product_Master!$F$2:$F$11)</f>
        <v>40</v>
      </c>
      <c r="P487">
        <f t="shared" si="14"/>
        <v>400</v>
      </c>
      <c r="Q487" s="5">
        <f t="shared" si="15"/>
        <v>0.15910478128179045</v>
      </c>
    </row>
    <row r="488" spans="1:17" x14ac:dyDescent="0.3">
      <c r="A488" t="s">
        <v>671</v>
      </c>
      <c r="B488" t="s">
        <v>672</v>
      </c>
      <c r="C488" t="s">
        <v>226</v>
      </c>
      <c r="D488" t="s">
        <v>63</v>
      </c>
      <c r="E488" t="s">
        <v>49</v>
      </c>
      <c r="F488" t="s">
        <v>50</v>
      </c>
      <c r="G488">
        <v>42</v>
      </c>
      <c r="H488" s="4">
        <v>50.96</v>
      </c>
      <c r="I488">
        <v>2140.3200000000002</v>
      </c>
      <c r="J488">
        <v>127.85</v>
      </c>
      <c r="K488">
        <v>332.47</v>
      </c>
      <c r="L488" t="s">
        <v>22</v>
      </c>
      <c r="M488" t="s">
        <v>31</v>
      </c>
      <c r="N488" t="s">
        <v>66</v>
      </c>
      <c r="O488">
        <f>_xlfn.XLOOKUP(E488,Product_Master!$B$2:$B$11,Product_Master!$F$2:$F$11)</f>
        <v>40</v>
      </c>
      <c r="P488">
        <f t="shared" si="14"/>
        <v>1680</v>
      </c>
      <c r="Q488" s="5">
        <f t="shared" si="15"/>
        <v>0.15533658518352397</v>
      </c>
    </row>
    <row r="489" spans="1:17" x14ac:dyDescent="0.3">
      <c r="A489" t="s">
        <v>673</v>
      </c>
      <c r="B489" t="s">
        <v>674</v>
      </c>
      <c r="C489" t="s">
        <v>223</v>
      </c>
      <c r="D489" t="s">
        <v>63</v>
      </c>
      <c r="E489" t="s">
        <v>64</v>
      </c>
      <c r="F489" t="s">
        <v>65</v>
      </c>
      <c r="G489">
        <v>39</v>
      </c>
      <c r="H489" s="4">
        <v>37.46</v>
      </c>
      <c r="I489">
        <v>1460.94</v>
      </c>
      <c r="J489">
        <v>82.25</v>
      </c>
      <c r="K489">
        <v>403.69</v>
      </c>
      <c r="L489" t="s">
        <v>44</v>
      </c>
      <c r="M489" t="s">
        <v>23</v>
      </c>
      <c r="N489" t="s">
        <v>66</v>
      </c>
      <c r="O489">
        <f>_xlfn.XLOOKUP(E489,Product_Master!$B$2:$B$11,Product_Master!$F$2:$F$11)</f>
        <v>25</v>
      </c>
      <c r="P489">
        <f t="shared" si="14"/>
        <v>975</v>
      </c>
      <c r="Q489" s="5">
        <f t="shared" si="15"/>
        <v>0.27632209399427765</v>
      </c>
    </row>
    <row r="490" spans="1:17" x14ac:dyDescent="0.3">
      <c r="A490" t="s">
        <v>675</v>
      </c>
      <c r="B490" t="s">
        <v>676</v>
      </c>
      <c r="C490" t="s">
        <v>125</v>
      </c>
      <c r="D490" t="s">
        <v>123</v>
      </c>
      <c r="E490" t="s">
        <v>73</v>
      </c>
      <c r="F490" t="s">
        <v>43</v>
      </c>
      <c r="G490">
        <v>7</v>
      </c>
      <c r="H490" s="4">
        <v>20.2</v>
      </c>
      <c r="I490">
        <v>141.4</v>
      </c>
      <c r="J490">
        <v>4.3499999999999996</v>
      </c>
      <c r="K490">
        <v>47.8</v>
      </c>
      <c r="L490" t="s">
        <v>30</v>
      </c>
      <c r="M490" t="s">
        <v>37</v>
      </c>
      <c r="N490" t="s">
        <v>32</v>
      </c>
      <c r="O490">
        <f>_xlfn.XLOOKUP(E490,Product_Master!$B$2:$B$11,Product_Master!$F$2:$F$11)</f>
        <v>12.75</v>
      </c>
      <c r="P490">
        <f t="shared" si="14"/>
        <v>89.25</v>
      </c>
      <c r="Q490" s="5">
        <f t="shared" si="15"/>
        <v>0.33804809052333801</v>
      </c>
    </row>
    <row r="491" spans="1:17" x14ac:dyDescent="0.3">
      <c r="A491" t="s">
        <v>677</v>
      </c>
      <c r="B491" t="s">
        <v>678</v>
      </c>
      <c r="C491" t="s">
        <v>141</v>
      </c>
      <c r="D491" t="s">
        <v>48</v>
      </c>
      <c r="E491" t="s">
        <v>73</v>
      </c>
      <c r="F491" t="s">
        <v>43</v>
      </c>
      <c r="G491">
        <v>18</v>
      </c>
      <c r="H491" s="4">
        <v>18.63</v>
      </c>
      <c r="I491">
        <v>335.34</v>
      </c>
      <c r="J491">
        <v>26.18</v>
      </c>
      <c r="K491">
        <v>79.66</v>
      </c>
      <c r="L491" t="s">
        <v>30</v>
      </c>
      <c r="M491" t="s">
        <v>23</v>
      </c>
      <c r="N491" t="s">
        <v>24</v>
      </c>
      <c r="O491">
        <f>_xlfn.XLOOKUP(E491,Product_Master!$B$2:$B$11,Product_Master!$F$2:$F$11)</f>
        <v>12.75</v>
      </c>
      <c r="P491">
        <f t="shared" si="14"/>
        <v>229.5</v>
      </c>
      <c r="Q491" s="5">
        <f t="shared" si="15"/>
        <v>0.23754994930518281</v>
      </c>
    </row>
    <row r="492" spans="1:17" x14ac:dyDescent="0.3">
      <c r="A492" t="s">
        <v>679</v>
      </c>
      <c r="B492" t="s">
        <v>680</v>
      </c>
      <c r="C492" t="s">
        <v>310</v>
      </c>
      <c r="D492" t="s">
        <v>147</v>
      </c>
      <c r="E492" t="s">
        <v>58</v>
      </c>
      <c r="F492" t="s">
        <v>59</v>
      </c>
      <c r="G492">
        <v>12</v>
      </c>
      <c r="H492" s="4">
        <v>27.08</v>
      </c>
      <c r="I492">
        <v>324.95999999999998</v>
      </c>
      <c r="J492">
        <v>15.59</v>
      </c>
      <c r="K492">
        <v>39.369999999999997</v>
      </c>
      <c r="L492" t="s">
        <v>30</v>
      </c>
      <c r="M492" t="s">
        <v>37</v>
      </c>
      <c r="N492" t="s">
        <v>148</v>
      </c>
      <c r="O492">
        <f>_xlfn.XLOOKUP(E492,Product_Master!$B$2:$B$11,Product_Master!$F$2:$F$11)</f>
        <v>22.5</v>
      </c>
      <c r="P492">
        <f t="shared" si="14"/>
        <v>270</v>
      </c>
      <c r="Q492" s="5">
        <f t="shared" si="15"/>
        <v>0.12115337272279665</v>
      </c>
    </row>
    <row r="493" spans="1:17" x14ac:dyDescent="0.3">
      <c r="A493" t="s">
        <v>681</v>
      </c>
      <c r="B493" t="s">
        <v>682</v>
      </c>
      <c r="C493" t="s">
        <v>334</v>
      </c>
      <c r="D493" t="s">
        <v>123</v>
      </c>
      <c r="E493" t="s">
        <v>64</v>
      </c>
      <c r="F493" t="s">
        <v>65</v>
      </c>
      <c r="G493">
        <v>50</v>
      </c>
      <c r="H493" s="4">
        <v>32.21</v>
      </c>
      <c r="I493">
        <v>1610.5</v>
      </c>
      <c r="J493">
        <v>32.68</v>
      </c>
      <c r="K493">
        <v>327.82</v>
      </c>
      <c r="L493" t="s">
        <v>30</v>
      </c>
      <c r="M493" t="s">
        <v>37</v>
      </c>
      <c r="N493" t="s">
        <v>32</v>
      </c>
      <c r="O493">
        <f>_xlfn.XLOOKUP(E493,Product_Master!$B$2:$B$11,Product_Master!$F$2:$F$11)</f>
        <v>25</v>
      </c>
      <c r="P493">
        <f t="shared" si="14"/>
        <v>1250</v>
      </c>
      <c r="Q493" s="5">
        <f t="shared" si="15"/>
        <v>0.20355169202111145</v>
      </c>
    </row>
    <row r="494" spans="1:17" x14ac:dyDescent="0.3">
      <c r="A494" t="s">
        <v>683</v>
      </c>
      <c r="B494" t="s">
        <v>684</v>
      </c>
      <c r="C494" t="s">
        <v>429</v>
      </c>
      <c r="D494" t="s">
        <v>101</v>
      </c>
      <c r="E494" t="s">
        <v>73</v>
      </c>
      <c r="F494" t="s">
        <v>43</v>
      </c>
      <c r="G494">
        <v>49</v>
      </c>
      <c r="H494" s="4">
        <v>20.59</v>
      </c>
      <c r="I494">
        <v>1008.91</v>
      </c>
      <c r="J494">
        <v>78.03</v>
      </c>
      <c r="K494">
        <v>306.13</v>
      </c>
      <c r="L494" t="s">
        <v>30</v>
      </c>
      <c r="M494" t="s">
        <v>37</v>
      </c>
      <c r="N494" t="s">
        <v>102</v>
      </c>
      <c r="O494">
        <f>_xlfn.XLOOKUP(E494,Product_Master!$B$2:$B$11,Product_Master!$F$2:$F$11)</f>
        <v>12.75</v>
      </c>
      <c r="P494">
        <f t="shared" si="14"/>
        <v>624.75</v>
      </c>
      <c r="Q494" s="5">
        <f t="shared" si="15"/>
        <v>0.30342647015095497</v>
      </c>
    </row>
    <row r="495" spans="1:17" x14ac:dyDescent="0.3">
      <c r="A495" t="s">
        <v>685</v>
      </c>
      <c r="B495" t="s">
        <v>686</v>
      </c>
      <c r="C495" t="s">
        <v>100</v>
      </c>
      <c r="D495" t="s">
        <v>36</v>
      </c>
      <c r="E495" t="s">
        <v>54</v>
      </c>
      <c r="F495" t="s">
        <v>43</v>
      </c>
      <c r="G495">
        <v>22</v>
      </c>
      <c r="H495" s="4">
        <v>28.63</v>
      </c>
      <c r="I495">
        <v>629.86</v>
      </c>
      <c r="J495">
        <v>29.08</v>
      </c>
      <c r="K495">
        <v>160.78</v>
      </c>
      <c r="L495" t="s">
        <v>30</v>
      </c>
      <c r="M495" t="s">
        <v>31</v>
      </c>
      <c r="N495" t="s">
        <v>32</v>
      </c>
      <c r="O495">
        <f>_xlfn.XLOOKUP(E495,Product_Master!$B$2:$B$11,Product_Master!$F$2:$F$11)</f>
        <v>20</v>
      </c>
      <c r="P495">
        <f t="shared" si="14"/>
        <v>440</v>
      </c>
      <c r="Q495" s="5">
        <f t="shared" si="15"/>
        <v>0.25526307433397899</v>
      </c>
    </row>
    <row r="496" spans="1:17" x14ac:dyDescent="0.3">
      <c r="A496" t="s">
        <v>687</v>
      </c>
      <c r="B496" t="s">
        <v>688</v>
      </c>
      <c r="C496" t="s">
        <v>202</v>
      </c>
      <c r="D496" t="s">
        <v>63</v>
      </c>
      <c r="E496" t="s">
        <v>49</v>
      </c>
      <c r="F496" t="s">
        <v>50</v>
      </c>
      <c r="G496">
        <v>11</v>
      </c>
      <c r="H496" s="4">
        <v>56.12</v>
      </c>
      <c r="I496">
        <v>617.32000000000005</v>
      </c>
      <c r="J496">
        <v>38.26</v>
      </c>
      <c r="K496">
        <v>139.06</v>
      </c>
      <c r="L496" t="s">
        <v>30</v>
      </c>
      <c r="M496" t="s">
        <v>31</v>
      </c>
      <c r="N496" t="s">
        <v>66</v>
      </c>
      <c r="O496">
        <f>_xlfn.XLOOKUP(E496,Product_Master!$B$2:$B$11,Product_Master!$F$2:$F$11)</f>
        <v>40</v>
      </c>
      <c r="P496">
        <f t="shared" si="14"/>
        <v>440</v>
      </c>
      <c r="Q496" s="5">
        <f t="shared" si="15"/>
        <v>0.22526404457979651</v>
      </c>
    </row>
    <row r="497" spans="1:17" x14ac:dyDescent="0.3">
      <c r="A497" t="s">
        <v>689</v>
      </c>
      <c r="B497" t="s">
        <v>690</v>
      </c>
      <c r="C497" t="s">
        <v>47</v>
      </c>
      <c r="D497" t="s">
        <v>19</v>
      </c>
      <c r="E497" t="s">
        <v>64</v>
      </c>
      <c r="F497" t="s">
        <v>65</v>
      </c>
      <c r="G497">
        <v>2</v>
      </c>
      <c r="H497" s="4">
        <v>30.88</v>
      </c>
      <c r="I497">
        <v>61.76</v>
      </c>
      <c r="J497">
        <v>4.42</v>
      </c>
      <c r="K497">
        <v>7.34</v>
      </c>
      <c r="L497" t="s">
        <v>44</v>
      </c>
      <c r="M497" t="s">
        <v>31</v>
      </c>
      <c r="N497" t="s">
        <v>24</v>
      </c>
      <c r="O497">
        <f>_xlfn.XLOOKUP(E497,Product_Master!$B$2:$B$11,Product_Master!$F$2:$F$11)</f>
        <v>25</v>
      </c>
      <c r="P497">
        <f t="shared" si="14"/>
        <v>50</v>
      </c>
      <c r="Q497" s="5">
        <f t="shared" si="15"/>
        <v>0.11884715025906736</v>
      </c>
    </row>
    <row r="498" spans="1:17" x14ac:dyDescent="0.3">
      <c r="A498" t="s">
        <v>691</v>
      </c>
      <c r="B498" t="s">
        <v>692</v>
      </c>
      <c r="C498" t="s">
        <v>316</v>
      </c>
      <c r="D498" t="s">
        <v>147</v>
      </c>
      <c r="E498" t="s">
        <v>49</v>
      </c>
      <c r="F498" t="s">
        <v>50</v>
      </c>
      <c r="G498">
        <v>34</v>
      </c>
      <c r="H498" s="4">
        <v>63.8</v>
      </c>
      <c r="I498">
        <v>2169.1999999999998</v>
      </c>
      <c r="J498">
        <v>69.650000000000006</v>
      </c>
      <c r="K498">
        <v>739.55</v>
      </c>
      <c r="L498" t="s">
        <v>30</v>
      </c>
      <c r="M498" t="s">
        <v>37</v>
      </c>
      <c r="N498" t="s">
        <v>148</v>
      </c>
      <c r="O498">
        <f>_xlfn.XLOOKUP(E498,Product_Master!$B$2:$B$11,Product_Master!$F$2:$F$11)</f>
        <v>40</v>
      </c>
      <c r="P498">
        <f t="shared" si="14"/>
        <v>1360</v>
      </c>
      <c r="Q498" s="5">
        <f t="shared" si="15"/>
        <v>0.34093214088143092</v>
      </c>
    </row>
    <row r="499" spans="1:17" x14ac:dyDescent="0.3">
      <c r="A499" t="s">
        <v>693</v>
      </c>
      <c r="B499" t="s">
        <v>694</v>
      </c>
      <c r="C499" t="s">
        <v>195</v>
      </c>
      <c r="D499" t="s">
        <v>53</v>
      </c>
      <c r="E499" t="s">
        <v>98</v>
      </c>
      <c r="F499" t="s">
        <v>59</v>
      </c>
      <c r="G499">
        <v>50</v>
      </c>
      <c r="H499" s="4">
        <v>44.61</v>
      </c>
      <c r="I499">
        <v>2230.5</v>
      </c>
      <c r="J499">
        <v>91.32</v>
      </c>
      <c r="K499">
        <v>739.18</v>
      </c>
      <c r="L499" t="s">
        <v>44</v>
      </c>
      <c r="M499" t="s">
        <v>23</v>
      </c>
      <c r="N499" t="s">
        <v>24</v>
      </c>
      <c r="O499">
        <f>_xlfn.XLOOKUP(E499,Product_Master!$B$2:$B$11,Product_Master!$F$2:$F$11)</f>
        <v>28</v>
      </c>
      <c r="P499">
        <f t="shared" si="14"/>
        <v>1400</v>
      </c>
      <c r="Q499" s="5">
        <f t="shared" si="15"/>
        <v>0.33139654785922434</v>
      </c>
    </row>
    <row r="500" spans="1:17" x14ac:dyDescent="0.3">
      <c r="A500" t="s">
        <v>695</v>
      </c>
      <c r="B500" t="s">
        <v>696</v>
      </c>
      <c r="C500" t="s">
        <v>84</v>
      </c>
      <c r="D500" t="s">
        <v>88</v>
      </c>
      <c r="E500" t="s">
        <v>73</v>
      </c>
      <c r="F500" t="s">
        <v>43</v>
      </c>
      <c r="G500">
        <v>14</v>
      </c>
      <c r="H500" s="4">
        <v>18.61</v>
      </c>
      <c r="I500">
        <v>260.54000000000002</v>
      </c>
      <c r="J500">
        <v>5.39</v>
      </c>
      <c r="K500">
        <v>76.650000000000006</v>
      </c>
      <c r="L500" t="s">
        <v>30</v>
      </c>
      <c r="M500" t="s">
        <v>37</v>
      </c>
      <c r="N500" t="s">
        <v>66</v>
      </c>
      <c r="O500">
        <f>_xlfn.XLOOKUP(E500,Product_Master!$B$2:$B$11,Product_Master!$F$2:$F$11)</f>
        <v>12.75</v>
      </c>
      <c r="P500">
        <f t="shared" si="14"/>
        <v>178.5</v>
      </c>
      <c r="Q500" s="5">
        <f t="shared" si="15"/>
        <v>0.29419666845781839</v>
      </c>
    </row>
    <row r="501" spans="1:17" x14ac:dyDescent="0.3">
      <c r="A501" t="s">
        <v>697</v>
      </c>
      <c r="B501" t="s">
        <v>698</v>
      </c>
      <c r="C501" t="s">
        <v>305</v>
      </c>
      <c r="D501" t="s">
        <v>28</v>
      </c>
      <c r="E501" t="s">
        <v>69</v>
      </c>
      <c r="F501" t="s">
        <v>59</v>
      </c>
      <c r="G501">
        <v>7</v>
      </c>
      <c r="H501" s="4">
        <v>24.61</v>
      </c>
      <c r="I501">
        <v>172.27</v>
      </c>
      <c r="J501">
        <v>9.64</v>
      </c>
      <c r="K501">
        <v>54.13</v>
      </c>
      <c r="L501" t="s">
        <v>44</v>
      </c>
      <c r="M501" t="s">
        <v>37</v>
      </c>
      <c r="N501" t="s">
        <v>32</v>
      </c>
      <c r="O501">
        <f>_xlfn.XLOOKUP(E501,Product_Master!$B$2:$B$11,Product_Master!$F$2:$F$11)</f>
        <v>15.5</v>
      </c>
      <c r="P501">
        <f t="shared" si="14"/>
        <v>108.5</v>
      </c>
      <c r="Q501" s="5">
        <f t="shared" si="15"/>
        <v>0.31421605619086318</v>
      </c>
    </row>
  </sheetData>
  <conditionalFormatting sqref="K1:K501">
    <cfRule type="cellIs" dxfId="4" priority="3" operator="lessThan">
      <formula>0</formula>
    </cfRule>
  </conditionalFormatting>
  <conditionalFormatting sqref="Q1:Q501">
    <cfRule type="cellIs" dxfId="3" priority="1" operator="greaterThan">
      <formula>0.25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4" r:id="rId3" name="Button 2">
              <controlPr defaultSize="0" print="0" autoFill="0" autoPict="0" macro="[0]!q9_practice">
                <anchor moveWithCells="1" sizeWithCells="1">
                  <from>
                    <xdr:col>18</xdr:col>
                    <xdr:colOff>579120</xdr:colOff>
                    <xdr:row>2</xdr:row>
                    <xdr:rowOff>7620</xdr:rowOff>
                  </from>
                  <to>
                    <xdr:col>21</xdr:col>
                    <xdr:colOff>281940</xdr:colOff>
                    <xdr:row>4</xdr:row>
                    <xdr:rowOff>83820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EAF54-CE50-4185-A395-937A8172B7EB}">
  <dimension ref="A1:Q501"/>
  <sheetViews>
    <sheetView topLeftCell="A475" workbookViewId="0">
      <selection sqref="A1:Q501"/>
    </sheetView>
  </sheetViews>
  <sheetFormatPr defaultRowHeight="14.4" x14ac:dyDescent="0.3"/>
  <cols>
    <col min="1" max="1" width="14.77734375" bestFit="1" customWidth="1"/>
    <col min="2" max="2" width="10.6640625" bestFit="1" customWidth="1"/>
    <col min="3" max="3" width="17.21875" bestFit="1" customWidth="1"/>
    <col min="4" max="4" width="10.88671875" bestFit="1" customWidth="1"/>
    <col min="5" max="5" width="16.109375" bestFit="1" customWidth="1"/>
    <col min="6" max="6" width="11.21875" bestFit="1" customWidth="1"/>
    <col min="7" max="7" width="8.33203125" bestFit="1" customWidth="1"/>
    <col min="8" max="8" width="9.6640625" bestFit="1" customWidth="1"/>
    <col min="9" max="9" width="10.44140625" bestFit="1" customWidth="1"/>
    <col min="10" max="10" width="13.109375" bestFit="1" customWidth="1"/>
    <col min="11" max="11" width="8" bestFit="1" customWidth="1"/>
    <col min="12" max="12" width="10.6640625" bestFit="1" customWidth="1"/>
    <col min="13" max="13" width="12.88671875" bestFit="1" customWidth="1"/>
    <col min="14" max="14" width="12.109375" bestFit="1" customWidth="1"/>
    <col min="15" max="15" width="9" bestFit="1" customWidth="1"/>
    <col min="16" max="16" width="7" bestFit="1" customWidth="1"/>
    <col min="17" max="17" width="12.1093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762</v>
      </c>
      <c r="P1" s="2" t="s">
        <v>14</v>
      </c>
      <c r="Q1" s="2" t="s">
        <v>15</v>
      </c>
    </row>
    <row r="2" spans="1:17" x14ac:dyDescent="0.3">
      <c r="A2" t="s">
        <v>16</v>
      </c>
      <c r="B2" s="3" t="s">
        <v>17</v>
      </c>
      <c r="C2" t="s">
        <v>18</v>
      </c>
      <c r="D2" t="s">
        <v>19</v>
      </c>
      <c r="E2" t="s">
        <v>20</v>
      </c>
      <c r="F2" t="s">
        <v>21</v>
      </c>
      <c r="G2">
        <v>20</v>
      </c>
      <c r="H2" s="4">
        <v>55.22</v>
      </c>
      <c r="I2">
        <v>1104.4000000000001</v>
      </c>
      <c r="J2">
        <v>49.36</v>
      </c>
      <c r="K2">
        <v>355.04</v>
      </c>
      <c r="L2" t="s">
        <v>22</v>
      </c>
      <c r="M2" t="s">
        <v>23</v>
      </c>
      <c r="N2" t="s">
        <v>24</v>
      </c>
      <c r="O2">
        <f>_xlfn.XLOOKUP(E2,Product_Master!$B$2:$B$11,Product_Master!$F$2:$F$11)</f>
        <v>35</v>
      </c>
      <c r="P2">
        <f>G2*O2</f>
        <v>700</v>
      </c>
      <c r="Q2" s="5">
        <f>K2/I2</f>
        <v>0.32147772546178921</v>
      </c>
    </row>
    <row r="3" spans="1:17" x14ac:dyDescent="0.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21</v>
      </c>
      <c r="G3">
        <v>33</v>
      </c>
      <c r="H3" s="4">
        <v>32.03</v>
      </c>
      <c r="I3">
        <v>1056.99</v>
      </c>
      <c r="J3">
        <v>59.59</v>
      </c>
      <c r="K3">
        <v>403.4</v>
      </c>
      <c r="L3" t="s">
        <v>30</v>
      </c>
      <c r="M3" t="s">
        <v>31</v>
      </c>
      <c r="N3" t="s">
        <v>32</v>
      </c>
      <c r="O3">
        <f>_xlfn.XLOOKUP(E3,Product_Master!$B$2:$B$11,Product_Master!$F$2:$F$11)</f>
        <v>18</v>
      </c>
      <c r="P3">
        <f t="shared" ref="P3:P66" si="0">G3*O3</f>
        <v>594</v>
      </c>
      <c r="Q3" s="5">
        <f t="shared" ref="Q3:Q66" si="1">K3/I3</f>
        <v>0.38164977908967918</v>
      </c>
    </row>
    <row r="4" spans="1:17" x14ac:dyDescent="0.3">
      <c r="A4" t="s">
        <v>33</v>
      </c>
      <c r="B4" t="s">
        <v>34</v>
      </c>
      <c r="C4" t="s">
        <v>35</v>
      </c>
      <c r="D4" t="s">
        <v>36</v>
      </c>
      <c r="E4" t="s">
        <v>29</v>
      </c>
      <c r="F4" t="s">
        <v>21</v>
      </c>
      <c r="G4">
        <v>34</v>
      </c>
      <c r="H4" s="4">
        <v>28.48</v>
      </c>
      <c r="I4">
        <v>968.32</v>
      </c>
      <c r="J4">
        <v>73.95</v>
      </c>
      <c r="K4">
        <v>282.37</v>
      </c>
      <c r="L4" t="s">
        <v>22</v>
      </c>
      <c r="M4" t="s">
        <v>37</v>
      </c>
      <c r="N4" t="s">
        <v>32</v>
      </c>
      <c r="O4">
        <f>_xlfn.XLOOKUP(E4,Product_Master!$B$2:$B$11,Product_Master!$F$2:$F$11)</f>
        <v>18</v>
      </c>
      <c r="P4">
        <f t="shared" si="0"/>
        <v>612</v>
      </c>
      <c r="Q4" s="5">
        <f t="shared" si="1"/>
        <v>0.2916081460674157</v>
      </c>
    </row>
    <row r="5" spans="1:17" x14ac:dyDescent="0.3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>
        <v>6</v>
      </c>
      <c r="H5" s="4">
        <v>56.36</v>
      </c>
      <c r="I5">
        <v>338.16</v>
      </c>
      <c r="J5">
        <v>11.39</v>
      </c>
      <c r="K5">
        <v>134.77000000000001</v>
      </c>
      <c r="L5" t="s">
        <v>44</v>
      </c>
      <c r="M5" t="s">
        <v>31</v>
      </c>
      <c r="N5" t="s">
        <v>45</v>
      </c>
      <c r="O5">
        <f>_xlfn.XLOOKUP(E5,Product_Master!$B$2:$B$11,Product_Master!$F$2:$F$11)</f>
        <v>32</v>
      </c>
      <c r="P5">
        <f t="shared" si="0"/>
        <v>192</v>
      </c>
      <c r="Q5" s="5">
        <f t="shared" si="1"/>
        <v>0.39853915306363852</v>
      </c>
    </row>
    <row r="6" spans="1:17" x14ac:dyDescent="0.3">
      <c r="A6" t="s">
        <v>46</v>
      </c>
      <c r="B6" t="s">
        <v>26</v>
      </c>
      <c r="C6" t="s">
        <v>47</v>
      </c>
      <c r="D6" t="s">
        <v>48</v>
      </c>
      <c r="E6" t="s">
        <v>49</v>
      </c>
      <c r="F6" t="s">
        <v>50</v>
      </c>
      <c r="G6">
        <v>17</v>
      </c>
      <c r="H6" s="4">
        <v>69.22</v>
      </c>
      <c r="I6">
        <v>1176.74</v>
      </c>
      <c r="J6">
        <v>65.94</v>
      </c>
      <c r="K6">
        <v>430.8</v>
      </c>
      <c r="L6" t="s">
        <v>30</v>
      </c>
      <c r="M6" t="s">
        <v>23</v>
      </c>
      <c r="N6" t="s">
        <v>24</v>
      </c>
      <c r="O6">
        <f>_xlfn.XLOOKUP(E6,Product_Master!$B$2:$B$11,Product_Master!$F$2:$F$11)</f>
        <v>40</v>
      </c>
      <c r="P6">
        <f t="shared" si="0"/>
        <v>680</v>
      </c>
      <c r="Q6" s="5">
        <f t="shared" si="1"/>
        <v>0.36609616397844896</v>
      </c>
    </row>
    <row r="7" spans="1:17" x14ac:dyDescent="0.3">
      <c r="A7" t="s">
        <v>51</v>
      </c>
      <c r="B7" t="s">
        <v>26</v>
      </c>
      <c r="C7" t="s">
        <v>52</v>
      </c>
      <c r="D7" t="s">
        <v>53</v>
      </c>
      <c r="E7" t="s">
        <v>54</v>
      </c>
      <c r="F7" t="s">
        <v>43</v>
      </c>
      <c r="G7">
        <v>13</v>
      </c>
      <c r="H7" s="4">
        <v>27.94</v>
      </c>
      <c r="I7">
        <v>363.22</v>
      </c>
      <c r="J7">
        <v>15.36</v>
      </c>
      <c r="K7">
        <v>87.86</v>
      </c>
      <c r="L7" t="s">
        <v>30</v>
      </c>
      <c r="M7" t="s">
        <v>23</v>
      </c>
      <c r="N7" t="s">
        <v>24</v>
      </c>
      <c r="O7">
        <f>_xlfn.XLOOKUP(E7,Product_Master!$B$2:$B$11,Product_Master!$F$2:$F$11)</f>
        <v>20</v>
      </c>
      <c r="P7">
        <f t="shared" si="0"/>
        <v>260</v>
      </c>
      <c r="Q7" s="5">
        <f t="shared" si="1"/>
        <v>0.2418919663014151</v>
      </c>
    </row>
    <row r="8" spans="1:17" x14ac:dyDescent="0.3">
      <c r="A8" t="s">
        <v>55</v>
      </c>
      <c r="B8" t="s">
        <v>56</v>
      </c>
      <c r="C8" t="s">
        <v>57</v>
      </c>
      <c r="D8" t="s">
        <v>28</v>
      </c>
      <c r="E8" t="s">
        <v>58</v>
      </c>
      <c r="F8" t="s">
        <v>59</v>
      </c>
      <c r="G8">
        <v>3</v>
      </c>
      <c r="H8" s="4">
        <v>31.52</v>
      </c>
      <c r="I8">
        <v>94.56</v>
      </c>
      <c r="J8">
        <v>6.98</v>
      </c>
      <c r="K8">
        <v>20.079999999999998</v>
      </c>
      <c r="L8" t="s">
        <v>22</v>
      </c>
      <c r="M8" t="s">
        <v>37</v>
      </c>
      <c r="N8" t="s">
        <v>32</v>
      </c>
      <c r="O8">
        <f>_xlfn.XLOOKUP(E8,Product_Master!$B$2:$B$11,Product_Master!$F$2:$F$11)</f>
        <v>22.5</v>
      </c>
      <c r="P8">
        <f t="shared" si="0"/>
        <v>67.5</v>
      </c>
      <c r="Q8" s="5">
        <f t="shared" si="1"/>
        <v>0.21235194585448391</v>
      </c>
    </row>
    <row r="9" spans="1:17" x14ac:dyDescent="0.3">
      <c r="A9" t="s">
        <v>60</v>
      </c>
      <c r="B9" t="s">
        <v>61</v>
      </c>
      <c r="C9" t="s">
        <v>62</v>
      </c>
      <c r="D9" t="s">
        <v>63</v>
      </c>
      <c r="E9" t="s">
        <v>64</v>
      </c>
      <c r="F9" t="s">
        <v>65</v>
      </c>
      <c r="G9">
        <v>14</v>
      </c>
      <c r="H9" s="4">
        <v>30.71</v>
      </c>
      <c r="I9">
        <v>429.94</v>
      </c>
      <c r="J9">
        <v>13.03</v>
      </c>
      <c r="K9">
        <v>66.91</v>
      </c>
      <c r="L9" t="s">
        <v>30</v>
      </c>
      <c r="M9" t="s">
        <v>23</v>
      </c>
      <c r="N9" t="s">
        <v>66</v>
      </c>
      <c r="O9">
        <f>_xlfn.XLOOKUP(E9,Product_Master!$B$2:$B$11,Product_Master!$F$2:$F$11)</f>
        <v>25</v>
      </c>
      <c r="P9">
        <f t="shared" si="0"/>
        <v>350</v>
      </c>
      <c r="Q9" s="5">
        <f t="shared" si="1"/>
        <v>0.15562636646973996</v>
      </c>
    </row>
    <row r="10" spans="1:17" x14ac:dyDescent="0.3">
      <c r="A10" t="s">
        <v>67</v>
      </c>
      <c r="B10" t="s">
        <v>68</v>
      </c>
      <c r="C10" t="s">
        <v>35</v>
      </c>
      <c r="D10" t="s">
        <v>19</v>
      </c>
      <c r="E10" t="s">
        <v>69</v>
      </c>
      <c r="F10" t="s">
        <v>59</v>
      </c>
      <c r="G10">
        <v>47</v>
      </c>
      <c r="H10" s="4">
        <v>24.47</v>
      </c>
      <c r="I10">
        <v>1150.0899999999999</v>
      </c>
      <c r="J10">
        <v>61.3</v>
      </c>
      <c r="K10">
        <v>360.29</v>
      </c>
      <c r="L10" t="s">
        <v>30</v>
      </c>
      <c r="M10" t="s">
        <v>23</v>
      </c>
      <c r="N10" t="s">
        <v>24</v>
      </c>
      <c r="O10">
        <f>_xlfn.XLOOKUP(E10,Product_Master!$B$2:$B$11,Product_Master!$F$2:$F$11)</f>
        <v>15.5</v>
      </c>
      <c r="P10">
        <f t="shared" si="0"/>
        <v>728.5</v>
      </c>
      <c r="Q10" s="5">
        <f t="shared" si="1"/>
        <v>0.31327113530245465</v>
      </c>
    </row>
    <row r="11" spans="1:17" x14ac:dyDescent="0.3">
      <c r="A11" t="s">
        <v>70</v>
      </c>
      <c r="B11" t="s">
        <v>71</v>
      </c>
      <c r="C11" t="s">
        <v>72</v>
      </c>
      <c r="D11" t="s">
        <v>36</v>
      </c>
      <c r="E11" t="s">
        <v>73</v>
      </c>
      <c r="F11" t="s">
        <v>43</v>
      </c>
      <c r="G11">
        <v>27</v>
      </c>
      <c r="H11" s="4">
        <v>18.98</v>
      </c>
      <c r="I11">
        <v>512.46</v>
      </c>
      <c r="J11">
        <v>28.89</v>
      </c>
      <c r="K11">
        <v>139.32</v>
      </c>
      <c r="L11" t="s">
        <v>30</v>
      </c>
      <c r="M11" t="s">
        <v>37</v>
      </c>
      <c r="N11" t="s">
        <v>32</v>
      </c>
      <c r="O11">
        <f>_xlfn.XLOOKUP(E11,Product_Master!$B$2:$B$11,Product_Master!$F$2:$F$11)</f>
        <v>12.75</v>
      </c>
      <c r="P11">
        <f t="shared" si="0"/>
        <v>344.25</v>
      </c>
      <c r="Q11" s="5">
        <f t="shared" si="1"/>
        <v>0.27186512118018963</v>
      </c>
    </row>
    <row r="12" spans="1:17" x14ac:dyDescent="0.3">
      <c r="A12" t="s">
        <v>74</v>
      </c>
      <c r="B12" t="s">
        <v>75</v>
      </c>
      <c r="C12" t="s">
        <v>76</v>
      </c>
      <c r="D12" t="s">
        <v>63</v>
      </c>
      <c r="E12" t="s">
        <v>20</v>
      </c>
      <c r="F12" t="s">
        <v>21</v>
      </c>
      <c r="G12">
        <v>32</v>
      </c>
      <c r="H12" s="4">
        <v>57.84</v>
      </c>
      <c r="I12">
        <v>1850.88</v>
      </c>
      <c r="J12">
        <v>55.15</v>
      </c>
      <c r="K12">
        <v>675.73</v>
      </c>
      <c r="L12" t="s">
        <v>22</v>
      </c>
      <c r="M12" t="s">
        <v>23</v>
      </c>
      <c r="N12" t="s">
        <v>66</v>
      </c>
      <c r="O12">
        <f>_xlfn.XLOOKUP(E12,Product_Master!$B$2:$B$11,Product_Master!$F$2:$F$11)</f>
        <v>35</v>
      </c>
      <c r="P12">
        <f t="shared" si="0"/>
        <v>1120</v>
      </c>
      <c r="Q12" s="5">
        <f t="shared" si="1"/>
        <v>0.36508579702627936</v>
      </c>
    </row>
    <row r="13" spans="1:17" x14ac:dyDescent="0.3">
      <c r="A13" t="s">
        <v>77</v>
      </c>
      <c r="B13" t="s">
        <v>78</v>
      </c>
      <c r="C13" t="s">
        <v>79</v>
      </c>
      <c r="D13" t="s">
        <v>48</v>
      </c>
      <c r="E13" t="s">
        <v>49</v>
      </c>
      <c r="F13" t="s">
        <v>50</v>
      </c>
      <c r="G13">
        <v>49</v>
      </c>
      <c r="H13" s="4">
        <v>58.77</v>
      </c>
      <c r="I13">
        <v>2879.73</v>
      </c>
      <c r="J13">
        <v>140.29</v>
      </c>
      <c r="K13">
        <v>779.44</v>
      </c>
      <c r="L13" t="s">
        <v>44</v>
      </c>
      <c r="M13" t="s">
        <v>37</v>
      </c>
      <c r="N13" t="s">
        <v>24</v>
      </c>
      <c r="O13">
        <f>_xlfn.XLOOKUP(E13,Product_Master!$B$2:$B$11,Product_Master!$F$2:$F$11)</f>
        <v>40</v>
      </c>
      <c r="P13">
        <f t="shared" si="0"/>
        <v>1960</v>
      </c>
      <c r="Q13" s="5">
        <f t="shared" si="1"/>
        <v>0.27066426366360735</v>
      </c>
    </row>
    <row r="14" spans="1:17" x14ac:dyDescent="0.3">
      <c r="A14" t="s">
        <v>80</v>
      </c>
      <c r="B14" t="s">
        <v>68</v>
      </c>
      <c r="C14" t="s">
        <v>76</v>
      </c>
      <c r="D14" t="s">
        <v>81</v>
      </c>
      <c r="E14" t="s">
        <v>20</v>
      </c>
      <c r="F14" t="s">
        <v>21</v>
      </c>
      <c r="G14">
        <v>43</v>
      </c>
      <c r="H14" s="4">
        <v>56.92</v>
      </c>
      <c r="I14">
        <v>2447.56</v>
      </c>
      <c r="J14">
        <v>140.4</v>
      </c>
      <c r="K14">
        <v>802.16</v>
      </c>
      <c r="L14" t="s">
        <v>22</v>
      </c>
      <c r="M14" t="s">
        <v>31</v>
      </c>
      <c r="N14" t="s">
        <v>66</v>
      </c>
      <c r="O14">
        <f>_xlfn.XLOOKUP(E14,Product_Master!$B$2:$B$11,Product_Master!$F$2:$F$11)</f>
        <v>35</v>
      </c>
      <c r="P14">
        <f t="shared" si="0"/>
        <v>1505</v>
      </c>
      <c r="Q14" s="5">
        <f t="shared" si="1"/>
        <v>0.3277386458350357</v>
      </c>
    </row>
    <row r="15" spans="1:17" x14ac:dyDescent="0.3">
      <c r="A15" t="s">
        <v>82</v>
      </c>
      <c r="B15" t="s">
        <v>83</v>
      </c>
      <c r="C15" t="s">
        <v>84</v>
      </c>
      <c r="D15" t="s">
        <v>36</v>
      </c>
      <c r="E15" t="s">
        <v>64</v>
      </c>
      <c r="F15" t="s">
        <v>65</v>
      </c>
      <c r="G15">
        <v>32</v>
      </c>
      <c r="H15" s="4">
        <v>43.45</v>
      </c>
      <c r="I15">
        <v>1390.4</v>
      </c>
      <c r="J15">
        <v>30.04</v>
      </c>
      <c r="K15">
        <v>560.36</v>
      </c>
      <c r="L15" t="s">
        <v>22</v>
      </c>
      <c r="M15" t="s">
        <v>37</v>
      </c>
      <c r="N15" t="s">
        <v>32</v>
      </c>
      <c r="O15">
        <f>_xlfn.XLOOKUP(E15,Product_Master!$B$2:$B$11,Product_Master!$F$2:$F$11)</f>
        <v>25</v>
      </c>
      <c r="P15">
        <f t="shared" si="0"/>
        <v>800</v>
      </c>
      <c r="Q15" s="5">
        <f t="shared" si="1"/>
        <v>0.4030207134637514</v>
      </c>
    </row>
    <row r="16" spans="1:17" x14ac:dyDescent="0.3">
      <c r="A16" t="s">
        <v>85</v>
      </c>
      <c r="B16" t="s">
        <v>86</v>
      </c>
      <c r="C16" t="s">
        <v>87</v>
      </c>
      <c r="D16" t="s">
        <v>88</v>
      </c>
      <c r="E16" t="s">
        <v>64</v>
      </c>
      <c r="F16" t="s">
        <v>65</v>
      </c>
      <c r="G16">
        <v>22</v>
      </c>
      <c r="H16" s="4">
        <v>42.59</v>
      </c>
      <c r="I16">
        <v>936.98</v>
      </c>
      <c r="J16">
        <v>29.87</v>
      </c>
      <c r="K16">
        <v>357.11</v>
      </c>
      <c r="L16" t="s">
        <v>30</v>
      </c>
      <c r="M16" t="s">
        <v>37</v>
      </c>
      <c r="N16" t="s">
        <v>66</v>
      </c>
      <c r="O16">
        <f>_xlfn.XLOOKUP(E16,Product_Master!$B$2:$B$11,Product_Master!$F$2:$F$11)</f>
        <v>25</v>
      </c>
      <c r="P16">
        <f t="shared" si="0"/>
        <v>550</v>
      </c>
      <c r="Q16" s="5">
        <f t="shared" si="1"/>
        <v>0.38112873273709152</v>
      </c>
    </row>
    <row r="17" spans="1:17" x14ac:dyDescent="0.3">
      <c r="A17" t="s">
        <v>89</v>
      </c>
      <c r="B17" t="s">
        <v>68</v>
      </c>
      <c r="C17" t="s">
        <v>90</v>
      </c>
      <c r="D17" t="s">
        <v>91</v>
      </c>
      <c r="E17" t="s">
        <v>54</v>
      </c>
      <c r="F17" t="s">
        <v>43</v>
      </c>
      <c r="G17">
        <v>48</v>
      </c>
      <c r="H17" s="4">
        <v>25.36</v>
      </c>
      <c r="I17">
        <v>1217.28</v>
      </c>
      <c r="J17">
        <v>49.68</v>
      </c>
      <c r="K17">
        <v>207.6</v>
      </c>
      <c r="L17" t="s">
        <v>30</v>
      </c>
      <c r="M17" t="s">
        <v>23</v>
      </c>
      <c r="N17" t="s">
        <v>66</v>
      </c>
      <c r="O17">
        <f>_xlfn.XLOOKUP(E17,Product_Master!$B$2:$B$11,Product_Master!$F$2:$F$11)</f>
        <v>20</v>
      </c>
      <c r="P17">
        <f t="shared" si="0"/>
        <v>960</v>
      </c>
      <c r="Q17" s="5">
        <f t="shared" si="1"/>
        <v>0.17054416403785488</v>
      </c>
    </row>
    <row r="18" spans="1:17" x14ac:dyDescent="0.3">
      <c r="A18" t="s">
        <v>92</v>
      </c>
      <c r="B18" t="s">
        <v>71</v>
      </c>
      <c r="C18" t="s">
        <v>76</v>
      </c>
      <c r="D18" t="s">
        <v>88</v>
      </c>
      <c r="E18" t="s">
        <v>29</v>
      </c>
      <c r="F18" t="s">
        <v>21</v>
      </c>
      <c r="G18">
        <v>48</v>
      </c>
      <c r="H18" s="4">
        <v>30.07</v>
      </c>
      <c r="I18">
        <v>1443.36</v>
      </c>
      <c r="J18">
        <v>102.31</v>
      </c>
      <c r="K18">
        <v>477.05</v>
      </c>
      <c r="L18" t="s">
        <v>44</v>
      </c>
      <c r="M18" t="s">
        <v>23</v>
      </c>
      <c r="N18" t="s">
        <v>66</v>
      </c>
      <c r="O18">
        <f>_xlfn.XLOOKUP(E18,Product_Master!$B$2:$B$11,Product_Master!$F$2:$F$11)</f>
        <v>18</v>
      </c>
      <c r="P18">
        <f t="shared" si="0"/>
        <v>864</v>
      </c>
      <c r="Q18" s="5">
        <f t="shared" si="1"/>
        <v>0.33051352399955664</v>
      </c>
    </row>
    <row r="19" spans="1:17" x14ac:dyDescent="0.3">
      <c r="A19" t="s">
        <v>93</v>
      </c>
      <c r="B19" t="s">
        <v>68</v>
      </c>
      <c r="C19" t="s">
        <v>52</v>
      </c>
      <c r="D19" t="s">
        <v>88</v>
      </c>
      <c r="E19" t="s">
        <v>54</v>
      </c>
      <c r="F19" t="s">
        <v>43</v>
      </c>
      <c r="G19">
        <v>6</v>
      </c>
      <c r="H19" s="4">
        <v>32.17</v>
      </c>
      <c r="I19">
        <v>193.02</v>
      </c>
      <c r="J19">
        <v>14.45</v>
      </c>
      <c r="K19">
        <v>58.57</v>
      </c>
      <c r="L19" t="s">
        <v>44</v>
      </c>
      <c r="M19" t="s">
        <v>23</v>
      </c>
      <c r="N19" t="s">
        <v>66</v>
      </c>
      <c r="O19">
        <f>_xlfn.XLOOKUP(E19,Product_Master!$B$2:$B$11,Product_Master!$F$2:$F$11)</f>
        <v>20</v>
      </c>
      <c r="P19">
        <f t="shared" si="0"/>
        <v>120</v>
      </c>
      <c r="Q19" s="5">
        <f t="shared" si="1"/>
        <v>0.30344005802507512</v>
      </c>
    </row>
    <row r="20" spans="1:17" x14ac:dyDescent="0.3">
      <c r="A20" t="s">
        <v>94</v>
      </c>
      <c r="B20" t="s">
        <v>95</v>
      </c>
      <c r="C20" t="s">
        <v>96</v>
      </c>
      <c r="D20" t="s">
        <v>81</v>
      </c>
      <c r="E20" t="s">
        <v>29</v>
      </c>
      <c r="F20" t="s">
        <v>21</v>
      </c>
      <c r="G20">
        <v>37</v>
      </c>
      <c r="H20" s="4">
        <v>24.14</v>
      </c>
      <c r="I20">
        <v>893.18</v>
      </c>
      <c r="J20">
        <v>31.39</v>
      </c>
      <c r="K20">
        <v>195.79</v>
      </c>
      <c r="L20" t="s">
        <v>30</v>
      </c>
      <c r="M20" t="s">
        <v>31</v>
      </c>
      <c r="N20" t="s">
        <v>66</v>
      </c>
      <c r="O20">
        <f>_xlfn.XLOOKUP(E20,Product_Master!$B$2:$B$11,Product_Master!$F$2:$F$11)</f>
        <v>18</v>
      </c>
      <c r="P20">
        <f t="shared" si="0"/>
        <v>666</v>
      </c>
      <c r="Q20" s="5">
        <f t="shared" si="1"/>
        <v>0.21920553527844333</v>
      </c>
    </row>
    <row r="21" spans="1:17" x14ac:dyDescent="0.3">
      <c r="A21" t="s">
        <v>97</v>
      </c>
      <c r="B21" t="s">
        <v>75</v>
      </c>
      <c r="C21" t="s">
        <v>47</v>
      </c>
      <c r="D21" t="s">
        <v>28</v>
      </c>
      <c r="E21" t="s">
        <v>98</v>
      </c>
      <c r="F21" t="s">
        <v>59</v>
      </c>
      <c r="G21">
        <v>39</v>
      </c>
      <c r="H21" s="4">
        <v>37.840000000000003</v>
      </c>
      <c r="I21">
        <v>1475.76</v>
      </c>
      <c r="J21">
        <v>73.400000000000006</v>
      </c>
      <c r="K21">
        <v>310.36</v>
      </c>
      <c r="L21" t="s">
        <v>30</v>
      </c>
      <c r="M21" t="s">
        <v>37</v>
      </c>
      <c r="N21" t="s">
        <v>32</v>
      </c>
      <c r="O21">
        <f>_xlfn.XLOOKUP(E21,Product_Master!$B$2:$B$11,Product_Master!$F$2:$F$11)</f>
        <v>28</v>
      </c>
      <c r="P21">
        <f t="shared" si="0"/>
        <v>1092</v>
      </c>
      <c r="Q21" s="5">
        <f t="shared" si="1"/>
        <v>0.21030519867729172</v>
      </c>
    </row>
    <row r="22" spans="1:17" x14ac:dyDescent="0.3">
      <c r="A22" t="s">
        <v>99</v>
      </c>
      <c r="B22" t="s">
        <v>26</v>
      </c>
      <c r="C22" t="s">
        <v>100</v>
      </c>
      <c r="D22" t="s">
        <v>101</v>
      </c>
      <c r="E22" t="s">
        <v>49</v>
      </c>
      <c r="F22" t="s">
        <v>50</v>
      </c>
      <c r="G22">
        <v>6</v>
      </c>
      <c r="H22" s="4">
        <v>68.77</v>
      </c>
      <c r="I22">
        <v>412.62</v>
      </c>
      <c r="J22">
        <v>17.18</v>
      </c>
      <c r="K22">
        <v>155.44</v>
      </c>
      <c r="L22" t="s">
        <v>30</v>
      </c>
      <c r="M22" t="s">
        <v>23</v>
      </c>
      <c r="N22" t="s">
        <v>102</v>
      </c>
      <c r="O22">
        <f>_xlfn.XLOOKUP(E22,Product_Master!$B$2:$B$11,Product_Master!$F$2:$F$11)</f>
        <v>40</v>
      </c>
      <c r="P22">
        <f t="shared" si="0"/>
        <v>240</v>
      </c>
      <c r="Q22" s="5">
        <f t="shared" si="1"/>
        <v>0.37671465270709126</v>
      </c>
    </row>
    <row r="23" spans="1:17" x14ac:dyDescent="0.3">
      <c r="A23" t="s">
        <v>103</v>
      </c>
      <c r="B23" t="s">
        <v>104</v>
      </c>
      <c r="C23" t="s">
        <v>105</v>
      </c>
      <c r="D23" t="s">
        <v>48</v>
      </c>
      <c r="E23" t="s">
        <v>73</v>
      </c>
      <c r="F23" t="s">
        <v>43</v>
      </c>
      <c r="G23">
        <v>6</v>
      </c>
      <c r="H23" s="4">
        <v>18.5</v>
      </c>
      <c r="I23">
        <v>111</v>
      </c>
      <c r="J23">
        <v>5.26</v>
      </c>
      <c r="K23">
        <v>29.24</v>
      </c>
      <c r="L23" t="s">
        <v>44</v>
      </c>
      <c r="M23" t="s">
        <v>31</v>
      </c>
      <c r="N23" t="s">
        <v>24</v>
      </c>
      <c r="O23">
        <f>_xlfn.XLOOKUP(E23,Product_Master!$B$2:$B$11,Product_Master!$F$2:$F$11)</f>
        <v>12.75</v>
      </c>
      <c r="P23">
        <f t="shared" si="0"/>
        <v>76.5</v>
      </c>
      <c r="Q23" s="5">
        <f t="shared" si="1"/>
        <v>0.2634234234234234</v>
      </c>
    </row>
    <row r="24" spans="1:17" x14ac:dyDescent="0.3">
      <c r="A24" t="s">
        <v>106</v>
      </c>
      <c r="B24" t="s">
        <v>107</v>
      </c>
      <c r="C24" t="s">
        <v>108</v>
      </c>
      <c r="D24" t="s">
        <v>36</v>
      </c>
      <c r="E24" t="s">
        <v>58</v>
      </c>
      <c r="F24" t="s">
        <v>59</v>
      </c>
      <c r="G24">
        <v>33</v>
      </c>
      <c r="H24" s="4">
        <v>28.96</v>
      </c>
      <c r="I24">
        <v>955.68</v>
      </c>
      <c r="J24">
        <v>49.07</v>
      </c>
      <c r="K24">
        <v>164.11</v>
      </c>
      <c r="L24" t="s">
        <v>30</v>
      </c>
      <c r="M24" t="s">
        <v>23</v>
      </c>
      <c r="N24" t="s">
        <v>32</v>
      </c>
      <c r="O24">
        <f>_xlfn.XLOOKUP(E24,Product_Master!$B$2:$B$11,Product_Master!$F$2:$F$11)</f>
        <v>22.5</v>
      </c>
      <c r="P24">
        <f t="shared" si="0"/>
        <v>742.5</v>
      </c>
      <c r="Q24" s="5">
        <f t="shared" si="1"/>
        <v>0.17172065963502431</v>
      </c>
    </row>
    <row r="25" spans="1:17" x14ac:dyDescent="0.3">
      <c r="A25" t="s">
        <v>109</v>
      </c>
      <c r="B25" t="s">
        <v>83</v>
      </c>
      <c r="C25" t="s">
        <v>110</v>
      </c>
      <c r="D25" t="s">
        <v>48</v>
      </c>
      <c r="E25" t="s">
        <v>58</v>
      </c>
      <c r="F25" t="s">
        <v>59</v>
      </c>
      <c r="G25">
        <v>31</v>
      </c>
      <c r="H25" s="4">
        <v>35.020000000000003</v>
      </c>
      <c r="I25">
        <v>1085.6199999999999</v>
      </c>
      <c r="J25">
        <v>74.650000000000006</v>
      </c>
      <c r="K25">
        <v>313.47000000000003</v>
      </c>
      <c r="L25" t="s">
        <v>44</v>
      </c>
      <c r="M25" t="s">
        <v>23</v>
      </c>
      <c r="N25" t="s">
        <v>24</v>
      </c>
      <c r="O25">
        <f>_xlfn.XLOOKUP(E25,Product_Master!$B$2:$B$11,Product_Master!$F$2:$F$11)</f>
        <v>22.5</v>
      </c>
      <c r="P25">
        <f t="shared" si="0"/>
        <v>697.5</v>
      </c>
      <c r="Q25" s="5">
        <f t="shared" si="1"/>
        <v>0.2887474438569666</v>
      </c>
    </row>
    <row r="26" spans="1:17" x14ac:dyDescent="0.3">
      <c r="A26" t="s">
        <v>111</v>
      </c>
      <c r="B26" t="s">
        <v>75</v>
      </c>
      <c r="C26" t="s">
        <v>112</v>
      </c>
      <c r="D26" t="s">
        <v>48</v>
      </c>
      <c r="E26" t="s">
        <v>54</v>
      </c>
      <c r="F26" t="s">
        <v>43</v>
      </c>
      <c r="G26">
        <v>25</v>
      </c>
      <c r="H26" s="4">
        <v>31.57</v>
      </c>
      <c r="I26">
        <v>789.25</v>
      </c>
      <c r="J26">
        <v>56.47</v>
      </c>
      <c r="K26">
        <v>232.78</v>
      </c>
      <c r="L26" t="s">
        <v>30</v>
      </c>
      <c r="M26" t="s">
        <v>31</v>
      </c>
      <c r="N26" t="s">
        <v>24</v>
      </c>
      <c r="O26">
        <f>_xlfn.XLOOKUP(E26,Product_Master!$B$2:$B$11,Product_Master!$F$2:$F$11)</f>
        <v>20</v>
      </c>
      <c r="P26">
        <f t="shared" si="0"/>
        <v>500</v>
      </c>
      <c r="Q26" s="5">
        <f t="shared" si="1"/>
        <v>0.29493823249920809</v>
      </c>
    </row>
    <row r="27" spans="1:17" x14ac:dyDescent="0.3">
      <c r="A27" t="s">
        <v>113</v>
      </c>
      <c r="B27" t="s">
        <v>78</v>
      </c>
      <c r="C27" t="s">
        <v>114</v>
      </c>
      <c r="D27" t="s">
        <v>36</v>
      </c>
      <c r="E27" t="s">
        <v>69</v>
      </c>
      <c r="F27" t="s">
        <v>59</v>
      </c>
      <c r="G27">
        <v>14</v>
      </c>
      <c r="H27" s="4">
        <v>27.08</v>
      </c>
      <c r="I27">
        <v>379.12</v>
      </c>
      <c r="J27">
        <v>11.12</v>
      </c>
      <c r="K27">
        <v>151</v>
      </c>
      <c r="L27" t="s">
        <v>30</v>
      </c>
      <c r="M27" t="s">
        <v>37</v>
      </c>
      <c r="N27" t="s">
        <v>32</v>
      </c>
      <c r="O27">
        <f>_xlfn.XLOOKUP(E27,Product_Master!$B$2:$B$11,Product_Master!$F$2:$F$11)</f>
        <v>15.5</v>
      </c>
      <c r="P27">
        <f t="shared" si="0"/>
        <v>217</v>
      </c>
      <c r="Q27" s="5">
        <f t="shared" si="1"/>
        <v>0.39829077864528378</v>
      </c>
    </row>
    <row r="28" spans="1:17" x14ac:dyDescent="0.3">
      <c r="A28" t="s">
        <v>115</v>
      </c>
      <c r="B28" t="s">
        <v>56</v>
      </c>
      <c r="C28" t="s">
        <v>40</v>
      </c>
      <c r="D28" t="s">
        <v>36</v>
      </c>
      <c r="E28" t="s">
        <v>98</v>
      </c>
      <c r="F28" t="s">
        <v>59</v>
      </c>
      <c r="G28">
        <v>39</v>
      </c>
      <c r="H28" s="4">
        <v>35.32</v>
      </c>
      <c r="I28">
        <v>1377.48</v>
      </c>
      <c r="J28">
        <v>63.72</v>
      </c>
      <c r="K28">
        <v>221.76</v>
      </c>
      <c r="L28" t="s">
        <v>30</v>
      </c>
      <c r="M28" t="s">
        <v>31</v>
      </c>
      <c r="N28" t="s">
        <v>32</v>
      </c>
      <c r="O28">
        <f>_xlfn.XLOOKUP(E28,Product_Master!$B$2:$B$11,Product_Master!$F$2:$F$11)</f>
        <v>28</v>
      </c>
      <c r="P28">
        <f t="shared" si="0"/>
        <v>1092</v>
      </c>
      <c r="Q28" s="5">
        <f t="shared" si="1"/>
        <v>0.16098963324331386</v>
      </c>
    </row>
    <row r="29" spans="1:17" x14ac:dyDescent="0.3">
      <c r="A29" t="s">
        <v>116</v>
      </c>
      <c r="B29" t="s">
        <v>71</v>
      </c>
      <c r="C29" t="s">
        <v>117</v>
      </c>
      <c r="D29" t="s">
        <v>63</v>
      </c>
      <c r="E29" t="s">
        <v>58</v>
      </c>
      <c r="F29" t="s">
        <v>59</v>
      </c>
      <c r="G29">
        <v>6</v>
      </c>
      <c r="H29" s="4">
        <v>39.630000000000003</v>
      </c>
      <c r="I29">
        <v>237.78</v>
      </c>
      <c r="J29">
        <v>8.08</v>
      </c>
      <c r="K29">
        <v>94.7</v>
      </c>
      <c r="L29" t="s">
        <v>22</v>
      </c>
      <c r="M29" t="s">
        <v>37</v>
      </c>
      <c r="N29" t="s">
        <v>66</v>
      </c>
      <c r="O29">
        <f>_xlfn.XLOOKUP(E29,Product_Master!$B$2:$B$11,Product_Master!$F$2:$F$11)</f>
        <v>22.5</v>
      </c>
      <c r="P29">
        <f t="shared" si="0"/>
        <v>135</v>
      </c>
      <c r="Q29" s="5">
        <f t="shared" si="1"/>
        <v>0.39826730591302884</v>
      </c>
    </row>
    <row r="30" spans="1:17" x14ac:dyDescent="0.3">
      <c r="A30" t="s">
        <v>118</v>
      </c>
      <c r="B30" t="s">
        <v>17</v>
      </c>
      <c r="C30" t="s">
        <v>119</v>
      </c>
      <c r="D30" t="s">
        <v>101</v>
      </c>
      <c r="E30" t="s">
        <v>49</v>
      </c>
      <c r="F30" t="s">
        <v>50</v>
      </c>
      <c r="G30">
        <v>36</v>
      </c>
      <c r="H30" s="4">
        <v>68.400000000000006</v>
      </c>
      <c r="I30">
        <v>2462.4</v>
      </c>
      <c r="J30">
        <v>150.83000000000001</v>
      </c>
      <c r="K30">
        <v>871.57</v>
      </c>
      <c r="L30" t="s">
        <v>30</v>
      </c>
      <c r="M30" t="s">
        <v>23</v>
      </c>
      <c r="N30" t="s">
        <v>102</v>
      </c>
      <c r="O30">
        <f>_xlfn.XLOOKUP(E30,Product_Master!$B$2:$B$11,Product_Master!$F$2:$F$11)</f>
        <v>40</v>
      </c>
      <c r="P30">
        <f t="shared" si="0"/>
        <v>1440</v>
      </c>
      <c r="Q30" s="5">
        <f t="shared" si="1"/>
        <v>0.35395142949967512</v>
      </c>
    </row>
    <row r="31" spans="1:17" x14ac:dyDescent="0.3">
      <c r="A31" t="s">
        <v>120</v>
      </c>
      <c r="B31" t="s">
        <v>95</v>
      </c>
      <c r="C31" t="s">
        <v>90</v>
      </c>
      <c r="D31" t="s">
        <v>36</v>
      </c>
      <c r="E31" t="s">
        <v>64</v>
      </c>
      <c r="F31" t="s">
        <v>65</v>
      </c>
      <c r="G31">
        <v>1</v>
      </c>
      <c r="H31" s="4">
        <v>44.98</v>
      </c>
      <c r="I31">
        <v>44.98</v>
      </c>
      <c r="J31">
        <v>2.81</v>
      </c>
      <c r="K31">
        <v>17.170000000000002</v>
      </c>
      <c r="L31" t="s">
        <v>30</v>
      </c>
      <c r="M31" t="s">
        <v>31</v>
      </c>
      <c r="N31" t="s">
        <v>32</v>
      </c>
      <c r="O31">
        <f>_xlfn.XLOOKUP(E31,Product_Master!$B$2:$B$11,Product_Master!$F$2:$F$11)</f>
        <v>25</v>
      </c>
      <c r="P31">
        <f t="shared" si="0"/>
        <v>25</v>
      </c>
      <c r="Q31" s="5">
        <f t="shared" si="1"/>
        <v>0.38172521120498004</v>
      </c>
    </row>
    <row r="32" spans="1:17" x14ac:dyDescent="0.3">
      <c r="A32" t="s">
        <v>121</v>
      </c>
      <c r="B32" t="s">
        <v>75</v>
      </c>
      <c r="C32" t="s">
        <v>122</v>
      </c>
      <c r="D32" t="s">
        <v>123</v>
      </c>
      <c r="E32" t="s">
        <v>98</v>
      </c>
      <c r="F32" t="s">
        <v>59</v>
      </c>
      <c r="G32">
        <v>3</v>
      </c>
      <c r="H32" s="4">
        <v>37.74</v>
      </c>
      <c r="I32">
        <v>113.22</v>
      </c>
      <c r="J32">
        <v>4.04</v>
      </c>
      <c r="K32">
        <v>25.18</v>
      </c>
      <c r="L32" t="s">
        <v>30</v>
      </c>
      <c r="M32" t="s">
        <v>31</v>
      </c>
      <c r="N32" t="s">
        <v>32</v>
      </c>
      <c r="O32">
        <f>_xlfn.XLOOKUP(E32,Product_Master!$B$2:$B$11,Product_Master!$F$2:$F$11)</f>
        <v>28</v>
      </c>
      <c r="P32">
        <f t="shared" si="0"/>
        <v>84</v>
      </c>
      <c r="Q32" s="5">
        <f t="shared" si="1"/>
        <v>0.22239886945769299</v>
      </c>
    </row>
    <row r="33" spans="1:17" x14ac:dyDescent="0.3">
      <c r="A33" t="s">
        <v>124</v>
      </c>
      <c r="B33" t="s">
        <v>107</v>
      </c>
      <c r="C33" t="s">
        <v>125</v>
      </c>
      <c r="D33" t="s">
        <v>123</v>
      </c>
      <c r="E33" t="s">
        <v>64</v>
      </c>
      <c r="F33" t="s">
        <v>65</v>
      </c>
      <c r="G33">
        <v>12</v>
      </c>
      <c r="H33" s="4">
        <v>39.799999999999997</v>
      </c>
      <c r="I33">
        <v>477.6</v>
      </c>
      <c r="J33">
        <v>20.54</v>
      </c>
      <c r="K33">
        <v>157.06</v>
      </c>
      <c r="L33" t="s">
        <v>44</v>
      </c>
      <c r="M33" t="s">
        <v>31</v>
      </c>
      <c r="N33" t="s">
        <v>32</v>
      </c>
      <c r="O33">
        <f>_xlfn.XLOOKUP(E33,Product_Master!$B$2:$B$11,Product_Master!$F$2:$F$11)</f>
        <v>25</v>
      </c>
      <c r="P33">
        <f t="shared" si="0"/>
        <v>300</v>
      </c>
      <c r="Q33" s="5">
        <f t="shared" si="1"/>
        <v>0.32885259631490787</v>
      </c>
    </row>
    <row r="34" spans="1:17" x14ac:dyDescent="0.3">
      <c r="A34" t="s">
        <v>126</v>
      </c>
      <c r="B34" t="s">
        <v>34</v>
      </c>
      <c r="C34" t="s">
        <v>127</v>
      </c>
      <c r="D34" t="s">
        <v>63</v>
      </c>
      <c r="E34" t="s">
        <v>42</v>
      </c>
      <c r="F34" t="s">
        <v>43</v>
      </c>
      <c r="G34">
        <v>26</v>
      </c>
      <c r="H34" s="4">
        <v>43.23</v>
      </c>
      <c r="I34">
        <v>1123.98</v>
      </c>
      <c r="J34">
        <v>57.2</v>
      </c>
      <c r="K34">
        <v>234.78</v>
      </c>
      <c r="L34" t="s">
        <v>30</v>
      </c>
      <c r="M34" t="s">
        <v>37</v>
      </c>
      <c r="N34" t="s">
        <v>66</v>
      </c>
      <c r="O34">
        <f>_xlfn.XLOOKUP(E34,Product_Master!$B$2:$B$11,Product_Master!$F$2:$F$11)</f>
        <v>32</v>
      </c>
      <c r="P34">
        <f t="shared" si="0"/>
        <v>832</v>
      </c>
      <c r="Q34" s="5">
        <f t="shared" si="1"/>
        <v>0.20888272033310201</v>
      </c>
    </row>
    <row r="35" spans="1:17" x14ac:dyDescent="0.3">
      <c r="A35" t="s">
        <v>128</v>
      </c>
      <c r="B35" t="s">
        <v>17</v>
      </c>
      <c r="C35" t="s">
        <v>40</v>
      </c>
      <c r="D35" t="s">
        <v>36</v>
      </c>
      <c r="E35" t="s">
        <v>49</v>
      </c>
      <c r="F35" t="s">
        <v>50</v>
      </c>
      <c r="G35">
        <v>17</v>
      </c>
      <c r="H35" s="4">
        <v>66.34</v>
      </c>
      <c r="I35">
        <v>1127.78</v>
      </c>
      <c r="J35">
        <v>81.150000000000006</v>
      </c>
      <c r="K35">
        <v>366.63</v>
      </c>
      <c r="L35" t="s">
        <v>30</v>
      </c>
      <c r="M35" t="s">
        <v>37</v>
      </c>
      <c r="N35" t="s">
        <v>32</v>
      </c>
      <c r="O35">
        <f>_xlfn.XLOOKUP(E35,Product_Master!$B$2:$B$11,Product_Master!$F$2:$F$11)</f>
        <v>40</v>
      </c>
      <c r="P35">
        <f t="shared" si="0"/>
        <v>680</v>
      </c>
      <c r="Q35" s="5">
        <f t="shared" si="1"/>
        <v>0.32508999982266046</v>
      </c>
    </row>
    <row r="36" spans="1:17" x14ac:dyDescent="0.3">
      <c r="A36" t="s">
        <v>129</v>
      </c>
      <c r="B36" t="s">
        <v>39</v>
      </c>
      <c r="C36" t="s">
        <v>130</v>
      </c>
      <c r="D36" t="s">
        <v>81</v>
      </c>
      <c r="E36" t="s">
        <v>64</v>
      </c>
      <c r="F36" t="s">
        <v>65</v>
      </c>
      <c r="G36">
        <v>4</v>
      </c>
      <c r="H36" s="4">
        <v>33.869999999999997</v>
      </c>
      <c r="I36">
        <v>135.47999999999999</v>
      </c>
      <c r="J36">
        <v>6.59</v>
      </c>
      <c r="K36">
        <v>28.89</v>
      </c>
      <c r="L36" t="s">
        <v>22</v>
      </c>
      <c r="M36" t="s">
        <v>37</v>
      </c>
      <c r="N36" t="s">
        <v>66</v>
      </c>
      <c r="O36">
        <f>_xlfn.XLOOKUP(E36,Product_Master!$B$2:$B$11,Product_Master!$F$2:$F$11)</f>
        <v>25</v>
      </c>
      <c r="P36">
        <f t="shared" si="0"/>
        <v>100</v>
      </c>
      <c r="Q36" s="5">
        <f t="shared" si="1"/>
        <v>0.21324180690876884</v>
      </c>
    </row>
    <row r="37" spans="1:17" x14ac:dyDescent="0.3">
      <c r="A37" t="s">
        <v>131</v>
      </c>
      <c r="B37" t="s">
        <v>132</v>
      </c>
      <c r="C37" t="s">
        <v>133</v>
      </c>
      <c r="D37" t="s">
        <v>36</v>
      </c>
      <c r="E37" t="s">
        <v>49</v>
      </c>
      <c r="F37" t="s">
        <v>50</v>
      </c>
      <c r="G37">
        <v>10</v>
      </c>
      <c r="H37" s="4">
        <v>64.650000000000006</v>
      </c>
      <c r="I37">
        <v>646.5</v>
      </c>
      <c r="J37">
        <v>17.89</v>
      </c>
      <c r="K37">
        <v>228.61</v>
      </c>
      <c r="L37" t="s">
        <v>44</v>
      </c>
      <c r="M37" t="s">
        <v>23</v>
      </c>
      <c r="N37" t="s">
        <v>32</v>
      </c>
      <c r="O37">
        <f>_xlfn.XLOOKUP(E37,Product_Master!$B$2:$B$11,Product_Master!$F$2:$F$11)</f>
        <v>40</v>
      </c>
      <c r="P37">
        <f t="shared" si="0"/>
        <v>400</v>
      </c>
      <c r="Q37" s="5">
        <f t="shared" si="1"/>
        <v>0.35361175560711527</v>
      </c>
    </row>
    <row r="38" spans="1:17" x14ac:dyDescent="0.3">
      <c r="A38" t="s">
        <v>134</v>
      </c>
      <c r="B38" t="s">
        <v>78</v>
      </c>
      <c r="C38" t="s">
        <v>135</v>
      </c>
      <c r="D38" t="s">
        <v>101</v>
      </c>
      <c r="E38" t="s">
        <v>58</v>
      </c>
      <c r="F38" t="s">
        <v>59</v>
      </c>
      <c r="G38">
        <v>12</v>
      </c>
      <c r="H38" s="4">
        <v>29.56</v>
      </c>
      <c r="I38">
        <v>354.72</v>
      </c>
      <c r="J38">
        <v>21.4</v>
      </c>
      <c r="K38">
        <v>63.32</v>
      </c>
      <c r="L38" t="s">
        <v>30</v>
      </c>
      <c r="M38" t="s">
        <v>23</v>
      </c>
      <c r="N38" t="s">
        <v>102</v>
      </c>
      <c r="O38">
        <f>_xlfn.XLOOKUP(E38,Product_Master!$B$2:$B$11,Product_Master!$F$2:$F$11)</f>
        <v>22.5</v>
      </c>
      <c r="P38">
        <f t="shared" si="0"/>
        <v>270</v>
      </c>
      <c r="Q38" s="5">
        <f t="shared" si="1"/>
        <v>0.17850699142986015</v>
      </c>
    </row>
    <row r="39" spans="1:17" x14ac:dyDescent="0.3">
      <c r="A39" t="s">
        <v>136</v>
      </c>
      <c r="B39" t="s">
        <v>107</v>
      </c>
      <c r="C39" t="s">
        <v>137</v>
      </c>
      <c r="D39" t="s">
        <v>19</v>
      </c>
      <c r="E39" t="s">
        <v>64</v>
      </c>
      <c r="F39" t="s">
        <v>65</v>
      </c>
      <c r="G39">
        <v>4</v>
      </c>
      <c r="H39" s="4">
        <v>35.36</v>
      </c>
      <c r="I39">
        <v>141.44</v>
      </c>
      <c r="J39">
        <v>8.66</v>
      </c>
      <c r="K39">
        <v>32.78</v>
      </c>
      <c r="L39" t="s">
        <v>44</v>
      </c>
      <c r="M39" t="s">
        <v>31</v>
      </c>
      <c r="N39" t="s">
        <v>24</v>
      </c>
      <c r="O39">
        <f>_xlfn.XLOOKUP(E39,Product_Master!$B$2:$B$11,Product_Master!$F$2:$F$11)</f>
        <v>25</v>
      </c>
      <c r="P39">
        <f t="shared" si="0"/>
        <v>100</v>
      </c>
      <c r="Q39" s="5">
        <f t="shared" si="1"/>
        <v>0.23175904977375567</v>
      </c>
    </row>
    <row r="40" spans="1:17" x14ac:dyDescent="0.3">
      <c r="A40" t="s">
        <v>138</v>
      </c>
      <c r="B40" t="s">
        <v>17</v>
      </c>
      <c r="C40" t="s">
        <v>139</v>
      </c>
      <c r="D40" t="s">
        <v>36</v>
      </c>
      <c r="E40" t="s">
        <v>54</v>
      </c>
      <c r="F40" t="s">
        <v>43</v>
      </c>
      <c r="G40">
        <v>28</v>
      </c>
      <c r="H40" s="4">
        <v>31.42</v>
      </c>
      <c r="I40">
        <v>879.76</v>
      </c>
      <c r="J40">
        <v>69.319999999999993</v>
      </c>
      <c r="K40">
        <v>250.44</v>
      </c>
      <c r="L40" t="s">
        <v>22</v>
      </c>
      <c r="M40" t="s">
        <v>37</v>
      </c>
      <c r="N40" t="s">
        <v>32</v>
      </c>
      <c r="O40">
        <f>_xlfn.XLOOKUP(E40,Product_Master!$B$2:$B$11,Product_Master!$F$2:$F$11)</f>
        <v>20</v>
      </c>
      <c r="P40">
        <f t="shared" si="0"/>
        <v>560</v>
      </c>
      <c r="Q40" s="5">
        <f t="shared" si="1"/>
        <v>0.28466854596708191</v>
      </c>
    </row>
    <row r="41" spans="1:17" x14ac:dyDescent="0.3">
      <c r="A41" t="s">
        <v>140</v>
      </c>
      <c r="B41" t="s">
        <v>107</v>
      </c>
      <c r="C41" t="s">
        <v>141</v>
      </c>
      <c r="D41" t="s">
        <v>19</v>
      </c>
      <c r="E41" t="s">
        <v>20</v>
      </c>
      <c r="F41" t="s">
        <v>21</v>
      </c>
      <c r="G41">
        <v>35</v>
      </c>
      <c r="H41" s="4">
        <v>55.12</v>
      </c>
      <c r="I41">
        <v>1929.2</v>
      </c>
      <c r="J41">
        <v>58.22</v>
      </c>
      <c r="K41">
        <v>645.98</v>
      </c>
      <c r="L41" t="s">
        <v>22</v>
      </c>
      <c r="M41" t="s">
        <v>23</v>
      </c>
      <c r="N41" t="s">
        <v>24</v>
      </c>
      <c r="O41">
        <f>_xlfn.XLOOKUP(E41,Product_Master!$B$2:$B$11,Product_Master!$F$2:$F$11)</f>
        <v>35</v>
      </c>
      <c r="P41">
        <f t="shared" si="0"/>
        <v>1225</v>
      </c>
      <c r="Q41" s="5">
        <f t="shared" si="1"/>
        <v>0.3348434584283641</v>
      </c>
    </row>
    <row r="42" spans="1:17" x14ac:dyDescent="0.3">
      <c r="A42" t="s">
        <v>142</v>
      </c>
      <c r="B42" t="s">
        <v>75</v>
      </c>
      <c r="C42" t="s">
        <v>143</v>
      </c>
      <c r="D42" t="s">
        <v>88</v>
      </c>
      <c r="E42" t="s">
        <v>58</v>
      </c>
      <c r="F42" t="s">
        <v>59</v>
      </c>
      <c r="G42">
        <v>41</v>
      </c>
      <c r="H42" s="4">
        <v>33.94</v>
      </c>
      <c r="I42">
        <v>1391.54</v>
      </c>
      <c r="J42">
        <v>33.26</v>
      </c>
      <c r="K42">
        <v>435.78</v>
      </c>
      <c r="L42" t="s">
        <v>22</v>
      </c>
      <c r="M42" t="s">
        <v>37</v>
      </c>
      <c r="N42" t="s">
        <v>66</v>
      </c>
      <c r="O42">
        <f>_xlfn.XLOOKUP(E42,Product_Master!$B$2:$B$11,Product_Master!$F$2:$F$11)</f>
        <v>22.5</v>
      </c>
      <c r="P42">
        <f t="shared" si="0"/>
        <v>922.5</v>
      </c>
      <c r="Q42" s="5">
        <f t="shared" si="1"/>
        <v>0.31316383287580662</v>
      </c>
    </row>
    <row r="43" spans="1:17" x14ac:dyDescent="0.3">
      <c r="A43" t="s">
        <v>144</v>
      </c>
      <c r="B43" t="s">
        <v>71</v>
      </c>
      <c r="C43" t="s">
        <v>84</v>
      </c>
      <c r="D43" t="s">
        <v>81</v>
      </c>
      <c r="E43" t="s">
        <v>58</v>
      </c>
      <c r="F43" t="s">
        <v>59</v>
      </c>
      <c r="G43">
        <v>20</v>
      </c>
      <c r="H43" s="4">
        <v>38.43</v>
      </c>
      <c r="I43">
        <v>768.6</v>
      </c>
      <c r="J43">
        <v>60.07</v>
      </c>
      <c r="K43">
        <v>258.52999999999997</v>
      </c>
      <c r="L43" t="s">
        <v>44</v>
      </c>
      <c r="M43" t="s">
        <v>37</v>
      </c>
      <c r="N43" t="s">
        <v>66</v>
      </c>
      <c r="O43">
        <f>_xlfn.XLOOKUP(E43,Product_Master!$B$2:$B$11,Product_Master!$F$2:$F$11)</f>
        <v>22.5</v>
      </c>
      <c r="P43">
        <f t="shared" si="0"/>
        <v>450</v>
      </c>
      <c r="Q43" s="5">
        <f t="shared" si="1"/>
        <v>0.33636481915170435</v>
      </c>
    </row>
    <row r="44" spans="1:17" x14ac:dyDescent="0.3">
      <c r="A44" t="s">
        <v>145</v>
      </c>
      <c r="B44" t="s">
        <v>107</v>
      </c>
      <c r="C44" t="s">
        <v>87</v>
      </c>
      <c r="D44" t="s">
        <v>41</v>
      </c>
      <c r="E44" t="s">
        <v>64</v>
      </c>
      <c r="F44" t="s">
        <v>65</v>
      </c>
      <c r="G44">
        <v>23</v>
      </c>
      <c r="H44" s="4">
        <v>35.07</v>
      </c>
      <c r="I44">
        <v>806.61</v>
      </c>
      <c r="J44">
        <v>21.23</v>
      </c>
      <c r="K44">
        <v>210.38</v>
      </c>
      <c r="L44" t="s">
        <v>22</v>
      </c>
      <c r="M44" t="s">
        <v>37</v>
      </c>
      <c r="N44" t="s">
        <v>45</v>
      </c>
      <c r="O44">
        <f>_xlfn.XLOOKUP(E44,Product_Master!$B$2:$B$11,Product_Master!$F$2:$F$11)</f>
        <v>25</v>
      </c>
      <c r="P44">
        <f t="shared" si="0"/>
        <v>575</v>
      </c>
      <c r="Q44" s="5">
        <f t="shared" si="1"/>
        <v>0.26081997495691844</v>
      </c>
    </row>
    <row r="45" spans="1:17" x14ac:dyDescent="0.3">
      <c r="A45" t="s">
        <v>146</v>
      </c>
      <c r="B45" t="s">
        <v>104</v>
      </c>
      <c r="C45" t="s">
        <v>79</v>
      </c>
      <c r="D45" t="s">
        <v>147</v>
      </c>
      <c r="E45" t="s">
        <v>49</v>
      </c>
      <c r="F45" t="s">
        <v>50</v>
      </c>
      <c r="G45">
        <v>35</v>
      </c>
      <c r="H45" s="4">
        <v>71.44</v>
      </c>
      <c r="I45">
        <v>2500.4</v>
      </c>
      <c r="J45">
        <v>166.81</v>
      </c>
      <c r="K45">
        <v>933.59</v>
      </c>
      <c r="L45" t="s">
        <v>30</v>
      </c>
      <c r="M45" t="s">
        <v>31</v>
      </c>
      <c r="N45" t="s">
        <v>148</v>
      </c>
      <c r="O45">
        <f>_xlfn.XLOOKUP(E45,Product_Master!$B$2:$B$11,Product_Master!$F$2:$F$11)</f>
        <v>40</v>
      </c>
      <c r="P45">
        <f t="shared" si="0"/>
        <v>1400</v>
      </c>
      <c r="Q45" s="5">
        <f t="shared" si="1"/>
        <v>0.37337625979843225</v>
      </c>
    </row>
    <row r="46" spans="1:17" x14ac:dyDescent="0.3">
      <c r="A46" t="s">
        <v>149</v>
      </c>
      <c r="B46" t="s">
        <v>78</v>
      </c>
      <c r="C46" t="s">
        <v>133</v>
      </c>
      <c r="D46" t="s">
        <v>48</v>
      </c>
      <c r="E46" t="s">
        <v>29</v>
      </c>
      <c r="F46" t="s">
        <v>21</v>
      </c>
      <c r="G46">
        <v>11</v>
      </c>
      <c r="H46" s="4">
        <v>26.05</v>
      </c>
      <c r="I46">
        <v>286.55</v>
      </c>
      <c r="J46">
        <v>13.39</v>
      </c>
      <c r="K46">
        <v>75.16</v>
      </c>
      <c r="L46" t="s">
        <v>30</v>
      </c>
      <c r="M46" t="s">
        <v>23</v>
      </c>
      <c r="N46" t="s">
        <v>24</v>
      </c>
      <c r="O46">
        <f>_xlfn.XLOOKUP(E46,Product_Master!$B$2:$B$11,Product_Master!$F$2:$F$11)</f>
        <v>18</v>
      </c>
      <c r="P46">
        <f t="shared" si="0"/>
        <v>198</v>
      </c>
      <c r="Q46" s="5">
        <f t="shared" si="1"/>
        <v>0.26229279357878205</v>
      </c>
    </row>
    <row r="47" spans="1:17" x14ac:dyDescent="0.3">
      <c r="A47" t="s">
        <v>150</v>
      </c>
      <c r="B47" t="s">
        <v>83</v>
      </c>
      <c r="C47" t="s">
        <v>47</v>
      </c>
      <c r="D47" t="s">
        <v>28</v>
      </c>
      <c r="E47" t="s">
        <v>69</v>
      </c>
      <c r="F47" t="s">
        <v>59</v>
      </c>
      <c r="G47">
        <v>46</v>
      </c>
      <c r="H47" s="4">
        <v>26.67</v>
      </c>
      <c r="I47">
        <v>1226.82</v>
      </c>
      <c r="J47">
        <v>83.55</v>
      </c>
      <c r="K47">
        <v>430.27</v>
      </c>
      <c r="L47" t="s">
        <v>22</v>
      </c>
      <c r="M47" t="s">
        <v>37</v>
      </c>
      <c r="N47" t="s">
        <v>32</v>
      </c>
      <c r="O47">
        <f>_xlfn.XLOOKUP(E47,Product_Master!$B$2:$B$11,Product_Master!$F$2:$F$11)</f>
        <v>15.5</v>
      </c>
      <c r="P47">
        <f t="shared" si="0"/>
        <v>713</v>
      </c>
      <c r="Q47" s="5">
        <f t="shared" si="1"/>
        <v>0.35071974698814823</v>
      </c>
    </row>
    <row r="48" spans="1:17" x14ac:dyDescent="0.3">
      <c r="A48" t="s">
        <v>151</v>
      </c>
      <c r="B48" t="s">
        <v>132</v>
      </c>
      <c r="C48" t="s">
        <v>108</v>
      </c>
      <c r="D48" t="s">
        <v>28</v>
      </c>
      <c r="E48" t="s">
        <v>98</v>
      </c>
      <c r="F48" t="s">
        <v>59</v>
      </c>
      <c r="G48">
        <v>12</v>
      </c>
      <c r="H48" s="4">
        <v>42.84</v>
      </c>
      <c r="I48">
        <v>514.08000000000004</v>
      </c>
      <c r="J48">
        <v>22.74</v>
      </c>
      <c r="K48">
        <v>155.34</v>
      </c>
      <c r="L48" t="s">
        <v>44</v>
      </c>
      <c r="M48" t="s">
        <v>23</v>
      </c>
      <c r="N48" t="s">
        <v>32</v>
      </c>
      <c r="O48">
        <f>_xlfn.XLOOKUP(E48,Product_Master!$B$2:$B$11,Product_Master!$F$2:$F$11)</f>
        <v>28</v>
      </c>
      <c r="P48">
        <f t="shared" si="0"/>
        <v>336</v>
      </c>
      <c r="Q48" s="5">
        <f t="shared" si="1"/>
        <v>0.30217086834733892</v>
      </c>
    </row>
    <row r="49" spans="1:17" x14ac:dyDescent="0.3">
      <c r="A49" t="s">
        <v>152</v>
      </c>
      <c r="B49" t="s">
        <v>95</v>
      </c>
      <c r="C49" t="s">
        <v>153</v>
      </c>
      <c r="D49" t="s">
        <v>81</v>
      </c>
      <c r="E49" t="s">
        <v>29</v>
      </c>
      <c r="F49" t="s">
        <v>21</v>
      </c>
      <c r="G49">
        <v>18</v>
      </c>
      <c r="H49" s="4">
        <v>30.89</v>
      </c>
      <c r="I49">
        <v>556.02</v>
      </c>
      <c r="J49">
        <v>12</v>
      </c>
      <c r="K49">
        <v>220.02</v>
      </c>
      <c r="L49" t="s">
        <v>30</v>
      </c>
      <c r="M49" t="s">
        <v>23</v>
      </c>
      <c r="N49" t="s">
        <v>66</v>
      </c>
      <c r="O49">
        <f>_xlfn.XLOOKUP(E49,Product_Master!$B$2:$B$11,Product_Master!$F$2:$F$11)</f>
        <v>18</v>
      </c>
      <c r="P49">
        <f t="shared" si="0"/>
        <v>324</v>
      </c>
      <c r="Q49" s="5">
        <f t="shared" si="1"/>
        <v>0.39570519046077485</v>
      </c>
    </row>
    <row r="50" spans="1:17" x14ac:dyDescent="0.3">
      <c r="A50" t="s">
        <v>154</v>
      </c>
      <c r="B50" t="s">
        <v>78</v>
      </c>
      <c r="C50" t="s">
        <v>155</v>
      </c>
      <c r="D50" t="s">
        <v>48</v>
      </c>
      <c r="E50" t="s">
        <v>20</v>
      </c>
      <c r="F50" t="s">
        <v>21</v>
      </c>
      <c r="G50">
        <v>21</v>
      </c>
      <c r="H50" s="4">
        <v>52.41</v>
      </c>
      <c r="I50">
        <v>1100.6099999999999</v>
      </c>
      <c r="J50">
        <v>81.099999999999994</v>
      </c>
      <c r="K50">
        <v>284.51</v>
      </c>
      <c r="L50" t="s">
        <v>44</v>
      </c>
      <c r="M50" t="s">
        <v>31</v>
      </c>
      <c r="N50" t="s">
        <v>24</v>
      </c>
      <c r="O50">
        <f>_xlfn.XLOOKUP(E50,Product_Master!$B$2:$B$11,Product_Master!$F$2:$F$11)</f>
        <v>35</v>
      </c>
      <c r="P50">
        <f t="shared" si="0"/>
        <v>735</v>
      </c>
      <c r="Q50" s="5">
        <f t="shared" si="1"/>
        <v>0.25850210337903529</v>
      </c>
    </row>
    <row r="51" spans="1:17" x14ac:dyDescent="0.3">
      <c r="A51" t="s">
        <v>156</v>
      </c>
      <c r="B51" t="s">
        <v>157</v>
      </c>
      <c r="C51" t="s">
        <v>158</v>
      </c>
      <c r="D51" t="s">
        <v>147</v>
      </c>
      <c r="E51" t="s">
        <v>98</v>
      </c>
      <c r="F51" t="s">
        <v>59</v>
      </c>
      <c r="G51">
        <v>17</v>
      </c>
      <c r="H51" s="4">
        <v>38.64</v>
      </c>
      <c r="I51">
        <v>656.88</v>
      </c>
      <c r="J51">
        <v>13.86</v>
      </c>
      <c r="K51">
        <v>167.02</v>
      </c>
      <c r="L51" t="s">
        <v>30</v>
      </c>
      <c r="M51" t="s">
        <v>23</v>
      </c>
      <c r="N51" t="s">
        <v>148</v>
      </c>
      <c r="O51">
        <f>_xlfn.XLOOKUP(E51,Product_Master!$B$2:$B$11,Product_Master!$F$2:$F$11)</f>
        <v>28</v>
      </c>
      <c r="P51">
        <f t="shared" si="0"/>
        <v>476</v>
      </c>
      <c r="Q51" s="5">
        <f t="shared" si="1"/>
        <v>0.25426257459505541</v>
      </c>
    </row>
    <row r="52" spans="1:17" x14ac:dyDescent="0.3">
      <c r="A52" t="s">
        <v>159</v>
      </c>
      <c r="B52" t="s">
        <v>75</v>
      </c>
      <c r="C52" t="s">
        <v>137</v>
      </c>
      <c r="D52" t="s">
        <v>91</v>
      </c>
      <c r="E52" t="s">
        <v>29</v>
      </c>
      <c r="F52" t="s">
        <v>21</v>
      </c>
      <c r="G52">
        <v>41</v>
      </c>
      <c r="H52" s="4">
        <v>25.79</v>
      </c>
      <c r="I52">
        <v>1057.3900000000001</v>
      </c>
      <c r="J52">
        <v>71.22</v>
      </c>
      <c r="K52">
        <v>248.17</v>
      </c>
      <c r="L52" t="s">
        <v>30</v>
      </c>
      <c r="M52" t="s">
        <v>31</v>
      </c>
      <c r="N52" t="s">
        <v>66</v>
      </c>
      <c r="O52">
        <f>_xlfn.XLOOKUP(E52,Product_Master!$B$2:$B$11,Product_Master!$F$2:$F$11)</f>
        <v>18</v>
      </c>
      <c r="P52">
        <f t="shared" si="0"/>
        <v>738</v>
      </c>
      <c r="Q52" s="5">
        <f t="shared" si="1"/>
        <v>0.23470053622599038</v>
      </c>
    </row>
    <row r="53" spans="1:17" x14ac:dyDescent="0.3">
      <c r="A53" t="s">
        <v>160</v>
      </c>
      <c r="B53" t="s">
        <v>95</v>
      </c>
      <c r="C53" t="s">
        <v>161</v>
      </c>
      <c r="D53" t="s">
        <v>91</v>
      </c>
      <c r="E53" t="s">
        <v>98</v>
      </c>
      <c r="F53" t="s">
        <v>59</v>
      </c>
      <c r="G53">
        <v>41</v>
      </c>
      <c r="H53" s="4">
        <v>41.13</v>
      </c>
      <c r="I53">
        <v>1686.33</v>
      </c>
      <c r="J53">
        <v>80.12</v>
      </c>
      <c r="K53">
        <v>458.21</v>
      </c>
      <c r="L53" t="s">
        <v>30</v>
      </c>
      <c r="M53" t="s">
        <v>37</v>
      </c>
      <c r="N53" t="s">
        <v>66</v>
      </c>
      <c r="O53">
        <f>_xlfn.XLOOKUP(E53,Product_Master!$B$2:$B$11,Product_Master!$F$2:$F$11)</f>
        <v>28</v>
      </c>
      <c r="P53">
        <f t="shared" si="0"/>
        <v>1148</v>
      </c>
      <c r="Q53" s="5">
        <f t="shared" si="1"/>
        <v>0.27172024455474314</v>
      </c>
    </row>
    <row r="54" spans="1:17" x14ac:dyDescent="0.3">
      <c r="A54" t="s">
        <v>162</v>
      </c>
      <c r="B54" t="s">
        <v>132</v>
      </c>
      <c r="C54" t="s">
        <v>79</v>
      </c>
      <c r="D54" t="s">
        <v>63</v>
      </c>
      <c r="E54" t="s">
        <v>49</v>
      </c>
      <c r="F54" t="s">
        <v>50</v>
      </c>
      <c r="G54">
        <v>33</v>
      </c>
      <c r="H54" s="4">
        <v>55.67</v>
      </c>
      <c r="I54">
        <v>1837.11</v>
      </c>
      <c r="J54">
        <v>144.32</v>
      </c>
      <c r="K54">
        <v>372.79</v>
      </c>
      <c r="L54" t="s">
        <v>22</v>
      </c>
      <c r="M54" t="s">
        <v>23</v>
      </c>
      <c r="N54" t="s">
        <v>66</v>
      </c>
      <c r="O54">
        <f>_xlfn.XLOOKUP(E54,Product_Master!$B$2:$B$11,Product_Master!$F$2:$F$11)</f>
        <v>40</v>
      </c>
      <c r="P54">
        <f t="shared" si="0"/>
        <v>1320</v>
      </c>
      <c r="Q54" s="5">
        <f t="shared" si="1"/>
        <v>0.2029219807197174</v>
      </c>
    </row>
    <row r="55" spans="1:17" x14ac:dyDescent="0.3">
      <c r="A55" t="s">
        <v>163</v>
      </c>
      <c r="B55" t="s">
        <v>132</v>
      </c>
      <c r="C55" t="s">
        <v>164</v>
      </c>
      <c r="D55" t="s">
        <v>91</v>
      </c>
      <c r="E55" t="s">
        <v>49</v>
      </c>
      <c r="F55" t="s">
        <v>50</v>
      </c>
      <c r="G55">
        <v>18</v>
      </c>
      <c r="H55" s="4">
        <v>50.87</v>
      </c>
      <c r="I55">
        <v>915.66</v>
      </c>
      <c r="J55">
        <v>49.93</v>
      </c>
      <c r="K55">
        <v>145.72999999999999</v>
      </c>
      <c r="L55" t="s">
        <v>22</v>
      </c>
      <c r="M55" t="s">
        <v>31</v>
      </c>
      <c r="N55" t="s">
        <v>66</v>
      </c>
      <c r="O55">
        <f>_xlfn.XLOOKUP(E55,Product_Master!$B$2:$B$11,Product_Master!$F$2:$F$11)</f>
        <v>40</v>
      </c>
      <c r="P55">
        <f t="shared" si="0"/>
        <v>720</v>
      </c>
      <c r="Q55" s="5">
        <f t="shared" si="1"/>
        <v>0.15915296070593887</v>
      </c>
    </row>
    <row r="56" spans="1:17" x14ac:dyDescent="0.3">
      <c r="A56" t="s">
        <v>165</v>
      </c>
      <c r="B56" t="s">
        <v>75</v>
      </c>
      <c r="C56" t="s">
        <v>166</v>
      </c>
      <c r="D56" t="s">
        <v>101</v>
      </c>
      <c r="E56" t="s">
        <v>69</v>
      </c>
      <c r="F56" t="s">
        <v>59</v>
      </c>
      <c r="G56">
        <v>14</v>
      </c>
      <c r="H56" s="4">
        <v>26.7</v>
      </c>
      <c r="I56">
        <v>373.8</v>
      </c>
      <c r="J56">
        <v>11.84</v>
      </c>
      <c r="K56">
        <v>144.96</v>
      </c>
      <c r="L56" t="s">
        <v>44</v>
      </c>
      <c r="M56" t="s">
        <v>23</v>
      </c>
      <c r="N56" t="s">
        <v>102</v>
      </c>
      <c r="O56">
        <f>_xlfn.XLOOKUP(E56,Product_Master!$B$2:$B$11,Product_Master!$F$2:$F$11)</f>
        <v>15.5</v>
      </c>
      <c r="P56">
        <f t="shared" si="0"/>
        <v>217</v>
      </c>
      <c r="Q56" s="5">
        <f t="shared" si="1"/>
        <v>0.38780096308186196</v>
      </c>
    </row>
    <row r="57" spans="1:17" x14ac:dyDescent="0.3">
      <c r="A57" t="s">
        <v>167</v>
      </c>
      <c r="B57" t="s">
        <v>68</v>
      </c>
      <c r="C57" t="s">
        <v>168</v>
      </c>
      <c r="D57" t="s">
        <v>19</v>
      </c>
      <c r="E57" t="s">
        <v>29</v>
      </c>
      <c r="F57" t="s">
        <v>21</v>
      </c>
      <c r="G57">
        <v>16</v>
      </c>
      <c r="H57" s="4">
        <v>28.96</v>
      </c>
      <c r="I57">
        <v>463.36</v>
      </c>
      <c r="J57">
        <v>35.65</v>
      </c>
      <c r="K57">
        <v>139.71</v>
      </c>
      <c r="L57" t="s">
        <v>22</v>
      </c>
      <c r="M57" t="s">
        <v>37</v>
      </c>
      <c r="N57" t="s">
        <v>24</v>
      </c>
      <c r="O57">
        <f>_xlfn.XLOOKUP(E57,Product_Master!$B$2:$B$11,Product_Master!$F$2:$F$11)</f>
        <v>18</v>
      </c>
      <c r="P57">
        <f t="shared" si="0"/>
        <v>288</v>
      </c>
      <c r="Q57" s="5">
        <f t="shared" si="1"/>
        <v>0.30151502071823205</v>
      </c>
    </row>
    <row r="58" spans="1:17" x14ac:dyDescent="0.3">
      <c r="A58" t="s">
        <v>169</v>
      </c>
      <c r="B58" t="s">
        <v>107</v>
      </c>
      <c r="C58" t="s">
        <v>79</v>
      </c>
      <c r="D58" t="s">
        <v>170</v>
      </c>
      <c r="E58" t="s">
        <v>29</v>
      </c>
      <c r="F58" t="s">
        <v>21</v>
      </c>
      <c r="G58">
        <v>47</v>
      </c>
      <c r="H58" s="4">
        <v>23.03</v>
      </c>
      <c r="I58">
        <v>1082.4100000000001</v>
      </c>
      <c r="J58">
        <v>50.12</v>
      </c>
      <c r="K58">
        <v>186.29</v>
      </c>
      <c r="L58" t="s">
        <v>44</v>
      </c>
      <c r="M58" t="s">
        <v>23</v>
      </c>
      <c r="N58" t="s">
        <v>32</v>
      </c>
      <c r="O58">
        <f>_xlfn.XLOOKUP(E58,Product_Master!$B$2:$B$11,Product_Master!$F$2:$F$11)</f>
        <v>18</v>
      </c>
      <c r="P58">
        <f t="shared" si="0"/>
        <v>846</v>
      </c>
      <c r="Q58" s="5">
        <f t="shared" si="1"/>
        <v>0.1721066878539555</v>
      </c>
    </row>
    <row r="59" spans="1:17" x14ac:dyDescent="0.3">
      <c r="A59" t="s">
        <v>171</v>
      </c>
      <c r="B59" t="s">
        <v>107</v>
      </c>
      <c r="C59" t="s">
        <v>168</v>
      </c>
      <c r="D59" t="s">
        <v>147</v>
      </c>
      <c r="E59" t="s">
        <v>20</v>
      </c>
      <c r="F59" t="s">
        <v>21</v>
      </c>
      <c r="G59">
        <v>18</v>
      </c>
      <c r="H59" s="4">
        <v>50.03</v>
      </c>
      <c r="I59">
        <v>900.54</v>
      </c>
      <c r="J59">
        <v>68.44</v>
      </c>
      <c r="K59">
        <v>202.1</v>
      </c>
      <c r="L59" t="s">
        <v>44</v>
      </c>
      <c r="M59" t="s">
        <v>23</v>
      </c>
      <c r="N59" t="s">
        <v>148</v>
      </c>
      <c r="O59">
        <f>_xlfn.XLOOKUP(E59,Product_Master!$B$2:$B$11,Product_Master!$F$2:$F$11)</f>
        <v>35</v>
      </c>
      <c r="P59">
        <f t="shared" si="0"/>
        <v>630</v>
      </c>
      <c r="Q59" s="5">
        <f t="shared" si="1"/>
        <v>0.22442090301374731</v>
      </c>
    </row>
    <row r="60" spans="1:17" x14ac:dyDescent="0.3">
      <c r="A60" t="s">
        <v>172</v>
      </c>
      <c r="B60" t="s">
        <v>95</v>
      </c>
      <c r="C60" t="s">
        <v>173</v>
      </c>
      <c r="D60" t="s">
        <v>28</v>
      </c>
      <c r="E60" t="s">
        <v>64</v>
      </c>
      <c r="F60" t="s">
        <v>65</v>
      </c>
      <c r="G60">
        <v>38</v>
      </c>
      <c r="H60" s="4">
        <v>32.07</v>
      </c>
      <c r="I60">
        <v>1218.6600000000001</v>
      </c>
      <c r="J60">
        <v>54.49</v>
      </c>
      <c r="K60">
        <v>214.17</v>
      </c>
      <c r="L60" t="s">
        <v>44</v>
      </c>
      <c r="M60" t="s">
        <v>37</v>
      </c>
      <c r="N60" t="s">
        <v>32</v>
      </c>
      <c r="O60">
        <f>_xlfn.XLOOKUP(E60,Product_Master!$B$2:$B$11,Product_Master!$F$2:$F$11)</f>
        <v>25</v>
      </c>
      <c r="P60">
        <f t="shared" si="0"/>
        <v>950</v>
      </c>
      <c r="Q60" s="5">
        <f t="shared" si="1"/>
        <v>0.17574220865540838</v>
      </c>
    </row>
    <row r="61" spans="1:17" x14ac:dyDescent="0.3">
      <c r="A61" t="s">
        <v>174</v>
      </c>
      <c r="B61" t="s">
        <v>75</v>
      </c>
      <c r="C61" t="s">
        <v>175</v>
      </c>
      <c r="D61" t="s">
        <v>41</v>
      </c>
      <c r="E61" t="s">
        <v>42</v>
      </c>
      <c r="F61" t="s">
        <v>43</v>
      </c>
      <c r="G61">
        <v>23</v>
      </c>
      <c r="H61" s="4">
        <v>50.96</v>
      </c>
      <c r="I61">
        <v>1172.08</v>
      </c>
      <c r="J61">
        <v>61</v>
      </c>
      <c r="K61">
        <v>375.08</v>
      </c>
      <c r="L61" t="s">
        <v>44</v>
      </c>
      <c r="M61" t="s">
        <v>31</v>
      </c>
      <c r="N61" t="s">
        <v>45</v>
      </c>
      <c r="O61">
        <f>_xlfn.XLOOKUP(E61,Product_Master!$B$2:$B$11,Product_Master!$F$2:$F$11)</f>
        <v>32</v>
      </c>
      <c r="P61">
        <f t="shared" si="0"/>
        <v>736</v>
      </c>
      <c r="Q61" s="5">
        <f t="shared" si="1"/>
        <v>0.32001228585079516</v>
      </c>
    </row>
    <row r="62" spans="1:17" x14ac:dyDescent="0.3">
      <c r="A62" t="s">
        <v>176</v>
      </c>
      <c r="B62" t="s">
        <v>104</v>
      </c>
      <c r="C62" t="s">
        <v>177</v>
      </c>
      <c r="D62" t="s">
        <v>91</v>
      </c>
      <c r="E62" t="s">
        <v>49</v>
      </c>
      <c r="F62" t="s">
        <v>50</v>
      </c>
      <c r="G62">
        <v>46</v>
      </c>
      <c r="H62" s="4">
        <v>70.599999999999994</v>
      </c>
      <c r="I62">
        <v>3247.6</v>
      </c>
      <c r="J62">
        <v>166.91</v>
      </c>
      <c r="K62">
        <v>1240.69</v>
      </c>
      <c r="L62" t="s">
        <v>44</v>
      </c>
      <c r="M62" t="s">
        <v>31</v>
      </c>
      <c r="N62" t="s">
        <v>66</v>
      </c>
      <c r="O62">
        <f>_xlfn.XLOOKUP(E62,Product_Master!$B$2:$B$11,Product_Master!$F$2:$F$11)</f>
        <v>40</v>
      </c>
      <c r="P62">
        <f t="shared" si="0"/>
        <v>1840</v>
      </c>
      <c r="Q62" s="5">
        <f t="shared" si="1"/>
        <v>0.3820328858233773</v>
      </c>
    </row>
    <row r="63" spans="1:17" x14ac:dyDescent="0.3">
      <c r="A63" t="s">
        <v>178</v>
      </c>
      <c r="B63" t="s">
        <v>71</v>
      </c>
      <c r="C63" t="s">
        <v>108</v>
      </c>
      <c r="D63" t="s">
        <v>91</v>
      </c>
      <c r="E63" t="s">
        <v>49</v>
      </c>
      <c r="F63" t="s">
        <v>50</v>
      </c>
      <c r="G63">
        <v>15</v>
      </c>
      <c r="H63" s="4">
        <v>53.36</v>
      </c>
      <c r="I63">
        <v>800.4</v>
      </c>
      <c r="J63">
        <v>56.29</v>
      </c>
      <c r="K63">
        <v>144.11000000000001</v>
      </c>
      <c r="L63" t="s">
        <v>22</v>
      </c>
      <c r="M63" t="s">
        <v>23</v>
      </c>
      <c r="N63" t="s">
        <v>66</v>
      </c>
      <c r="O63">
        <f>_xlfn.XLOOKUP(E63,Product_Master!$B$2:$B$11,Product_Master!$F$2:$F$11)</f>
        <v>40</v>
      </c>
      <c r="P63">
        <f t="shared" si="0"/>
        <v>600</v>
      </c>
      <c r="Q63" s="5">
        <f t="shared" si="1"/>
        <v>0.18004747626186909</v>
      </c>
    </row>
    <row r="64" spans="1:17" x14ac:dyDescent="0.3">
      <c r="A64" t="s">
        <v>179</v>
      </c>
      <c r="B64" t="s">
        <v>86</v>
      </c>
      <c r="C64" t="s">
        <v>180</v>
      </c>
      <c r="D64" t="s">
        <v>147</v>
      </c>
      <c r="E64" t="s">
        <v>42</v>
      </c>
      <c r="F64" t="s">
        <v>43</v>
      </c>
      <c r="G64">
        <v>42</v>
      </c>
      <c r="H64" s="4">
        <v>39.840000000000003</v>
      </c>
      <c r="I64">
        <v>1673.28</v>
      </c>
      <c r="J64">
        <v>132.74</v>
      </c>
      <c r="K64">
        <v>196.54</v>
      </c>
      <c r="L64" t="s">
        <v>22</v>
      </c>
      <c r="M64" t="s">
        <v>37</v>
      </c>
      <c r="N64" t="s">
        <v>148</v>
      </c>
      <c r="O64">
        <f>_xlfn.XLOOKUP(E64,Product_Master!$B$2:$B$11,Product_Master!$F$2:$F$11)</f>
        <v>32</v>
      </c>
      <c r="P64">
        <f t="shared" si="0"/>
        <v>1344</v>
      </c>
      <c r="Q64" s="5">
        <f t="shared" si="1"/>
        <v>0.11745792694587875</v>
      </c>
    </row>
    <row r="65" spans="1:17" x14ac:dyDescent="0.3">
      <c r="A65" t="s">
        <v>181</v>
      </c>
      <c r="B65" t="s">
        <v>75</v>
      </c>
      <c r="C65" t="s">
        <v>164</v>
      </c>
      <c r="D65" t="s">
        <v>91</v>
      </c>
      <c r="E65" t="s">
        <v>64</v>
      </c>
      <c r="F65" t="s">
        <v>65</v>
      </c>
      <c r="G65">
        <v>31</v>
      </c>
      <c r="H65" s="4">
        <v>38.26</v>
      </c>
      <c r="I65">
        <v>1186.06</v>
      </c>
      <c r="J65">
        <v>69.33</v>
      </c>
      <c r="K65">
        <v>341.73</v>
      </c>
      <c r="L65" t="s">
        <v>30</v>
      </c>
      <c r="M65" t="s">
        <v>23</v>
      </c>
      <c r="N65" t="s">
        <v>66</v>
      </c>
      <c r="O65">
        <f>_xlfn.XLOOKUP(E65,Product_Master!$B$2:$B$11,Product_Master!$F$2:$F$11)</f>
        <v>25</v>
      </c>
      <c r="P65">
        <f t="shared" si="0"/>
        <v>775</v>
      </c>
      <c r="Q65" s="5">
        <f t="shared" si="1"/>
        <v>0.28812201743588017</v>
      </c>
    </row>
    <row r="66" spans="1:17" x14ac:dyDescent="0.3">
      <c r="A66" t="s">
        <v>182</v>
      </c>
      <c r="B66" t="s">
        <v>39</v>
      </c>
      <c r="C66" t="s">
        <v>166</v>
      </c>
      <c r="D66" t="s">
        <v>123</v>
      </c>
      <c r="E66" t="s">
        <v>69</v>
      </c>
      <c r="F66" t="s">
        <v>59</v>
      </c>
      <c r="G66">
        <v>2</v>
      </c>
      <c r="H66" s="4">
        <v>23.09</v>
      </c>
      <c r="I66">
        <v>46.18</v>
      </c>
      <c r="J66">
        <v>2.52</v>
      </c>
      <c r="K66">
        <v>12.66</v>
      </c>
      <c r="L66" t="s">
        <v>30</v>
      </c>
      <c r="M66" t="s">
        <v>31</v>
      </c>
      <c r="N66" t="s">
        <v>32</v>
      </c>
      <c r="O66">
        <f>_xlfn.XLOOKUP(E66,Product_Master!$B$2:$B$11,Product_Master!$F$2:$F$11)</f>
        <v>15.5</v>
      </c>
      <c r="P66">
        <f t="shared" si="0"/>
        <v>31</v>
      </c>
      <c r="Q66" s="5">
        <f t="shared" si="1"/>
        <v>0.27414465136422694</v>
      </c>
    </row>
    <row r="67" spans="1:17" x14ac:dyDescent="0.3">
      <c r="A67" t="s">
        <v>183</v>
      </c>
      <c r="B67" t="s">
        <v>78</v>
      </c>
      <c r="C67" t="s">
        <v>57</v>
      </c>
      <c r="D67" t="s">
        <v>88</v>
      </c>
      <c r="E67" t="s">
        <v>42</v>
      </c>
      <c r="F67" t="s">
        <v>43</v>
      </c>
      <c r="G67">
        <v>40</v>
      </c>
      <c r="H67" s="4">
        <v>46.81</v>
      </c>
      <c r="I67">
        <v>1872.4</v>
      </c>
      <c r="J67">
        <v>43.01</v>
      </c>
      <c r="K67">
        <v>549.39</v>
      </c>
      <c r="L67" t="s">
        <v>22</v>
      </c>
      <c r="M67" t="s">
        <v>37</v>
      </c>
      <c r="N67" t="s">
        <v>66</v>
      </c>
      <c r="O67">
        <f>_xlfn.XLOOKUP(E67,Product_Master!$B$2:$B$11,Product_Master!$F$2:$F$11)</f>
        <v>32</v>
      </c>
      <c r="P67">
        <f t="shared" ref="P67:P130" si="2">G67*O67</f>
        <v>1280</v>
      </c>
      <c r="Q67" s="5">
        <f t="shared" ref="Q67:Q130" si="3">K67/I67</f>
        <v>0.29341486861781668</v>
      </c>
    </row>
    <row r="68" spans="1:17" x14ac:dyDescent="0.3">
      <c r="A68" t="s">
        <v>184</v>
      </c>
      <c r="B68" t="s">
        <v>104</v>
      </c>
      <c r="C68" t="s">
        <v>185</v>
      </c>
      <c r="D68" t="s">
        <v>63</v>
      </c>
      <c r="E68" t="s">
        <v>42</v>
      </c>
      <c r="F68" t="s">
        <v>43</v>
      </c>
      <c r="G68">
        <v>43</v>
      </c>
      <c r="H68" s="4">
        <v>57.01</v>
      </c>
      <c r="I68">
        <v>2451.4299999999998</v>
      </c>
      <c r="J68">
        <v>115.04</v>
      </c>
      <c r="K68">
        <v>960.39</v>
      </c>
      <c r="L68" t="s">
        <v>30</v>
      </c>
      <c r="M68" t="s">
        <v>23</v>
      </c>
      <c r="N68" t="s">
        <v>66</v>
      </c>
      <c r="O68">
        <f>_xlfn.XLOOKUP(E68,Product_Master!$B$2:$B$11,Product_Master!$F$2:$F$11)</f>
        <v>32</v>
      </c>
      <c r="P68">
        <f t="shared" si="2"/>
        <v>1376</v>
      </c>
      <c r="Q68" s="5">
        <f t="shared" si="3"/>
        <v>0.39176725421488684</v>
      </c>
    </row>
    <row r="69" spans="1:17" x14ac:dyDescent="0.3">
      <c r="A69" t="s">
        <v>186</v>
      </c>
      <c r="B69" t="s">
        <v>86</v>
      </c>
      <c r="C69" t="s">
        <v>187</v>
      </c>
      <c r="D69" t="s">
        <v>53</v>
      </c>
      <c r="E69" t="s">
        <v>73</v>
      </c>
      <c r="F69" t="s">
        <v>43</v>
      </c>
      <c r="G69">
        <v>15</v>
      </c>
      <c r="H69" s="4">
        <v>22.23</v>
      </c>
      <c r="I69">
        <v>333.45</v>
      </c>
      <c r="J69">
        <v>16.89</v>
      </c>
      <c r="K69">
        <v>125.31</v>
      </c>
      <c r="L69" t="s">
        <v>44</v>
      </c>
      <c r="M69" t="s">
        <v>31</v>
      </c>
      <c r="N69" t="s">
        <v>24</v>
      </c>
      <c r="O69">
        <f>_xlfn.XLOOKUP(E69,Product_Master!$B$2:$B$11,Product_Master!$F$2:$F$11)</f>
        <v>12.75</v>
      </c>
      <c r="P69">
        <f t="shared" si="2"/>
        <v>191.25</v>
      </c>
      <c r="Q69" s="5">
        <f t="shared" si="3"/>
        <v>0.37579847053531268</v>
      </c>
    </row>
    <row r="70" spans="1:17" x14ac:dyDescent="0.3">
      <c r="A70" t="s">
        <v>188</v>
      </c>
      <c r="B70" t="s">
        <v>71</v>
      </c>
      <c r="C70" t="s">
        <v>189</v>
      </c>
      <c r="D70" t="s">
        <v>123</v>
      </c>
      <c r="E70" t="s">
        <v>69</v>
      </c>
      <c r="F70" t="s">
        <v>59</v>
      </c>
      <c r="G70">
        <v>15</v>
      </c>
      <c r="H70" s="4">
        <v>19.23</v>
      </c>
      <c r="I70">
        <v>288.45</v>
      </c>
      <c r="J70">
        <v>20.22</v>
      </c>
      <c r="K70">
        <v>35.729999999999997</v>
      </c>
      <c r="L70" t="s">
        <v>22</v>
      </c>
      <c r="M70" t="s">
        <v>23</v>
      </c>
      <c r="N70" t="s">
        <v>32</v>
      </c>
      <c r="O70">
        <f>_xlfn.XLOOKUP(E70,Product_Master!$B$2:$B$11,Product_Master!$F$2:$F$11)</f>
        <v>15.5</v>
      </c>
      <c r="P70">
        <f t="shared" si="2"/>
        <v>232.5</v>
      </c>
      <c r="Q70" s="5">
        <f t="shared" si="3"/>
        <v>0.12386895475819032</v>
      </c>
    </row>
    <row r="71" spans="1:17" x14ac:dyDescent="0.3">
      <c r="A71" t="s">
        <v>190</v>
      </c>
      <c r="B71" t="s">
        <v>56</v>
      </c>
      <c r="C71" t="s">
        <v>110</v>
      </c>
      <c r="D71" t="s">
        <v>36</v>
      </c>
      <c r="E71" t="s">
        <v>98</v>
      </c>
      <c r="F71" t="s">
        <v>59</v>
      </c>
      <c r="G71">
        <v>34</v>
      </c>
      <c r="H71" s="4">
        <v>45.54</v>
      </c>
      <c r="I71">
        <v>1548.36</v>
      </c>
      <c r="J71">
        <v>36.76</v>
      </c>
      <c r="K71">
        <v>559.6</v>
      </c>
      <c r="L71" t="s">
        <v>22</v>
      </c>
      <c r="M71" t="s">
        <v>23</v>
      </c>
      <c r="N71" t="s">
        <v>32</v>
      </c>
      <c r="O71">
        <f>_xlfn.XLOOKUP(E71,Product_Master!$B$2:$B$11,Product_Master!$F$2:$F$11)</f>
        <v>28</v>
      </c>
      <c r="P71">
        <f t="shared" si="2"/>
        <v>952</v>
      </c>
      <c r="Q71" s="5">
        <f t="shared" si="3"/>
        <v>0.36141465808984996</v>
      </c>
    </row>
    <row r="72" spans="1:17" x14ac:dyDescent="0.3">
      <c r="A72" t="s">
        <v>191</v>
      </c>
      <c r="B72" t="s">
        <v>71</v>
      </c>
      <c r="C72" t="s">
        <v>192</v>
      </c>
      <c r="D72" t="s">
        <v>123</v>
      </c>
      <c r="E72" t="s">
        <v>49</v>
      </c>
      <c r="F72" t="s">
        <v>50</v>
      </c>
      <c r="G72">
        <v>33</v>
      </c>
      <c r="H72" s="4">
        <v>63.88</v>
      </c>
      <c r="I72">
        <v>2108.04</v>
      </c>
      <c r="J72">
        <v>111.7</v>
      </c>
      <c r="K72">
        <v>676.34</v>
      </c>
      <c r="L72" t="s">
        <v>22</v>
      </c>
      <c r="M72" t="s">
        <v>37</v>
      </c>
      <c r="N72" t="s">
        <v>32</v>
      </c>
      <c r="O72">
        <f>_xlfn.XLOOKUP(E72,Product_Master!$B$2:$B$11,Product_Master!$F$2:$F$11)</f>
        <v>40</v>
      </c>
      <c r="P72">
        <f t="shared" si="2"/>
        <v>1320</v>
      </c>
      <c r="Q72" s="5">
        <f t="shared" si="3"/>
        <v>0.32083831426348647</v>
      </c>
    </row>
    <row r="73" spans="1:17" x14ac:dyDescent="0.3">
      <c r="A73" t="s">
        <v>193</v>
      </c>
      <c r="B73" t="s">
        <v>56</v>
      </c>
      <c r="C73" t="s">
        <v>108</v>
      </c>
      <c r="D73" t="s">
        <v>170</v>
      </c>
      <c r="E73" t="s">
        <v>29</v>
      </c>
      <c r="F73" t="s">
        <v>21</v>
      </c>
      <c r="G73">
        <v>39</v>
      </c>
      <c r="H73" s="4">
        <v>25.38</v>
      </c>
      <c r="I73">
        <v>989.82</v>
      </c>
      <c r="J73">
        <v>50.82</v>
      </c>
      <c r="K73">
        <v>237</v>
      </c>
      <c r="L73" t="s">
        <v>30</v>
      </c>
      <c r="M73" t="s">
        <v>31</v>
      </c>
      <c r="N73" t="s">
        <v>32</v>
      </c>
      <c r="O73">
        <f>_xlfn.XLOOKUP(E73,Product_Master!$B$2:$B$11,Product_Master!$F$2:$F$11)</f>
        <v>18</v>
      </c>
      <c r="P73">
        <f t="shared" si="2"/>
        <v>702</v>
      </c>
      <c r="Q73" s="5">
        <f t="shared" si="3"/>
        <v>0.23943747348002667</v>
      </c>
    </row>
    <row r="74" spans="1:17" x14ac:dyDescent="0.3">
      <c r="A74" t="s">
        <v>194</v>
      </c>
      <c r="B74" t="s">
        <v>56</v>
      </c>
      <c r="C74" t="s">
        <v>195</v>
      </c>
      <c r="D74" t="s">
        <v>196</v>
      </c>
      <c r="E74" t="s">
        <v>64</v>
      </c>
      <c r="F74" t="s">
        <v>65</v>
      </c>
      <c r="G74">
        <v>9</v>
      </c>
      <c r="H74" s="4">
        <v>38.979999999999997</v>
      </c>
      <c r="I74">
        <v>350.82</v>
      </c>
      <c r="J74">
        <v>25.56</v>
      </c>
      <c r="K74">
        <v>100.26</v>
      </c>
      <c r="L74" t="s">
        <v>22</v>
      </c>
      <c r="M74" t="s">
        <v>23</v>
      </c>
      <c r="N74" t="s">
        <v>66</v>
      </c>
      <c r="O74">
        <f>_xlfn.XLOOKUP(E74,Product_Master!$B$2:$B$11,Product_Master!$F$2:$F$11)</f>
        <v>25</v>
      </c>
      <c r="P74">
        <f t="shared" si="2"/>
        <v>225</v>
      </c>
      <c r="Q74" s="5">
        <f t="shared" si="3"/>
        <v>0.28578758337609034</v>
      </c>
    </row>
    <row r="75" spans="1:17" x14ac:dyDescent="0.3">
      <c r="A75" t="s">
        <v>197</v>
      </c>
      <c r="B75" t="s">
        <v>39</v>
      </c>
      <c r="C75" t="s">
        <v>198</v>
      </c>
      <c r="D75" t="s">
        <v>101</v>
      </c>
      <c r="E75" t="s">
        <v>54</v>
      </c>
      <c r="F75" t="s">
        <v>43</v>
      </c>
      <c r="G75">
        <v>14</v>
      </c>
      <c r="H75" s="4">
        <v>35.86</v>
      </c>
      <c r="I75">
        <v>502.04</v>
      </c>
      <c r="J75">
        <v>40.130000000000003</v>
      </c>
      <c r="K75">
        <v>181.91</v>
      </c>
      <c r="L75" t="s">
        <v>44</v>
      </c>
      <c r="M75" t="s">
        <v>37</v>
      </c>
      <c r="N75" t="s">
        <v>102</v>
      </c>
      <c r="O75">
        <f>_xlfn.XLOOKUP(E75,Product_Master!$B$2:$B$11,Product_Master!$F$2:$F$11)</f>
        <v>20</v>
      </c>
      <c r="P75">
        <f t="shared" si="2"/>
        <v>280</v>
      </c>
      <c r="Q75" s="5">
        <f t="shared" si="3"/>
        <v>0.36234164608397734</v>
      </c>
    </row>
    <row r="76" spans="1:17" x14ac:dyDescent="0.3">
      <c r="A76" t="s">
        <v>199</v>
      </c>
      <c r="B76" t="s">
        <v>157</v>
      </c>
      <c r="C76" t="s">
        <v>200</v>
      </c>
      <c r="D76" t="s">
        <v>91</v>
      </c>
      <c r="E76" t="s">
        <v>69</v>
      </c>
      <c r="F76" t="s">
        <v>59</v>
      </c>
      <c r="G76">
        <v>49</v>
      </c>
      <c r="H76" s="4">
        <v>21.37</v>
      </c>
      <c r="I76">
        <v>1047.1300000000001</v>
      </c>
      <c r="J76">
        <v>65.98</v>
      </c>
      <c r="K76">
        <v>221.65</v>
      </c>
      <c r="L76" t="s">
        <v>44</v>
      </c>
      <c r="M76" t="s">
        <v>37</v>
      </c>
      <c r="N76" t="s">
        <v>66</v>
      </c>
      <c r="O76">
        <f>_xlfn.XLOOKUP(E76,Product_Master!$B$2:$B$11,Product_Master!$F$2:$F$11)</f>
        <v>15.5</v>
      </c>
      <c r="P76">
        <f t="shared" si="2"/>
        <v>759.5</v>
      </c>
      <c r="Q76" s="5">
        <f t="shared" si="3"/>
        <v>0.21167381318460934</v>
      </c>
    </row>
    <row r="77" spans="1:17" x14ac:dyDescent="0.3">
      <c r="A77" t="s">
        <v>201</v>
      </c>
      <c r="B77" t="s">
        <v>104</v>
      </c>
      <c r="C77" t="s">
        <v>202</v>
      </c>
      <c r="D77" t="s">
        <v>53</v>
      </c>
      <c r="E77" t="s">
        <v>29</v>
      </c>
      <c r="F77" t="s">
        <v>21</v>
      </c>
      <c r="G77">
        <v>42</v>
      </c>
      <c r="H77" s="4">
        <v>24.57</v>
      </c>
      <c r="I77">
        <v>1031.94</v>
      </c>
      <c r="J77">
        <v>56.45</v>
      </c>
      <c r="K77">
        <v>219.49</v>
      </c>
      <c r="L77" t="s">
        <v>30</v>
      </c>
      <c r="M77" t="s">
        <v>23</v>
      </c>
      <c r="N77" t="s">
        <v>24</v>
      </c>
      <c r="O77">
        <f>_xlfn.XLOOKUP(E77,Product_Master!$B$2:$B$11,Product_Master!$F$2:$F$11)</f>
        <v>18</v>
      </c>
      <c r="P77">
        <f t="shared" si="2"/>
        <v>756</v>
      </c>
      <c r="Q77" s="5">
        <f t="shared" si="3"/>
        <v>0.2126964746012365</v>
      </c>
    </row>
    <row r="78" spans="1:17" x14ac:dyDescent="0.3">
      <c r="A78" t="s">
        <v>203</v>
      </c>
      <c r="B78" t="s">
        <v>132</v>
      </c>
      <c r="C78" t="s">
        <v>202</v>
      </c>
      <c r="D78" t="s">
        <v>81</v>
      </c>
      <c r="E78" t="s">
        <v>29</v>
      </c>
      <c r="F78" t="s">
        <v>21</v>
      </c>
      <c r="G78">
        <v>42</v>
      </c>
      <c r="H78" s="4">
        <v>26.39</v>
      </c>
      <c r="I78">
        <v>1108.3800000000001</v>
      </c>
      <c r="J78">
        <v>44.56</v>
      </c>
      <c r="K78">
        <v>307.82</v>
      </c>
      <c r="L78" t="s">
        <v>30</v>
      </c>
      <c r="M78" t="s">
        <v>23</v>
      </c>
      <c r="N78" t="s">
        <v>66</v>
      </c>
      <c r="O78">
        <f>_xlfn.XLOOKUP(E78,Product_Master!$B$2:$B$11,Product_Master!$F$2:$F$11)</f>
        <v>18</v>
      </c>
      <c r="P78">
        <f t="shared" si="2"/>
        <v>756</v>
      </c>
      <c r="Q78" s="5">
        <f t="shared" si="3"/>
        <v>0.27772063732654861</v>
      </c>
    </row>
    <row r="79" spans="1:17" x14ac:dyDescent="0.3">
      <c r="A79" t="s">
        <v>204</v>
      </c>
      <c r="B79" t="s">
        <v>132</v>
      </c>
      <c r="C79" t="s">
        <v>200</v>
      </c>
      <c r="D79" t="s">
        <v>48</v>
      </c>
      <c r="E79" t="s">
        <v>54</v>
      </c>
      <c r="F79" t="s">
        <v>43</v>
      </c>
      <c r="G79">
        <v>50</v>
      </c>
      <c r="H79" s="4">
        <v>29.73</v>
      </c>
      <c r="I79">
        <v>1486.5</v>
      </c>
      <c r="J79">
        <v>96.77</v>
      </c>
      <c r="K79">
        <v>389.73</v>
      </c>
      <c r="L79" t="s">
        <v>44</v>
      </c>
      <c r="M79" t="s">
        <v>23</v>
      </c>
      <c r="N79" t="s">
        <v>24</v>
      </c>
      <c r="O79">
        <f>_xlfn.XLOOKUP(E79,Product_Master!$B$2:$B$11,Product_Master!$F$2:$F$11)</f>
        <v>20</v>
      </c>
      <c r="P79">
        <f t="shared" si="2"/>
        <v>1000</v>
      </c>
      <c r="Q79" s="5">
        <f t="shared" si="3"/>
        <v>0.26217961654894045</v>
      </c>
    </row>
    <row r="80" spans="1:17" x14ac:dyDescent="0.3">
      <c r="A80" t="s">
        <v>205</v>
      </c>
      <c r="B80" t="s">
        <v>104</v>
      </c>
      <c r="C80" t="s">
        <v>198</v>
      </c>
      <c r="D80" t="s">
        <v>63</v>
      </c>
      <c r="E80" t="s">
        <v>69</v>
      </c>
      <c r="F80" t="s">
        <v>59</v>
      </c>
      <c r="G80">
        <v>39</v>
      </c>
      <c r="H80" s="4">
        <v>20.56</v>
      </c>
      <c r="I80">
        <v>801.84</v>
      </c>
      <c r="J80">
        <v>43.55</v>
      </c>
      <c r="K80">
        <v>153.79</v>
      </c>
      <c r="L80" t="s">
        <v>22</v>
      </c>
      <c r="M80" t="s">
        <v>23</v>
      </c>
      <c r="N80" t="s">
        <v>66</v>
      </c>
      <c r="O80">
        <f>_xlfn.XLOOKUP(E80,Product_Master!$B$2:$B$11,Product_Master!$F$2:$F$11)</f>
        <v>15.5</v>
      </c>
      <c r="P80">
        <f t="shared" si="2"/>
        <v>604.5</v>
      </c>
      <c r="Q80" s="5">
        <f t="shared" si="3"/>
        <v>0.19179636835278857</v>
      </c>
    </row>
    <row r="81" spans="1:17" x14ac:dyDescent="0.3">
      <c r="A81" t="s">
        <v>206</v>
      </c>
      <c r="B81" t="s">
        <v>157</v>
      </c>
      <c r="C81" t="s">
        <v>27</v>
      </c>
      <c r="D81" t="s">
        <v>63</v>
      </c>
      <c r="E81" t="s">
        <v>69</v>
      </c>
      <c r="F81" t="s">
        <v>59</v>
      </c>
      <c r="G81">
        <v>48</v>
      </c>
      <c r="H81" s="4">
        <v>24.36</v>
      </c>
      <c r="I81">
        <v>1169.28</v>
      </c>
      <c r="J81">
        <v>81.599999999999994</v>
      </c>
      <c r="K81">
        <v>343.68</v>
      </c>
      <c r="L81" t="s">
        <v>44</v>
      </c>
      <c r="M81" t="s">
        <v>37</v>
      </c>
      <c r="N81" t="s">
        <v>66</v>
      </c>
      <c r="O81">
        <f>_xlfn.XLOOKUP(E81,Product_Master!$B$2:$B$11,Product_Master!$F$2:$F$11)</f>
        <v>15.5</v>
      </c>
      <c r="P81">
        <f t="shared" si="2"/>
        <v>744</v>
      </c>
      <c r="Q81" s="5">
        <f t="shared" si="3"/>
        <v>0.29392446633825947</v>
      </c>
    </row>
    <row r="82" spans="1:17" x14ac:dyDescent="0.3">
      <c r="A82" t="s">
        <v>207</v>
      </c>
      <c r="B82" t="s">
        <v>68</v>
      </c>
      <c r="C82" t="s">
        <v>208</v>
      </c>
      <c r="D82" t="s">
        <v>170</v>
      </c>
      <c r="E82" t="s">
        <v>58</v>
      </c>
      <c r="F82" t="s">
        <v>59</v>
      </c>
      <c r="G82">
        <v>40</v>
      </c>
      <c r="H82" s="4">
        <v>27.95</v>
      </c>
      <c r="I82">
        <v>1118</v>
      </c>
      <c r="J82">
        <v>37.590000000000003</v>
      </c>
      <c r="K82">
        <v>180.41</v>
      </c>
      <c r="L82" t="s">
        <v>44</v>
      </c>
      <c r="M82" t="s">
        <v>37</v>
      </c>
      <c r="N82" t="s">
        <v>32</v>
      </c>
      <c r="O82">
        <f>_xlfn.XLOOKUP(E82,Product_Master!$B$2:$B$11,Product_Master!$F$2:$F$11)</f>
        <v>22.5</v>
      </c>
      <c r="P82">
        <f t="shared" si="2"/>
        <v>900</v>
      </c>
      <c r="Q82" s="5">
        <f t="shared" si="3"/>
        <v>0.16136851520572451</v>
      </c>
    </row>
    <row r="83" spans="1:17" x14ac:dyDescent="0.3">
      <c r="A83" t="s">
        <v>209</v>
      </c>
      <c r="B83" t="s">
        <v>26</v>
      </c>
      <c r="C83" t="s">
        <v>137</v>
      </c>
      <c r="D83" t="s">
        <v>196</v>
      </c>
      <c r="E83" t="s">
        <v>98</v>
      </c>
      <c r="F83" t="s">
        <v>59</v>
      </c>
      <c r="G83">
        <v>21</v>
      </c>
      <c r="H83" s="4">
        <v>40.19</v>
      </c>
      <c r="I83">
        <v>843.99</v>
      </c>
      <c r="J83">
        <v>32.4</v>
      </c>
      <c r="K83">
        <v>223.59</v>
      </c>
      <c r="L83" t="s">
        <v>30</v>
      </c>
      <c r="M83" t="s">
        <v>31</v>
      </c>
      <c r="N83" t="s">
        <v>66</v>
      </c>
      <c r="O83">
        <f>_xlfn.XLOOKUP(E83,Product_Master!$B$2:$B$11,Product_Master!$F$2:$F$11)</f>
        <v>28</v>
      </c>
      <c r="P83">
        <f t="shared" si="2"/>
        <v>588</v>
      </c>
      <c r="Q83" s="5">
        <f t="shared" si="3"/>
        <v>0.26492020047630899</v>
      </c>
    </row>
    <row r="84" spans="1:17" x14ac:dyDescent="0.3">
      <c r="A84" t="s">
        <v>210</v>
      </c>
      <c r="B84" t="s">
        <v>56</v>
      </c>
      <c r="C84" t="s">
        <v>105</v>
      </c>
      <c r="D84" t="s">
        <v>81</v>
      </c>
      <c r="E84" t="s">
        <v>73</v>
      </c>
      <c r="F84" t="s">
        <v>43</v>
      </c>
      <c r="G84">
        <v>26</v>
      </c>
      <c r="H84" s="4">
        <v>16.670000000000002</v>
      </c>
      <c r="I84">
        <v>433.42</v>
      </c>
      <c r="J84">
        <v>32.79</v>
      </c>
      <c r="K84">
        <v>69.13</v>
      </c>
      <c r="L84" t="s">
        <v>44</v>
      </c>
      <c r="M84" t="s">
        <v>31</v>
      </c>
      <c r="N84" t="s">
        <v>66</v>
      </c>
      <c r="O84">
        <f>_xlfn.XLOOKUP(E84,Product_Master!$B$2:$B$11,Product_Master!$F$2:$F$11)</f>
        <v>12.75</v>
      </c>
      <c r="P84">
        <f t="shared" si="2"/>
        <v>331.5</v>
      </c>
      <c r="Q84" s="5">
        <f t="shared" si="3"/>
        <v>0.15949886945687783</v>
      </c>
    </row>
    <row r="85" spans="1:17" x14ac:dyDescent="0.3">
      <c r="A85" t="s">
        <v>211</v>
      </c>
      <c r="B85" t="s">
        <v>132</v>
      </c>
      <c r="C85" t="s">
        <v>212</v>
      </c>
      <c r="D85" t="s">
        <v>41</v>
      </c>
      <c r="E85" t="s">
        <v>42</v>
      </c>
      <c r="F85" t="s">
        <v>43</v>
      </c>
      <c r="G85">
        <v>28</v>
      </c>
      <c r="H85" s="4">
        <v>39.85</v>
      </c>
      <c r="I85">
        <v>1115.8</v>
      </c>
      <c r="J85">
        <v>43.87</v>
      </c>
      <c r="K85">
        <v>175.93</v>
      </c>
      <c r="L85" t="s">
        <v>44</v>
      </c>
      <c r="M85" t="s">
        <v>23</v>
      </c>
      <c r="N85" t="s">
        <v>45</v>
      </c>
      <c r="O85">
        <f>_xlfn.XLOOKUP(E85,Product_Master!$B$2:$B$11,Product_Master!$F$2:$F$11)</f>
        <v>32</v>
      </c>
      <c r="P85">
        <f t="shared" si="2"/>
        <v>896</v>
      </c>
      <c r="Q85" s="5">
        <f t="shared" si="3"/>
        <v>0.15767162573937982</v>
      </c>
    </row>
    <row r="86" spans="1:17" x14ac:dyDescent="0.3">
      <c r="A86" t="s">
        <v>213</v>
      </c>
      <c r="B86" t="s">
        <v>132</v>
      </c>
      <c r="C86" t="s">
        <v>212</v>
      </c>
      <c r="D86" t="s">
        <v>53</v>
      </c>
      <c r="E86" t="s">
        <v>73</v>
      </c>
      <c r="F86" t="s">
        <v>43</v>
      </c>
      <c r="G86">
        <v>47</v>
      </c>
      <c r="H86" s="4">
        <v>15.97</v>
      </c>
      <c r="I86">
        <v>750.59</v>
      </c>
      <c r="J86">
        <v>48.55</v>
      </c>
      <c r="K86">
        <v>102.79</v>
      </c>
      <c r="L86" t="s">
        <v>44</v>
      </c>
      <c r="M86" t="s">
        <v>37</v>
      </c>
      <c r="N86" t="s">
        <v>24</v>
      </c>
      <c r="O86">
        <f>_xlfn.XLOOKUP(E86,Product_Master!$B$2:$B$11,Product_Master!$F$2:$F$11)</f>
        <v>12.75</v>
      </c>
      <c r="P86">
        <f t="shared" si="2"/>
        <v>599.25</v>
      </c>
      <c r="Q86" s="5">
        <f t="shared" si="3"/>
        <v>0.13694560279246992</v>
      </c>
    </row>
    <row r="87" spans="1:17" x14ac:dyDescent="0.3">
      <c r="A87" t="s">
        <v>214</v>
      </c>
      <c r="B87" t="s">
        <v>132</v>
      </c>
      <c r="C87" t="s">
        <v>153</v>
      </c>
      <c r="D87" t="s">
        <v>63</v>
      </c>
      <c r="E87" t="s">
        <v>49</v>
      </c>
      <c r="F87" t="s">
        <v>50</v>
      </c>
      <c r="G87">
        <v>28</v>
      </c>
      <c r="H87" s="4">
        <v>53.6</v>
      </c>
      <c r="I87">
        <v>1500.8</v>
      </c>
      <c r="J87">
        <v>68.55</v>
      </c>
      <c r="K87">
        <v>312.25</v>
      </c>
      <c r="L87" t="s">
        <v>30</v>
      </c>
      <c r="M87" t="s">
        <v>31</v>
      </c>
      <c r="N87" t="s">
        <v>66</v>
      </c>
      <c r="O87">
        <f>_xlfn.XLOOKUP(E87,Product_Master!$B$2:$B$11,Product_Master!$F$2:$F$11)</f>
        <v>40</v>
      </c>
      <c r="P87">
        <f t="shared" si="2"/>
        <v>1120</v>
      </c>
      <c r="Q87" s="5">
        <f t="shared" si="3"/>
        <v>0.20805570362473347</v>
      </c>
    </row>
    <row r="88" spans="1:17" x14ac:dyDescent="0.3">
      <c r="A88" t="s">
        <v>215</v>
      </c>
      <c r="B88" t="s">
        <v>78</v>
      </c>
      <c r="C88" t="s">
        <v>125</v>
      </c>
      <c r="D88" t="s">
        <v>196</v>
      </c>
      <c r="E88" t="s">
        <v>98</v>
      </c>
      <c r="F88" t="s">
        <v>59</v>
      </c>
      <c r="G88">
        <v>37</v>
      </c>
      <c r="H88" s="4">
        <v>40.049999999999997</v>
      </c>
      <c r="I88">
        <v>1481.85</v>
      </c>
      <c r="J88">
        <v>45.6</v>
      </c>
      <c r="K88">
        <v>400.25</v>
      </c>
      <c r="L88" t="s">
        <v>22</v>
      </c>
      <c r="M88" t="s">
        <v>37</v>
      </c>
      <c r="N88" t="s">
        <v>66</v>
      </c>
      <c r="O88">
        <f>_xlfn.XLOOKUP(E88,Product_Master!$B$2:$B$11,Product_Master!$F$2:$F$11)</f>
        <v>28</v>
      </c>
      <c r="P88">
        <f t="shared" si="2"/>
        <v>1036</v>
      </c>
      <c r="Q88" s="5">
        <f t="shared" si="3"/>
        <v>0.2701015622363937</v>
      </c>
    </row>
    <row r="89" spans="1:17" x14ac:dyDescent="0.3">
      <c r="A89" t="s">
        <v>216</v>
      </c>
      <c r="B89" t="s">
        <v>26</v>
      </c>
      <c r="C89" t="s">
        <v>158</v>
      </c>
      <c r="D89" t="s">
        <v>36</v>
      </c>
      <c r="E89" t="s">
        <v>20</v>
      </c>
      <c r="F89" t="s">
        <v>21</v>
      </c>
      <c r="G89">
        <v>45</v>
      </c>
      <c r="H89" s="4">
        <v>43.74</v>
      </c>
      <c r="I89">
        <v>1968.3</v>
      </c>
      <c r="J89">
        <v>80.55</v>
      </c>
      <c r="K89">
        <v>312.75</v>
      </c>
      <c r="L89" t="s">
        <v>30</v>
      </c>
      <c r="M89" t="s">
        <v>37</v>
      </c>
      <c r="N89" t="s">
        <v>32</v>
      </c>
      <c r="O89">
        <f>_xlfn.XLOOKUP(E89,Product_Master!$B$2:$B$11,Product_Master!$F$2:$F$11)</f>
        <v>35</v>
      </c>
      <c r="P89">
        <f t="shared" si="2"/>
        <v>1575</v>
      </c>
      <c r="Q89" s="5">
        <f t="shared" si="3"/>
        <v>0.15889346136259716</v>
      </c>
    </row>
    <row r="90" spans="1:17" x14ac:dyDescent="0.3">
      <c r="A90" t="s">
        <v>217</v>
      </c>
      <c r="B90" t="s">
        <v>104</v>
      </c>
      <c r="C90" t="s">
        <v>218</v>
      </c>
      <c r="D90" t="s">
        <v>28</v>
      </c>
      <c r="E90" t="s">
        <v>69</v>
      </c>
      <c r="F90" t="s">
        <v>59</v>
      </c>
      <c r="G90">
        <v>9</v>
      </c>
      <c r="H90" s="4">
        <v>24.63</v>
      </c>
      <c r="I90">
        <v>221.67</v>
      </c>
      <c r="J90">
        <v>13.53</v>
      </c>
      <c r="K90">
        <v>68.64</v>
      </c>
      <c r="L90" t="s">
        <v>30</v>
      </c>
      <c r="M90" t="s">
        <v>37</v>
      </c>
      <c r="N90" t="s">
        <v>32</v>
      </c>
      <c r="O90">
        <f>_xlfn.XLOOKUP(E90,Product_Master!$B$2:$B$11,Product_Master!$F$2:$F$11)</f>
        <v>15.5</v>
      </c>
      <c r="P90">
        <f t="shared" si="2"/>
        <v>139.5</v>
      </c>
      <c r="Q90" s="5">
        <f t="shared" si="3"/>
        <v>0.30964947895520373</v>
      </c>
    </row>
    <row r="91" spans="1:17" x14ac:dyDescent="0.3">
      <c r="A91" t="s">
        <v>219</v>
      </c>
      <c r="B91" t="s">
        <v>104</v>
      </c>
      <c r="C91" t="s">
        <v>47</v>
      </c>
      <c r="D91" t="s">
        <v>101</v>
      </c>
      <c r="E91" t="s">
        <v>69</v>
      </c>
      <c r="F91" t="s">
        <v>59</v>
      </c>
      <c r="G91">
        <v>6</v>
      </c>
      <c r="H91" s="4">
        <v>21.79</v>
      </c>
      <c r="I91">
        <v>130.74</v>
      </c>
      <c r="J91">
        <v>7.75</v>
      </c>
      <c r="K91">
        <v>29.99</v>
      </c>
      <c r="L91" t="s">
        <v>30</v>
      </c>
      <c r="M91" t="s">
        <v>37</v>
      </c>
      <c r="N91" t="s">
        <v>102</v>
      </c>
      <c r="O91">
        <f>_xlfn.XLOOKUP(E91,Product_Master!$B$2:$B$11,Product_Master!$F$2:$F$11)</f>
        <v>15.5</v>
      </c>
      <c r="P91">
        <f t="shared" si="2"/>
        <v>93</v>
      </c>
      <c r="Q91" s="5">
        <f t="shared" si="3"/>
        <v>0.22938656876242922</v>
      </c>
    </row>
    <row r="92" spans="1:17" x14ac:dyDescent="0.3">
      <c r="A92" t="s">
        <v>220</v>
      </c>
      <c r="B92" t="s">
        <v>95</v>
      </c>
      <c r="C92" t="s">
        <v>221</v>
      </c>
      <c r="D92" t="s">
        <v>123</v>
      </c>
      <c r="E92" t="s">
        <v>20</v>
      </c>
      <c r="F92" t="s">
        <v>21</v>
      </c>
      <c r="G92">
        <v>23</v>
      </c>
      <c r="H92" s="4">
        <v>58.43</v>
      </c>
      <c r="I92">
        <v>1343.89</v>
      </c>
      <c r="J92">
        <v>38.729999999999997</v>
      </c>
      <c r="K92">
        <v>500.16</v>
      </c>
      <c r="L92" t="s">
        <v>30</v>
      </c>
      <c r="M92" t="s">
        <v>23</v>
      </c>
      <c r="N92" t="s">
        <v>32</v>
      </c>
      <c r="O92">
        <f>_xlfn.XLOOKUP(E92,Product_Master!$B$2:$B$11,Product_Master!$F$2:$F$11)</f>
        <v>35</v>
      </c>
      <c r="P92">
        <f t="shared" si="2"/>
        <v>805</v>
      </c>
      <c r="Q92" s="5">
        <f t="shared" si="3"/>
        <v>0.37217331775666163</v>
      </c>
    </row>
    <row r="93" spans="1:17" x14ac:dyDescent="0.3">
      <c r="A93" t="s">
        <v>222</v>
      </c>
      <c r="B93" t="s">
        <v>68</v>
      </c>
      <c r="C93" t="s">
        <v>223</v>
      </c>
      <c r="D93" t="s">
        <v>81</v>
      </c>
      <c r="E93" t="s">
        <v>49</v>
      </c>
      <c r="F93" t="s">
        <v>50</v>
      </c>
      <c r="G93">
        <v>19</v>
      </c>
      <c r="H93" s="4">
        <v>67.06</v>
      </c>
      <c r="I93">
        <v>1274.1400000000001</v>
      </c>
      <c r="J93">
        <v>85.73</v>
      </c>
      <c r="K93">
        <v>428.41</v>
      </c>
      <c r="L93" t="s">
        <v>22</v>
      </c>
      <c r="M93" t="s">
        <v>31</v>
      </c>
      <c r="N93" t="s">
        <v>66</v>
      </c>
      <c r="O93">
        <f>_xlfn.XLOOKUP(E93,Product_Master!$B$2:$B$11,Product_Master!$F$2:$F$11)</f>
        <v>40</v>
      </c>
      <c r="P93">
        <f t="shared" si="2"/>
        <v>760</v>
      </c>
      <c r="Q93" s="5">
        <f t="shared" si="3"/>
        <v>0.33623463669612441</v>
      </c>
    </row>
    <row r="94" spans="1:17" x14ac:dyDescent="0.3">
      <c r="A94" t="s">
        <v>224</v>
      </c>
      <c r="B94" t="s">
        <v>95</v>
      </c>
      <c r="C94" t="s">
        <v>218</v>
      </c>
      <c r="D94" t="s">
        <v>36</v>
      </c>
      <c r="E94" t="s">
        <v>29</v>
      </c>
      <c r="F94" t="s">
        <v>21</v>
      </c>
      <c r="G94">
        <v>4</v>
      </c>
      <c r="H94" s="4">
        <v>25.13</v>
      </c>
      <c r="I94">
        <v>100.52</v>
      </c>
      <c r="J94">
        <v>5.6</v>
      </c>
      <c r="K94">
        <v>22.92</v>
      </c>
      <c r="L94" t="s">
        <v>30</v>
      </c>
      <c r="M94" t="s">
        <v>37</v>
      </c>
      <c r="N94" t="s">
        <v>32</v>
      </c>
      <c r="O94">
        <f>_xlfn.XLOOKUP(E94,Product_Master!$B$2:$B$11,Product_Master!$F$2:$F$11)</f>
        <v>18</v>
      </c>
      <c r="P94">
        <f t="shared" si="2"/>
        <v>72</v>
      </c>
      <c r="Q94" s="5">
        <f t="shared" si="3"/>
        <v>0.22801432550736175</v>
      </c>
    </row>
    <row r="95" spans="1:17" x14ac:dyDescent="0.3">
      <c r="A95" t="s">
        <v>225</v>
      </c>
      <c r="B95" t="s">
        <v>75</v>
      </c>
      <c r="C95" t="s">
        <v>226</v>
      </c>
      <c r="D95" t="s">
        <v>36</v>
      </c>
      <c r="E95" t="s">
        <v>69</v>
      </c>
      <c r="F95" t="s">
        <v>59</v>
      </c>
      <c r="G95">
        <v>26</v>
      </c>
      <c r="H95" s="4">
        <v>19.34</v>
      </c>
      <c r="I95">
        <v>502.84</v>
      </c>
      <c r="J95">
        <v>26.51</v>
      </c>
      <c r="K95">
        <v>73.33</v>
      </c>
      <c r="L95" t="s">
        <v>30</v>
      </c>
      <c r="M95" t="s">
        <v>23</v>
      </c>
      <c r="N95" t="s">
        <v>32</v>
      </c>
      <c r="O95">
        <f>_xlfn.XLOOKUP(E95,Product_Master!$B$2:$B$11,Product_Master!$F$2:$F$11)</f>
        <v>15.5</v>
      </c>
      <c r="P95">
        <f t="shared" si="2"/>
        <v>403</v>
      </c>
      <c r="Q95" s="5">
        <f t="shared" si="3"/>
        <v>0.14583167607986636</v>
      </c>
    </row>
    <row r="96" spans="1:17" x14ac:dyDescent="0.3">
      <c r="A96" t="s">
        <v>227</v>
      </c>
      <c r="B96" t="s">
        <v>68</v>
      </c>
      <c r="C96" t="s">
        <v>228</v>
      </c>
      <c r="D96" t="s">
        <v>101</v>
      </c>
      <c r="E96" t="s">
        <v>54</v>
      </c>
      <c r="F96" t="s">
        <v>43</v>
      </c>
      <c r="G96">
        <v>26</v>
      </c>
      <c r="H96" s="4">
        <v>35.81</v>
      </c>
      <c r="I96">
        <v>931.06</v>
      </c>
      <c r="J96">
        <v>61.06</v>
      </c>
      <c r="K96">
        <v>350</v>
      </c>
      <c r="L96" t="s">
        <v>22</v>
      </c>
      <c r="M96" t="s">
        <v>23</v>
      </c>
      <c r="N96" t="s">
        <v>102</v>
      </c>
      <c r="O96">
        <f>_xlfn.XLOOKUP(E96,Product_Master!$B$2:$B$11,Product_Master!$F$2:$F$11)</f>
        <v>20</v>
      </c>
      <c r="P96">
        <f t="shared" si="2"/>
        <v>520</v>
      </c>
      <c r="Q96" s="5">
        <f t="shared" si="3"/>
        <v>0.37591562305329412</v>
      </c>
    </row>
    <row r="97" spans="1:17" x14ac:dyDescent="0.3">
      <c r="A97" t="s">
        <v>229</v>
      </c>
      <c r="B97" t="s">
        <v>104</v>
      </c>
      <c r="C97" t="s">
        <v>230</v>
      </c>
      <c r="D97" t="s">
        <v>81</v>
      </c>
      <c r="E97" t="s">
        <v>58</v>
      </c>
      <c r="F97" t="s">
        <v>59</v>
      </c>
      <c r="G97">
        <v>42</v>
      </c>
      <c r="H97" s="4">
        <v>39.950000000000003</v>
      </c>
      <c r="I97">
        <v>1677.9</v>
      </c>
      <c r="J97">
        <v>93.95</v>
      </c>
      <c r="K97">
        <v>638.95000000000005</v>
      </c>
      <c r="L97" t="s">
        <v>30</v>
      </c>
      <c r="M97" t="s">
        <v>31</v>
      </c>
      <c r="N97" t="s">
        <v>66</v>
      </c>
      <c r="O97">
        <f>_xlfn.XLOOKUP(E97,Product_Master!$B$2:$B$11,Product_Master!$F$2:$F$11)</f>
        <v>22.5</v>
      </c>
      <c r="P97">
        <f t="shared" si="2"/>
        <v>945</v>
      </c>
      <c r="Q97" s="5">
        <f t="shared" si="3"/>
        <v>0.38080338518386081</v>
      </c>
    </row>
    <row r="98" spans="1:17" x14ac:dyDescent="0.3">
      <c r="A98" t="s">
        <v>231</v>
      </c>
      <c r="B98" t="s">
        <v>95</v>
      </c>
      <c r="C98" t="s">
        <v>105</v>
      </c>
      <c r="D98" t="s">
        <v>88</v>
      </c>
      <c r="E98" t="s">
        <v>20</v>
      </c>
      <c r="F98" t="s">
        <v>21</v>
      </c>
      <c r="G98">
        <v>38</v>
      </c>
      <c r="H98" s="4">
        <v>49.98</v>
      </c>
      <c r="I98">
        <v>1899.24</v>
      </c>
      <c r="J98">
        <v>112.91</v>
      </c>
      <c r="K98">
        <v>456.33</v>
      </c>
      <c r="L98" t="s">
        <v>44</v>
      </c>
      <c r="M98" t="s">
        <v>37</v>
      </c>
      <c r="N98" t="s">
        <v>66</v>
      </c>
      <c r="O98">
        <f>_xlfn.XLOOKUP(E98,Product_Master!$B$2:$B$11,Product_Master!$F$2:$F$11)</f>
        <v>35</v>
      </c>
      <c r="P98">
        <f t="shared" si="2"/>
        <v>1330</v>
      </c>
      <c r="Q98" s="5">
        <f t="shared" si="3"/>
        <v>0.24026979212737726</v>
      </c>
    </row>
    <row r="99" spans="1:17" x14ac:dyDescent="0.3">
      <c r="A99" t="s">
        <v>232</v>
      </c>
      <c r="B99" t="s">
        <v>71</v>
      </c>
      <c r="C99" t="s">
        <v>137</v>
      </c>
      <c r="D99" t="s">
        <v>91</v>
      </c>
      <c r="E99" t="s">
        <v>98</v>
      </c>
      <c r="F99" t="s">
        <v>59</v>
      </c>
      <c r="G99">
        <v>1</v>
      </c>
      <c r="H99" s="4">
        <v>45.84</v>
      </c>
      <c r="I99">
        <v>45.84</v>
      </c>
      <c r="J99">
        <v>1.26</v>
      </c>
      <c r="K99">
        <v>16.579999999999998</v>
      </c>
      <c r="L99" t="s">
        <v>44</v>
      </c>
      <c r="M99" t="s">
        <v>23</v>
      </c>
      <c r="N99" t="s">
        <v>66</v>
      </c>
      <c r="O99">
        <f>_xlfn.XLOOKUP(E99,Product_Master!$B$2:$B$11,Product_Master!$F$2:$F$11)</f>
        <v>28</v>
      </c>
      <c r="P99">
        <f t="shared" si="2"/>
        <v>28</v>
      </c>
      <c r="Q99" s="5">
        <f t="shared" si="3"/>
        <v>0.3616928446771378</v>
      </c>
    </row>
    <row r="100" spans="1:17" x14ac:dyDescent="0.3">
      <c r="A100" t="s">
        <v>233</v>
      </c>
      <c r="B100" t="s">
        <v>75</v>
      </c>
      <c r="C100" t="s">
        <v>208</v>
      </c>
      <c r="D100" t="s">
        <v>147</v>
      </c>
      <c r="E100" t="s">
        <v>29</v>
      </c>
      <c r="F100" t="s">
        <v>21</v>
      </c>
      <c r="G100">
        <v>38</v>
      </c>
      <c r="H100" s="4">
        <v>26.34</v>
      </c>
      <c r="I100">
        <v>1000.92</v>
      </c>
      <c r="J100">
        <v>47.88</v>
      </c>
      <c r="K100">
        <v>269.04000000000002</v>
      </c>
      <c r="L100" t="s">
        <v>22</v>
      </c>
      <c r="M100" t="s">
        <v>31</v>
      </c>
      <c r="N100" t="s">
        <v>148</v>
      </c>
      <c r="O100">
        <f>_xlfn.XLOOKUP(E100,Product_Master!$B$2:$B$11,Product_Master!$F$2:$F$11)</f>
        <v>18</v>
      </c>
      <c r="P100">
        <f t="shared" si="2"/>
        <v>684</v>
      </c>
      <c r="Q100" s="5">
        <f t="shared" si="3"/>
        <v>0.26879271070615035</v>
      </c>
    </row>
    <row r="101" spans="1:17" x14ac:dyDescent="0.3">
      <c r="A101" t="s">
        <v>234</v>
      </c>
      <c r="B101" t="s">
        <v>39</v>
      </c>
      <c r="C101" t="s">
        <v>187</v>
      </c>
      <c r="D101" t="s">
        <v>123</v>
      </c>
      <c r="E101" t="s">
        <v>64</v>
      </c>
      <c r="F101" t="s">
        <v>65</v>
      </c>
      <c r="G101">
        <v>30</v>
      </c>
      <c r="H101" s="4">
        <v>36.43</v>
      </c>
      <c r="I101">
        <v>1092.9000000000001</v>
      </c>
      <c r="J101">
        <v>61.97</v>
      </c>
      <c r="K101">
        <v>280.93</v>
      </c>
      <c r="L101" t="s">
        <v>44</v>
      </c>
      <c r="M101" t="s">
        <v>31</v>
      </c>
      <c r="N101" t="s">
        <v>32</v>
      </c>
      <c r="O101">
        <f>_xlfn.XLOOKUP(E101,Product_Master!$B$2:$B$11,Product_Master!$F$2:$F$11)</f>
        <v>25</v>
      </c>
      <c r="P101">
        <f t="shared" si="2"/>
        <v>750</v>
      </c>
      <c r="Q101" s="5">
        <f t="shared" si="3"/>
        <v>0.25705005032482386</v>
      </c>
    </row>
    <row r="102" spans="1:17" x14ac:dyDescent="0.3">
      <c r="A102" t="s">
        <v>235</v>
      </c>
      <c r="B102" t="s">
        <v>56</v>
      </c>
      <c r="C102" t="s">
        <v>212</v>
      </c>
      <c r="D102" t="s">
        <v>36</v>
      </c>
      <c r="E102" t="s">
        <v>73</v>
      </c>
      <c r="F102" t="s">
        <v>43</v>
      </c>
      <c r="G102">
        <v>9</v>
      </c>
      <c r="H102" s="4">
        <v>22.27</v>
      </c>
      <c r="I102">
        <v>200.43</v>
      </c>
      <c r="J102">
        <v>13.21</v>
      </c>
      <c r="K102">
        <v>72.47</v>
      </c>
      <c r="L102" t="s">
        <v>30</v>
      </c>
      <c r="M102" t="s">
        <v>31</v>
      </c>
      <c r="N102" t="s">
        <v>32</v>
      </c>
      <c r="O102">
        <f>_xlfn.XLOOKUP(E102,Product_Master!$B$2:$B$11,Product_Master!$F$2:$F$11)</f>
        <v>12.75</v>
      </c>
      <c r="P102">
        <f t="shared" si="2"/>
        <v>114.75</v>
      </c>
      <c r="Q102" s="5">
        <f t="shared" si="3"/>
        <v>0.36157261886943071</v>
      </c>
    </row>
    <row r="103" spans="1:17" x14ac:dyDescent="0.3">
      <c r="A103" t="s">
        <v>236</v>
      </c>
      <c r="B103" t="s">
        <v>68</v>
      </c>
      <c r="C103" t="s">
        <v>117</v>
      </c>
      <c r="D103" t="s">
        <v>147</v>
      </c>
      <c r="E103" t="s">
        <v>69</v>
      </c>
      <c r="F103" t="s">
        <v>59</v>
      </c>
      <c r="G103">
        <v>26</v>
      </c>
      <c r="H103" s="4">
        <v>27.65</v>
      </c>
      <c r="I103">
        <v>718.9</v>
      </c>
      <c r="J103">
        <v>46.25</v>
      </c>
      <c r="K103">
        <v>269.64999999999998</v>
      </c>
      <c r="L103" t="s">
        <v>30</v>
      </c>
      <c r="M103" t="s">
        <v>37</v>
      </c>
      <c r="N103" t="s">
        <v>148</v>
      </c>
      <c r="O103">
        <f>_xlfn.XLOOKUP(E103,Product_Master!$B$2:$B$11,Product_Master!$F$2:$F$11)</f>
        <v>15.5</v>
      </c>
      <c r="P103">
        <f t="shared" si="2"/>
        <v>403</v>
      </c>
      <c r="Q103" s="5">
        <f t="shared" si="3"/>
        <v>0.37508693837807761</v>
      </c>
    </row>
    <row r="104" spans="1:17" x14ac:dyDescent="0.3">
      <c r="A104" t="s">
        <v>237</v>
      </c>
      <c r="B104" t="s">
        <v>95</v>
      </c>
      <c r="C104" t="s">
        <v>208</v>
      </c>
      <c r="D104" t="s">
        <v>28</v>
      </c>
      <c r="E104" t="s">
        <v>69</v>
      </c>
      <c r="F104" t="s">
        <v>59</v>
      </c>
      <c r="G104">
        <v>23</v>
      </c>
      <c r="H104" s="4">
        <v>22.45</v>
      </c>
      <c r="I104">
        <v>516.35</v>
      </c>
      <c r="J104">
        <v>15.68</v>
      </c>
      <c r="K104">
        <v>144.16999999999999</v>
      </c>
      <c r="L104" t="s">
        <v>44</v>
      </c>
      <c r="M104" t="s">
        <v>37</v>
      </c>
      <c r="N104" t="s">
        <v>32</v>
      </c>
      <c r="O104">
        <f>_xlfn.XLOOKUP(E104,Product_Master!$B$2:$B$11,Product_Master!$F$2:$F$11)</f>
        <v>15.5</v>
      </c>
      <c r="P104">
        <f t="shared" si="2"/>
        <v>356.5</v>
      </c>
      <c r="Q104" s="5">
        <f t="shared" si="3"/>
        <v>0.2792098382879829</v>
      </c>
    </row>
    <row r="105" spans="1:17" x14ac:dyDescent="0.3">
      <c r="A105" t="s">
        <v>238</v>
      </c>
      <c r="B105" t="s">
        <v>71</v>
      </c>
      <c r="C105" t="s">
        <v>141</v>
      </c>
      <c r="D105" t="s">
        <v>28</v>
      </c>
      <c r="E105" t="s">
        <v>69</v>
      </c>
      <c r="F105" t="s">
        <v>59</v>
      </c>
      <c r="G105">
        <v>30</v>
      </c>
      <c r="H105" s="4">
        <v>21.93</v>
      </c>
      <c r="I105">
        <v>657.9</v>
      </c>
      <c r="J105">
        <v>24.66</v>
      </c>
      <c r="K105">
        <v>168.24</v>
      </c>
      <c r="L105" t="s">
        <v>30</v>
      </c>
      <c r="M105" t="s">
        <v>23</v>
      </c>
      <c r="N105" t="s">
        <v>32</v>
      </c>
      <c r="O105">
        <f>_xlfn.XLOOKUP(E105,Product_Master!$B$2:$B$11,Product_Master!$F$2:$F$11)</f>
        <v>15.5</v>
      </c>
      <c r="P105">
        <f t="shared" si="2"/>
        <v>465</v>
      </c>
      <c r="Q105" s="5">
        <f t="shared" si="3"/>
        <v>0.25572275421796625</v>
      </c>
    </row>
    <row r="106" spans="1:17" x14ac:dyDescent="0.3">
      <c r="A106" t="s">
        <v>239</v>
      </c>
      <c r="B106" t="s">
        <v>68</v>
      </c>
      <c r="C106" t="s">
        <v>240</v>
      </c>
      <c r="D106" t="s">
        <v>81</v>
      </c>
      <c r="E106" t="s">
        <v>73</v>
      </c>
      <c r="F106" t="s">
        <v>43</v>
      </c>
      <c r="G106">
        <v>43</v>
      </c>
      <c r="H106" s="4">
        <v>21.92</v>
      </c>
      <c r="I106">
        <v>942.56</v>
      </c>
      <c r="J106">
        <v>51.15</v>
      </c>
      <c r="K106">
        <v>343.16</v>
      </c>
      <c r="L106" t="s">
        <v>22</v>
      </c>
      <c r="M106" t="s">
        <v>37</v>
      </c>
      <c r="N106" t="s">
        <v>66</v>
      </c>
      <c r="O106">
        <f>_xlfn.XLOOKUP(E106,Product_Master!$B$2:$B$11,Product_Master!$F$2:$F$11)</f>
        <v>12.75</v>
      </c>
      <c r="P106">
        <f t="shared" si="2"/>
        <v>548.25</v>
      </c>
      <c r="Q106" s="5">
        <f t="shared" si="3"/>
        <v>0.36407231369886273</v>
      </c>
    </row>
    <row r="107" spans="1:17" x14ac:dyDescent="0.3">
      <c r="A107" t="s">
        <v>241</v>
      </c>
      <c r="B107" t="s">
        <v>26</v>
      </c>
      <c r="C107" t="s">
        <v>72</v>
      </c>
      <c r="D107" t="s">
        <v>41</v>
      </c>
      <c r="E107" t="s">
        <v>49</v>
      </c>
      <c r="F107" t="s">
        <v>50</v>
      </c>
      <c r="G107">
        <v>3</v>
      </c>
      <c r="H107" s="4">
        <v>56.21</v>
      </c>
      <c r="I107">
        <v>168.63</v>
      </c>
      <c r="J107">
        <v>7.56</v>
      </c>
      <c r="K107">
        <v>41.07</v>
      </c>
      <c r="L107" t="s">
        <v>44</v>
      </c>
      <c r="M107" t="s">
        <v>23</v>
      </c>
      <c r="N107" t="s">
        <v>45</v>
      </c>
      <c r="O107">
        <f>_xlfn.XLOOKUP(E107,Product_Master!$B$2:$B$11,Product_Master!$F$2:$F$11)</f>
        <v>40</v>
      </c>
      <c r="P107">
        <f t="shared" si="2"/>
        <v>120</v>
      </c>
      <c r="Q107" s="5">
        <f t="shared" si="3"/>
        <v>0.24355096957836686</v>
      </c>
    </row>
    <row r="108" spans="1:17" x14ac:dyDescent="0.3">
      <c r="A108" t="s">
        <v>242</v>
      </c>
      <c r="B108" t="s">
        <v>34</v>
      </c>
      <c r="C108" t="s">
        <v>18</v>
      </c>
      <c r="D108" t="s">
        <v>36</v>
      </c>
      <c r="E108" t="s">
        <v>73</v>
      </c>
      <c r="F108" t="s">
        <v>43</v>
      </c>
      <c r="G108">
        <v>33</v>
      </c>
      <c r="H108" s="4">
        <v>15.44</v>
      </c>
      <c r="I108">
        <v>509.52</v>
      </c>
      <c r="J108">
        <v>19.7</v>
      </c>
      <c r="K108">
        <v>69.069999999999993</v>
      </c>
      <c r="L108" t="s">
        <v>22</v>
      </c>
      <c r="M108" t="s">
        <v>37</v>
      </c>
      <c r="N108" t="s">
        <v>32</v>
      </c>
      <c r="O108">
        <f>_xlfn.XLOOKUP(E108,Product_Master!$B$2:$B$11,Product_Master!$F$2:$F$11)</f>
        <v>12.75</v>
      </c>
      <c r="P108">
        <f t="shared" si="2"/>
        <v>420.75</v>
      </c>
      <c r="Q108" s="5">
        <f t="shared" si="3"/>
        <v>0.13555895745014915</v>
      </c>
    </row>
    <row r="109" spans="1:17" x14ac:dyDescent="0.3">
      <c r="A109" t="s">
        <v>243</v>
      </c>
      <c r="B109" t="s">
        <v>68</v>
      </c>
      <c r="C109" t="s">
        <v>110</v>
      </c>
      <c r="D109" t="s">
        <v>101</v>
      </c>
      <c r="E109" t="s">
        <v>69</v>
      </c>
      <c r="F109" t="s">
        <v>59</v>
      </c>
      <c r="G109">
        <v>50</v>
      </c>
      <c r="H109" s="4">
        <v>23.02</v>
      </c>
      <c r="I109">
        <v>1151</v>
      </c>
      <c r="J109">
        <v>69.3</v>
      </c>
      <c r="K109">
        <v>306.7</v>
      </c>
      <c r="L109" t="s">
        <v>30</v>
      </c>
      <c r="M109" t="s">
        <v>31</v>
      </c>
      <c r="N109" t="s">
        <v>102</v>
      </c>
      <c r="O109">
        <f>_xlfn.XLOOKUP(E109,Product_Master!$B$2:$B$11,Product_Master!$F$2:$F$11)</f>
        <v>15.5</v>
      </c>
      <c r="P109">
        <f t="shared" si="2"/>
        <v>775</v>
      </c>
      <c r="Q109" s="5">
        <f t="shared" si="3"/>
        <v>0.26646394439617721</v>
      </c>
    </row>
    <row r="110" spans="1:17" x14ac:dyDescent="0.3">
      <c r="A110" t="s">
        <v>244</v>
      </c>
      <c r="B110" t="s">
        <v>86</v>
      </c>
      <c r="C110" t="s">
        <v>245</v>
      </c>
      <c r="D110" t="s">
        <v>41</v>
      </c>
      <c r="E110" t="s">
        <v>73</v>
      </c>
      <c r="F110" t="s">
        <v>43</v>
      </c>
      <c r="G110">
        <v>8</v>
      </c>
      <c r="H110" s="4">
        <v>17.010000000000002</v>
      </c>
      <c r="I110">
        <v>136.08000000000001</v>
      </c>
      <c r="J110">
        <v>8.84</v>
      </c>
      <c r="K110">
        <v>25.24</v>
      </c>
      <c r="L110" t="s">
        <v>22</v>
      </c>
      <c r="M110" t="s">
        <v>37</v>
      </c>
      <c r="N110" t="s">
        <v>45</v>
      </c>
      <c r="O110">
        <f>_xlfn.XLOOKUP(E110,Product_Master!$B$2:$B$11,Product_Master!$F$2:$F$11)</f>
        <v>12.75</v>
      </c>
      <c r="P110">
        <f t="shared" si="2"/>
        <v>102</v>
      </c>
      <c r="Q110" s="5">
        <f t="shared" si="3"/>
        <v>0.18547912992357435</v>
      </c>
    </row>
    <row r="111" spans="1:17" x14ac:dyDescent="0.3">
      <c r="A111" t="s">
        <v>246</v>
      </c>
      <c r="B111" t="s">
        <v>39</v>
      </c>
      <c r="C111" t="s">
        <v>208</v>
      </c>
      <c r="D111" t="s">
        <v>123</v>
      </c>
      <c r="E111" t="s">
        <v>29</v>
      </c>
      <c r="F111" t="s">
        <v>21</v>
      </c>
      <c r="G111">
        <v>16</v>
      </c>
      <c r="H111" s="4">
        <v>26.47</v>
      </c>
      <c r="I111">
        <v>423.52</v>
      </c>
      <c r="J111">
        <v>15.87</v>
      </c>
      <c r="K111">
        <v>119.65</v>
      </c>
      <c r="L111" t="s">
        <v>30</v>
      </c>
      <c r="M111" t="s">
        <v>23</v>
      </c>
      <c r="N111" t="s">
        <v>32</v>
      </c>
      <c r="O111">
        <f>_xlfn.XLOOKUP(E111,Product_Master!$B$2:$B$11,Product_Master!$F$2:$F$11)</f>
        <v>18</v>
      </c>
      <c r="P111">
        <f t="shared" si="2"/>
        <v>288</v>
      </c>
      <c r="Q111" s="5">
        <f t="shared" si="3"/>
        <v>0.28251322251605593</v>
      </c>
    </row>
    <row r="112" spans="1:17" x14ac:dyDescent="0.3">
      <c r="A112" t="s">
        <v>247</v>
      </c>
      <c r="B112" t="s">
        <v>68</v>
      </c>
      <c r="C112" t="s">
        <v>189</v>
      </c>
      <c r="D112" t="s">
        <v>41</v>
      </c>
      <c r="E112" t="s">
        <v>42</v>
      </c>
      <c r="F112" t="s">
        <v>43</v>
      </c>
      <c r="G112">
        <v>32</v>
      </c>
      <c r="H112" s="4">
        <v>43.18</v>
      </c>
      <c r="I112">
        <v>1381.76</v>
      </c>
      <c r="J112">
        <v>88.54</v>
      </c>
      <c r="K112">
        <v>269.22000000000003</v>
      </c>
      <c r="L112" t="s">
        <v>30</v>
      </c>
      <c r="M112" t="s">
        <v>37</v>
      </c>
      <c r="N112" t="s">
        <v>45</v>
      </c>
      <c r="O112">
        <f>_xlfn.XLOOKUP(E112,Product_Master!$B$2:$B$11,Product_Master!$F$2:$F$11)</f>
        <v>32</v>
      </c>
      <c r="P112">
        <f t="shared" si="2"/>
        <v>1024</v>
      </c>
      <c r="Q112" s="5">
        <f t="shared" si="3"/>
        <v>0.19483846688281614</v>
      </c>
    </row>
    <row r="113" spans="1:17" x14ac:dyDescent="0.3">
      <c r="A113" t="s">
        <v>248</v>
      </c>
      <c r="B113" t="s">
        <v>56</v>
      </c>
      <c r="C113" t="s">
        <v>127</v>
      </c>
      <c r="D113" t="s">
        <v>147</v>
      </c>
      <c r="E113" t="s">
        <v>69</v>
      </c>
      <c r="F113" t="s">
        <v>59</v>
      </c>
      <c r="G113">
        <v>29</v>
      </c>
      <c r="H113" s="4">
        <v>18.850000000000001</v>
      </c>
      <c r="I113">
        <v>546.65</v>
      </c>
      <c r="J113">
        <v>13.22</v>
      </c>
      <c r="K113">
        <v>83.93</v>
      </c>
      <c r="L113" t="s">
        <v>22</v>
      </c>
      <c r="M113" t="s">
        <v>37</v>
      </c>
      <c r="N113" t="s">
        <v>148</v>
      </c>
      <c r="O113">
        <f>_xlfn.XLOOKUP(E113,Product_Master!$B$2:$B$11,Product_Master!$F$2:$F$11)</f>
        <v>15.5</v>
      </c>
      <c r="P113">
        <f t="shared" si="2"/>
        <v>449.5</v>
      </c>
      <c r="Q113" s="5">
        <f t="shared" si="3"/>
        <v>0.153535168755145</v>
      </c>
    </row>
    <row r="114" spans="1:17" x14ac:dyDescent="0.3">
      <c r="A114" t="s">
        <v>249</v>
      </c>
      <c r="B114" t="s">
        <v>17</v>
      </c>
      <c r="C114" t="s">
        <v>250</v>
      </c>
      <c r="D114" t="s">
        <v>123</v>
      </c>
      <c r="E114" t="s">
        <v>49</v>
      </c>
      <c r="F114" t="s">
        <v>50</v>
      </c>
      <c r="G114">
        <v>16</v>
      </c>
      <c r="H114" s="4">
        <v>64.400000000000006</v>
      </c>
      <c r="I114">
        <v>1030.4000000000001</v>
      </c>
      <c r="J114">
        <v>61.72</v>
      </c>
      <c r="K114">
        <v>328.68</v>
      </c>
      <c r="L114" t="s">
        <v>30</v>
      </c>
      <c r="M114" t="s">
        <v>31</v>
      </c>
      <c r="N114" t="s">
        <v>32</v>
      </c>
      <c r="O114">
        <f>_xlfn.XLOOKUP(E114,Product_Master!$B$2:$B$11,Product_Master!$F$2:$F$11)</f>
        <v>40</v>
      </c>
      <c r="P114">
        <f t="shared" si="2"/>
        <v>640</v>
      </c>
      <c r="Q114" s="5">
        <f t="shared" si="3"/>
        <v>0.31898291925465838</v>
      </c>
    </row>
    <row r="115" spans="1:17" x14ac:dyDescent="0.3">
      <c r="A115" t="s">
        <v>251</v>
      </c>
      <c r="B115" t="s">
        <v>132</v>
      </c>
      <c r="C115" t="s">
        <v>252</v>
      </c>
      <c r="D115" t="s">
        <v>81</v>
      </c>
      <c r="E115" t="s">
        <v>69</v>
      </c>
      <c r="F115" t="s">
        <v>59</v>
      </c>
      <c r="G115">
        <v>15</v>
      </c>
      <c r="H115" s="4">
        <v>19.53</v>
      </c>
      <c r="I115">
        <v>292.95</v>
      </c>
      <c r="J115">
        <v>7.15</v>
      </c>
      <c r="K115">
        <v>53.3</v>
      </c>
      <c r="L115" t="s">
        <v>44</v>
      </c>
      <c r="M115" t="s">
        <v>31</v>
      </c>
      <c r="N115" t="s">
        <v>66</v>
      </c>
      <c r="O115">
        <f>_xlfn.XLOOKUP(E115,Product_Master!$B$2:$B$11,Product_Master!$F$2:$F$11)</f>
        <v>15.5</v>
      </c>
      <c r="P115">
        <f t="shared" si="2"/>
        <v>232.5</v>
      </c>
      <c r="Q115" s="5">
        <f t="shared" si="3"/>
        <v>0.18194231097456903</v>
      </c>
    </row>
    <row r="116" spans="1:17" x14ac:dyDescent="0.3">
      <c r="A116" t="s">
        <v>253</v>
      </c>
      <c r="B116" t="s">
        <v>95</v>
      </c>
      <c r="C116" t="s">
        <v>130</v>
      </c>
      <c r="D116" t="s">
        <v>170</v>
      </c>
      <c r="E116" t="s">
        <v>54</v>
      </c>
      <c r="F116" t="s">
        <v>43</v>
      </c>
      <c r="G116">
        <v>36</v>
      </c>
      <c r="H116" s="4">
        <v>26.05</v>
      </c>
      <c r="I116">
        <v>937.8</v>
      </c>
      <c r="J116">
        <v>32.799999999999997</v>
      </c>
      <c r="K116">
        <v>185</v>
      </c>
      <c r="L116" t="s">
        <v>22</v>
      </c>
      <c r="M116" t="s">
        <v>37</v>
      </c>
      <c r="N116" t="s">
        <v>32</v>
      </c>
      <c r="O116">
        <f>_xlfn.XLOOKUP(E116,Product_Master!$B$2:$B$11,Product_Master!$F$2:$F$11)</f>
        <v>20</v>
      </c>
      <c r="P116">
        <f t="shared" si="2"/>
        <v>720</v>
      </c>
      <c r="Q116" s="5">
        <f t="shared" si="3"/>
        <v>0.19727020686713587</v>
      </c>
    </row>
    <row r="117" spans="1:17" x14ac:dyDescent="0.3">
      <c r="A117" t="s">
        <v>254</v>
      </c>
      <c r="B117" t="s">
        <v>83</v>
      </c>
      <c r="C117" t="s">
        <v>62</v>
      </c>
      <c r="D117" t="s">
        <v>101</v>
      </c>
      <c r="E117" t="s">
        <v>42</v>
      </c>
      <c r="F117" t="s">
        <v>43</v>
      </c>
      <c r="G117">
        <v>26</v>
      </c>
      <c r="H117" s="4">
        <v>47.52</v>
      </c>
      <c r="I117">
        <v>1235.52</v>
      </c>
      <c r="J117">
        <v>31.41</v>
      </c>
      <c r="K117">
        <v>372.11</v>
      </c>
      <c r="L117" t="s">
        <v>30</v>
      </c>
      <c r="M117" t="s">
        <v>23</v>
      </c>
      <c r="N117" t="s">
        <v>102</v>
      </c>
      <c r="O117">
        <f>_xlfn.XLOOKUP(E117,Product_Master!$B$2:$B$11,Product_Master!$F$2:$F$11)</f>
        <v>32</v>
      </c>
      <c r="P117">
        <f t="shared" si="2"/>
        <v>832</v>
      </c>
      <c r="Q117" s="5">
        <f t="shared" si="3"/>
        <v>0.30117683242683246</v>
      </c>
    </row>
    <row r="118" spans="1:17" x14ac:dyDescent="0.3">
      <c r="A118" t="s">
        <v>255</v>
      </c>
      <c r="B118" t="s">
        <v>68</v>
      </c>
      <c r="C118" t="s">
        <v>230</v>
      </c>
      <c r="D118" t="s">
        <v>123</v>
      </c>
      <c r="E118" t="s">
        <v>29</v>
      </c>
      <c r="F118" t="s">
        <v>21</v>
      </c>
      <c r="G118">
        <v>38</v>
      </c>
      <c r="H118" s="4">
        <v>26.38</v>
      </c>
      <c r="I118">
        <v>1002.44</v>
      </c>
      <c r="J118">
        <v>33.049999999999997</v>
      </c>
      <c r="K118">
        <v>285.39</v>
      </c>
      <c r="L118" t="s">
        <v>30</v>
      </c>
      <c r="M118" t="s">
        <v>23</v>
      </c>
      <c r="N118" t="s">
        <v>32</v>
      </c>
      <c r="O118">
        <f>_xlfn.XLOOKUP(E118,Product_Master!$B$2:$B$11,Product_Master!$F$2:$F$11)</f>
        <v>18</v>
      </c>
      <c r="P118">
        <f t="shared" si="2"/>
        <v>684</v>
      </c>
      <c r="Q118" s="5">
        <f t="shared" si="3"/>
        <v>0.28469534336219621</v>
      </c>
    </row>
    <row r="119" spans="1:17" x14ac:dyDescent="0.3">
      <c r="A119" t="s">
        <v>256</v>
      </c>
      <c r="B119" t="s">
        <v>75</v>
      </c>
      <c r="C119" t="s">
        <v>158</v>
      </c>
      <c r="D119" t="s">
        <v>91</v>
      </c>
      <c r="E119" t="s">
        <v>73</v>
      </c>
      <c r="F119" t="s">
        <v>43</v>
      </c>
      <c r="G119">
        <v>7</v>
      </c>
      <c r="H119" s="4">
        <v>17.66</v>
      </c>
      <c r="I119">
        <v>123.62</v>
      </c>
      <c r="J119">
        <v>6.95</v>
      </c>
      <c r="K119">
        <v>27.42</v>
      </c>
      <c r="L119" t="s">
        <v>22</v>
      </c>
      <c r="M119" t="s">
        <v>23</v>
      </c>
      <c r="N119" t="s">
        <v>66</v>
      </c>
      <c r="O119">
        <f>_xlfn.XLOOKUP(E119,Product_Master!$B$2:$B$11,Product_Master!$F$2:$F$11)</f>
        <v>12.75</v>
      </c>
      <c r="P119">
        <f t="shared" si="2"/>
        <v>89.25</v>
      </c>
      <c r="Q119" s="5">
        <f t="shared" si="3"/>
        <v>0.22180876880763631</v>
      </c>
    </row>
    <row r="120" spans="1:17" x14ac:dyDescent="0.3">
      <c r="A120" t="s">
        <v>257</v>
      </c>
      <c r="B120" t="s">
        <v>132</v>
      </c>
      <c r="C120" t="s">
        <v>161</v>
      </c>
      <c r="D120" t="s">
        <v>147</v>
      </c>
      <c r="E120" t="s">
        <v>20</v>
      </c>
      <c r="F120" t="s">
        <v>21</v>
      </c>
      <c r="G120">
        <v>26</v>
      </c>
      <c r="H120" s="4">
        <v>51.5</v>
      </c>
      <c r="I120">
        <v>1339</v>
      </c>
      <c r="J120">
        <v>92.09</v>
      </c>
      <c r="K120">
        <v>336.91</v>
      </c>
      <c r="L120" t="s">
        <v>30</v>
      </c>
      <c r="M120" t="s">
        <v>31</v>
      </c>
      <c r="N120" t="s">
        <v>148</v>
      </c>
      <c r="O120">
        <f>_xlfn.XLOOKUP(E120,Product_Master!$B$2:$B$11,Product_Master!$F$2:$F$11)</f>
        <v>35</v>
      </c>
      <c r="P120">
        <f t="shared" si="2"/>
        <v>910</v>
      </c>
      <c r="Q120" s="5">
        <f t="shared" si="3"/>
        <v>0.25161314413741598</v>
      </c>
    </row>
    <row r="121" spans="1:17" x14ac:dyDescent="0.3">
      <c r="A121" t="s">
        <v>258</v>
      </c>
      <c r="B121" t="s">
        <v>75</v>
      </c>
      <c r="C121" t="s">
        <v>259</v>
      </c>
      <c r="D121" t="s">
        <v>19</v>
      </c>
      <c r="E121" t="s">
        <v>69</v>
      </c>
      <c r="F121" t="s">
        <v>59</v>
      </c>
      <c r="G121">
        <v>27</v>
      </c>
      <c r="H121" s="4">
        <v>25</v>
      </c>
      <c r="I121">
        <v>675</v>
      </c>
      <c r="J121">
        <v>15.49</v>
      </c>
      <c r="K121">
        <v>241.01</v>
      </c>
      <c r="L121" t="s">
        <v>30</v>
      </c>
      <c r="M121" t="s">
        <v>31</v>
      </c>
      <c r="N121" t="s">
        <v>24</v>
      </c>
      <c r="O121">
        <f>_xlfn.XLOOKUP(E121,Product_Master!$B$2:$B$11,Product_Master!$F$2:$F$11)</f>
        <v>15.5</v>
      </c>
      <c r="P121">
        <f t="shared" si="2"/>
        <v>418.5</v>
      </c>
      <c r="Q121" s="5">
        <f t="shared" si="3"/>
        <v>0.35705185185185184</v>
      </c>
    </row>
    <row r="122" spans="1:17" x14ac:dyDescent="0.3">
      <c r="A122" t="s">
        <v>260</v>
      </c>
      <c r="B122" t="s">
        <v>95</v>
      </c>
      <c r="C122" t="s">
        <v>52</v>
      </c>
      <c r="D122" t="s">
        <v>101</v>
      </c>
      <c r="E122" t="s">
        <v>73</v>
      </c>
      <c r="F122" t="s">
        <v>43</v>
      </c>
      <c r="G122">
        <v>4</v>
      </c>
      <c r="H122" s="4">
        <v>19</v>
      </c>
      <c r="I122">
        <v>76</v>
      </c>
      <c r="J122">
        <v>3.78</v>
      </c>
      <c r="K122">
        <v>21.22</v>
      </c>
      <c r="L122" t="s">
        <v>30</v>
      </c>
      <c r="M122" t="s">
        <v>37</v>
      </c>
      <c r="N122" t="s">
        <v>102</v>
      </c>
      <c r="O122">
        <f>_xlfn.XLOOKUP(E122,Product_Master!$B$2:$B$11,Product_Master!$F$2:$F$11)</f>
        <v>12.75</v>
      </c>
      <c r="P122">
        <f t="shared" si="2"/>
        <v>51</v>
      </c>
      <c r="Q122" s="5">
        <f t="shared" si="3"/>
        <v>0.27921052631578946</v>
      </c>
    </row>
    <row r="123" spans="1:17" x14ac:dyDescent="0.3">
      <c r="A123" t="s">
        <v>261</v>
      </c>
      <c r="B123" t="s">
        <v>107</v>
      </c>
      <c r="C123" t="s">
        <v>212</v>
      </c>
      <c r="D123" t="s">
        <v>48</v>
      </c>
      <c r="E123" t="s">
        <v>69</v>
      </c>
      <c r="F123" t="s">
        <v>59</v>
      </c>
      <c r="G123">
        <v>24</v>
      </c>
      <c r="H123" s="4">
        <v>26.63</v>
      </c>
      <c r="I123">
        <v>639.12</v>
      </c>
      <c r="J123">
        <v>31.92</v>
      </c>
      <c r="K123">
        <v>235.2</v>
      </c>
      <c r="L123" t="s">
        <v>44</v>
      </c>
      <c r="M123" t="s">
        <v>37</v>
      </c>
      <c r="N123" t="s">
        <v>24</v>
      </c>
      <c r="O123">
        <f>_xlfn.XLOOKUP(E123,Product_Master!$B$2:$B$11,Product_Master!$F$2:$F$11)</f>
        <v>15.5</v>
      </c>
      <c r="P123">
        <f t="shared" si="2"/>
        <v>372</v>
      </c>
      <c r="Q123" s="5">
        <f t="shared" si="3"/>
        <v>0.36800600826135937</v>
      </c>
    </row>
    <row r="124" spans="1:17" x14ac:dyDescent="0.3">
      <c r="A124" t="s">
        <v>262</v>
      </c>
      <c r="B124" t="s">
        <v>17</v>
      </c>
      <c r="C124" t="s">
        <v>96</v>
      </c>
      <c r="D124" t="s">
        <v>81</v>
      </c>
      <c r="E124" t="s">
        <v>64</v>
      </c>
      <c r="F124" t="s">
        <v>65</v>
      </c>
      <c r="G124">
        <v>26</v>
      </c>
      <c r="H124" s="4">
        <v>43.14</v>
      </c>
      <c r="I124">
        <v>1121.6400000000001</v>
      </c>
      <c r="J124">
        <v>48.08</v>
      </c>
      <c r="K124">
        <v>423.56</v>
      </c>
      <c r="L124" t="s">
        <v>22</v>
      </c>
      <c r="M124" t="s">
        <v>31</v>
      </c>
      <c r="N124" t="s">
        <v>66</v>
      </c>
      <c r="O124">
        <f>_xlfn.XLOOKUP(E124,Product_Master!$B$2:$B$11,Product_Master!$F$2:$F$11)</f>
        <v>25</v>
      </c>
      <c r="P124">
        <f t="shared" si="2"/>
        <v>650</v>
      </c>
      <c r="Q124" s="5">
        <f t="shared" si="3"/>
        <v>0.37762561962840124</v>
      </c>
    </row>
    <row r="125" spans="1:17" x14ac:dyDescent="0.3">
      <c r="A125" t="s">
        <v>263</v>
      </c>
      <c r="B125" t="s">
        <v>78</v>
      </c>
      <c r="C125" t="s">
        <v>218</v>
      </c>
      <c r="D125" t="s">
        <v>48</v>
      </c>
      <c r="E125" t="s">
        <v>64</v>
      </c>
      <c r="F125" t="s">
        <v>65</v>
      </c>
      <c r="G125">
        <v>39</v>
      </c>
      <c r="H125" s="4">
        <v>30.01</v>
      </c>
      <c r="I125">
        <v>1170.3900000000001</v>
      </c>
      <c r="J125">
        <v>60.43</v>
      </c>
      <c r="K125">
        <v>134.96</v>
      </c>
      <c r="L125" t="s">
        <v>30</v>
      </c>
      <c r="M125" t="s">
        <v>23</v>
      </c>
      <c r="N125" t="s">
        <v>24</v>
      </c>
      <c r="O125">
        <f>_xlfn.XLOOKUP(E125,Product_Master!$B$2:$B$11,Product_Master!$F$2:$F$11)</f>
        <v>25</v>
      </c>
      <c r="P125">
        <f t="shared" si="2"/>
        <v>975</v>
      </c>
      <c r="Q125" s="5">
        <f t="shared" si="3"/>
        <v>0.11531199002042054</v>
      </c>
    </row>
    <row r="126" spans="1:17" x14ac:dyDescent="0.3">
      <c r="A126" t="s">
        <v>264</v>
      </c>
      <c r="B126" t="s">
        <v>78</v>
      </c>
      <c r="C126" t="s">
        <v>265</v>
      </c>
      <c r="D126" t="s">
        <v>170</v>
      </c>
      <c r="E126" t="s">
        <v>58</v>
      </c>
      <c r="F126" t="s">
        <v>59</v>
      </c>
      <c r="G126">
        <v>5</v>
      </c>
      <c r="H126" s="4">
        <v>31.31</v>
      </c>
      <c r="I126">
        <v>156.55000000000001</v>
      </c>
      <c r="J126">
        <v>4.04</v>
      </c>
      <c r="K126">
        <v>40.01</v>
      </c>
      <c r="L126" t="s">
        <v>44</v>
      </c>
      <c r="M126" t="s">
        <v>37</v>
      </c>
      <c r="N126" t="s">
        <v>32</v>
      </c>
      <c r="O126">
        <f>_xlfn.XLOOKUP(E126,Product_Master!$B$2:$B$11,Product_Master!$F$2:$F$11)</f>
        <v>22.5</v>
      </c>
      <c r="P126">
        <f t="shared" si="2"/>
        <v>112.5</v>
      </c>
      <c r="Q126" s="5">
        <f t="shared" si="3"/>
        <v>0.25557329926541039</v>
      </c>
    </row>
    <row r="127" spans="1:17" x14ac:dyDescent="0.3">
      <c r="A127" t="s">
        <v>266</v>
      </c>
      <c r="B127" t="s">
        <v>71</v>
      </c>
      <c r="C127" t="s">
        <v>202</v>
      </c>
      <c r="D127" t="s">
        <v>19</v>
      </c>
      <c r="E127" t="s">
        <v>98</v>
      </c>
      <c r="F127" t="s">
        <v>59</v>
      </c>
      <c r="G127">
        <v>42</v>
      </c>
      <c r="H127" s="4">
        <v>36.950000000000003</v>
      </c>
      <c r="I127">
        <v>1551.9</v>
      </c>
      <c r="J127">
        <v>74.260000000000005</v>
      </c>
      <c r="K127">
        <v>301.64</v>
      </c>
      <c r="L127" t="s">
        <v>30</v>
      </c>
      <c r="M127" t="s">
        <v>31</v>
      </c>
      <c r="N127" t="s">
        <v>24</v>
      </c>
      <c r="O127">
        <f>_xlfn.XLOOKUP(E127,Product_Master!$B$2:$B$11,Product_Master!$F$2:$F$11)</f>
        <v>28</v>
      </c>
      <c r="P127">
        <f t="shared" si="2"/>
        <v>1176</v>
      </c>
      <c r="Q127" s="5">
        <f t="shared" si="3"/>
        <v>0.19436819382692183</v>
      </c>
    </row>
    <row r="128" spans="1:17" x14ac:dyDescent="0.3">
      <c r="A128" t="s">
        <v>267</v>
      </c>
      <c r="B128" t="s">
        <v>17</v>
      </c>
      <c r="C128" t="s">
        <v>268</v>
      </c>
      <c r="D128" t="s">
        <v>81</v>
      </c>
      <c r="E128" t="s">
        <v>49</v>
      </c>
      <c r="F128" t="s">
        <v>50</v>
      </c>
      <c r="G128">
        <v>36</v>
      </c>
      <c r="H128" s="4">
        <v>57.37</v>
      </c>
      <c r="I128">
        <v>2065.3200000000002</v>
      </c>
      <c r="J128">
        <v>94.34</v>
      </c>
      <c r="K128">
        <v>530.98</v>
      </c>
      <c r="L128" t="s">
        <v>44</v>
      </c>
      <c r="M128" t="s">
        <v>23</v>
      </c>
      <c r="N128" t="s">
        <v>66</v>
      </c>
      <c r="O128">
        <f>_xlfn.XLOOKUP(E128,Product_Master!$B$2:$B$11,Product_Master!$F$2:$F$11)</f>
        <v>40</v>
      </c>
      <c r="P128">
        <f t="shared" si="2"/>
        <v>1440</v>
      </c>
      <c r="Q128" s="5">
        <f t="shared" si="3"/>
        <v>0.25709333178393662</v>
      </c>
    </row>
    <row r="129" spans="1:17" x14ac:dyDescent="0.3">
      <c r="A129" t="s">
        <v>269</v>
      </c>
      <c r="B129" t="s">
        <v>132</v>
      </c>
      <c r="C129" t="s">
        <v>40</v>
      </c>
      <c r="D129" t="s">
        <v>88</v>
      </c>
      <c r="E129" t="s">
        <v>98</v>
      </c>
      <c r="F129" t="s">
        <v>59</v>
      </c>
      <c r="G129">
        <v>13</v>
      </c>
      <c r="H129" s="4">
        <v>40.18</v>
      </c>
      <c r="I129">
        <v>522.34</v>
      </c>
      <c r="J129">
        <v>37.369999999999997</v>
      </c>
      <c r="K129">
        <v>120.97</v>
      </c>
      <c r="L129" t="s">
        <v>30</v>
      </c>
      <c r="M129" t="s">
        <v>37</v>
      </c>
      <c r="N129" t="s">
        <v>66</v>
      </c>
      <c r="O129">
        <f>_xlfn.XLOOKUP(E129,Product_Master!$B$2:$B$11,Product_Master!$F$2:$F$11)</f>
        <v>28</v>
      </c>
      <c r="P129">
        <f t="shared" si="2"/>
        <v>364</v>
      </c>
      <c r="Q129" s="5">
        <f t="shared" si="3"/>
        <v>0.23159244936248419</v>
      </c>
    </row>
    <row r="130" spans="1:17" x14ac:dyDescent="0.3">
      <c r="A130" t="s">
        <v>270</v>
      </c>
      <c r="B130" t="s">
        <v>75</v>
      </c>
      <c r="C130" t="s">
        <v>226</v>
      </c>
      <c r="D130" t="s">
        <v>91</v>
      </c>
      <c r="E130" t="s">
        <v>42</v>
      </c>
      <c r="F130" t="s">
        <v>43</v>
      </c>
      <c r="G130">
        <v>37</v>
      </c>
      <c r="H130" s="4">
        <v>39.299999999999997</v>
      </c>
      <c r="I130">
        <v>1454.1</v>
      </c>
      <c r="J130">
        <v>67.08</v>
      </c>
      <c r="K130">
        <v>203.02</v>
      </c>
      <c r="L130" t="s">
        <v>44</v>
      </c>
      <c r="M130" t="s">
        <v>23</v>
      </c>
      <c r="N130" t="s">
        <v>66</v>
      </c>
      <c r="O130">
        <f>_xlfn.XLOOKUP(E130,Product_Master!$B$2:$B$11,Product_Master!$F$2:$F$11)</f>
        <v>32</v>
      </c>
      <c r="P130">
        <f t="shared" si="2"/>
        <v>1184</v>
      </c>
      <c r="Q130" s="5">
        <f t="shared" si="3"/>
        <v>0.13961900832129842</v>
      </c>
    </row>
    <row r="131" spans="1:17" x14ac:dyDescent="0.3">
      <c r="A131" t="s">
        <v>271</v>
      </c>
      <c r="B131" t="s">
        <v>75</v>
      </c>
      <c r="C131" t="s">
        <v>212</v>
      </c>
      <c r="D131" t="s">
        <v>48</v>
      </c>
      <c r="E131" t="s">
        <v>42</v>
      </c>
      <c r="F131" t="s">
        <v>43</v>
      </c>
      <c r="G131">
        <v>17</v>
      </c>
      <c r="H131" s="4">
        <v>43.28</v>
      </c>
      <c r="I131">
        <v>735.76</v>
      </c>
      <c r="J131">
        <v>50.96</v>
      </c>
      <c r="K131">
        <v>140.80000000000001</v>
      </c>
      <c r="L131" t="s">
        <v>30</v>
      </c>
      <c r="M131" t="s">
        <v>31</v>
      </c>
      <c r="N131" t="s">
        <v>24</v>
      </c>
      <c r="O131">
        <f>_xlfn.XLOOKUP(E131,Product_Master!$B$2:$B$11,Product_Master!$F$2:$F$11)</f>
        <v>32</v>
      </c>
      <c r="P131">
        <f t="shared" ref="P131:P194" si="4">G131*O131</f>
        <v>544</v>
      </c>
      <c r="Q131" s="5">
        <f t="shared" ref="Q131:Q194" si="5">K131/I131</f>
        <v>0.19136675002718279</v>
      </c>
    </row>
    <row r="132" spans="1:17" x14ac:dyDescent="0.3">
      <c r="A132" t="s">
        <v>272</v>
      </c>
      <c r="B132" t="s">
        <v>39</v>
      </c>
      <c r="C132" t="s">
        <v>18</v>
      </c>
      <c r="D132" t="s">
        <v>88</v>
      </c>
      <c r="E132" t="s">
        <v>20</v>
      </c>
      <c r="F132" t="s">
        <v>21</v>
      </c>
      <c r="G132">
        <v>22</v>
      </c>
      <c r="H132" s="4">
        <v>62.79</v>
      </c>
      <c r="I132">
        <v>1381.38</v>
      </c>
      <c r="J132">
        <v>75.84</v>
      </c>
      <c r="K132">
        <v>535.54</v>
      </c>
      <c r="L132" t="s">
        <v>44</v>
      </c>
      <c r="M132" t="s">
        <v>37</v>
      </c>
      <c r="N132" t="s">
        <v>66</v>
      </c>
      <c r="O132">
        <f>_xlfn.XLOOKUP(E132,Product_Master!$B$2:$B$11,Product_Master!$F$2:$F$11)</f>
        <v>35</v>
      </c>
      <c r="P132">
        <f t="shared" si="4"/>
        <v>770</v>
      </c>
      <c r="Q132" s="5">
        <f t="shared" si="5"/>
        <v>0.38768477898912673</v>
      </c>
    </row>
    <row r="133" spans="1:17" x14ac:dyDescent="0.3">
      <c r="A133" t="s">
        <v>273</v>
      </c>
      <c r="B133" t="s">
        <v>75</v>
      </c>
      <c r="C133" t="s">
        <v>175</v>
      </c>
      <c r="D133" t="s">
        <v>170</v>
      </c>
      <c r="E133" t="s">
        <v>49</v>
      </c>
      <c r="F133" t="s">
        <v>50</v>
      </c>
      <c r="G133">
        <v>23</v>
      </c>
      <c r="H133" s="4">
        <v>56.76</v>
      </c>
      <c r="I133">
        <v>1305.48</v>
      </c>
      <c r="J133">
        <v>62.93</v>
      </c>
      <c r="K133">
        <v>322.55</v>
      </c>
      <c r="L133" t="s">
        <v>44</v>
      </c>
      <c r="M133" t="s">
        <v>37</v>
      </c>
      <c r="N133" t="s">
        <v>32</v>
      </c>
      <c r="O133">
        <f>_xlfn.XLOOKUP(E133,Product_Master!$B$2:$B$11,Product_Master!$F$2:$F$11)</f>
        <v>40</v>
      </c>
      <c r="P133">
        <f t="shared" si="4"/>
        <v>920</v>
      </c>
      <c r="Q133" s="5">
        <f t="shared" si="5"/>
        <v>0.24707387321138585</v>
      </c>
    </row>
    <row r="134" spans="1:17" x14ac:dyDescent="0.3">
      <c r="A134" t="s">
        <v>274</v>
      </c>
      <c r="B134" t="s">
        <v>95</v>
      </c>
      <c r="C134" t="s">
        <v>35</v>
      </c>
      <c r="D134" t="s">
        <v>28</v>
      </c>
      <c r="E134" t="s">
        <v>49</v>
      </c>
      <c r="F134" t="s">
        <v>50</v>
      </c>
      <c r="G134">
        <v>22</v>
      </c>
      <c r="H134" s="4">
        <v>60.13</v>
      </c>
      <c r="I134">
        <v>1322.86</v>
      </c>
      <c r="J134">
        <v>54.06</v>
      </c>
      <c r="K134">
        <v>388.8</v>
      </c>
      <c r="L134" t="s">
        <v>44</v>
      </c>
      <c r="M134" t="s">
        <v>31</v>
      </c>
      <c r="N134" t="s">
        <v>32</v>
      </c>
      <c r="O134">
        <f>_xlfn.XLOOKUP(E134,Product_Master!$B$2:$B$11,Product_Master!$F$2:$F$11)</f>
        <v>40</v>
      </c>
      <c r="P134">
        <f t="shared" si="4"/>
        <v>880</v>
      </c>
      <c r="Q134" s="5">
        <f t="shared" si="5"/>
        <v>0.2939086524651135</v>
      </c>
    </row>
    <row r="135" spans="1:17" x14ac:dyDescent="0.3">
      <c r="A135" t="s">
        <v>275</v>
      </c>
      <c r="B135" t="s">
        <v>17</v>
      </c>
      <c r="C135" t="s">
        <v>276</v>
      </c>
      <c r="D135" t="s">
        <v>81</v>
      </c>
      <c r="E135" t="s">
        <v>64</v>
      </c>
      <c r="F135" t="s">
        <v>65</v>
      </c>
      <c r="G135">
        <v>21</v>
      </c>
      <c r="H135" s="4">
        <v>40.98</v>
      </c>
      <c r="I135">
        <v>860.58</v>
      </c>
      <c r="J135">
        <v>37.01</v>
      </c>
      <c r="K135">
        <v>298.57</v>
      </c>
      <c r="L135" t="s">
        <v>22</v>
      </c>
      <c r="M135" t="s">
        <v>37</v>
      </c>
      <c r="N135" t="s">
        <v>66</v>
      </c>
      <c r="O135">
        <f>_xlfn.XLOOKUP(E135,Product_Master!$B$2:$B$11,Product_Master!$F$2:$F$11)</f>
        <v>25</v>
      </c>
      <c r="P135">
        <f t="shared" si="4"/>
        <v>525</v>
      </c>
      <c r="Q135" s="5">
        <f t="shared" si="5"/>
        <v>0.34694043552023052</v>
      </c>
    </row>
    <row r="136" spans="1:17" x14ac:dyDescent="0.3">
      <c r="A136" t="s">
        <v>277</v>
      </c>
      <c r="B136" t="s">
        <v>78</v>
      </c>
      <c r="C136" t="s">
        <v>135</v>
      </c>
      <c r="D136" t="s">
        <v>41</v>
      </c>
      <c r="E136" t="s">
        <v>49</v>
      </c>
      <c r="F136" t="s">
        <v>50</v>
      </c>
      <c r="G136">
        <v>36</v>
      </c>
      <c r="H136" s="4">
        <v>54.6</v>
      </c>
      <c r="I136">
        <v>1965.6</v>
      </c>
      <c r="J136">
        <v>150.34</v>
      </c>
      <c r="K136">
        <v>375.26</v>
      </c>
      <c r="L136" t="s">
        <v>30</v>
      </c>
      <c r="M136" t="s">
        <v>23</v>
      </c>
      <c r="N136" t="s">
        <v>45</v>
      </c>
      <c r="O136">
        <f>_xlfn.XLOOKUP(E136,Product_Master!$B$2:$B$11,Product_Master!$F$2:$F$11)</f>
        <v>40</v>
      </c>
      <c r="P136">
        <f t="shared" si="4"/>
        <v>1440</v>
      </c>
      <c r="Q136" s="5">
        <f t="shared" si="5"/>
        <v>0.19091371591371592</v>
      </c>
    </row>
    <row r="137" spans="1:17" x14ac:dyDescent="0.3">
      <c r="A137" t="s">
        <v>278</v>
      </c>
      <c r="B137" t="s">
        <v>95</v>
      </c>
      <c r="C137" t="s">
        <v>245</v>
      </c>
      <c r="D137" t="s">
        <v>36</v>
      </c>
      <c r="E137" t="s">
        <v>69</v>
      </c>
      <c r="F137" t="s">
        <v>59</v>
      </c>
      <c r="G137">
        <v>1</v>
      </c>
      <c r="H137" s="4">
        <v>27.49</v>
      </c>
      <c r="I137">
        <v>27.49</v>
      </c>
      <c r="J137">
        <v>0.63</v>
      </c>
      <c r="K137">
        <v>11.36</v>
      </c>
      <c r="L137" t="s">
        <v>30</v>
      </c>
      <c r="M137" t="s">
        <v>37</v>
      </c>
      <c r="N137" t="s">
        <v>32</v>
      </c>
      <c r="O137">
        <f>_xlfn.XLOOKUP(E137,Product_Master!$B$2:$B$11,Product_Master!$F$2:$F$11)</f>
        <v>15.5</v>
      </c>
      <c r="P137">
        <f t="shared" si="4"/>
        <v>15.5</v>
      </c>
      <c r="Q137" s="5">
        <f t="shared" si="5"/>
        <v>0.41324117861040377</v>
      </c>
    </row>
    <row r="138" spans="1:17" x14ac:dyDescent="0.3">
      <c r="A138" t="s">
        <v>279</v>
      </c>
      <c r="B138" t="s">
        <v>157</v>
      </c>
      <c r="C138" t="s">
        <v>280</v>
      </c>
      <c r="D138" t="s">
        <v>81</v>
      </c>
      <c r="E138" t="s">
        <v>42</v>
      </c>
      <c r="F138" t="s">
        <v>43</v>
      </c>
      <c r="G138">
        <v>50</v>
      </c>
      <c r="H138" s="4">
        <v>41.11</v>
      </c>
      <c r="I138">
        <v>2055.5</v>
      </c>
      <c r="J138">
        <v>95.61</v>
      </c>
      <c r="K138">
        <v>359.89</v>
      </c>
      <c r="L138" t="s">
        <v>44</v>
      </c>
      <c r="M138" t="s">
        <v>31</v>
      </c>
      <c r="N138" t="s">
        <v>66</v>
      </c>
      <c r="O138">
        <f>_xlfn.XLOOKUP(E138,Product_Master!$B$2:$B$11,Product_Master!$F$2:$F$11)</f>
        <v>32</v>
      </c>
      <c r="P138">
        <f t="shared" si="4"/>
        <v>1600</v>
      </c>
      <c r="Q138" s="5">
        <f t="shared" si="5"/>
        <v>0.17508635368523473</v>
      </c>
    </row>
    <row r="139" spans="1:17" x14ac:dyDescent="0.3">
      <c r="A139" t="s">
        <v>281</v>
      </c>
      <c r="B139" t="s">
        <v>78</v>
      </c>
      <c r="C139" t="s">
        <v>137</v>
      </c>
      <c r="D139" t="s">
        <v>63</v>
      </c>
      <c r="E139" t="s">
        <v>69</v>
      </c>
      <c r="F139" t="s">
        <v>59</v>
      </c>
      <c r="G139">
        <v>18</v>
      </c>
      <c r="H139" s="4">
        <v>25.54</v>
      </c>
      <c r="I139">
        <v>459.72</v>
      </c>
      <c r="J139">
        <v>27.02</v>
      </c>
      <c r="K139">
        <v>153.69999999999999</v>
      </c>
      <c r="L139" t="s">
        <v>30</v>
      </c>
      <c r="M139" t="s">
        <v>23</v>
      </c>
      <c r="N139" t="s">
        <v>66</v>
      </c>
      <c r="O139">
        <f>_xlfn.XLOOKUP(E139,Product_Master!$B$2:$B$11,Product_Master!$F$2:$F$11)</f>
        <v>15.5</v>
      </c>
      <c r="P139">
        <f t="shared" si="4"/>
        <v>279</v>
      </c>
      <c r="Q139" s="5">
        <f t="shared" si="5"/>
        <v>0.33433394239972153</v>
      </c>
    </row>
    <row r="140" spans="1:17" x14ac:dyDescent="0.3">
      <c r="A140" t="s">
        <v>282</v>
      </c>
      <c r="B140" t="s">
        <v>17</v>
      </c>
      <c r="C140" t="s">
        <v>250</v>
      </c>
      <c r="D140" t="s">
        <v>91</v>
      </c>
      <c r="E140" t="s">
        <v>98</v>
      </c>
      <c r="F140" t="s">
        <v>59</v>
      </c>
      <c r="G140">
        <v>4</v>
      </c>
      <c r="H140" s="4">
        <v>47.52</v>
      </c>
      <c r="I140">
        <v>190.08</v>
      </c>
      <c r="J140">
        <v>10.23</v>
      </c>
      <c r="K140">
        <v>67.849999999999994</v>
      </c>
      <c r="L140" t="s">
        <v>22</v>
      </c>
      <c r="M140" t="s">
        <v>23</v>
      </c>
      <c r="N140" t="s">
        <v>66</v>
      </c>
      <c r="O140">
        <f>_xlfn.XLOOKUP(E140,Product_Master!$B$2:$B$11,Product_Master!$F$2:$F$11)</f>
        <v>28</v>
      </c>
      <c r="P140">
        <f t="shared" si="4"/>
        <v>112</v>
      </c>
      <c r="Q140" s="5">
        <f t="shared" si="5"/>
        <v>0.35695496632996626</v>
      </c>
    </row>
    <row r="141" spans="1:17" x14ac:dyDescent="0.3">
      <c r="A141" t="s">
        <v>283</v>
      </c>
      <c r="B141" t="s">
        <v>71</v>
      </c>
      <c r="C141" t="s">
        <v>189</v>
      </c>
      <c r="D141" t="s">
        <v>36</v>
      </c>
      <c r="E141" t="s">
        <v>64</v>
      </c>
      <c r="F141" t="s">
        <v>65</v>
      </c>
      <c r="G141">
        <v>29</v>
      </c>
      <c r="H141" s="4">
        <v>30.48</v>
      </c>
      <c r="I141">
        <v>883.92</v>
      </c>
      <c r="J141">
        <v>33.15</v>
      </c>
      <c r="K141">
        <v>125.77</v>
      </c>
      <c r="L141" t="s">
        <v>44</v>
      </c>
      <c r="M141" t="s">
        <v>23</v>
      </c>
      <c r="N141" t="s">
        <v>32</v>
      </c>
      <c r="O141">
        <f>_xlfn.XLOOKUP(E141,Product_Master!$B$2:$B$11,Product_Master!$F$2:$F$11)</f>
        <v>25</v>
      </c>
      <c r="P141">
        <f t="shared" si="4"/>
        <v>725</v>
      </c>
      <c r="Q141" s="5">
        <f t="shared" si="5"/>
        <v>0.14228663227441399</v>
      </c>
    </row>
    <row r="142" spans="1:17" x14ac:dyDescent="0.3">
      <c r="A142" t="s">
        <v>284</v>
      </c>
      <c r="B142" t="s">
        <v>86</v>
      </c>
      <c r="C142" t="s">
        <v>187</v>
      </c>
      <c r="D142" t="s">
        <v>101</v>
      </c>
      <c r="E142" t="s">
        <v>49</v>
      </c>
      <c r="F142" t="s">
        <v>50</v>
      </c>
      <c r="G142">
        <v>27</v>
      </c>
      <c r="H142" s="4">
        <v>50.39</v>
      </c>
      <c r="I142">
        <v>1360.53</v>
      </c>
      <c r="J142">
        <v>106.4</v>
      </c>
      <c r="K142">
        <v>174.13</v>
      </c>
      <c r="L142" t="s">
        <v>30</v>
      </c>
      <c r="M142" t="s">
        <v>31</v>
      </c>
      <c r="N142" t="s">
        <v>102</v>
      </c>
      <c r="O142">
        <f>_xlfn.XLOOKUP(E142,Product_Master!$B$2:$B$11,Product_Master!$F$2:$F$11)</f>
        <v>40</v>
      </c>
      <c r="P142">
        <f t="shared" si="4"/>
        <v>1080</v>
      </c>
      <c r="Q142" s="5">
        <f t="shared" si="5"/>
        <v>0.12798688746297399</v>
      </c>
    </row>
    <row r="143" spans="1:17" x14ac:dyDescent="0.3">
      <c r="A143" t="s">
        <v>285</v>
      </c>
      <c r="B143" t="s">
        <v>17</v>
      </c>
      <c r="C143" t="s">
        <v>164</v>
      </c>
      <c r="D143" t="s">
        <v>170</v>
      </c>
      <c r="E143" t="s">
        <v>64</v>
      </c>
      <c r="F143" t="s">
        <v>65</v>
      </c>
      <c r="G143">
        <v>34</v>
      </c>
      <c r="H143" s="4">
        <v>37.68</v>
      </c>
      <c r="I143">
        <v>1281.1199999999999</v>
      </c>
      <c r="J143">
        <v>54.86</v>
      </c>
      <c r="K143">
        <v>376.26</v>
      </c>
      <c r="L143" t="s">
        <v>44</v>
      </c>
      <c r="M143" t="s">
        <v>23</v>
      </c>
      <c r="N143" t="s">
        <v>32</v>
      </c>
      <c r="O143">
        <f>_xlfn.XLOOKUP(E143,Product_Master!$B$2:$B$11,Product_Master!$F$2:$F$11)</f>
        <v>25</v>
      </c>
      <c r="P143">
        <f t="shared" si="4"/>
        <v>850</v>
      </c>
      <c r="Q143" s="5">
        <f t="shared" si="5"/>
        <v>0.2936961408767329</v>
      </c>
    </row>
    <row r="144" spans="1:17" x14ac:dyDescent="0.3">
      <c r="A144" t="s">
        <v>286</v>
      </c>
      <c r="B144" t="s">
        <v>75</v>
      </c>
      <c r="C144" t="s">
        <v>287</v>
      </c>
      <c r="D144" t="s">
        <v>91</v>
      </c>
      <c r="E144" t="s">
        <v>64</v>
      </c>
      <c r="F144" t="s">
        <v>65</v>
      </c>
      <c r="G144">
        <v>3</v>
      </c>
      <c r="H144" s="4">
        <v>39.32</v>
      </c>
      <c r="I144">
        <v>117.96</v>
      </c>
      <c r="J144">
        <v>6.97</v>
      </c>
      <c r="K144">
        <v>35.99</v>
      </c>
      <c r="L144" t="s">
        <v>30</v>
      </c>
      <c r="M144" t="s">
        <v>31</v>
      </c>
      <c r="N144" t="s">
        <v>66</v>
      </c>
      <c r="O144">
        <f>_xlfn.XLOOKUP(E144,Product_Master!$B$2:$B$11,Product_Master!$F$2:$F$11)</f>
        <v>25</v>
      </c>
      <c r="P144">
        <f t="shared" si="4"/>
        <v>75</v>
      </c>
      <c r="Q144" s="5">
        <f t="shared" si="5"/>
        <v>0.3051034248897932</v>
      </c>
    </row>
    <row r="145" spans="1:17" x14ac:dyDescent="0.3">
      <c r="A145" t="s">
        <v>288</v>
      </c>
      <c r="B145" t="s">
        <v>78</v>
      </c>
      <c r="C145" t="s">
        <v>252</v>
      </c>
      <c r="D145" t="s">
        <v>48</v>
      </c>
      <c r="E145" t="s">
        <v>73</v>
      </c>
      <c r="F145" t="s">
        <v>43</v>
      </c>
      <c r="G145">
        <v>24</v>
      </c>
      <c r="H145" s="4">
        <v>18</v>
      </c>
      <c r="I145">
        <v>432</v>
      </c>
      <c r="J145">
        <v>22.68</v>
      </c>
      <c r="K145">
        <v>103.32</v>
      </c>
      <c r="L145" t="s">
        <v>22</v>
      </c>
      <c r="M145" t="s">
        <v>37</v>
      </c>
      <c r="N145" t="s">
        <v>24</v>
      </c>
      <c r="O145">
        <f>_xlfn.XLOOKUP(E145,Product_Master!$B$2:$B$11,Product_Master!$F$2:$F$11)</f>
        <v>12.75</v>
      </c>
      <c r="P145">
        <f t="shared" si="4"/>
        <v>306</v>
      </c>
      <c r="Q145" s="5">
        <f t="shared" si="5"/>
        <v>0.23916666666666664</v>
      </c>
    </row>
    <row r="146" spans="1:17" x14ac:dyDescent="0.3">
      <c r="A146" t="s">
        <v>289</v>
      </c>
      <c r="B146" t="s">
        <v>78</v>
      </c>
      <c r="C146" t="s">
        <v>117</v>
      </c>
      <c r="D146" t="s">
        <v>28</v>
      </c>
      <c r="E146" t="s">
        <v>58</v>
      </c>
      <c r="F146" t="s">
        <v>59</v>
      </c>
      <c r="G146">
        <v>5</v>
      </c>
      <c r="H146" s="4">
        <v>36.43</v>
      </c>
      <c r="I146">
        <v>182.15</v>
      </c>
      <c r="J146">
        <v>7.82</v>
      </c>
      <c r="K146">
        <v>61.83</v>
      </c>
      <c r="L146" t="s">
        <v>22</v>
      </c>
      <c r="M146" t="s">
        <v>37</v>
      </c>
      <c r="N146" t="s">
        <v>32</v>
      </c>
      <c r="O146">
        <f>_xlfn.XLOOKUP(E146,Product_Master!$B$2:$B$11,Product_Master!$F$2:$F$11)</f>
        <v>22.5</v>
      </c>
      <c r="P146">
        <f t="shared" si="4"/>
        <v>112.5</v>
      </c>
      <c r="Q146" s="5">
        <f t="shared" si="5"/>
        <v>0.33944551194070821</v>
      </c>
    </row>
    <row r="147" spans="1:17" x14ac:dyDescent="0.3">
      <c r="A147" t="s">
        <v>290</v>
      </c>
      <c r="B147" t="s">
        <v>95</v>
      </c>
      <c r="C147" t="s">
        <v>122</v>
      </c>
      <c r="D147" t="s">
        <v>63</v>
      </c>
      <c r="E147" t="s">
        <v>58</v>
      </c>
      <c r="F147" t="s">
        <v>59</v>
      </c>
      <c r="G147">
        <v>27</v>
      </c>
      <c r="H147" s="4">
        <v>38.39</v>
      </c>
      <c r="I147">
        <v>1036.53</v>
      </c>
      <c r="J147">
        <v>28.6</v>
      </c>
      <c r="K147">
        <v>400.43</v>
      </c>
      <c r="L147" t="s">
        <v>30</v>
      </c>
      <c r="M147" t="s">
        <v>23</v>
      </c>
      <c r="N147" t="s">
        <v>66</v>
      </c>
      <c r="O147">
        <f>_xlfn.XLOOKUP(E147,Product_Master!$B$2:$B$11,Product_Master!$F$2:$F$11)</f>
        <v>22.5</v>
      </c>
      <c r="P147">
        <f t="shared" si="4"/>
        <v>607.5</v>
      </c>
      <c r="Q147" s="5">
        <f t="shared" si="5"/>
        <v>0.38631781038657831</v>
      </c>
    </row>
    <row r="148" spans="1:17" x14ac:dyDescent="0.3">
      <c r="A148" t="s">
        <v>291</v>
      </c>
      <c r="B148" t="s">
        <v>107</v>
      </c>
      <c r="C148" t="s">
        <v>155</v>
      </c>
      <c r="D148" t="s">
        <v>41</v>
      </c>
      <c r="E148" t="s">
        <v>98</v>
      </c>
      <c r="F148" t="s">
        <v>59</v>
      </c>
      <c r="G148">
        <v>10</v>
      </c>
      <c r="H148" s="4">
        <v>47.5</v>
      </c>
      <c r="I148">
        <v>475</v>
      </c>
      <c r="J148">
        <v>15.95</v>
      </c>
      <c r="K148">
        <v>179.05</v>
      </c>
      <c r="L148" t="s">
        <v>22</v>
      </c>
      <c r="M148" t="s">
        <v>23</v>
      </c>
      <c r="N148" t="s">
        <v>45</v>
      </c>
      <c r="O148">
        <f>_xlfn.XLOOKUP(E148,Product_Master!$B$2:$B$11,Product_Master!$F$2:$F$11)</f>
        <v>28</v>
      </c>
      <c r="P148">
        <f t="shared" si="4"/>
        <v>280</v>
      </c>
      <c r="Q148" s="5">
        <f t="shared" si="5"/>
        <v>0.37694736842105264</v>
      </c>
    </row>
    <row r="149" spans="1:17" x14ac:dyDescent="0.3">
      <c r="A149" t="s">
        <v>292</v>
      </c>
      <c r="B149" t="s">
        <v>56</v>
      </c>
      <c r="C149" t="s">
        <v>293</v>
      </c>
      <c r="D149" t="s">
        <v>88</v>
      </c>
      <c r="E149" t="s">
        <v>42</v>
      </c>
      <c r="F149" t="s">
        <v>43</v>
      </c>
      <c r="G149">
        <v>47</v>
      </c>
      <c r="H149" s="4">
        <v>50.13</v>
      </c>
      <c r="I149">
        <v>2356.11</v>
      </c>
      <c r="J149">
        <v>166.22</v>
      </c>
      <c r="K149">
        <v>685.89</v>
      </c>
      <c r="L149" t="s">
        <v>22</v>
      </c>
      <c r="M149" t="s">
        <v>23</v>
      </c>
      <c r="N149" t="s">
        <v>66</v>
      </c>
      <c r="O149">
        <f>_xlfn.XLOOKUP(E149,Product_Master!$B$2:$B$11,Product_Master!$F$2:$F$11)</f>
        <v>32</v>
      </c>
      <c r="P149">
        <f t="shared" si="4"/>
        <v>1504</v>
      </c>
      <c r="Q149" s="5">
        <f t="shared" si="5"/>
        <v>0.29111119599679131</v>
      </c>
    </row>
    <row r="150" spans="1:17" x14ac:dyDescent="0.3">
      <c r="A150" t="s">
        <v>294</v>
      </c>
      <c r="B150" t="s">
        <v>39</v>
      </c>
      <c r="C150" t="s">
        <v>295</v>
      </c>
      <c r="D150" t="s">
        <v>53</v>
      </c>
      <c r="E150" t="s">
        <v>98</v>
      </c>
      <c r="F150" t="s">
        <v>59</v>
      </c>
      <c r="G150">
        <v>47</v>
      </c>
      <c r="H150" s="4">
        <v>42.25</v>
      </c>
      <c r="I150">
        <v>1985.75</v>
      </c>
      <c r="J150">
        <v>116.75</v>
      </c>
      <c r="K150">
        <v>553</v>
      </c>
      <c r="L150" t="s">
        <v>30</v>
      </c>
      <c r="M150" t="s">
        <v>23</v>
      </c>
      <c r="N150" t="s">
        <v>24</v>
      </c>
      <c r="O150">
        <f>_xlfn.XLOOKUP(E150,Product_Master!$B$2:$B$11,Product_Master!$F$2:$F$11)</f>
        <v>28</v>
      </c>
      <c r="P150">
        <f t="shared" si="4"/>
        <v>1316</v>
      </c>
      <c r="Q150" s="5">
        <f t="shared" si="5"/>
        <v>0.27848419992446177</v>
      </c>
    </row>
    <row r="151" spans="1:17" x14ac:dyDescent="0.3">
      <c r="A151" t="s">
        <v>296</v>
      </c>
      <c r="B151" t="s">
        <v>86</v>
      </c>
      <c r="C151" t="s">
        <v>297</v>
      </c>
      <c r="D151" t="s">
        <v>63</v>
      </c>
      <c r="E151" t="s">
        <v>64</v>
      </c>
      <c r="F151" t="s">
        <v>65</v>
      </c>
      <c r="G151">
        <v>18</v>
      </c>
      <c r="H151" s="4">
        <v>38.26</v>
      </c>
      <c r="I151">
        <v>688.68</v>
      </c>
      <c r="J151">
        <v>18.78</v>
      </c>
      <c r="K151">
        <v>219.9</v>
      </c>
      <c r="L151" t="s">
        <v>30</v>
      </c>
      <c r="M151" t="s">
        <v>23</v>
      </c>
      <c r="N151" t="s">
        <v>66</v>
      </c>
      <c r="O151">
        <f>_xlfn.XLOOKUP(E151,Product_Master!$B$2:$B$11,Product_Master!$F$2:$F$11)</f>
        <v>25</v>
      </c>
      <c r="P151">
        <f t="shared" si="4"/>
        <v>450</v>
      </c>
      <c r="Q151" s="5">
        <f t="shared" si="5"/>
        <v>0.31930649939013767</v>
      </c>
    </row>
    <row r="152" spans="1:17" x14ac:dyDescent="0.3">
      <c r="A152" t="s">
        <v>298</v>
      </c>
      <c r="B152" t="s">
        <v>83</v>
      </c>
      <c r="C152" t="s">
        <v>100</v>
      </c>
      <c r="D152" t="s">
        <v>81</v>
      </c>
      <c r="E152" t="s">
        <v>98</v>
      </c>
      <c r="F152" t="s">
        <v>59</v>
      </c>
      <c r="G152">
        <v>31</v>
      </c>
      <c r="H152" s="4">
        <v>46.66</v>
      </c>
      <c r="I152">
        <v>1446.46</v>
      </c>
      <c r="J152">
        <v>109.24</v>
      </c>
      <c r="K152">
        <v>469.22</v>
      </c>
      <c r="L152" t="s">
        <v>22</v>
      </c>
      <c r="M152" t="s">
        <v>37</v>
      </c>
      <c r="N152" t="s">
        <v>66</v>
      </c>
      <c r="O152">
        <f>_xlfn.XLOOKUP(E152,Product_Master!$B$2:$B$11,Product_Master!$F$2:$F$11)</f>
        <v>28</v>
      </c>
      <c r="P152">
        <f t="shared" si="4"/>
        <v>868</v>
      </c>
      <c r="Q152" s="5">
        <f t="shared" si="5"/>
        <v>0.32439196382893409</v>
      </c>
    </row>
    <row r="153" spans="1:17" x14ac:dyDescent="0.3">
      <c r="A153" t="s">
        <v>299</v>
      </c>
      <c r="B153" t="s">
        <v>86</v>
      </c>
      <c r="C153" t="s">
        <v>300</v>
      </c>
      <c r="D153" t="s">
        <v>101</v>
      </c>
      <c r="E153" t="s">
        <v>42</v>
      </c>
      <c r="F153" t="s">
        <v>43</v>
      </c>
      <c r="G153">
        <v>41</v>
      </c>
      <c r="H153" s="4">
        <v>52.65</v>
      </c>
      <c r="I153">
        <v>2158.65</v>
      </c>
      <c r="J153">
        <v>110.1</v>
      </c>
      <c r="K153">
        <v>736.55</v>
      </c>
      <c r="L153" t="s">
        <v>30</v>
      </c>
      <c r="M153" t="s">
        <v>37</v>
      </c>
      <c r="N153" t="s">
        <v>102</v>
      </c>
      <c r="O153">
        <f>_xlfn.XLOOKUP(E153,Product_Master!$B$2:$B$11,Product_Master!$F$2:$F$11)</f>
        <v>32</v>
      </c>
      <c r="P153">
        <f t="shared" si="4"/>
        <v>1312</v>
      </c>
      <c r="Q153" s="5">
        <f t="shared" si="5"/>
        <v>0.34120862576147126</v>
      </c>
    </row>
    <row r="154" spans="1:17" x14ac:dyDescent="0.3">
      <c r="A154" t="s">
        <v>301</v>
      </c>
      <c r="B154" t="s">
        <v>86</v>
      </c>
      <c r="C154" t="s">
        <v>133</v>
      </c>
      <c r="D154" t="s">
        <v>91</v>
      </c>
      <c r="E154" t="s">
        <v>29</v>
      </c>
      <c r="F154" t="s">
        <v>21</v>
      </c>
      <c r="G154">
        <v>28</v>
      </c>
      <c r="H154" s="4">
        <v>22.66</v>
      </c>
      <c r="I154">
        <v>634.48</v>
      </c>
      <c r="J154">
        <v>15.55</v>
      </c>
      <c r="K154">
        <v>114.93</v>
      </c>
      <c r="L154" t="s">
        <v>44</v>
      </c>
      <c r="M154" t="s">
        <v>23</v>
      </c>
      <c r="N154" t="s">
        <v>66</v>
      </c>
      <c r="O154">
        <f>_xlfn.XLOOKUP(E154,Product_Master!$B$2:$B$11,Product_Master!$F$2:$F$11)</f>
        <v>18</v>
      </c>
      <c r="P154">
        <f t="shared" si="4"/>
        <v>504</v>
      </c>
      <c r="Q154" s="5">
        <f t="shared" si="5"/>
        <v>0.1811404614802673</v>
      </c>
    </row>
    <row r="155" spans="1:17" x14ac:dyDescent="0.3">
      <c r="A155" t="s">
        <v>302</v>
      </c>
      <c r="B155" t="s">
        <v>26</v>
      </c>
      <c r="C155" t="s">
        <v>287</v>
      </c>
      <c r="D155" t="s">
        <v>53</v>
      </c>
      <c r="E155" t="s">
        <v>69</v>
      </c>
      <c r="F155" t="s">
        <v>59</v>
      </c>
      <c r="G155">
        <v>48</v>
      </c>
      <c r="H155" s="4">
        <v>25.07</v>
      </c>
      <c r="I155">
        <v>1203.3599999999999</v>
      </c>
      <c r="J155">
        <v>29.93</v>
      </c>
      <c r="K155">
        <v>429.43</v>
      </c>
      <c r="L155" t="s">
        <v>30</v>
      </c>
      <c r="M155" t="s">
        <v>31</v>
      </c>
      <c r="N155" t="s">
        <v>24</v>
      </c>
      <c r="O155">
        <f>_xlfn.XLOOKUP(E155,Product_Master!$B$2:$B$11,Product_Master!$F$2:$F$11)</f>
        <v>15.5</v>
      </c>
      <c r="P155">
        <f t="shared" si="4"/>
        <v>744</v>
      </c>
      <c r="Q155" s="5">
        <f t="shared" si="5"/>
        <v>0.35685912777556178</v>
      </c>
    </row>
    <row r="156" spans="1:17" x14ac:dyDescent="0.3">
      <c r="A156" t="s">
        <v>303</v>
      </c>
      <c r="B156" t="s">
        <v>107</v>
      </c>
      <c r="C156" t="s">
        <v>40</v>
      </c>
      <c r="D156" t="s">
        <v>41</v>
      </c>
      <c r="E156" t="s">
        <v>29</v>
      </c>
      <c r="F156" t="s">
        <v>21</v>
      </c>
      <c r="G156">
        <v>31</v>
      </c>
      <c r="H156" s="4">
        <v>30.53</v>
      </c>
      <c r="I156">
        <v>946.43</v>
      </c>
      <c r="J156">
        <v>72.150000000000006</v>
      </c>
      <c r="K156">
        <v>316.27999999999997</v>
      </c>
      <c r="L156" t="s">
        <v>44</v>
      </c>
      <c r="M156" t="s">
        <v>31</v>
      </c>
      <c r="N156" t="s">
        <v>45</v>
      </c>
      <c r="O156">
        <f>_xlfn.XLOOKUP(E156,Product_Master!$B$2:$B$11,Product_Master!$F$2:$F$11)</f>
        <v>18</v>
      </c>
      <c r="P156">
        <f t="shared" si="4"/>
        <v>558</v>
      </c>
      <c r="Q156" s="5">
        <f t="shared" si="5"/>
        <v>0.33418213708356664</v>
      </c>
    </row>
    <row r="157" spans="1:17" x14ac:dyDescent="0.3">
      <c r="A157" t="s">
        <v>304</v>
      </c>
      <c r="B157" t="s">
        <v>78</v>
      </c>
      <c r="C157" t="s">
        <v>305</v>
      </c>
      <c r="D157" t="s">
        <v>101</v>
      </c>
      <c r="E157" t="s">
        <v>58</v>
      </c>
      <c r="F157" t="s">
        <v>59</v>
      </c>
      <c r="G157">
        <v>33</v>
      </c>
      <c r="H157" s="4">
        <v>31</v>
      </c>
      <c r="I157">
        <v>1023</v>
      </c>
      <c r="J157">
        <v>63.94</v>
      </c>
      <c r="K157">
        <v>216.56</v>
      </c>
      <c r="L157" t="s">
        <v>30</v>
      </c>
      <c r="M157" t="s">
        <v>23</v>
      </c>
      <c r="N157" t="s">
        <v>102</v>
      </c>
      <c r="O157">
        <f>_xlfn.XLOOKUP(E157,Product_Master!$B$2:$B$11,Product_Master!$F$2:$F$11)</f>
        <v>22.5</v>
      </c>
      <c r="P157">
        <f t="shared" si="4"/>
        <v>742.5</v>
      </c>
      <c r="Q157" s="5">
        <f t="shared" si="5"/>
        <v>0.21169110459433041</v>
      </c>
    </row>
    <row r="158" spans="1:17" x14ac:dyDescent="0.3">
      <c r="A158" t="s">
        <v>306</v>
      </c>
      <c r="B158" t="s">
        <v>39</v>
      </c>
      <c r="C158" t="s">
        <v>137</v>
      </c>
      <c r="D158" t="s">
        <v>28</v>
      </c>
      <c r="E158" t="s">
        <v>69</v>
      </c>
      <c r="F158" t="s">
        <v>59</v>
      </c>
      <c r="G158">
        <v>32</v>
      </c>
      <c r="H158" s="4">
        <v>20.86</v>
      </c>
      <c r="I158">
        <v>667.52</v>
      </c>
      <c r="J158">
        <v>21.62</v>
      </c>
      <c r="K158">
        <v>149.9</v>
      </c>
      <c r="L158" t="s">
        <v>44</v>
      </c>
      <c r="M158" t="s">
        <v>37</v>
      </c>
      <c r="N158" t="s">
        <v>32</v>
      </c>
      <c r="O158">
        <f>_xlfn.XLOOKUP(E158,Product_Master!$B$2:$B$11,Product_Master!$F$2:$F$11)</f>
        <v>15.5</v>
      </c>
      <c r="P158">
        <f t="shared" si="4"/>
        <v>496</v>
      </c>
      <c r="Q158" s="5">
        <f t="shared" si="5"/>
        <v>0.22456255992329818</v>
      </c>
    </row>
    <row r="159" spans="1:17" x14ac:dyDescent="0.3">
      <c r="A159" t="s">
        <v>307</v>
      </c>
      <c r="B159" t="s">
        <v>68</v>
      </c>
      <c r="C159" t="s">
        <v>158</v>
      </c>
      <c r="D159" t="s">
        <v>170</v>
      </c>
      <c r="E159" t="s">
        <v>54</v>
      </c>
      <c r="F159" t="s">
        <v>43</v>
      </c>
      <c r="G159">
        <v>18</v>
      </c>
      <c r="H159" s="4">
        <v>24.61</v>
      </c>
      <c r="I159">
        <v>442.98</v>
      </c>
      <c r="J159">
        <v>26.99</v>
      </c>
      <c r="K159">
        <v>55.99</v>
      </c>
      <c r="L159" t="s">
        <v>44</v>
      </c>
      <c r="M159" t="s">
        <v>23</v>
      </c>
      <c r="N159" t="s">
        <v>32</v>
      </c>
      <c r="O159">
        <f>_xlfn.XLOOKUP(E159,Product_Master!$B$2:$B$11,Product_Master!$F$2:$F$11)</f>
        <v>20</v>
      </c>
      <c r="P159">
        <f t="shared" si="4"/>
        <v>360</v>
      </c>
      <c r="Q159" s="5">
        <f t="shared" si="5"/>
        <v>0.12639396812497178</v>
      </c>
    </row>
    <row r="160" spans="1:17" x14ac:dyDescent="0.3">
      <c r="A160" t="s">
        <v>308</v>
      </c>
      <c r="B160" t="s">
        <v>39</v>
      </c>
      <c r="C160" t="s">
        <v>112</v>
      </c>
      <c r="D160" t="s">
        <v>81</v>
      </c>
      <c r="E160" t="s">
        <v>49</v>
      </c>
      <c r="F160" t="s">
        <v>50</v>
      </c>
      <c r="G160">
        <v>18</v>
      </c>
      <c r="H160" s="4">
        <v>64.83</v>
      </c>
      <c r="I160">
        <v>1166.94</v>
      </c>
      <c r="J160">
        <v>34.28</v>
      </c>
      <c r="K160">
        <v>412.66</v>
      </c>
      <c r="L160" t="s">
        <v>44</v>
      </c>
      <c r="M160" t="s">
        <v>23</v>
      </c>
      <c r="N160" t="s">
        <v>66</v>
      </c>
      <c r="O160">
        <f>_xlfn.XLOOKUP(E160,Product_Master!$B$2:$B$11,Product_Master!$F$2:$F$11)</f>
        <v>40</v>
      </c>
      <c r="P160">
        <f t="shared" si="4"/>
        <v>720</v>
      </c>
      <c r="Q160" s="5">
        <f t="shared" si="5"/>
        <v>0.35362572197370901</v>
      </c>
    </row>
    <row r="161" spans="1:17" x14ac:dyDescent="0.3">
      <c r="A161" t="s">
        <v>309</v>
      </c>
      <c r="B161" t="s">
        <v>95</v>
      </c>
      <c r="C161" t="s">
        <v>310</v>
      </c>
      <c r="D161" t="s">
        <v>53</v>
      </c>
      <c r="E161" t="s">
        <v>54</v>
      </c>
      <c r="F161" t="s">
        <v>43</v>
      </c>
      <c r="G161">
        <v>49</v>
      </c>
      <c r="H161" s="4">
        <v>29.52</v>
      </c>
      <c r="I161">
        <v>1446.48</v>
      </c>
      <c r="J161">
        <v>104.7</v>
      </c>
      <c r="K161">
        <v>361.78</v>
      </c>
      <c r="L161" t="s">
        <v>44</v>
      </c>
      <c r="M161" t="s">
        <v>37</v>
      </c>
      <c r="N161" t="s">
        <v>24</v>
      </c>
      <c r="O161">
        <f>_xlfn.XLOOKUP(E161,Product_Master!$B$2:$B$11,Product_Master!$F$2:$F$11)</f>
        <v>20</v>
      </c>
      <c r="P161">
        <f t="shared" si="4"/>
        <v>980</v>
      </c>
      <c r="Q161" s="5">
        <f t="shared" si="5"/>
        <v>0.25011061335103146</v>
      </c>
    </row>
    <row r="162" spans="1:17" x14ac:dyDescent="0.3">
      <c r="A162" t="s">
        <v>311</v>
      </c>
      <c r="B162" t="s">
        <v>95</v>
      </c>
      <c r="C162" t="s">
        <v>312</v>
      </c>
      <c r="D162" t="s">
        <v>101</v>
      </c>
      <c r="E162" t="s">
        <v>54</v>
      </c>
      <c r="F162" t="s">
        <v>43</v>
      </c>
      <c r="G162">
        <v>10</v>
      </c>
      <c r="H162" s="4">
        <v>26.73</v>
      </c>
      <c r="I162">
        <v>267.3</v>
      </c>
      <c r="J162">
        <v>10.210000000000001</v>
      </c>
      <c r="K162">
        <v>57.09</v>
      </c>
      <c r="L162" t="s">
        <v>44</v>
      </c>
      <c r="M162" t="s">
        <v>37</v>
      </c>
      <c r="N162" t="s">
        <v>102</v>
      </c>
      <c r="O162">
        <f>_xlfn.XLOOKUP(E162,Product_Master!$B$2:$B$11,Product_Master!$F$2:$F$11)</f>
        <v>20</v>
      </c>
      <c r="P162">
        <f t="shared" si="4"/>
        <v>200</v>
      </c>
      <c r="Q162" s="5">
        <f t="shared" si="5"/>
        <v>0.21358024691358024</v>
      </c>
    </row>
    <row r="163" spans="1:17" x14ac:dyDescent="0.3">
      <c r="A163" t="s">
        <v>313</v>
      </c>
      <c r="B163" t="s">
        <v>83</v>
      </c>
      <c r="C163" t="s">
        <v>72</v>
      </c>
      <c r="D163" t="s">
        <v>28</v>
      </c>
      <c r="E163" t="s">
        <v>42</v>
      </c>
      <c r="F163" t="s">
        <v>43</v>
      </c>
      <c r="G163">
        <v>10</v>
      </c>
      <c r="H163" s="4">
        <v>54.45</v>
      </c>
      <c r="I163">
        <v>544.5</v>
      </c>
      <c r="J163">
        <v>16.59</v>
      </c>
      <c r="K163">
        <v>207.91</v>
      </c>
      <c r="L163" t="s">
        <v>22</v>
      </c>
      <c r="M163" t="s">
        <v>23</v>
      </c>
      <c r="N163" t="s">
        <v>32</v>
      </c>
      <c r="O163">
        <f>_xlfn.XLOOKUP(E163,Product_Master!$B$2:$B$11,Product_Master!$F$2:$F$11)</f>
        <v>32</v>
      </c>
      <c r="P163">
        <f t="shared" si="4"/>
        <v>320</v>
      </c>
      <c r="Q163" s="5">
        <f t="shared" si="5"/>
        <v>0.38183654729109273</v>
      </c>
    </row>
    <row r="164" spans="1:17" x14ac:dyDescent="0.3">
      <c r="A164" t="s">
        <v>314</v>
      </c>
      <c r="B164" t="s">
        <v>56</v>
      </c>
      <c r="C164" t="s">
        <v>72</v>
      </c>
      <c r="D164" t="s">
        <v>196</v>
      </c>
      <c r="E164" t="s">
        <v>29</v>
      </c>
      <c r="F164" t="s">
        <v>21</v>
      </c>
      <c r="G164">
        <v>46</v>
      </c>
      <c r="H164" s="4">
        <v>30.06</v>
      </c>
      <c r="I164">
        <v>1382.76</v>
      </c>
      <c r="J164">
        <v>77.17</v>
      </c>
      <c r="K164">
        <v>477.59</v>
      </c>
      <c r="L164" t="s">
        <v>30</v>
      </c>
      <c r="M164" t="s">
        <v>31</v>
      </c>
      <c r="N164" t="s">
        <v>66</v>
      </c>
      <c r="O164">
        <f>_xlfn.XLOOKUP(E164,Product_Master!$B$2:$B$11,Product_Master!$F$2:$F$11)</f>
        <v>18</v>
      </c>
      <c r="P164">
        <f t="shared" si="4"/>
        <v>828</v>
      </c>
      <c r="Q164" s="5">
        <f t="shared" si="5"/>
        <v>0.34538893228036677</v>
      </c>
    </row>
    <row r="165" spans="1:17" x14ac:dyDescent="0.3">
      <c r="A165" t="s">
        <v>315</v>
      </c>
      <c r="B165" t="s">
        <v>83</v>
      </c>
      <c r="C165" t="s">
        <v>316</v>
      </c>
      <c r="D165" t="s">
        <v>53</v>
      </c>
      <c r="E165" t="s">
        <v>69</v>
      </c>
      <c r="F165" t="s">
        <v>59</v>
      </c>
      <c r="G165">
        <v>25</v>
      </c>
      <c r="H165" s="4">
        <v>21.52</v>
      </c>
      <c r="I165">
        <v>538</v>
      </c>
      <c r="J165">
        <v>26.73</v>
      </c>
      <c r="K165">
        <v>123.77</v>
      </c>
      <c r="L165" t="s">
        <v>30</v>
      </c>
      <c r="M165" t="s">
        <v>23</v>
      </c>
      <c r="N165" t="s">
        <v>24</v>
      </c>
      <c r="O165">
        <f>_xlfn.XLOOKUP(E165,Product_Master!$B$2:$B$11,Product_Master!$F$2:$F$11)</f>
        <v>15.5</v>
      </c>
      <c r="P165">
        <f t="shared" si="4"/>
        <v>387.5</v>
      </c>
      <c r="Q165" s="5">
        <f t="shared" si="5"/>
        <v>0.23005576208178438</v>
      </c>
    </row>
    <row r="166" spans="1:17" x14ac:dyDescent="0.3">
      <c r="A166" t="s">
        <v>317</v>
      </c>
      <c r="B166" t="s">
        <v>83</v>
      </c>
      <c r="C166" t="s">
        <v>230</v>
      </c>
      <c r="D166" t="s">
        <v>196</v>
      </c>
      <c r="E166" t="s">
        <v>29</v>
      </c>
      <c r="F166" t="s">
        <v>21</v>
      </c>
      <c r="G166">
        <v>5</v>
      </c>
      <c r="H166" s="4">
        <v>26.25</v>
      </c>
      <c r="I166">
        <v>131.25</v>
      </c>
      <c r="J166">
        <v>3.35</v>
      </c>
      <c r="K166">
        <v>37.9</v>
      </c>
      <c r="L166" t="s">
        <v>30</v>
      </c>
      <c r="M166" t="s">
        <v>31</v>
      </c>
      <c r="N166" t="s">
        <v>66</v>
      </c>
      <c r="O166">
        <f>_xlfn.XLOOKUP(E166,Product_Master!$B$2:$B$11,Product_Master!$F$2:$F$11)</f>
        <v>18</v>
      </c>
      <c r="P166">
        <f t="shared" si="4"/>
        <v>90</v>
      </c>
      <c r="Q166" s="5">
        <f t="shared" si="5"/>
        <v>0.28876190476190478</v>
      </c>
    </row>
    <row r="167" spans="1:17" x14ac:dyDescent="0.3">
      <c r="A167" t="s">
        <v>318</v>
      </c>
      <c r="B167" t="s">
        <v>56</v>
      </c>
      <c r="C167" t="s">
        <v>319</v>
      </c>
      <c r="D167" t="s">
        <v>28</v>
      </c>
      <c r="E167" t="s">
        <v>64</v>
      </c>
      <c r="F167" t="s">
        <v>65</v>
      </c>
      <c r="G167">
        <v>10</v>
      </c>
      <c r="H167" s="4">
        <v>31.48</v>
      </c>
      <c r="I167">
        <v>314.8</v>
      </c>
      <c r="J167">
        <v>10.23</v>
      </c>
      <c r="K167">
        <v>54.57</v>
      </c>
      <c r="L167" t="s">
        <v>44</v>
      </c>
      <c r="M167" t="s">
        <v>37</v>
      </c>
      <c r="N167" t="s">
        <v>32</v>
      </c>
      <c r="O167">
        <f>_xlfn.XLOOKUP(E167,Product_Master!$B$2:$B$11,Product_Master!$F$2:$F$11)</f>
        <v>25</v>
      </c>
      <c r="P167">
        <f t="shared" si="4"/>
        <v>250</v>
      </c>
      <c r="Q167" s="5">
        <f t="shared" si="5"/>
        <v>0.17334815756035576</v>
      </c>
    </row>
    <row r="168" spans="1:17" x14ac:dyDescent="0.3">
      <c r="A168" t="s">
        <v>320</v>
      </c>
      <c r="B168" t="s">
        <v>71</v>
      </c>
      <c r="C168" t="s">
        <v>127</v>
      </c>
      <c r="D168" t="s">
        <v>41</v>
      </c>
      <c r="E168" t="s">
        <v>54</v>
      </c>
      <c r="F168" t="s">
        <v>43</v>
      </c>
      <c r="G168">
        <v>21</v>
      </c>
      <c r="H168" s="4">
        <v>30.91</v>
      </c>
      <c r="I168">
        <v>649.11</v>
      </c>
      <c r="J168">
        <v>38.42</v>
      </c>
      <c r="K168">
        <v>190.69</v>
      </c>
      <c r="L168" t="s">
        <v>30</v>
      </c>
      <c r="M168" t="s">
        <v>37</v>
      </c>
      <c r="N168" t="s">
        <v>45</v>
      </c>
      <c r="O168">
        <f>_xlfn.XLOOKUP(E168,Product_Master!$B$2:$B$11,Product_Master!$F$2:$F$11)</f>
        <v>20</v>
      </c>
      <c r="P168">
        <f t="shared" si="4"/>
        <v>420</v>
      </c>
      <c r="Q168" s="5">
        <f t="shared" si="5"/>
        <v>0.29377147170741474</v>
      </c>
    </row>
    <row r="169" spans="1:17" x14ac:dyDescent="0.3">
      <c r="A169" t="s">
        <v>321</v>
      </c>
      <c r="B169" t="s">
        <v>61</v>
      </c>
      <c r="C169" t="s">
        <v>322</v>
      </c>
      <c r="D169" t="s">
        <v>81</v>
      </c>
      <c r="E169" t="s">
        <v>73</v>
      </c>
      <c r="F169" t="s">
        <v>43</v>
      </c>
      <c r="G169">
        <v>29</v>
      </c>
      <c r="H169" s="4">
        <v>18.47</v>
      </c>
      <c r="I169">
        <v>535.63</v>
      </c>
      <c r="J169">
        <v>13.21</v>
      </c>
      <c r="K169">
        <v>152.66999999999999</v>
      </c>
      <c r="L169" t="s">
        <v>22</v>
      </c>
      <c r="M169" t="s">
        <v>23</v>
      </c>
      <c r="N169" t="s">
        <v>66</v>
      </c>
      <c r="O169">
        <f>_xlfn.XLOOKUP(E169,Product_Master!$B$2:$B$11,Product_Master!$F$2:$F$11)</f>
        <v>12.75</v>
      </c>
      <c r="P169">
        <f t="shared" si="4"/>
        <v>369.75</v>
      </c>
      <c r="Q169" s="5">
        <f t="shared" si="5"/>
        <v>0.28502884453820732</v>
      </c>
    </row>
    <row r="170" spans="1:17" x14ac:dyDescent="0.3">
      <c r="A170" t="s">
        <v>323</v>
      </c>
      <c r="B170" t="s">
        <v>132</v>
      </c>
      <c r="C170" t="s">
        <v>133</v>
      </c>
      <c r="D170" t="s">
        <v>53</v>
      </c>
      <c r="E170" t="s">
        <v>20</v>
      </c>
      <c r="F170" t="s">
        <v>21</v>
      </c>
      <c r="G170">
        <v>36</v>
      </c>
      <c r="H170" s="4">
        <v>44.79</v>
      </c>
      <c r="I170">
        <v>1612.44</v>
      </c>
      <c r="J170">
        <v>68.599999999999994</v>
      </c>
      <c r="K170">
        <v>283.83999999999997</v>
      </c>
      <c r="L170" t="s">
        <v>44</v>
      </c>
      <c r="M170" t="s">
        <v>31</v>
      </c>
      <c r="N170" t="s">
        <v>24</v>
      </c>
      <c r="O170">
        <f>_xlfn.XLOOKUP(E170,Product_Master!$B$2:$B$11,Product_Master!$F$2:$F$11)</f>
        <v>35</v>
      </c>
      <c r="P170">
        <f t="shared" si="4"/>
        <v>1260</v>
      </c>
      <c r="Q170" s="5">
        <f t="shared" si="5"/>
        <v>0.1760313562055022</v>
      </c>
    </row>
    <row r="171" spans="1:17" x14ac:dyDescent="0.3">
      <c r="A171" t="s">
        <v>324</v>
      </c>
      <c r="B171" t="s">
        <v>34</v>
      </c>
      <c r="C171" t="s">
        <v>325</v>
      </c>
      <c r="D171" t="s">
        <v>41</v>
      </c>
      <c r="E171" t="s">
        <v>69</v>
      </c>
      <c r="F171" t="s">
        <v>59</v>
      </c>
      <c r="G171">
        <v>3</v>
      </c>
      <c r="H171" s="4">
        <v>18.86</v>
      </c>
      <c r="I171">
        <v>56.58</v>
      </c>
      <c r="J171">
        <v>2.61</v>
      </c>
      <c r="K171">
        <v>7.47</v>
      </c>
      <c r="L171" t="s">
        <v>30</v>
      </c>
      <c r="M171" t="s">
        <v>37</v>
      </c>
      <c r="N171" t="s">
        <v>45</v>
      </c>
      <c r="O171">
        <f>_xlfn.XLOOKUP(E171,Product_Master!$B$2:$B$11,Product_Master!$F$2:$F$11)</f>
        <v>15.5</v>
      </c>
      <c r="P171">
        <f t="shared" si="4"/>
        <v>46.5</v>
      </c>
      <c r="Q171" s="5">
        <f t="shared" si="5"/>
        <v>0.1320254506892895</v>
      </c>
    </row>
    <row r="172" spans="1:17" x14ac:dyDescent="0.3">
      <c r="A172" t="s">
        <v>326</v>
      </c>
      <c r="B172" t="s">
        <v>132</v>
      </c>
      <c r="C172" t="s">
        <v>57</v>
      </c>
      <c r="D172" t="s">
        <v>63</v>
      </c>
      <c r="E172" t="s">
        <v>98</v>
      </c>
      <c r="F172" t="s">
        <v>59</v>
      </c>
      <c r="G172">
        <v>10</v>
      </c>
      <c r="H172" s="4">
        <v>45.86</v>
      </c>
      <c r="I172">
        <v>458.6</v>
      </c>
      <c r="J172">
        <v>14.4</v>
      </c>
      <c r="K172">
        <v>164.2</v>
      </c>
      <c r="L172" t="s">
        <v>44</v>
      </c>
      <c r="M172" t="s">
        <v>23</v>
      </c>
      <c r="N172" t="s">
        <v>66</v>
      </c>
      <c r="O172">
        <f>_xlfn.XLOOKUP(E172,Product_Master!$B$2:$B$11,Product_Master!$F$2:$F$11)</f>
        <v>28</v>
      </c>
      <c r="P172">
        <f t="shared" si="4"/>
        <v>280</v>
      </c>
      <c r="Q172" s="5">
        <f t="shared" si="5"/>
        <v>0.35804622764936761</v>
      </c>
    </row>
    <row r="173" spans="1:17" x14ac:dyDescent="0.3">
      <c r="A173" t="s">
        <v>327</v>
      </c>
      <c r="B173" t="s">
        <v>83</v>
      </c>
      <c r="C173" t="s">
        <v>325</v>
      </c>
      <c r="D173" t="s">
        <v>36</v>
      </c>
      <c r="E173" t="s">
        <v>29</v>
      </c>
      <c r="F173" t="s">
        <v>21</v>
      </c>
      <c r="G173">
        <v>1</v>
      </c>
      <c r="H173" s="4">
        <v>24.64</v>
      </c>
      <c r="I173">
        <v>24.64</v>
      </c>
      <c r="J173">
        <v>0.65</v>
      </c>
      <c r="K173">
        <v>5.99</v>
      </c>
      <c r="L173" t="s">
        <v>44</v>
      </c>
      <c r="M173" t="s">
        <v>31</v>
      </c>
      <c r="N173" t="s">
        <v>32</v>
      </c>
      <c r="O173">
        <f>_xlfn.XLOOKUP(E173,Product_Master!$B$2:$B$11,Product_Master!$F$2:$F$11)</f>
        <v>18</v>
      </c>
      <c r="P173">
        <f t="shared" si="4"/>
        <v>18</v>
      </c>
      <c r="Q173" s="5">
        <f t="shared" si="5"/>
        <v>0.24310064935064934</v>
      </c>
    </row>
    <row r="174" spans="1:17" x14ac:dyDescent="0.3">
      <c r="A174" t="s">
        <v>328</v>
      </c>
      <c r="B174" t="s">
        <v>95</v>
      </c>
      <c r="C174" t="s">
        <v>173</v>
      </c>
      <c r="D174" t="s">
        <v>36</v>
      </c>
      <c r="E174" t="s">
        <v>69</v>
      </c>
      <c r="F174" t="s">
        <v>59</v>
      </c>
      <c r="G174">
        <v>49</v>
      </c>
      <c r="H174" s="4">
        <v>22.8</v>
      </c>
      <c r="I174">
        <v>1117.2</v>
      </c>
      <c r="J174">
        <v>51.06</v>
      </c>
      <c r="K174">
        <v>306.64</v>
      </c>
      <c r="L174" t="s">
        <v>22</v>
      </c>
      <c r="M174" t="s">
        <v>31</v>
      </c>
      <c r="N174" t="s">
        <v>32</v>
      </c>
      <c r="O174">
        <f>_xlfn.XLOOKUP(E174,Product_Master!$B$2:$B$11,Product_Master!$F$2:$F$11)</f>
        <v>15.5</v>
      </c>
      <c r="P174">
        <f t="shared" si="4"/>
        <v>759.5</v>
      </c>
      <c r="Q174" s="5">
        <f t="shared" si="5"/>
        <v>0.27447189402076616</v>
      </c>
    </row>
    <row r="175" spans="1:17" x14ac:dyDescent="0.3">
      <c r="A175" t="s">
        <v>329</v>
      </c>
      <c r="B175" t="s">
        <v>39</v>
      </c>
      <c r="C175" t="s">
        <v>212</v>
      </c>
      <c r="D175" t="s">
        <v>53</v>
      </c>
      <c r="E175" t="s">
        <v>20</v>
      </c>
      <c r="F175" t="s">
        <v>21</v>
      </c>
      <c r="G175">
        <v>32</v>
      </c>
      <c r="H175" s="4">
        <v>44.5</v>
      </c>
      <c r="I175">
        <v>1424</v>
      </c>
      <c r="J175">
        <v>43.92</v>
      </c>
      <c r="K175">
        <v>260.08</v>
      </c>
      <c r="L175" t="s">
        <v>44</v>
      </c>
      <c r="M175" t="s">
        <v>31</v>
      </c>
      <c r="N175" t="s">
        <v>24</v>
      </c>
      <c r="O175">
        <f>_xlfn.XLOOKUP(E175,Product_Master!$B$2:$B$11,Product_Master!$F$2:$F$11)</f>
        <v>35</v>
      </c>
      <c r="P175">
        <f t="shared" si="4"/>
        <v>1120</v>
      </c>
      <c r="Q175" s="5">
        <f t="shared" si="5"/>
        <v>0.18264044943820223</v>
      </c>
    </row>
    <row r="176" spans="1:17" x14ac:dyDescent="0.3">
      <c r="A176" t="s">
        <v>330</v>
      </c>
      <c r="B176" t="s">
        <v>71</v>
      </c>
      <c r="C176" t="s">
        <v>228</v>
      </c>
      <c r="D176" t="s">
        <v>41</v>
      </c>
      <c r="E176" t="s">
        <v>20</v>
      </c>
      <c r="F176" t="s">
        <v>21</v>
      </c>
      <c r="G176">
        <v>43</v>
      </c>
      <c r="H176" s="4">
        <v>55.74</v>
      </c>
      <c r="I176">
        <v>2396.8200000000002</v>
      </c>
      <c r="J176">
        <v>63.85</v>
      </c>
      <c r="K176">
        <v>827.97</v>
      </c>
      <c r="L176" t="s">
        <v>30</v>
      </c>
      <c r="M176" t="s">
        <v>37</v>
      </c>
      <c r="N176" t="s">
        <v>45</v>
      </c>
      <c r="O176">
        <f>_xlfn.XLOOKUP(E176,Product_Master!$B$2:$B$11,Product_Master!$F$2:$F$11)</f>
        <v>35</v>
      </c>
      <c r="P176">
        <f t="shared" si="4"/>
        <v>1505</v>
      </c>
      <c r="Q176" s="5">
        <f t="shared" si="5"/>
        <v>0.34544521490975544</v>
      </c>
    </row>
    <row r="177" spans="1:17" x14ac:dyDescent="0.3">
      <c r="A177" t="s">
        <v>331</v>
      </c>
      <c r="B177" t="s">
        <v>39</v>
      </c>
      <c r="C177" t="s">
        <v>122</v>
      </c>
      <c r="D177" t="s">
        <v>81</v>
      </c>
      <c r="E177" t="s">
        <v>69</v>
      </c>
      <c r="F177" t="s">
        <v>59</v>
      </c>
      <c r="G177">
        <v>19</v>
      </c>
      <c r="H177" s="4">
        <v>25.78</v>
      </c>
      <c r="I177">
        <v>489.82</v>
      </c>
      <c r="J177">
        <v>28.4</v>
      </c>
      <c r="K177">
        <v>166.92</v>
      </c>
      <c r="L177" t="s">
        <v>44</v>
      </c>
      <c r="M177" t="s">
        <v>31</v>
      </c>
      <c r="N177" t="s">
        <v>66</v>
      </c>
      <c r="O177">
        <f>_xlfn.XLOOKUP(E177,Product_Master!$B$2:$B$11,Product_Master!$F$2:$F$11)</f>
        <v>15.5</v>
      </c>
      <c r="P177">
        <f t="shared" si="4"/>
        <v>294.5</v>
      </c>
      <c r="Q177" s="5">
        <f t="shared" si="5"/>
        <v>0.3407782450696174</v>
      </c>
    </row>
    <row r="178" spans="1:17" x14ac:dyDescent="0.3">
      <c r="A178" t="s">
        <v>332</v>
      </c>
      <c r="B178" t="s">
        <v>83</v>
      </c>
      <c r="C178" t="s">
        <v>265</v>
      </c>
      <c r="D178" t="s">
        <v>53</v>
      </c>
      <c r="E178" t="s">
        <v>29</v>
      </c>
      <c r="F178" t="s">
        <v>21</v>
      </c>
      <c r="G178">
        <v>43</v>
      </c>
      <c r="H178" s="4">
        <v>30.43</v>
      </c>
      <c r="I178">
        <v>1308.49</v>
      </c>
      <c r="J178">
        <v>35.340000000000003</v>
      </c>
      <c r="K178">
        <v>499.15</v>
      </c>
      <c r="L178" t="s">
        <v>30</v>
      </c>
      <c r="M178" t="s">
        <v>31</v>
      </c>
      <c r="N178" t="s">
        <v>24</v>
      </c>
      <c r="O178">
        <f>_xlfn.XLOOKUP(E178,Product_Master!$B$2:$B$11,Product_Master!$F$2:$F$11)</f>
        <v>18</v>
      </c>
      <c r="P178">
        <f t="shared" si="4"/>
        <v>774</v>
      </c>
      <c r="Q178" s="5">
        <f t="shared" si="5"/>
        <v>0.38147024432743082</v>
      </c>
    </row>
    <row r="179" spans="1:17" x14ac:dyDescent="0.3">
      <c r="A179" t="s">
        <v>333</v>
      </c>
      <c r="B179" t="s">
        <v>78</v>
      </c>
      <c r="C179" t="s">
        <v>334</v>
      </c>
      <c r="D179" t="s">
        <v>123</v>
      </c>
      <c r="E179" t="s">
        <v>69</v>
      </c>
      <c r="F179" t="s">
        <v>59</v>
      </c>
      <c r="G179">
        <v>17</v>
      </c>
      <c r="H179" s="4">
        <v>18.71</v>
      </c>
      <c r="I179">
        <v>318.07</v>
      </c>
      <c r="J179">
        <v>22.03</v>
      </c>
      <c r="K179">
        <v>32.54</v>
      </c>
      <c r="L179" t="s">
        <v>44</v>
      </c>
      <c r="M179" t="s">
        <v>23</v>
      </c>
      <c r="N179" t="s">
        <v>32</v>
      </c>
      <c r="O179">
        <f>_xlfn.XLOOKUP(E179,Product_Master!$B$2:$B$11,Product_Master!$F$2:$F$11)</f>
        <v>15.5</v>
      </c>
      <c r="P179">
        <f t="shared" si="4"/>
        <v>263.5</v>
      </c>
      <c r="Q179" s="5">
        <f t="shared" si="5"/>
        <v>0.10230452416134814</v>
      </c>
    </row>
    <row r="180" spans="1:17" x14ac:dyDescent="0.3">
      <c r="A180" t="s">
        <v>335</v>
      </c>
      <c r="B180" t="s">
        <v>86</v>
      </c>
      <c r="C180" t="s">
        <v>47</v>
      </c>
      <c r="D180" t="s">
        <v>63</v>
      </c>
      <c r="E180" t="s">
        <v>69</v>
      </c>
      <c r="F180" t="s">
        <v>59</v>
      </c>
      <c r="G180">
        <v>44</v>
      </c>
      <c r="H180" s="4">
        <v>23.87</v>
      </c>
      <c r="I180">
        <v>1050.28</v>
      </c>
      <c r="J180">
        <v>33.51</v>
      </c>
      <c r="K180">
        <v>334.77</v>
      </c>
      <c r="L180" t="s">
        <v>22</v>
      </c>
      <c r="M180" t="s">
        <v>31</v>
      </c>
      <c r="N180" t="s">
        <v>66</v>
      </c>
      <c r="O180">
        <f>_xlfn.XLOOKUP(E180,Product_Master!$B$2:$B$11,Product_Master!$F$2:$F$11)</f>
        <v>15.5</v>
      </c>
      <c r="P180">
        <f t="shared" si="4"/>
        <v>682</v>
      </c>
      <c r="Q180" s="5">
        <f t="shared" si="5"/>
        <v>0.31874357314240009</v>
      </c>
    </row>
    <row r="181" spans="1:17" x14ac:dyDescent="0.3">
      <c r="A181" t="s">
        <v>336</v>
      </c>
      <c r="B181" t="s">
        <v>68</v>
      </c>
      <c r="C181" t="s">
        <v>139</v>
      </c>
      <c r="D181" t="s">
        <v>147</v>
      </c>
      <c r="E181" t="s">
        <v>42</v>
      </c>
      <c r="F181" t="s">
        <v>43</v>
      </c>
      <c r="G181">
        <v>12</v>
      </c>
      <c r="H181" s="4">
        <v>42.91</v>
      </c>
      <c r="I181">
        <v>514.91999999999996</v>
      </c>
      <c r="J181">
        <v>15.18</v>
      </c>
      <c r="K181">
        <v>115.74</v>
      </c>
      <c r="L181" t="s">
        <v>44</v>
      </c>
      <c r="M181" t="s">
        <v>37</v>
      </c>
      <c r="N181" t="s">
        <v>148</v>
      </c>
      <c r="O181">
        <f>_xlfn.XLOOKUP(E181,Product_Master!$B$2:$B$11,Product_Master!$F$2:$F$11)</f>
        <v>32</v>
      </c>
      <c r="P181">
        <f t="shared" si="4"/>
        <v>384</v>
      </c>
      <c r="Q181" s="5">
        <f t="shared" si="5"/>
        <v>0.22477278023770683</v>
      </c>
    </row>
    <row r="182" spans="1:17" x14ac:dyDescent="0.3">
      <c r="A182" t="s">
        <v>337</v>
      </c>
      <c r="B182" t="s">
        <v>132</v>
      </c>
      <c r="C182" t="s">
        <v>338</v>
      </c>
      <c r="D182" t="s">
        <v>196</v>
      </c>
      <c r="E182" t="s">
        <v>49</v>
      </c>
      <c r="F182" t="s">
        <v>50</v>
      </c>
      <c r="G182">
        <v>21</v>
      </c>
      <c r="H182" s="4">
        <v>50.49</v>
      </c>
      <c r="I182">
        <v>1060.29</v>
      </c>
      <c r="J182">
        <v>32.340000000000003</v>
      </c>
      <c r="K182">
        <v>187.95</v>
      </c>
      <c r="L182" t="s">
        <v>44</v>
      </c>
      <c r="M182" t="s">
        <v>23</v>
      </c>
      <c r="N182" t="s">
        <v>66</v>
      </c>
      <c r="O182">
        <f>_xlfn.XLOOKUP(E182,Product_Master!$B$2:$B$11,Product_Master!$F$2:$F$11)</f>
        <v>40</v>
      </c>
      <c r="P182">
        <f t="shared" si="4"/>
        <v>840</v>
      </c>
      <c r="Q182" s="5">
        <f t="shared" si="5"/>
        <v>0.17726282432164783</v>
      </c>
    </row>
    <row r="183" spans="1:17" x14ac:dyDescent="0.3">
      <c r="A183" t="s">
        <v>339</v>
      </c>
      <c r="B183" t="s">
        <v>78</v>
      </c>
      <c r="C183" t="s">
        <v>212</v>
      </c>
      <c r="D183" t="s">
        <v>36</v>
      </c>
      <c r="E183" t="s">
        <v>20</v>
      </c>
      <c r="F183" t="s">
        <v>21</v>
      </c>
      <c r="G183">
        <v>41</v>
      </c>
      <c r="H183" s="4">
        <v>43.18</v>
      </c>
      <c r="I183">
        <v>1770.38</v>
      </c>
      <c r="J183">
        <v>128.4</v>
      </c>
      <c r="K183">
        <v>206.98</v>
      </c>
      <c r="L183" t="s">
        <v>30</v>
      </c>
      <c r="M183" t="s">
        <v>37</v>
      </c>
      <c r="N183" t="s">
        <v>32</v>
      </c>
      <c r="O183">
        <f>_xlfn.XLOOKUP(E183,Product_Master!$B$2:$B$11,Product_Master!$F$2:$F$11)</f>
        <v>35</v>
      </c>
      <c r="P183">
        <f t="shared" si="4"/>
        <v>1435</v>
      </c>
      <c r="Q183" s="5">
        <f t="shared" si="5"/>
        <v>0.11691275319422947</v>
      </c>
    </row>
    <row r="184" spans="1:17" x14ac:dyDescent="0.3">
      <c r="A184" t="s">
        <v>340</v>
      </c>
      <c r="B184" t="s">
        <v>86</v>
      </c>
      <c r="C184" t="s">
        <v>117</v>
      </c>
      <c r="D184" t="s">
        <v>147</v>
      </c>
      <c r="E184" t="s">
        <v>73</v>
      </c>
      <c r="F184" t="s">
        <v>43</v>
      </c>
      <c r="G184">
        <v>37</v>
      </c>
      <c r="H184" s="4">
        <v>19.8</v>
      </c>
      <c r="I184">
        <v>732.6</v>
      </c>
      <c r="J184">
        <v>54.68</v>
      </c>
      <c r="K184">
        <v>206.17</v>
      </c>
      <c r="L184" t="s">
        <v>22</v>
      </c>
      <c r="M184" t="s">
        <v>31</v>
      </c>
      <c r="N184" t="s">
        <v>148</v>
      </c>
      <c r="O184">
        <f>_xlfn.XLOOKUP(E184,Product_Master!$B$2:$B$11,Product_Master!$F$2:$F$11)</f>
        <v>12.75</v>
      </c>
      <c r="P184">
        <f t="shared" si="4"/>
        <v>471.75</v>
      </c>
      <c r="Q184" s="5">
        <f t="shared" si="5"/>
        <v>0.28142233142233142</v>
      </c>
    </row>
    <row r="185" spans="1:17" x14ac:dyDescent="0.3">
      <c r="A185" t="s">
        <v>341</v>
      </c>
      <c r="B185" t="s">
        <v>86</v>
      </c>
      <c r="C185" t="s">
        <v>342</v>
      </c>
      <c r="D185" t="s">
        <v>53</v>
      </c>
      <c r="E185" t="s">
        <v>73</v>
      </c>
      <c r="F185" t="s">
        <v>43</v>
      </c>
      <c r="G185">
        <v>4</v>
      </c>
      <c r="H185" s="4">
        <v>18.059999999999999</v>
      </c>
      <c r="I185">
        <v>72.239999999999995</v>
      </c>
      <c r="J185">
        <v>4.66</v>
      </c>
      <c r="K185">
        <v>16.579999999999998</v>
      </c>
      <c r="L185" t="s">
        <v>22</v>
      </c>
      <c r="M185" t="s">
        <v>23</v>
      </c>
      <c r="N185" t="s">
        <v>24</v>
      </c>
      <c r="O185">
        <f>_xlfn.XLOOKUP(E185,Product_Master!$B$2:$B$11,Product_Master!$F$2:$F$11)</f>
        <v>12.75</v>
      </c>
      <c r="P185">
        <f t="shared" si="4"/>
        <v>51</v>
      </c>
      <c r="Q185" s="5">
        <f t="shared" si="5"/>
        <v>0.22951273532668881</v>
      </c>
    </row>
    <row r="186" spans="1:17" x14ac:dyDescent="0.3">
      <c r="A186" t="s">
        <v>343</v>
      </c>
      <c r="B186" t="s">
        <v>78</v>
      </c>
      <c r="C186" t="s">
        <v>265</v>
      </c>
      <c r="D186" t="s">
        <v>19</v>
      </c>
      <c r="E186" t="s">
        <v>20</v>
      </c>
      <c r="F186" t="s">
        <v>21</v>
      </c>
      <c r="G186">
        <v>40</v>
      </c>
      <c r="H186" s="4">
        <v>55.59</v>
      </c>
      <c r="I186">
        <v>2223.6</v>
      </c>
      <c r="J186">
        <v>74.569999999999993</v>
      </c>
      <c r="K186">
        <v>749.03</v>
      </c>
      <c r="L186" t="s">
        <v>22</v>
      </c>
      <c r="M186" t="s">
        <v>23</v>
      </c>
      <c r="N186" t="s">
        <v>24</v>
      </c>
      <c r="O186">
        <f>_xlfn.XLOOKUP(E186,Product_Master!$B$2:$B$11,Product_Master!$F$2:$F$11)</f>
        <v>35</v>
      </c>
      <c r="P186">
        <f t="shared" si="4"/>
        <v>1400</v>
      </c>
      <c r="Q186" s="5">
        <f t="shared" si="5"/>
        <v>0.3368546501169275</v>
      </c>
    </row>
    <row r="187" spans="1:17" x14ac:dyDescent="0.3">
      <c r="A187" t="s">
        <v>344</v>
      </c>
      <c r="B187" t="s">
        <v>75</v>
      </c>
      <c r="C187" t="s">
        <v>18</v>
      </c>
      <c r="D187" t="s">
        <v>91</v>
      </c>
      <c r="E187" t="s">
        <v>64</v>
      </c>
      <c r="F187" t="s">
        <v>65</v>
      </c>
      <c r="G187">
        <v>5</v>
      </c>
      <c r="H187" s="4">
        <v>31.58</v>
      </c>
      <c r="I187">
        <v>157.9</v>
      </c>
      <c r="J187">
        <v>3.73</v>
      </c>
      <c r="K187">
        <v>29.17</v>
      </c>
      <c r="L187" t="s">
        <v>22</v>
      </c>
      <c r="M187" t="s">
        <v>31</v>
      </c>
      <c r="N187" t="s">
        <v>66</v>
      </c>
      <c r="O187">
        <f>_xlfn.XLOOKUP(E187,Product_Master!$B$2:$B$11,Product_Master!$F$2:$F$11)</f>
        <v>25</v>
      </c>
      <c r="P187">
        <f t="shared" si="4"/>
        <v>125</v>
      </c>
      <c r="Q187" s="5">
        <f t="shared" si="5"/>
        <v>0.18473717542748574</v>
      </c>
    </row>
    <row r="188" spans="1:17" x14ac:dyDescent="0.3">
      <c r="A188" t="s">
        <v>345</v>
      </c>
      <c r="B188" t="s">
        <v>34</v>
      </c>
      <c r="C188" t="s">
        <v>135</v>
      </c>
      <c r="D188" t="s">
        <v>48</v>
      </c>
      <c r="E188" t="s">
        <v>29</v>
      </c>
      <c r="F188" t="s">
        <v>21</v>
      </c>
      <c r="G188">
        <v>50</v>
      </c>
      <c r="H188" s="4">
        <v>26.67</v>
      </c>
      <c r="I188">
        <v>1333.5</v>
      </c>
      <c r="J188">
        <v>80.150000000000006</v>
      </c>
      <c r="K188">
        <v>353.35</v>
      </c>
      <c r="L188" t="s">
        <v>44</v>
      </c>
      <c r="M188" t="s">
        <v>23</v>
      </c>
      <c r="N188" t="s">
        <v>24</v>
      </c>
      <c r="O188">
        <f>_xlfn.XLOOKUP(E188,Product_Master!$B$2:$B$11,Product_Master!$F$2:$F$11)</f>
        <v>18</v>
      </c>
      <c r="P188">
        <f t="shared" si="4"/>
        <v>900</v>
      </c>
      <c r="Q188" s="5">
        <f t="shared" si="5"/>
        <v>0.26497937757780277</v>
      </c>
    </row>
    <row r="189" spans="1:17" x14ac:dyDescent="0.3">
      <c r="A189" t="s">
        <v>346</v>
      </c>
      <c r="B189" t="s">
        <v>86</v>
      </c>
      <c r="C189" t="s">
        <v>240</v>
      </c>
      <c r="D189" t="s">
        <v>81</v>
      </c>
      <c r="E189" t="s">
        <v>69</v>
      </c>
      <c r="F189" t="s">
        <v>59</v>
      </c>
      <c r="G189">
        <v>17</v>
      </c>
      <c r="H189" s="4">
        <v>20.68</v>
      </c>
      <c r="I189">
        <v>351.56</v>
      </c>
      <c r="J189">
        <v>18.47</v>
      </c>
      <c r="K189">
        <v>69.59</v>
      </c>
      <c r="L189" t="s">
        <v>44</v>
      </c>
      <c r="M189" t="s">
        <v>31</v>
      </c>
      <c r="N189" t="s">
        <v>66</v>
      </c>
      <c r="O189">
        <f>_xlfn.XLOOKUP(E189,Product_Master!$B$2:$B$11,Product_Master!$F$2:$F$11)</f>
        <v>15.5</v>
      </c>
      <c r="P189">
        <f t="shared" si="4"/>
        <v>263.5</v>
      </c>
      <c r="Q189" s="5">
        <f t="shared" si="5"/>
        <v>0.19794629650699738</v>
      </c>
    </row>
    <row r="190" spans="1:17" x14ac:dyDescent="0.3">
      <c r="A190" t="s">
        <v>347</v>
      </c>
      <c r="B190" t="s">
        <v>75</v>
      </c>
      <c r="C190" t="s">
        <v>295</v>
      </c>
      <c r="D190" t="s">
        <v>101</v>
      </c>
      <c r="E190" t="s">
        <v>20</v>
      </c>
      <c r="F190" t="s">
        <v>21</v>
      </c>
      <c r="G190">
        <v>29</v>
      </c>
      <c r="H190" s="4">
        <v>55.19</v>
      </c>
      <c r="I190">
        <v>1600.51</v>
      </c>
      <c r="J190">
        <v>103.06</v>
      </c>
      <c r="K190">
        <v>482.45</v>
      </c>
      <c r="L190" t="s">
        <v>22</v>
      </c>
      <c r="M190" t="s">
        <v>37</v>
      </c>
      <c r="N190" t="s">
        <v>102</v>
      </c>
      <c r="O190">
        <f>_xlfn.XLOOKUP(E190,Product_Master!$B$2:$B$11,Product_Master!$F$2:$F$11)</f>
        <v>35</v>
      </c>
      <c r="P190">
        <f t="shared" si="4"/>
        <v>1015</v>
      </c>
      <c r="Q190" s="5">
        <f t="shared" si="5"/>
        <v>0.30143516754034649</v>
      </c>
    </row>
    <row r="191" spans="1:17" x14ac:dyDescent="0.3">
      <c r="A191" t="s">
        <v>348</v>
      </c>
      <c r="B191" t="s">
        <v>34</v>
      </c>
      <c r="C191" t="s">
        <v>349</v>
      </c>
      <c r="D191" t="s">
        <v>81</v>
      </c>
      <c r="E191" t="s">
        <v>20</v>
      </c>
      <c r="F191" t="s">
        <v>21</v>
      </c>
      <c r="G191">
        <v>34</v>
      </c>
      <c r="H191" s="4">
        <v>61.62</v>
      </c>
      <c r="I191">
        <v>2095.08</v>
      </c>
      <c r="J191">
        <v>80.13</v>
      </c>
      <c r="K191">
        <v>824.95</v>
      </c>
      <c r="L191" t="s">
        <v>30</v>
      </c>
      <c r="M191" t="s">
        <v>23</v>
      </c>
      <c r="N191" t="s">
        <v>66</v>
      </c>
      <c r="O191">
        <f>_xlfn.XLOOKUP(E191,Product_Master!$B$2:$B$11,Product_Master!$F$2:$F$11)</f>
        <v>35</v>
      </c>
      <c r="P191">
        <f t="shared" si="4"/>
        <v>1190</v>
      </c>
      <c r="Q191" s="5">
        <f t="shared" si="5"/>
        <v>0.39375584703209426</v>
      </c>
    </row>
    <row r="192" spans="1:17" x14ac:dyDescent="0.3">
      <c r="A192" t="s">
        <v>350</v>
      </c>
      <c r="B192" t="s">
        <v>132</v>
      </c>
      <c r="C192" t="s">
        <v>192</v>
      </c>
      <c r="D192" t="s">
        <v>53</v>
      </c>
      <c r="E192" t="s">
        <v>58</v>
      </c>
      <c r="F192" t="s">
        <v>59</v>
      </c>
      <c r="G192">
        <v>10</v>
      </c>
      <c r="H192" s="4">
        <v>40.03</v>
      </c>
      <c r="I192">
        <v>400.3</v>
      </c>
      <c r="J192">
        <v>25.8</v>
      </c>
      <c r="K192">
        <v>149.5</v>
      </c>
      <c r="L192" t="s">
        <v>44</v>
      </c>
      <c r="M192" t="s">
        <v>23</v>
      </c>
      <c r="N192" t="s">
        <v>24</v>
      </c>
      <c r="O192">
        <f>_xlfn.XLOOKUP(E192,Product_Master!$B$2:$B$11,Product_Master!$F$2:$F$11)</f>
        <v>22.5</v>
      </c>
      <c r="P192">
        <f t="shared" si="4"/>
        <v>225</v>
      </c>
      <c r="Q192" s="5">
        <f t="shared" si="5"/>
        <v>0.37346989757681737</v>
      </c>
    </row>
    <row r="193" spans="1:17" x14ac:dyDescent="0.3">
      <c r="A193" t="s">
        <v>351</v>
      </c>
      <c r="B193" t="s">
        <v>104</v>
      </c>
      <c r="C193" t="s">
        <v>96</v>
      </c>
      <c r="D193" t="s">
        <v>88</v>
      </c>
      <c r="E193" t="s">
        <v>54</v>
      </c>
      <c r="F193" t="s">
        <v>43</v>
      </c>
      <c r="G193">
        <v>23</v>
      </c>
      <c r="H193" s="4">
        <v>31.3</v>
      </c>
      <c r="I193">
        <v>719.9</v>
      </c>
      <c r="J193">
        <v>47.88</v>
      </c>
      <c r="K193">
        <v>212.02</v>
      </c>
      <c r="L193" t="s">
        <v>30</v>
      </c>
      <c r="M193" t="s">
        <v>31</v>
      </c>
      <c r="N193" t="s">
        <v>66</v>
      </c>
      <c r="O193">
        <f>_xlfn.XLOOKUP(E193,Product_Master!$B$2:$B$11,Product_Master!$F$2:$F$11)</f>
        <v>20</v>
      </c>
      <c r="P193">
        <f t="shared" si="4"/>
        <v>460</v>
      </c>
      <c r="Q193" s="5">
        <f t="shared" si="5"/>
        <v>0.29451312682316994</v>
      </c>
    </row>
    <row r="194" spans="1:17" x14ac:dyDescent="0.3">
      <c r="A194" t="s">
        <v>352</v>
      </c>
      <c r="B194" t="s">
        <v>61</v>
      </c>
      <c r="C194" t="s">
        <v>108</v>
      </c>
      <c r="D194" t="s">
        <v>53</v>
      </c>
      <c r="E194" t="s">
        <v>20</v>
      </c>
      <c r="F194" t="s">
        <v>21</v>
      </c>
      <c r="G194">
        <v>37</v>
      </c>
      <c r="H194" s="4">
        <v>50.39</v>
      </c>
      <c r="I194">
        <v>1864.43</v>
      </c>
      <c r="J194">
        <v>60.06</v>
      </c>
      <c r="K194">
        <v>509.37</v>
      </c>
      <c r="L194" t="s">
        <v>30</v>
      </c>
      <c r="M194" t="s">
        <v>31</v>
      </c>
      <c r="N194" t="s">
        <v>24</v>
      </c>
      <c r="O194">
        <f>_xlfn.XLOOKUP(E194,Product_Master!$B$2:$B$11,Product_Master!$F$2:$F$11)</f>
        <v>35</v>
      </c>
      <c r="P194">
        <f t="shared" si="4"/>
        <v>1295</v>
      </c>
      <c r="Q194" s="5">
        <f t="shared" si="5"/>
        <v>0.27320414282113031</v>
      </c>
    </row>
    <row r="195" spans="1:17" x14ac:dyDescent="0.3">
      <c r="A195" t="s">
        <v>353</v>
      </c>
      <c r="B195" t="s">
        <v>78</v>
      </c>
      <c r="C195" t="s">
        <v>297</v>
      </c>
      <c r="D195" t="s">
        <v>19</v>
      </c>
      <c r="E195" t="s">
        <v>73</v>
      </c>
      <c r="F195" t="s">
        <v>43</v>
      </c>
      <c r="G195">
        <v>38</v>
      </c>
      <c r="H195" s="4">
        <v>16.97</v>
      </c>
      <c r="I195">
        <v>644.86</v>
      </c>
      <c r="J195">
        <v>40</v>
      </c>
      <c r="K195">
        <v>120.36</v>
      </c>
      <c r="L195" t="s">
        <v>44</v>
      </c>
      <c r="M195" t="s">
        <v>23</v>
      </c>
      <c r="N195" t="s">
        <v>24</v>
      </c>
      <c r="O195">
        <f>_xlfn.XLOOKUP(E195,Product_Master!$B$2:$B$11,Product_Master!$F$2:$F$11)</f>
        <v>12.75</v>
      </c>
      <c r="P195">
        <f t="shared" ref="P195:P258" si="6">G195*O195</f>
        <v>484.5</v>
      </c>
      <c r="Q195" s="5">
        <f t="shared" ref="Q195:Q258" si="7">K195/I195</f>
        <v>0.18664516329125702</v>
      </c>
    </row>
    <row r="196" spans="1:17" x14ac:dyDescent="0.3">
      <c r="A196" t="s">
        <v>354</v>
      </c>
      <c r="B196" t="s">
        <v>95</v>
      </c>
      <c r="C196" t="s">
        <v>226</v>
      </c>
      <c r="D196" t="s">
        <v>101</v>
      </c>
      <c r="E196" t="s">
        <v>54</v>
      </c>
      <c r="F196" t="s">
        <v>43</v>
      </c>
      <c r="G196">
        <v>2</v>
      </c>
      <c r="H196" s="4">
        <v>35.92</v>
      </c>
      <c r="I196">
        <v>71.84</v>
      </c>
      <c r="J196">
        <v>2.34</v>
      </c>
      <c r="K196">
        <v>29.5</v>
      </c>
      <c r="L196" t="s">
        <v>44</v>
      </c>
      <c r="M196" t="s">
        <v>31</v>
      </c>
      <c r="N196" t="s">
        <v>102</v>
      </c>
      <c r="O196">
        <f>_xlfn.XLOOKUP(E196,Product_Master!$B$2:$B$11,Product_Master!$F$2:$F$11)</f>
        <v>20</v>
      </c>
      <c r="P196">
        <f t="shared" si="6"/>
        <v>40</v>
      </c>
      <c r="Q196" s="5">
        <f t="shared" si="7"/>
        <v>0.41063474387527837</v>
      </c>
    </row>
    <row r="197" spans="1:17" x14ac:dyDescent="0.3">
      <c r="A197" t="s">
        <v>355</v>
      </c>
      <c r="B197" t="s">
        <v>107</v>
      </c>
      <c r="C197" t="s">
        <v>72</v>
      </c>
      <c r="D197" t="s">
        <v>41</v>
      </c>
      <c r="E197" t="s">
        <v>54</v>
      </c>
      <c r="F197" t="s">
        <v>43</v>
      </c>
      <c r="G197">
        <v>48</v>
      </c>
      <c r="H197" s="4">
        <v>31.87</v>
      </c>
      <c r="I197">
        <v>1529.76</v>
      </c>
      <c r="J197">
        <v>89.85</v>
      </c>
      <c r="K197">
        <v>479.91</v>
      </c>
      <c r="L197" t="s">
        <v>44</v>
      </c>
      <c r="M197" t="s">
        <v>23</v>
      </c>
      <c r="N197" t="s">
        <v>45</v>
      </c>
      <c r="O197">
        <f>_xlfn.XLOOKUP(E197,Product_Master!$B$2:$B$11,Product_Master!$F$2:$F$11)</f>
        <v>20</v>
      </c>
      <c r="P197">
        <f t="shared" si="6"/>
        <v>960</v>
      </c>
      <c r="Q197" s="5">
        <f t="shared" si="7"/>
        <v>0.31371587700031378</v>
      </c>
    </row>
    <row r="198" spans="1:17" x14ac:dyDescent="0.3">
      <c r="A198" t="s">
        <v>356</v>
      </c>
      <c r="B198" t="s">
        <v>78</v>
      </c>
      <c r="C198" t="s">
        <v>240</v>
      </c>
      <c r="D198" t="s">
        <v>147</v>
      </c>
      <c r="E198" t="s">
        <v>49</v>
      </c>
      <c r="F198" t="s">
        <v>50</v>
      </c>
      <c r="G198">
        <v>46</v>
      </c>
      <c r="H198" s="4">
        <v>70</v>
      </c>
      <c r="I198">
        <v>3220</v>
      </c>
      <c r="J198">
        <v>160.11000000000001</v>
      </c>
      <c r="K198">
        <v>1219.8900000000001</v>
      </c>
      <c r="L198" t="s">
        <v>30</v>
      </c>
      <c r="M198" t="s">
        <v>31</v>
      </c>
      <c r="N198" t="s">
        <v>148</v>
      </c>
      <c r="O198">
        <f>_xlfn.XLOOKUP(E198,Product_Master!$B$2:$B$11,Product_Master!$F$2:$F$11)</f>
        <v>40</v>
      </c>
      <c r="P198">
        <f t="shared" si="6"/>
        <v>1840</v>
      </c>
      <c r="Q198" s="5">
        <f t="shared" si="7"/>
        <v>0.37884782608695655</v>
      </c>
    </row>
    <row r="199" spans="1:17" x14ac:dyDescent="0.3">
      <c r="A199" t="s">
        <v>357</v>
      </c>
      <c r="B199" t="s">
        <v>75</v>
      </c>
      <c r="C199" t="s">
        <v>322</v>
      </c>
      <c r="D199" t="s">
        <v>81</v>
      </c>
      <c r="E199" t="s">
        <v>20</v>
      </c>
      <c r="F199" t="s">
        <v>21</v>
      </c>
      <c r="G199">
        <v>45</v>
      </c>
      <c r="H199" s="4">
        <v>57.7</v>
      </c>
      <c r="I199">
        <v>2596.5</v>
      </c>
      <c r="J199">
        <v>102.52</v>
      </c>
      <c r="K199">
        <v>918.98</v>
      </c>
      <c r="L199" t="s">
        <v>30</v>
      </c>
      <c r="M199" t="s">
        <v>23</v>
      </c>
      <c r="N199" t="s">
        <v>66</v>
      </c>
      <c r="O199">
        <f>_xlfn.XLOOKUP(E199,Product_Master!$B$2:$B$11,Product_Master!$F$2:$F$11)</f>
        <v>35</v>
      </c>
      <c r="P199">
        <f t="shared" si="6"/>
        <v>1575</v>
      </c>
      <c r="Q199" s="5">
        <f t="shared" si="7"/>
        <v>0.35393029077604471</v>
      </c>
    </row>
    <row r="200" spans="1:17" x14ac:dyDescent="0.3">
      <c r="A200" t="s">
        <v>358</v>
      </c>
      <c r="B200" t="s">
        <v>61</v>
      </c>
      <c r="C200" t="s">
        <v>137</v>
      </c>
      <c r="D200" t="s">
        <v>91</v>
      </c>
      <c r="E200" t="s">
        <v>73</v>
      </c>
      <c r="F200" t="s">
        <v>43</v>
      </c>
      <c r="G200">
        <v>23</v>
      </c>
      <c r="H200" s="4">
        <v>20.23</v>
      </c>
      <c r="I200">
        <v>465.29</v>
      </c>
      <c r="J200">
        <v>17.29</v>
      </c>
      <c r="K200">
        <v>154.75</v>
      </c>
      <c r="L200" t="s">
        <v>44</v>
      </c>
      <c r="M200" t="s">
        <v>23</v>
      </c>
      <c r="N200" t="s">
        <v>66</v>
      </c>
      <c r="O200">
        <f>_xlfn.XLOOKUP(E200,Product_Master!$B$2:$B$11,Product_Master!$F$2:$F$11)</f>
        <v>12.75</v>
      </c>
      <c r="P200">
        <f t="shared" si="6"/>
        <v>293.25</v>
      </c>
      <c r="Q200" s="5">
        <f t="shared" si="7"/>
        <v>0.33258827827806314</v>
      </c>
    </row>
    <row r="201" spans="1:17" x14ac:dyDescent="0.3">
      <c r="A201" t="s">
        <v>359</v>
      </c>
      <c r="B201" t="s">
        <v>75</v>
      </c>
      <c r="C201" t="s">
        <v>139</v>
      </c>
      <c r="D201" t="s">
        <v>36</v>
      </c>
      <c r="E201" t="s">
        <v>29</v>
      </c>
      <c r="F201" t="s">
        <v>21</v>
      </c>
      <c r="G201">
        <v>10</v>
      </c>
      <c r="H201" s="4">
        <v>22.96</v>
      </c>
      <c r="I201">
        <v>229.6</v>
      </c>
      <c r="J201">
        <v>18.260000000000002</v>
      </c>
      <c r="K201">
        <v>31.34</v>
      </c>
      <c r="L201" t="s">
        <v>22</v>
      </c>
      <c r="M201" t="s">
        <v>37</v>
      </c>
      <c r="N201" t="s">
        <v>32</v>
      </c>
      <c r="O201">
        <f>_xlfn.XLOOKUP(E201,Product_Master!$B$2:$B$11,Product_Master!$F$2:$F$11)</f>
        <v>18</v>
      </c>
      <c r="P201">
        <f t="shared" si="6"/>
        <v>180</v>
      </c>
      <c r="Q201" s="5">
        <f t="shared" si="7"/>
        <v>0.13649825783972125</v>
      </c>
    </row>
    <row r="202" spans="1:17" x14ac:dyDescent="0.3">
      <c r="A202" t="s">
        <v>360</v>
      </c>
      <c r="B202" t="s">
        <v>71</v>
      </c>
      <c r="C202" t="s">
        <v>361</v>
      </c>
      <c r="D202" t="s">
        <v>41</v>
      </c>
      <c r="E202" t="s">
        <v>20</v>
      </c>
      <c r="F202" t="s">
        <v>21</v>
      </c>
      <c r="G202">
        <v>40</v>
      </c>
      <c r="H202" s="4">
        <v>54.84</v>
      </c>
      <c r="I202">
        <v>2193.6</v>
      </c>
      <c r="J202">
        <v>89.26</v>
      </c>
      <c r="K202">
        <v>704.34</v>
      </c>
      <c r="L202" t="s">
        <v>30</v>
      </c>
      <c r="M202" t="s">
        <v>23</v>
      </c>
      <c r="N202" t="s">
        <v>45</v>
      </c>
      <c r="O202">
        <f>_xlfn.XLOOKUP(E202,Product_Master!$B$2:$B$11,Product_Master!$F$2:$F$11)</f>
        <v>35</v>
      </c>
      <c r="P202">
        <f t="shared" si="6"/>
        <v>1400</v>
      </c>
      <c r="Q202" s="5">
        <f t="shared" si="7"/>
        <v>0.32108862144420136</v>
      </c>
    </row>
    <row r="203" spans="1:17" x14ac:dyDescent="0.3">
      <c r="A203" t="s">
        <v>362</v>
      </c>
      <c r="B203" t="s">
        <v>34</v>
      </c>
      <c r="C203" t="s">
        <v>185</v>
      </c>
      <c r="D203" t="s">
        <v>81</v>
      </c>
      <c r="E203" t="s">
        <v>64</v>
      </c>
      <c r="F203" t="s">
        <v>65</v>
      </c>
      <c r="G203">
        <v>7</v>
      </c>
      <c r="H203" s="4">
        <v>36.43</v>
      </c>
      <c r="I203">
        <v>255.01</v>
      </c>
      <c r="J203">
        <v>6.3</v>
      </c>
      <c r="K203">
        <v>73.709999999999994</v>
      </c>
      <c r="L203" t="s">
        <v>22</v>
      </c>
      <c r="M203" t="s">
        <v>31</v>
      </c>
      <c r="N203" t="s">
        <v>66</v>
      </c>
      <c r="O203">
        <f>_xlfn.XLOOKUP(E203,Product_Master!$B$2:$B$11,Product_Master!$F$2:$F$11)</f>
        <v>25</v>
      </c>
      <c r="P203">
        <f t="shared" si="6"/>
        <v>175</v>
      </c>
      <c r="Q203" s="5">
        <f t="shared" si="7"/>
        <v>0.28904748833379079</v>
      </c>
    </row>
    <row r="204" spans="1:17" x14ac:dyDescent="0.3">
      <c r="A204" t="s">
        <v>363</v>
      </c>
      <c r="B204" t="s">
        <v>104</v>
      </c>
      <c r="C204" t="s">
        <v>226</v>
      </c>
      <c r="D204" t="s">
        <v>53</v>
      </c>
      <c r="E204" t="s">
        <v>73</v>
      </c>
      <c r="F204" t="s">
        <v>43</v>
      </c>
      <c r="G204">
        <v>39</v>
      </c>
      <c r="H204" s="4">
        <v>19.48</v>
      </c>
      <c r="I204">
        <v>759.72</v>
      </c>
      <c r="J204">
        <v>40.090000000000003</v>
      </c>
      <c r="K204">
        <v>222.38</v>
      </c>
      <c r="L204" t="s">
        <v>44</v>
      </c>
      <c r="M204" t="s">
        <v>31</v>
      </c>
      <c r="N204" t="s">
        <v>24</v>
      </c>
      <c r="O204">
        <f>_xlfn.XLOOKUP(E204,Product_Master!$B$2:$B$11,Product_Master!$F$2:$F$11)</f>
        <v>12.75</v>
      </c>
      <c r="P204">
        <f t="shared" si="6"/>
        <v>497.25</v>
      </c>
      <c r="Q204" s="5">
        <f t="shared" si="7"/>
        <v>0.29271310482809454</v>
      </c>
    </row>
    <row r="205" spans="1:17" x14ac:dyDescent="0.3">
      <c r="A205" t="s">
        <v>364</v>
      </c>
      <c r="B205" t="s">
        <v>83</v>
      </c>
      <c r="C205" t="s">
        <v>287</v>
      </c>
      <c r="D205" t="s">
        <v>101</v>
      </c>
      <c r="E205" t="s">
        <v>58</v>
      </c>
      <c r="F205" t="s">
        <v>59</v>
      </c>
      <c r="G205">
        <v>35</v>
      </c>
      <c r="H205" s="4">
        <v>38.83</v>
      </c>
      <c r="I205">
        <v>1359.05</v>
      </c>
      <c r="J205">
        <v>93.92</v>
      </c>
      <c r="K205">
        <v>477.63</v>
      </c>
      <c r="L205" t="s">
        <v>44</v>
      </c>
      <c r="M205" t="s">
        <v>31</v>
      </c>
      <c r="N205" t="s">
        <v>102</v>
      </c>
      <c r="O205">
        <f>_xlfn.XLOOKUP(E205,Product_Master!$B$2:$B$11,Product_Master!$F$2:$F$11)</f>
        <v>22.5</v>
      </c>
      <c r="P205">
        <f t="shared" si="6"/>
        <v>787.5</v>
      </c>
      <c r="Q205" s="5">
        <f t="shared" si="7"/>
        <v>0.35144402339869762</v>
      </c>
    </row>
    <row r="206" spans="1:17" x14ac:dyDescent="0.3">
      <c r="A206" t="s">
        <v>365</v>
      </c>
      <c r="B206" t="s">
        <v>39</v>
      </c>
      <c r="C206" t="s">
        <v>164</v>
      </c>
      <c r="D206" t="s">
        <v>63</v>
      </c>
      <c r="E206" t="s">
        <v>54</v>
      </c>
      <c r="F206" t="s">
        <v>43</v>
      </c>
      <c r="G206">
        <v>39</v>
      </c>
      <c r="H206" s="4">
        <v>32.76</v>
      </c>
      <c r="I206">
        <v>1277.6400000000001</v>
      </c>
      <c r="J206">
        <v>35.81</v>
      </c>
      <c r="K206">
        <v>461.83</v>
      </c>
      <c r="L206" t="s">
        <v>30</v>
      </c>
      <c r="M206" t="s">
        <v>37</v>
      </c>
      <c r="N206" t="s">
        <v>66</v>
      </c>
      <c r="O206">
        <f>_xlfn.XLOOKUP(E206,Product_Master!$B$2:$B$11,Product_Master!$F$2:$F$11)</f>
        <v>20</v>
      </c>
      <c r="P206">
        <f t="shared" si="6"/>
        <v>780</v>
      </c>
      <c r="Q206" s="5">
        <f t="shared" si="7"/>
        <v>0.36147114993268836</v>
      </c>
    </row>
    <row r="207" spans="1:17" x14ac:dyDescent="0.3">
      <c r="A207" t="s">
        <v>366</v>
      </c>
      <c r="B207" t="s">
        <v>17</v>
      </c>
      <c r="C207" t="s">
        <v>208</v>
      </c>
      <c r="D207" t="s">
        <v>19</v>
      </c>
      <c r="E207" t="s">
        <v>42</v>
      </c>
      <c r="F207" t="s">
        <v>43</v>
      </c>
      <c r="G207">
        <v>8</v>
      </c>
      <c r="H207" s="4">
        <v>39.869999999999997</v>
      </c>
      <c r="I207">
        <v>318.95999999999998</v>
      </c>
      <c r="J207">
        <v>15.95</v>
      </c>
      <c r="K207">
        <v>47.01</v>
      </c>
      <c r="L207" t="s">
        <v>44</v>
      </c>
      <c r="M207" t="s">
        <v>37</v>
      </c>
      <c r="N207" t="s">
        <v>24</v>
      </c>
      <c r="O207">
        <f>_xlfn.XLOOKUP(E207,Product_Master!$B$2:$B$11,Product_Master!$F$2:$F$11)</f>
        <v>32</v>
      </c>
      <c r="P207">
        <f t="shared" si="6"/>
        <v>256</v>
      </c>
      <c r="Q207" s="5">
        <f t="shared" si="7"/>
        <v>0.14738525206922498</v>
      </c>
    </row>
    <row r="208" spans="1:17" x14ac:dyDescent="0.3">
      <c r="A208" t="s">
        <v>367</v>
      </c>
      <c r="B208" t="s">
        <v>75</v>
      </c>
      <c r="C208" t="s">
        <v>280</v>
      </c>
      <c r="D208" t="s">
        <v>88</v>
      </c>
      <c r="E208" t="s">
        <v>49</v>
      </c>
      <c r="F208" t="s">
        <v>50</v>
      </c>
      <c r="G208">
        <v>10</v>
      </c>
      <c r="H208" s="4">
        <v>63.1</v>
      </c>
      <c r="I208">
        <v>631</v>
      </c>
      <c r="J208">
        <v>26.93</v>
      </c>
      <c r="K208">
        <v>204.07</v>
      </c>
      <c r="L208" t="s">
        <v>30</v>
      </c>
      <c r="M208" t="s">
        <v>31</v>
      </c>
      <c r="N208" t="s">
        <v>66</v>
      </c>
      <c r="O208">
        <f>_xlfn.XLOOKUP(E208,Product_Master!$B$2:$B$11,Product_Master!$F$2:$F$11)</f>
        <v>40</v>
      </c>
      <c r="P208">
        <f t="shared" si="6"/>
        <v>400</v>
      </c>
      <c r="Q208" s="5">
        <f t="shared" si="7"/>
        <v>0.32340729001584784</v>
      </c>
    </row>
    <row r="209" spans="1:17" x14ac:dyDescent="0.3">
      <c r="A209" t="s">
        <v>368</v>
      </c>
      <c r="B209" t="s">
        <v>107</v>
      </c>
      <c r="C209" t="s">
        <v>117</v>
      </c>
      <c r="D209" t="s">
        <v>170</v>
      </c>
      <c r="E209" t="s">
        <v>42</v>
      </c>
      <c r="F209" t="s">
        <v>43</v>
      </c>
      <c r="G209">
        <v>3</v>
      </c>
      <c r="H209" s="4">
        <v>55.1</v>
      </c>
      <c r="I209">
        <v>165.3</v>
      </c>
      <c r="J209">
        <v>9.17</v>
      </c>
      <c r="K209">
        <v>60.13</v>
      </c>
      <c r="L209" t="s">
        <v>22</v>
      </c>
      <c r="M209" t="s">
        <v>23</v>
      </c>
      <c r="N209" t="s">
        <v>32</v>
      </c>
      <c r="O209">
        <f>_xlfn.XLOOKUP(E209,Product_Master!$B$2:$B$11,Product_Master!$F$2:$F$11)</f>
        <v>32</v>
      </c>
      <c r="P209">
        <f t="shared" si="6"/>
        <v>96</v>
      </c>
      <c r="Q209" s="5">
        <f t="shared" si="7"/>
        <v>0.36376285541439807</v>
      </c>
    </row>
    <row r="210" spans="1:17" x14ac:dyDescent="0.3">
      <c r="A210" t="s">
        <v>369</v>
      </c>
      <c r="B210" t="s">
        <v>83</v>
      </c>
      <c r="C210" t="s">
        <v>84</v>
      </c>
      <c r="D210" t="s">
        <v>196</v>
      </c>
      <c r="E210" t="s">
        <v>69</v>
      </c>
      <c r="F210" t="s">
        <v>59</v>
      </c>
      <c r="G210">
        <v>26</v>
      </c>
      <c r="H210" s="4">
        <v>19.809999999999999</v>
      </c>
      <c r="I210">
        <v>515.05999999999995</v>
      </c>
      <c r="J210">
        <v>10.3</v>
      </c>
      <c r="K210">
        <v>101.76</v>
      </c>
      <c r="L210" t="s">
        <v>44</v>
      </c>
      <c r="M210" t="s">
        <v>31</v>
      </c>
      <c r="N210" t="s">
        <v>66</v>
      </c>
      <c r="O210">
        <f>_xlfn.XLOOKUP(E210,Product_Master!$B$2:$B$11,Product_Master!$F$2:$F$11)</f>
        <v>15.5</v>
      </c>
      <c r="P210">
        <f t="shared" si="6"/>
        <v>403</v>
      </c>
      <c r="Q210" s="5">
        <f t="shared" si="7"/>
        <v>0.19756921523705978</v>
      </c>
    </row>
    <row r="211" spans="1:17" x14ac:dyDescent="0.3">
      <c r="A211" t="s">
        <v>370</v>
      </c>
      <c r="B211" t="s">
        <v>75</v>
      </c>
      <c r="C211" t="s">
        <v>125</v>
      </c>
      <c r="D211" t="s">
        <v>88</v>
      </c>
      <c r="E211" t="s">
        <v>49</v>
      </c>
      <c r="F211" t="s">
        <v>50</v>
      </c>
      <c r="G211">
        <v>17</v>
      </c>
      <c r="H211" s="4">
        <v>53.34</v>
      </c>
      <c r="I211">
        <v>906.78</v>
      </c>
      <c r="J211">
        <v>30.6</v>
      </c>
      <c r="K211">
        <v>196.18</v>
      </c>
      <c r="L211" t="s">
        <v>22</v>
      </c>
      <c r="M211" t="s">
        <v>31</v>
      </c>
      <c r="N211" t="s">
        <v>66</v>
      </c>
      <c r="O211">
        <f>_xlfn.XLOOKUP(E211,Product_Master!$B$2:$B$11,Product_Master!$F$2:$F$11)</f>
        <v>40</v>
      </c>
      <c r="P211">
        <f t="shared" si="6"/>
        <v>680</v>
      </c>
      <c r="Q211" s="5">
        <f t="shared" si="7"/>
        <v>0.21634795650543684</v>
      </c>
    </row>
    <row r="212" spans="1:17" x14ac:dyDescent="0.3">
      <c r="A212" t="s">
        <v>371</v>
      </c>
      <c r="B212" t="s">
        <v>95</v>
      </c>
      <c r="C212" t="s">
        <v>110</v>
      </c>
      <c r="D212" t="s">
        <v>63</v>
      </c>
      <c r="E212" t="s">
        <v>54</v>
      </c>
      <c r="F212" t="s">
        <v>43</v>
      </c>
      <c r="G212">
        <v>17</v>
      </c>
      <c r="H212" s="4">
        <v>28.23</v>
      </c>
      <c r="I212">
        <v>479.91</v>
      </c>
      <c r="J212">
        <v>31.88</v>
      </c>
      <c r="K212">
        <v>108.03</v>
      </c>
      <c r="L212" t="s">
        <v>30</v>
      </c>
      <c r="M212" t="s">
        <v>23</v>
      </c>
      <c r="N212" t="s">
        <v>66</v>
      </c>
      <c r="O212">
        <f>_xlfn.XLOOKUP(E212,Product_Master!$B$2:$B$11,Product_Master!$F$2:$F$11)</f>
        <v>20</v>
      </c>
      <c r="P212">
        <f t="shared" si="6"/>
        <v>340</v>
      </c>
      <c r="Q212" s="5">
        <f t="shared" si="7"/>
        <v>0.22510470713258734</v>
      </c>
    </row>
    <row r="213" spans="1:17" x14ac:dyDescent="0.3">
      <c r="A213" t="s">
        <v>372</v>
      </c>
      <c r="B213" t="s">
        <v>86</v>
      </c>
      <c r="C213" t="s">
        <v>373</v>
      </c>
      <c r="D213" t="s">
        <v>170</v>
      </c>
      <c r="E213" t="s">
        <v>29</v>
      </c>
      <c r="F213" t="s">
        <v>21</v>
      </c>
      <c r="G213">
        <v>42</v>
      </c>
      <c r="H213" s="4">
        <v>25.26</v>
      </c>
      <c r="I213">
        <v>1060.92</v>
      </c>
      <c r="J213">
        <v>77.05</v>
      </c>
      <c r="K213">
        <v>227.87</v>
      </c>
      <c r="L213" t="s">
        <v>22</v>
      </c>
      <c r="M213" t="s">
        <v>37</v>
      </c>
      <c r="N213" t="s">
        <v>32</v>
      </c>
      <c r="O213">
        <f>_xlfn.XLOOKUP(E213,Product_Master!$B$2:$B$11,Product_Master!$F$2:$F$11)</f>
        <v>18</v>
      </c>
      <c r="P213">
        <f t="shared" si="6"/>
        <v>756</v>
      </c>
      <c r="Q213" s="5">
        <f t="shared" si="7"/>
        <v>0.21478528069976999</v>
      </c>
    </row>
    <row r="214" spans="1:17" x14ac:dyDescent="0.3">
      <c r="A214" t="s">
        <v>374</v>
      </c>
      <c r="B214" t="s">
        <v>68</v>
      </c>
      <c r="C214" t="s">
        <v>168</v>
      </c>
      <c r="D214" t="s">
        <v>196</v>
      </c>
      <c r="E214" t="s">
        <v>29</v>
      </c>
      <c r="F214" t="s">
        <v>21</v>
      </c>
      <c r="G214">
        <v>2</v>
      </c>
      <c r="H214" s="4">
        <v>27.27</v>
      </c>
      <c r="I214">
        <v>54.54</v>
      </c>
      <c r="J214">
        <v>1.45</v>
      </c>
      <c r="K214">
        <v>17.09</v>
      </c>
      <c r="L214" t="s">
        <v>22</v>
      </c>
      <c r="M214" t="s">
        <v>37</v>
      </c>
      <c r="N214" t="s">
        <v>66</v>
      </c>
      <c r="O214">
        <f>_xlfn.XLOOKUP(E214,Product_Master!$B$2:$B$11,Product_Master!$F$2:$F$11)</f>
        <v>18</v>
      </c>
      <c r="P214">
        <f t="shared" si="6"/>
        <v>36</v>
      </c>
      <c r="Q214" s="5">
        <f t="shared" si="7"/>
        <v>0.31334800146681335</v>
      </c>
    </row>
    <row r="215" spans="1:17" x14ac:dyDescent="0.3">
      <c r="A215" t="s">
        <v>375</v>
      </c>
      <c r="B215" t="s">
        <v>132</v>
      </c>
      <c r="C215" t="s">
        <v>250</v>
      </c>
      <c r="D215" t="s">
        <v>88</v>
      </c>
      <c r="E215" t="s">
        <v>98</v>
      </c>
      <c r="F215" t="s">
        <v>59</v>
      </c>
      <c r="G215">
        <v>48</v>
      </c>
      <c r="H215" s="4">
        <v>44.95</v>
      </c>
      <c r="I215">
        <v>2157.6</v>
      </c>
      <c r="J215">
        <v>148.41</v>
      </c>
      <c r="K215">
        <v>665.19</v>
      </c>
      <c r="L215" t="s">
        <v>22</v>
      </c>
      <c r="M215" t="s">
        <v>23</v>
      </c>
      <c r="N215" t="s">
        <v>66</v>
      </c>
      <c r="O215">
        <f>_xlfn.XLOOKUP(E215,Product_Master!$B$2:$B$11,Product_Master!$F$2:$F$11)</f>
        <v>28</v>
      </c>
      <c r="P215">
        <f t="shared" si="6"/>
        <v>1344</v>
      </c>
      <c r="Q215" s="5">
        <f t="shared" si="7"/>
        <v>0.30830088987764187</v>
      </c>
    </row>
    <row r="216" spans="1:17" x14ac:dyDescent="0.3">
      <c r="A216" t="s">
        <v>376</v>
      </c>
      <c r="B216" t="s">
        <v>75</v>
      </c>
      <c r="C216" t="s">
        <v>373</v>
      </c>
      <c r="D216" t="s">
        <v>81</v>
      </c>
      <c r="E216" t="s">
        <v>54</v>
      </c>
      <c r="F216" t="s">
        <v>43</v>
      </c>
      <c r="G216">
        <v>23</v>
      </c>
      <c r="H216" s="4">
        <v>28.6</v>
      </c>
      <c r="I216">
        <v>657.8</v>
      </c>
      <c r="J216">
        <v>13.36</v>
      </c>
      <c r="K216">
        <v>184.44</v>
      </c>
      <c r="L216" t="s">
        <v>22</v>
      </c>
      <c r="M216" t="s">
        <v>37</v>
      </c>
      <c r="N216" t="s">
        <v>66</v>
      </c>
      <c r="O216">
        <f>_xlfn.XLOOKUP(E216,Product_Master!$B$2:$B$11,Product_Master!$F$2:$F$11)</f>
        <v>20</v>
      </c>
      <c r="P216">
        <f t="shared" si="6"/>
        <v>460</v>
      </c>
      <c r="Q216" s="5">
        <f t="shared" si="7"/>
        <v>0.28038917604135</v>
      </c>
    </row>
    <row r="217" spans="1:17" x14ac:dyDescent="0.3">
      <c r="A217" t="s">
        <v>377</v>
      </c>
      <c r="B217" t="s">
        <v>132</v>
      </c>
      <c r="C217" t="s">
        <v>125</v>
      </c>
      <c r="D217" t="s">
        <v>123</v>
      </c>
      <c r="E217" t="s">
        <v>69</v>
      </c>
      <c r="F217" t="s">
        <v>59</v>
      </c>
      <c r="G217">
        <v>18</v>
      </c>
      <c r="H217" s="4">
        <v>26.1</v>
      </c>
      <c r="I217">
        <v>469.8</v>
      </c>
      <c r="J217">
        <v>19.52</v>
      </c>
      <c r="K217">
        <v>171.28</v>
      </c>
      <c r="L217" t="s">
        <v>44</v>
      </c>
      <c r="M217" t="s">
        <v>23</v>
      </c>
      <c r="N217" t="s">
        <v>32</v>
      </c>
      <c r="O217">
        <f>_xlfn.XLOOKUP(E217,Product_Master!$B$2:$B$11,Product_Master!$F$2:$F$11)</f>
        <v>15.5</v>
      </c>
      <c r="P217">
        <f t="shared" si="6"/>
        <v>279</v>
      </c>
      <c r="Q217" s="5">
        <f t="shared" si="7"/>
        <v>0.36458067262664962</v>
      </c>
    </row>
    <row r="218" spans="1:17" x14ac:dyDescent="0.3">
      <c r="A218" t="s">
        <v>378</v>
      </c>
      <c r="B218" t="s">
        <v>39</v>
      </c>
      <c r="C218" t="s">
        <v>379</v>
      </c>
      <c r="D218" t="s">
        <v>53</v>
      </c>
      <c r="E218" t="s">
        <v>98</v>
      </c>
      <c r="F218" t="s">
        <v>59</v>
      </c>
      <c r="G218">
        <v>21</v>
      </c>
      <c r="H218" s="4">
        <v>37.450000000000003</v>
      </c>
      <c r="I218">
        <v>786.45</v>
      </c>
      <c r="J218">
        <v>62.4</v>
      </c>
      <c r="K218">
        <v>136.05000000000001</v>
      </c>
      <c r="L218" t="s">
        <v>22</v>
      </c>
      <c r="M218" t="s">
        <v>37</v>
      </c>
      <c r="N218" t="s">
        <v>24</v>
      </c>
      <c r="O218">
        <f>_xlfn.XLOOKUP(E218,Product_Master!$B$2:$B$11,Product_Master!$F$2:$F$11)</f>
        <v>28</v>
      </c>
      <c r="P218">
        <f t="shared" si="6"/>
        <v>588</v>
      </c>
      <c r="Q218" s="5">
        <f t="shared" si="7"/>
        <v>0.17299256151058554</v>
      </c>
    </row>
    <row r="219" spans="1:17" x14ac:dyDescent="0.3">
      <c r="A219" t="s">
        <v>380</v>
      </c>
      <c r="B219" t="s">
        <v>78</v>
      </c>
      <c r="C219" t="s">
        <v>342</v>
      </c>
      <c r="D219" t="s">
        <v>81</v>
      </c>
      <c r="E219" t="s">
        <v>54</v>
      </c>
      <c r="F219" t="s">
        <v>43</v>
      </c>
      <c r="G219">
        <v>25</v>
      </c>
      <c r="H219" s="4">
        <v>28.54</v>
      </c>
      <c r="I219">
        <v>713.5</v>
      </c>
      <c r="J219">
        <v>50.38</v>
      </c>
      <c r="K219">
        <v>163.12</v>
      </c>
      <c r="L219" t="s">
        <v>22</v>
      </c>
      <c r="M219" t="s">
        <v>23</v>
      </c>
      <c r="N219" t="s">
        <v>66</v>
      </c>
      <c r="O219">
        <f>_xlfn.XLOOKUP(E219,Product_Master!$B$2:$B$11,Product_Master!$F$2:$F$11)</f>
        <v>20</v>
      </c>
      <c r="P219">
        <f t="shared" si="6"/>
        <v>500</v>
      </c>
      <c r="Q219" s="5">
        <f t="shared" si="7"/>
        <v>0.22861948142957253</v>
      </c>
    </row>
    <row r="220" spans="1:17" x14ac:dyDescent="0.3">
      <c r="A220" t="s">
        <v>381</v>
      </c>
      <c r="B220" t="s">
        <v>26</v>
      </c>
      <c r="C220" t="s">
        <v>130</v>
      </c>
      <c r="D220" t="s">
        <v>19</v>
      </c>
      <c r="E220" t="s">
        <v>64</v>
      </c>
      <c r="F220" t="s">
        <v>65</v>
      </c>
      <c r="G220">
        <v>11</v>
      </c>
      <c r="H220" s="4">
        <v>38.07</v>
      </c>
      <c r="I220">
        <v>418.77</v>
      </c>
      <c r="J220">
        <v>29.02</v>
      </c>
      <c r="K220">
        <v>114.75</v>
      </c>
      <c r="L220" t="s">
        <v>30</v>
      </c>
      <c r="M220" t="s">
        <v>23</v>
      </c>
      <c r="N220" t="s">
        <v>24</v>
      </c>
      <c r="O220">
        <f>_xlfn.XLOOKUP(E220,Product_Master!$B$2:$B$11,Product_Master!$F$2:$F$11)</f>
        <v>25</v>
      </c>
      <c r="P220">
        <f t="shared" si="6"/>
        <v>275</v>
      </c>
      <c r="Q220" s="5">
        <f t="shared" si="7"/>
        <v>0.27401676337846553</v>
      </c>
    </row>
    <row r="221" spans="1:17" x14ac:dyDescent="0.3">
      <c r="A221" t="s">
        <v>382</v>
      </c>
      <c r="B221" t="s">
        <v>39</v>
      </c>
      <c r="C221" t="s">
        <v>383</v>
      </c>
      <c r="D221" t="s">
        <v>48</v>
      </c>
      <c r="E221" t="s">
        <v>69</v>
      </c>
      <c r="F221" t="s">
        <v>59</v>
      </c>
      <c r="G221">
        <v>18</v>
      </c>
      <c r="H221" s="4">
        <v>19.32</v>
      </c>
      <c r="I221">
        <v>347.76</v>
      </c>
      <c r="J221">
        <v>21.34</v>
      </c>
      <c r="K221">
        <v>47.42</v>
      </c>
      <c r="L221" t="s">
        <v>30</v>
      </c>
      <c r="M221" t="s">
        <v>23</v>
      </c>
      <c r="N221" t="s">
        <v>24</v>
      </c>
      <c r="O221">
        <f>_xlfn.XLOOKUP(E221,Product_Master!$B$2:$B$11,Product_Master!$F$2:$F$11)</f>
        <v>15.5</v>
      </c>
      <c r="P221">
        <f t="shared" si="6"/>
        <v>279</v>
      </c>
      <c r="Q221" s="5">
        <f t="shared" si="7"/>
        <v>0.13635840809753855</v>
      </c>
    </row>
    <row r="222" spans="1:17" x14ac:dyDescent="0.3">
      <c r="A222" t="s">
        <v>384</v>
      </c>
      <c r="B222" t="s">
        <v>56</v>
      </c>
      <c r="C222" t="s">
        <v>76</v>
      </c>
      <c r="D222" t="s">
        <v>28</v>
      </c>
      <c r="E222" t="s">
        <v>98</v>
      </c>
      <c r="F222" t="s">
        <v>59</v>
      </c>
      <c r="G222">
        <v>42</v>
      </c>
      <c r="H222" s="4">
        <v>50.02</v>
      </c>
      <c r="I222">
        <v>2100.84</v>
      </c>
      <c r="J222">
        <v>89.65</v>
      </c>
      <c r="K222">
        <v>835.19</v>
      </c>
      <c r="L222" t="s">
        <v>30</v>
      </c>
      <c r="M222" t="s">
        <v>31</v>
      </c>
      <c r="N222" t="s">
        <v>32</v>
      </c>
      <c r="O222">
        <f>_xlfn.XLOOKUP(E222,Product_Master!$B$2:$B$11,Product_Master!$F$2:$F$11)</f>
        <v>28</v>
      </c>
      <c r="P222">
        <f t="shared" si="6"/>
        <v>1176</v>
      </c>
      <c r="Q222" s="5">
        <f t="shared" si="7"/>
        <v>0.39755050360808059</v>
      </c>
    </row>
    <row r="223" spans="1:17" x14ac:dyDescent="0.3">
      <c r="A223" t="s">
        <v>385</v>
      </c>
      <c r="B223" t="s">
        <v>17</v>
      </c>
      <c r="C223" t="s">
        <v>276</v>
      </c>
      <c r="D223" t="s">
        <v>147</v>
      </c>
      <c r="E223" t="s">
        <v>98</v>
      </c>
      <c r="F223" t="s">
        <v>59</v>
      </c>
      <c r="G223">
        <v>13</v>
      </c>
      <c r="H223" s="4">
        <v>49.39</v>
      </c>
      <c r="I223">
        <v>642.07000000000005</v>
      </c>
      <c r="J223">
        <v>38.32</v>
      </c>
      <c r="K223">
        <v>239.75</v>
      </c>
      <c r="L223" t="s">
        <v>30</v>
      </c>
      <c r="M223" t="s">
        <v>23</v>
      </c>
      <c r="N223" t="s">
        <v>148</v>
      </c>
      <c r="O223">
        <f>_xlfn.XLOOKUP(E223,Product_Master!$B$2:$B$11,Product_Master!$F$2:$F$11)</f>
        <v>28</v>
      </c>
      <c r="P223">
        <f t="shared" si="6"/>
        <v>364</v>
      </c>
      <c r="Q223" s="5">
        <f t="shared" si="7"/>
        <v>0.37340165402526199</v>
      </c>
    </row>
    <row r="224" spans="1:17" x14ac:dyDescent="0.3">
      <c r="A224" t="s">
        <v>386</v>
      </c>
      <c r="B224" t="s">
        <v>61</v>
      </c>
      <c r="C224" t="s">
        <v>135</v>
      </c>
      <c r="D224" t="s">
        <v>28</v>
      </c>
      <c r="E224" t="s">
        <v>29</v>
      </c>
      <c r="F224" t="s">
        <v>21</v>
      </c>
      <c r="G224">
        <v>15</v>
      </c>
      <c r="H224" s="4">
        <v>22.86</v>
      </c>
      <c r="I224">
        <v>342.9</v>
      </c>
      <c r="J224">
        <v>27.16</v>
      </c>
      <c r="K224">
        <v>45.74</v>
      </c>
      <c r="L224" t="s">
        <v>44</v>
      </c>
      <c r="M224" t="s">
        <v>37</v>
      </c>
      <c r="N224" t="s">
        <v>32</v>
      </c>
      <c r="O224">
        <f>_xlfn.XLOOKUP(E224,Product_Master!$B$2:$B$11,Product_Master!$F$2:$F$11)</f>
        <v>18</v>
      </c>
      <c r="P224">
        <f t="shared" si="6"/>
        <v>270</v>
      </c>
      <c r="Q224" s="5">
        <f t="shared" si="7"/>
        <v>0.13339165937591135</v>
      </c>
    </row>
    <row r="225" spans="1:17" x14ac:dyDescent="0.3">
      <c r="A225" t="s">
        <v>387</v>
      </c>
      <c r="B225" t="s">
        <v>68</v>
      </c>
      <c r="C225" t="s">
        <v>379</v>
      </c>
      <c r="D225" t="s">
        <v>196</v>
      </c>
      <c r="E225" t="s">
        <v>64</v>
      </c>
      <c r="F225" t="s">
        <v>65</v>
      </c>
      <c r="G225">
        <v>37</v>
      </c>
      <c r="H225" s="4">
        <v>37.270000000000003</v>
      </c>
      <c r="I225">
        <v>1378.99</v>
      </c>
      <c r="J225">
        <v>92.92</v>
      </c>
      <c r="K225">
        <v>361.07</v>
      </c>
      <c r="L225" t="s">
        <v>22</v>
      </c>
      <c r="M225" t="s">
        <v>23</v>
      </c>
      <c r="N225" t="s">
        <v>66</v>
      </c>
      <c r="O225">
        <f>_xlfn.XLOOKUP(E225,Product_Master!$B$2:$B$11,Product_Master!$F$2:$F$11)</f>
        <v>25</v>
      </c>
      <c r="P225">
        <f t="shared" si="6"/>
        <v>925</v>
      </c>
      <c r="Q225" s="5">
        <f t="shared" si="7"/>
        <v>0.26183656154141799</v>
      </c>
    </row>
    <row r="226" spans="1:17" x14ac:dyDescent="0.3">
      <c r="A226" t="s">
        <v>388</v>
      </c>
      <c r="B226" t="s">
        <v>86</v>
      </c>
      <c r="C226" t="s">
        <v>52</v>
      </c>
      <c r="D226" t="s">
        <v>123</v>
      </c>
      <c r="E226" t="s">
        <v>20</v>
      </c>
      <c r="F226" t="s">
        <v>21</v>
      </c>
      <c r="G226">
        <v>49</v>
      </c>
      <c r="H226" s="4">
        <v>54.05</v>
      </c>
      <c r="I226">
        <v>2648.45</v>
      </c>
      <c r="J226">
        <v>66.8</v>
      </c>
      <c r="K226">
        <v>866.65</v>
      </c>
      <c r="L226" t="s">
        <v>44</v>
      </c>
      <c r="M226" t="s">
        <v>23</v>
      </c>
      <c r="N226" t="s">
        <v>32</v>
      </c>
      <c r="O226">
        <f>_xlfn.XLOOKUP(E226,Product_Master!$B$2:$B$11,Product_Master!$F$2:$F$11)</f>
        <v>35</v>
      </c>
      <c r="P226">
        <f t="shared" si="6"/>
        <v>1715</v>
      </c>
      <c r="Q226" s="5">
        <f t="shared" si="7"/>
        <v>0.32722913402178633</v>
      </c>
    </row>
    <row r="227" spans="1:17" x14ac:dyDescent="0.3">
      <c r="A227" t="s">
        <v>389</v>
      </c>
      <c r="B227" t="s">
        <v>71</v>
      </c>
      <c r="C227" t="s">
        <v>390</v>
      </c>
      <c r="D227" t="s">
        <v>28</v>
      </c>
      <c r="E227" t="s">
        <v>73</v>
      </c>
      <c r="F227" t="s">
        <v>43</v>
      </c>
      <c r="G227">
        <v>33</v>
      </c>
      <c r="H227" s="4">
        <v>20.059999999999999</v>
      </c>
      <c r="I227">
        <v>661.98</v>
      </c>
      <c r="J227">
        <v>50.02</v>
      </c>
      <c r="K227">
        <v>191.21</v>
      </c>
      <c r="L227" t="s">
        <v>44</v>
      </c>
      <c r="M227" t="s">
        <v>31</v>
      </c>
      <c r="N227" t="s">
        <v>32</v>
      </c>
      <c r="O227">
        <f>_xlfn.XLOOKUP(E227,Product_Master!$B$2:$B$11,Product_Master!$F$2:$F$11)</f>
        <v>12.75</v>
      </c>
      <c r="P227">
        <f t="shared" si="6"/>
        <v>420.75</v>
      </c>
      <c r="Q227" s="5">
        <f t="shared" si="7"/>
        <v>0.28884558445874498</v>
      </c>
    </row>
    <row r="228" spans="1:17" x14ac:dyDescent="0.3">
      <c r="A228" t="s">
        <v>391</v>
      </c>
      <c r="B228" t="s">
        <v>132</v>
      </c>
      <c r="C228" t="s">
        <v>226</v>
      </c>
      <c r="D228" t="s">
        <v>170</v>
      </c>
      <c r="E228" t="s">
        <v>98</v>
      </c>
      <c r="F228" t="s">
        <v>59</v>
      </c>
      <c r="G228">
        <v>49</v>
      </c>
      <c r="H228" s="4">
        <v>35.68</v>
      </c>
      <c r="I228">
        <v>1748.32</v>
      </c>
      <c r="J228">
        <v>124.47</v>
      </c>
      <c r="K228">
        <v>251.85</v>
      </c>
      <c r="L228" t="s">
        <v>44</v>
      </c>
      <c r="M228" t="s">
        <v>37</v>
      </c>
      <c r="N228" t="s">
        <v>32</v>
      </c>
      <c r="O228">
        <f>_xlfn.XLOOKUP(E228,Product_Master!$B$2:$B$11,Product_Master!$F$2:$F$11)</f>
        <v>28</v>
      </c>
      <c r="P228">
        <f t="shared" si="6"/>
        <v>1372</v>
      </c>
      <c r="Q228" s="5">
        <f t="shared" si="7"/>
        <v>0.14405257618742565</v>
      </c>
    </row>
    <row r="229" spans="1:17" x14ac:dyDescent="0.3">
      <c r="A229" t="s">
        <v>392</v>
      </c>
      <c r="B229" t="s">
        <v>104</v>
      </c>
      <c r="C229" t="s">
        <v>35</v>
      </c>
      <c r="D229" t="s">
        <v>196</v>
      </c>
      <c r="E229" t="s">
        <v>64</v>
      </c>
      <c r="F229" t="s">
        <v>65</v>
      </c>
      <c r="G229">
        <v>23</v>
      </c>
      <c r="H229" s="4">
        <v>30.89</v>
      </c>
      <c r="I229">
        <v>710.47</v>
      </c>
      <c r="J229">
        <v>18.739999999999998</v>
      </c>
      <c r="K229">
        <v>116.73</v>
      </c>
      <c r="L229" t="s">
        <v>30</v>
      </c>
      <c r="M229" t="s">
        <v>23</v>
      </c>
      <c r="N229" t="s">
        <v>66</v>
      </c>
      <c r="O229">
        <f>_xlfn.XLOOKUP(E229,Product_Master!$B$2:$B$11,Product_Master!$F$2:$F$11)</f>
        <v>25</v>
      </c>
      <c r="P229">
        <f t="shared" si="6"/>
        <v>575</v>
      </c>
      <c r="Q229" s="5">
        <f t="shared" si="7"/>
        <v>0.16429968893830843</v>
      </c>
    </row>
    <row r="230" spans="1:17" x14ac:dyDescent="0.3">
      <c r="A230" t="s">
        <v>393</v>
      </c>
      <c r="B230" t="s">
        <v>39</v>
      </c>
      <c r="C230" t="s">
        <v>40</v>
      </c>
      <c r="D230" t="s">
        <v>123</v>
      </c>
      <c r="E230" t="s">
        <v>20</v>
      </c>
      <c r="F230" t="s">
        <v>21</v>
      </c>
      <c r="G230">
        <v>14</v>
      </c>
      <c r="H230" s="4">
        <v>59.6</v>
      </c>
      <c r="I230">
        <v>834.4</v>
      </c>
      <c r="J230">
        <v>19.11</v>
      </c>
      <c r="K230">
        <v>325.29000000000002</v>
      </c>
      <c r="L230" t="s">
        <v>30</v>
      </c>
      <c r="M230" t="s">
        <v>31</v>
      </c>
      <c r="N230" t="s">
        <v>32</v>
      </c>
      <c r="O230">
        <f>_xlfn.XLOOKUP(E230,Product_Master!$B$2:$B$11,Product_Master!$F$2:$F$11)</f>
        <v>35</v>
      </c>
      <c r="P230">
        <f t="shared" si="6"/>
        <v>490</v>
      </c>
      <c r="Q230" s="5">
        <f t="shared" si="7"/>
        <v>0.38984899328859063</v>
      </c>
    </row>
    <row r="231" spans="1:17" x14ac:dyDescent="0.3">
      <c r="A231" t="s">
        <v>394</v>
      </c>
      <c r="B231" t="s">
        <v>26</v>
      </c>
      <c r="C231" t="s">
        <v>322</v>
      </c>
      <c r="D231" t="s">
        <v>170</v>
      </c>
      <c r="E231" t="s">
        <v>58</v>
      </c>
      <c r="F231" t="s">
        <v>59</v>
      </c>
      <c r="G231">
        <v>3</v>
      </c>
      <c r="H231" s="4">
        <v>28.36</v>
      </c>
      <c r="I231">
        <v>85.08</v>
      </c>
      <c r="J231">
        <v>4.46</v>
      </c>
      <c r="K231">
        <v>13.12</v>
      </c>
      <c r="L231" t="s">
        <v>22</v>
      </c>
      <c r="M231" t="s">
        <v>31</v>
      </c>
      <c r="N231" t="s">
        <v>32</v>
      </c>
      <c r="O231">
        <f>_xlfn.XLOOKUP(E231,Product_Master!$B$2:$B$11,Product_Master!$F$2:$F$11)</f>
        <v>22.5</v>
      </c>
      <c r="P231">
        <f t="shared" si="6"/>
        <v>67.5</v>
      </c>
      <c r="Q231" s="5">
        <f t="shared" si="7"/>
        <v>0.15420780441936999</v>
      </c>
    </row>
    <row r="232" spans="1:17" x14ac:dyDescent="0.3">
      <c r="A232" t="s">
        <v>395</v>
      </c>
      <c r="B232" t="s">
        <v>132</v>
      </c>
      <c r="C232" t="s">
        <v>153</v>
      </c>
      <c r="D232" t="s">
        <v>170</v>
      </c>
      <c r="E232" t="s">
        <v>73</v>
      </c>
      <c r="F232" t="s">
        <v>43</v>
      </c>
      <c r="G232">
        <v>28</v>
      </c>
      <c r="H232" s="4">
        <v>22.13</v>
      </c>
      <c r="I232">
        <v>619.64</v>
      </c>
      <c r="J232">
        <v>17.2</v>
      </c>
      <c r="K232">
        <v>245.44</v>
      </c>
      <c r="L232" t="s">
        <v>30</v>
      </c>
      <c r="M232" t="s">
        <v>37</v>
      </c>
      <c r="N232" t="s">
        <v>32</v>
      </c>
      <c r="O232">
        <f>_xlfn.XLOOKUP(E232,Product_Master!$B$2:$B$11,Product_Master!$F$2:$F$11)</f>
        <v>12.75</v>
      </c>
      <c r="P232">
        <f t="shared" si="6"/>
        <v>357</v>
      </c>
      <c r="Q232" s="5">
        <f t="shared" si="7"/>
        <v>0.39610096184881544</v>
      </c>
    </row>
    <row r="233" spans="1:17" x14ac:dyDescent="0.3">
      <c r="A233" t="s">
        <v>396</v>
      </c>
      <c r="B233" t="s">
        <v>78</v>
      </c>
      <c r="C233" t="s">
        <v>252</v>
      </c>
      <c r="D233" t="s">
        <v>19</v>
      </c>
      <c r="E233" t="s">
        <v>29</v>
      </c>
      <c r="F233" t="s">
        <v>21</v>
      </c>
      <c r="G233">
        <v>28</v>
      </c>
      <c r="H233" s="4">
        <v>27.62</v>
      </c>
      <c r="I233">
        <v>773.36</v>
      </c>
      <c r="J233">
        <v>29.88</v>
      </c>
      <c r="K233">
        <v>239.48</v>
      </c>
      <c r="L233" t="s">
        <v>22</v>
      </c>
      <c r="M233" t="s">
        <v>23</v>
      </c>
      <c r="N233" t="s">
        <v>24</v>
      </c>
      <c r="O233">
        <f>_xlfn.XLOOKUP(E233,Product_Master!$B$2:$B$11,Product_Master!$F$2:$F$11)</f>
        <v>18</v>
      </c>
      <c r="P233">
        <f t="shared" si="6"/>
        <v>504</v>
      </c>
      <c r="Q233" s="5">
        <f t="shared" si="7"/>
        <v>0.30966173580221368</v>
      </c>
    </row>
    <row r="234" spans="1:17" x14ac:dyDescent="0.3">
      <c r="A234" t="s">
        <v>397</v>
      </c>
      <c r="B234" t="s">
        <v>104</v>
      </c>
      <c r="C234" t="s">
        <v>139</v>
      </c>
      <c r="D234" t="s">
        <v>48</v>
      </c>
      <c r="E234" t="s">
        <v>64</v>
      </c>
      <c r="F234" t="s">
        <v>65</v>
      </c>
      <c r="G234">
        <v>40</v>
      </c>
      <c r="H234" s="4">
        <v>34.229999999999997</v>
      </c>
      <c r="I234">
        <v>1369.2</v>
      </c>
      <c r="J234">
        <v>78.03</v>
      </c>
      <c r="K234">
        <v>291.17</v>
      </c>
      <c r="L234" t="s">
        <v>22</v>
      </c>
      <c r="M234" t="s">
        <v>23</v>
      </c>
      <c r="N234" t="s">
        <v>24</v>
      </c>
      <c r="O234">
        <f>_xlfn.XLOOKUP(E234,Product_Master!$B$2:$B$11,Product_Master!$F$2:$F$11)</f>
        <v>25</v>
      </c>
      <c r="P234">
        <f t="shared" si="6"/>
        <v>1000</v>
      </c>
      <c r="Q234" s="5">
        <f t="shared" si="7"/>
        <v>0.21265702600058428</v>
      </c>
    </row>
    <row r="235" spans="1:17" x14ac:dyDescent="0.3">
      <c r="A235" t="s">
        <v>398</v>
      </c>
      <c r="B235" t="s">
        <v>17</v>
      </c>
      <c r="C235" t="s">
        <v>198</v>
      </c>
      <c r="D235" t="s">
        <v>91</v>
      </c>
      <c r="E235" t="s">
        <v>49</v>
      </c>
      <c r="F235" t="s">
        <v>50</v>
      </c>
      <c r="G235">
        <v>9</v>
      </c>
      <c r="H235" s="4">
        <v>52.2</v>
      </c>
      <c r="I235">
        <v>469.8</v>
      </c>
      <c r="J235">
        <v>31.5</v>
      </c>
      <c r="K235">
        <v>78.3</v>
      </c>
      <c r="L235" t="s">
        <v>44</v>
      </c>
      <c r="M235" t="s">
        <v>37</v>
      </c>
      <c r="N235" t="s">
        <v>66</v>
      </c>
      <c r="O235">
        <f>_xlfn.XLOOKUP(E235,Product_Master!$B$2:$B$11,Product_Master!$F$2:$F$11)</f>
        <v>40</v>
      </c>
      <c r="P235">
        <f t="shared" si="6"/>
        <v>360</v>
      </c>
      <c r="Q235" s="5">
        <f t="shared" si="7"/>
        <v>0.16666666666666666</v>
      </c>
    </row>
    <row r="236" spans="1:17" x14ac:dyDescent="0.3">
      <c r="A236" t="s">
        <v>399</v>
      </c>
      <c r="B236" t="s">
        <v>104</v>
      </c>
      <c r="C236" t="s">
        <v>252</v>
      </c>
      <c r="D236" t="s">
        <v>123</v>
      </c>
      <c r="E236" t="s">
        <v>64</v>
      </c>
      <c r="F236" t="s">
        <v>65</v>
      </c>
      <c r="G236">
        <v>31</v>
      </c>
      <c r="H236" s="4">
        <v>43.54</v>
      </c>
      <c r="I236">
        <v>1349.74</v>
      </c>
      <c r="J236">
        <v>99.86</v>
      </c>
      <c r="K236">
        <v>474.88</v>
      </c>
      <c r="L236" t="s">
        <v>22</v>
      </c>
      <c r="M236" t="s">
        <v>31</v>
      </c>
      <c r="N236" t="s">
        <v>32</v>
      </c>
      <c r="O236">
        <f>_xlfn.XLOOKUP(E236,Product_Master!$B$2:$B$11,Product_Master!$F$2:$F$11)</f>
        <v>25</v>
      </c>
      <c r="P236">
        <f t="shared" si="6"/>
        <v>775</v>
      </c>
      <c r="Q236" s="5">
        <f t="shared" si="7"/>
        <v>0.35183072295405038</v>
      </c>
    </row>
    <row r="237" spans="1:17" x14ac:dyDescent="0.3">
      <c r="A237" t="s">
        <v>400</v>
      </c>
      <c r="B237" t="s">
        <v>61</v>
      </c>
      <c r="C237" t="s">
        <v>133</v>
      </c>
      <c r="D237" t="s">
        <v>88</v>
      </c>
      <c r="E237" t="s">
        <v>69</v>
      </c>
      <c r="F237" t="s">
        <v>59</v>
      </c>
      <c r="G237">
        <v>31</v>
      </c>
      <c r="H237" s="4">
        <v>18.63</v>
      </c>
      <c r="I237">
        <v>577.53</v>
      </c>
      <c r="J237">
        <v>36.65</v>
      </c>
      <c r="K237">
        <v>60.38</v>
      </c>
      <c r="L237" t="s">
        <v>44</v>
      </c>
      <c r="M237" t="s">
        <v>23</v>
      </c>
      <c r="N237" t="s">
        <v>66</v>
      </c>
      <c r="O237">
        <f>_xlfn.XLOOKUP(E237,Product_Master!$B$2:$B$11,Product_Master!$F$2:$F$11)</f>
        <v>15.5</v>
      </c>
      <c r="P237">
        <f t="shared" si="6"/>
        <v>480.5</v>
      </c>
      <c r="Q237" s="5">
        <f t="shared" si="7"/>
        <v>0.1045486814537773</v>
      </c>
    </row>
    <row r="238" spans="1:17" x14ac:dyDescent="0.3">
      <c r="A238" t="s">
        <v>401</v>
      </c>
      <c r="B238" t="s">
        <v>83</v>
      </c>
      <c r="C238" t="s">
        <v>297</v>
      </c>
      <c r="D238" t="s">
        <v>91</v>
      </c>
      <c r="E238" t="s">
        <v>54</v>
      </c>
      <c r="F238" t="s">
        <v>43</v>
      </c>
      <c r="G238">
        <v>38</v>
      </c>
      <c r="H238" s="4">
        <v>27.28</v>
      </c>
      <c r="I238">
        <v>1036.6400000000001</v>
      </c>
      <c r="J238">
        <v>38.770000000000003</v>
      </c>
      <c r="K238">
        <v>237.87</v>
      </c>
      <c r="L238" t="s">
        <v>22</v>
      </c>
      <c r="M238" t="s">
        <v>37</v>
      </c>
      <c r="N238" t="s">
        <v>66</v>
      </c>
      <c r="O238">
        <f>_xlfn.XLOOKUP(E238,Product_Master!$B$2:$B$11,Product_Master!$F$2:$F$11)</f>
        <v>20</v>
      </c>
      <c r="P238">
        <f t="shared" si="6"/>
        <v>760</v>
      </c>
      <c r="Q238" s="5">
        <f t="shared" si="7"/>
        <v>0.22946249421206974</v>
      </c>
    </row>
    <row r="239" spans="1:17" x14ac:dyDescent="0.3">
      <c r="A239" t="s">
        <v>402</v>
      </c>
      <c r="B239" t="s">
        <v>132</v>
      </c>
      <c r="C239" t="s">
        <v>226</v>
      </c>
      <c r="D239" t="s">
        <v>41</v>
      </c>
      <c r="E239" t="s">
        <v>29</v>
      </c>
      <c r="F239" t="s">
        <v>21</v>
      </c>
      <c r="G239">
        <v>50</v>
      </c>
      <c r="H239" s="4">
        <v>30.97</v>
      </c>
      <c r="I239">
        <v>1548.5</v>
      </c>
      <c r="J239">
        <v>82.09</v>
      </c>
      <c r="K239">
        <v>566.41</v>
      </c>
      <c r="L239" t="s">
        <v>30</v>
      </c>
      <c r="M239" t="s">
        <v>31</v>
      </c>
      <c r="N239" t="s">
        <v>45</v>
      </c>
      <c r="O239">
        <f>_xlfn.XLOOKUP(E239,Product_Master!$B$2:$B$11,Product_Master!$F$2:$F$11)</f>
        <v>18</v>
      </c>
      <c r="P239">
        <f t="shared" si="6"/>
        <v>900</v>
      </c>
      <c r="Q239" s="5">
        <f t="shared" si="7"/>
        <v>0.36577978689053919</v>
      </c>
    </row>
    <row r="240" spans="1:17" x14ac:dyDescent="0.3">
      <c r="A240" t="s">
        <v>403</v>
      </c>
      <c r="B240" t="s">
        <v>83</v>
      </c>
      <c r="C240" t="s">
        <v>90</v>
      </c>
      <c r="D240" t="s">
        <v>91</v>
      </c>
      <c r="E240" t="s">
        <v>49</v>
      </c>
      <c r="F240" t="s">
        <v>50</v>
      </c>
      <c r="G240">
        <v>17</v>
      </c>
      <c r="H240" s="4">
        <v>60.91</v>
      </c>
      <c r="I240">
        <v>1035.47</v>
      </c>
      <c r="J240">
        <v>54.09</v>
      </c>
      <c r="K240">
        <v>301.38</v>
      </c>
      <c r="L240" t="s">
        <v>44</v>
      </c>
      <c r="M240" t="s">
        <v>23</v>
      </c>
      <c r="N240" t="s">
        <v>66</v>
      </c>
      <c r="O240">
        <f>_xlfn.XLOOKUP(E240,Product_Master!$B$2:$B$11,Product_Master!$F$2:$F$11)</f>
        <v>40</v>
      </c>
      <c r="P240">
        <f t="shared" si="6"/>
        <v>680</v>
      </c>
      <c r="Q240" s="5">
        <f t="shared" si="7"/>
        <v>0.29105623533274744</v>
      </c>
    </row>
    <row r="241" spans="1:17" x14ac:dyDescent="0.3">
      <c r="A241" t="s">
        <v>404</v>
      </c>
      <c r="B241" t="s">
        <v>61</v>
      </c>
      <c r="C241" t="s">
        <v>293</v>
      </c>
      <c r="D241" t="s">
        <v>63</v>
      </c>
      <c r="E241" t="s">
        <v>54</v>
      </c>
      <c r="F241" t="s">
        <v>43</v>
      </c>
      <c r="G241">
        <v>25</v>
      </c>
      <c r="H241" s="4">
        <v>31.15</v>
      </c>
      <c r="I241">
        <v>778.75</v>
      </c>
      <c r="J241">
        <v>47.45</v>
      </c>
      <c r="K241">
        <v>231.3</v>
      </c>
      <c r="L241" t="s">
        <v>22</v>
      </c>
      <c r="M241" t="s">
        <v>37</v>
      </c>
      <c r="N241" t="s">
        <v>66</v>
      </c>
      <c r="O241">
        <f>_xlfn.XLOOKUP(E241,Product_Master!$B$2:$B$11,Product_Master!$F$2:$F$11)</f>
        <v>20</v>
      </c>
      <c r="P241">
        <f t="shared" si="6"/>
        <v>500</v>
      </c>
      <c r="Q241" s="5">
        <f t="shared" si="7"/>
        <v>0.29701444622792939</v>
      </c>
    </row>
    <row r="242" spans="1:17" x14ac:dyDescent="0.3">
      <c r="A242" t="s">
        <v>405</v>
      </c>
      <c r="B242" t="s">
        <v>95</v>
      </c>
      <c r="C242" t="s">
        <v>310</v>
      </c>
      <c r="D242" t="s">
        <v>123</v>
      </c>
      <c r="E242" t="s">
        <v>29</v>
      </c>
      <c r="F242" t="s">
        <v>21</v>
      </c>
      <c r="G242">
        <v>30</v>
      </c>
      <c r="H242" s="4">
        <v>31.12</v>
      </c>
      <c r="I242">
        <v>933.6</v>
      </c>
      <c r="J242">
        <v>50.88</v>
      </c>
      <c r="K242">
        <v>342.72</v>
      </c>
      <c r="L242" t="s">
        <v>30</v>
      </c>
      <c r="M242" t="s">
        <v>31</v>
      </c>
      <c r="N242" t="s">
        <v>32</v>
      </c>
      <c r="O242">
        <f>_xlfn.XLOOKUP(E242,Product_Master!$B$2:$B$11,Product_Master!$F$2:$F$11)</f>
        <v>18</v>
      </c>
      <c r="P242">
        <f t="shared" si="6"/>
        <v>540</v>
      </c>
      <c r="Q242" s="5">
        <f t="shared" si="7"/>
        <v>0.36709511568123393</v>
      </c>
    </row>
    <row r="243" spans="1:17" x14ac:dyDescent="0.3">
      <c r="A243" t="s">
        <v>406</v>
      </c>
      <c r="B243" t="s">
        <v>26</v>
      </c>
      <c r="C243" t="s">
        <v>130</v>
      </c>
      <c r="D243" t="s">
        <v>53</v>
      </c>
      <c r="E243" t="s">
        <v>69</v>
      </c>
      <c r="F243" t="s">
        <v>59</v>
      </c>
      <c r="G243">
        <v>17</v>
      </c>
      <c r="H243" s="4">
        <v>19.64</v>
      </c>
      <c r="I243">
        <v>333.88</v>
      </c>
      <c r="J243">
        <v>22.23</v>
      </c>
      <c r="K243">
        <v>48.15</v>
      </c>
      <c r="L243" t="s">
        <v>44</v>
      </c>
      <c r="M243" t="s">
        <v>37</v>
      </c>
      <c r="N243" t="s">
        <v>24</v>
      </c>
      <c r="O243">
        <f>_xlfn.XLOOKUP(E243,Product_Master!$B$2:$B$11,Product_Master!$F$2:$F$11)</f>
        <v>15.5</v>
      </c>
      <c r="P243">
        <f t="shared" si="6"/>
        <v>263.5</v>
      </c>
      <c r="Q243" s="5">
        <f t="shared" si="7"/>
        <v>0.14421348987660237</v>
      </c>
    </row>
    <row r="244" spans="1:17" x14ac:dyDescent="0.3">
      <c r="A244" t="s">
        <v>407</v>
      </c>
      <c r="B244" t="s">
        <v>56</v>
      </c>
      <c r="C244" t="s">
        <v>408</v>
      </c>
      <c r="D244" t="s">
        <v>19</v>
      </c>
      <c r="E244" t="s">
        <v>42</v>
      </c>
      <c r="F244" t="s">
        <v>43</v>
      </c>
      <c r="G244">
        <v>37</v>
      </c>
      <c r="H244" s="4">
        <v>57.35</v>
      </c>
      <c r="I244">
        <v>2121.9499999999998</v>
      </c>
      <c r="J244">
        <v>147.38999999999999</v>
      </c>
      <c r="K244">
        <v>790.56</v>
      </c>
      <c r="L244" t="s">
        <v>22</v>
      </c>
      <c r="M244" t="s">
        <v>23</v>
      </c>
      <c r="N244" t="s">
        <v>24</v>
      </c>
      <c r="O244">
        <f>_xlfn.XLOOKUP(E244,Product_Master!$B$2:$B$11,Product_Master!$F$2:$F$11)</f>
        <v>32</v>
      </c>
      <c r="P244">
        <f t="shared" si="6"/>
        <v>1184</v>
      </c>
      <c r="Q244" s="5">
        <f t="shared" si="7"/>
        <v>0.37256297273734068</v>
      </c>
    </row>
    <row r="245" spans="1:17" x14ac:dyDescent="0.3">
      <c r="A245" t="s">
        <v>409</v>
      </c>
      <c r="B245" t="s">
        <v>26</v>
      </c>
      <c r="C245" t="s">
        <v>18</v>
      </c>
      <c r="D245" t="s">
        <v>36</v>
      </c>
      <c r="E245" t="s">
        <v>20</v>
      </c>
      <c r="F245" t="s">
        <v>21</v>
      </c>
      <c r="G245">
        <v>45</v>
      </c>
      <c r="H245" s="4">
        <v>42.6</v>
      </c>
      <c r="I245">
        <v>1917</v>
      </c>
      <c r="J245">
        <v>104.27</v>
      </c>
      <c r="K245">
        <v>237.73</v>
      </c>
      <c r="L245" t="s">
        <v>30</v>
      </c>
      <c r="M245" t="s">
        <v>37</v>
      </c>
      <c r="N245" t="s">
        <v>32</v>
      </c>
      <c r="O245">
        <f>_xlfn.XLOOKUP(E245,Product_Master!$B$2:$B$11,Product_Master!$F$2:$F$11)</f>
        <v>35</v>
      </c>
      <c r="P245">
        <f t="shared" si="6"/>
        <v>1575</v>
      </c>
      <c r="Q245" s="5">
        <f t="shared" si="7"/>
        <v>0.12401147626499738</v>
      </c>
    </row>
    <row r="246" spans="1:17" x14ac:dyDescent="0.3">
      <c r="A246" t="s">
        <v>410</v>
      </c>
      <c r="B246" t="s">
        <v>56</v>
      </c>
      <c r="C246" t="s">
        <v>119</v>
      </c>
      <c r="D246" t="s">
        <v>28</v>
      </c>
      <c r="E246" t="s">
        <v>54</v>
      </c>
      <c r="F246" t="s">
        <v>43</v>
      </c>
      <c r="G246">
        <v>25</v>
      </c>
      <c r="H246" s="4">
        <v>31.82</v>
      </c>
      <c r="I246">
        <v>795.5</v>
      </c>
      <c r="J246">
        <v>37.33</v>
      </c>
      <c r="K246">
        <v>258.17</v>
      </c>
      <c r="L246" t="s">
        <v>22</v>
      </c>
      <c r="M246" t="s">
        <v>31</v>
      </c>
      <c r="N246" t="s">
        <v>32</v>
      </c>
      <c r="O246">
        <f>_xlfn.XLOOKUP(E246,Product_Master!$B$2:$B$11,Product_Master!$F$2:$F$11)</f>
        <v>20</v>
      </c>
      <c r="P246">
        <f t="shared" si="6"/>
        <v>500</v>
      </c>
      <c r="Q246" s="5">
        <f t="shared" si="7"/>
        <v>0.32453802639849155</v>
      </c>
    </row>
    <row r="247" spans="1:17" x14ac:dyDescent="0.3">
      <c r="A247" t="s">
        <v>411</v>
      </c>
      <c r="B247" t="s">
        <v>61</v>
      </c>
      <c r="C247" t="s">
        <v>143</v>
      </c>
      <c r="D247" t="s">
        <v>196</v>
      </c>
      <c r="E247" t="s">
        <v>64</v>
      </c>
      <c r="F247" t="s">
        <v>65</v>
      </c>
      <c r="G247">
        <v>17</v>
      </c>
      <c r="H247" s="4">
        <v>36.270000000000003</v>
      </c>
      <c r="I247">
        <v>616.59</v>
      </c>
      <c r="J247">
        <v>22.76</v>
      </c>
      <c r="K247">
        <v>168.83</v>
      </c>
      <c r="L247" t="s">
        <v>44</v>
      </c>
      <c r="M247" t="s">
        <v>23</v>
      </c>
      <c r="N247" t="s">
        <v>66</v>
      </c>
      <c r="O247">
        <f>_xlfn.XLOOKUP(E247,Product_Master!$B$2:$B$11,Product_Master!$F$2:$F$11)</f>
        <v>25</v>
      </c>
      <c r="P247">
        <f t="shared" si="6"/>
        <v>425</v>
      </c>
      <c r="Q247" s="5">
        <f t="shared" si="7"/>
        <v>0.27381241992247685</v>
      </c>
    </row>
    <row r="248" spans="1:17" x14ac:dyDescent="0.3">
      <c r="A248" t="s">
        <v>412</v>
      </c>
      <c r="B248" t="s">
        <v>132</v>
      </c>
      <c r="C248" t="s">
        <v>230</v>
      </c>
      <c r="D248" t="s">
        <v>88</v>
      </c>
      <c r="E248" t="s">
        <v>29</v>
      </c>
      <c r="F248" t="s">
        <v>21</v>
      </c>
      <c r="G248">
        <v>4</v>
      </c>
      <c r="H248" s="4">
        <v>27.01</v>
      </c>
      <c r="I248">
        <v>108.04</v>
      </c>
      <c r="J248">
        <v>4.7300000000000004</v>
      </c>
      <c r="K248">
        <v>31.31</v>
      </c>
      <c r="L248" t="s">
        <v>44</v>
      </c>
      <c r="M248" t="s">
        <v>37</v>
      </c>
      <c r="N248" t="s">
        <v>66</v>
      </c>
      <c r="O248">
        <f>_xlfn.XLOOKUP(E248,Product_Master!$B$2:$B$11,Product_Master!$F$2:$F$11)</f>
        <v>18</v>
      </c>
      <c r="P248">
        <f t="shared" si="6"/>
        <v>72</v>
      </c>
      <c r="Q248" s="5">
        <f t="shared" si="7"/>
        <v>0.28980007404664937</v>
      </c>
    </row>
    <row r="249" spans="1:17" x14ac:dyDescent="0.3">
      <c r="A249" t="s">
        <v>413</v>
      </c>
      <c r="B249" t="s">
        <v>107</v>
      </c>
      <c r="C249" t="s">
        <v>250</v>
      </c>
      <c r="D249" t="s">
        <v>53</v>
      </c>
      <c r="E249" t="s">
        <v>20</v>
      </c>
      <c r="F249" t="s">
        <v>21</v>
      </c>
      <c r="G249">
        <v>22</v>
      </c>
      <c r="H249" s="4">
        <v>57.6</v>
      </c>
      <c r="I249">
        <v>1267.2</v>
      </c>
      <c r="J249">
        <v>35.32</v>
      </c>
      <c r="K249">
        <v>461.88</v>
      </c>
      <c r="L249" t="s">
        <v>44</v>
      </c>
      <c r="M249" t="s">
        <v>23</v>
      </c>
      <c r="N249" t="s">
        <v>24</v>
      </c>
      <c r="O249">
        <f>_xlfn.XLOOKUP(E249,Product_Master!$B$2:$B$11,Product_Master!$F$2:$F$11)</f>
        <v>35</v>
      </c>
      <c r="P249">
        <f t="shared" si="6"/>
        <v>770</v>
      </c>
      <c r="Q249" s="5">
        <f t="shared" si="7"/>
        <v>0.36448863636363632</v>
      </c>
    </row>
    <row r="250" spans="1:17" x14ac:dyDescent="0.3">
      <c r="A250" t="s">
        <v>414</v>
      </c>
      <c r="B250" t="s">
        <v>157</v>
      </c>
      <c r="C250" t="s">
        <v>280</v>
      </c>
      <c r="D250" t="s">
        <v>170</v>
      </c>
      <c r="E250" t="s">
        <v>64</v>
      </c>
      <c r="F250" t="s">
        <v>65</v>
      </c>
      <c r="G250">
        <v>24</v>
      </c>
      <c r="H250" s="4">
        <v>43.34</v>
      </c>
      <c r="I250">
        <v>1040.1600000000001</v>
      </c>
      <c r="J250">
        <v>41.18</v>
      </c>
      <c r="K250">
        <v>398.98</v>
      </c>
      <c r="L250" t="s">
        <v>22</v>
      </c>
      <c r="M250" t="s">
        <v>37</v>
      </c>
      <c r="N250" t="s">
        <v>32</v>
      </c>
      <c r="O250">
        <f>_xlfn.XLOOKUP(E250,Product_Master!$B$2:$B$11,Product_Master!$F$2:$F$11)</f>
        <v>25</v>
      </c>
      <c r="P250">
        <f t="shared" si="6"/>
        <v>600</v>
      </c>
      <c r="Q250" s="5">
        <f t="shared" si="7"/>
        <v>0.38357560375326871</v>
      </c>
    </row>
    <row r="251" spans="1:17" x14ac:dyDescent="0.3">
      <c r="A251" t="s">
        <v>415</v>
      </c>
      <c r="B251" t="s">
        <v>26</v>
      </c>
      <c r="C251" t="s">
        <v>185</v>
      </c>
      <c r="D251" t="s">
        <v>53</v>
      </c>
      <c r="E251" t="s">
        <v>49</v>
      </c>
      <c r="F251" t="s">
        <v>50</v>
      </c>
      <c r="G251">
        <v>37</v>
      </c>
      <c r="H251" s="4">
        <v>71.8</v>
      </c>
      <c r="I251">
        <v>2656.6</v>
      </c>
      <c r="J251">
        <v>60.3</v>
      </c>
      <c r="K251">
        <v>1116.3</v>
      </c>
      <c r="L251" t="s">
        <v>30</v>
      </c>
      <c r="M251" t="s">
        <v>23</v>
      </c>
      <c r="N251" t="s">
        <v>24</v>
      </c>
      <c r="O251">
        <f>_xlfn.XLOOKUP(E251,Product_Master!$B$2:$B$11,Product_Master!$F$2:$F$11)</f>
        <v>40</v>
      </c>
      <c r="P251">
        <f t="shared" si="6"/>
        <v>1480</v>
      </c>
      <c r="Q251" s="5">
        <f t="shared" si="7"/>
        <v>0.42019875028231574</v>
      </c>
    </row>
    <row r="252" spans="1:17" x14ac:dyDescent="0.3">
      <c r="A252" t="s">
        <v>416</v>
      </c>
      <c r="B252" t="s">
        <v>56</v>
      </c>
      <c r="C252" t="s">
        <v>408</v>
      </c>
      <c r="D252" t="s">
        <v>88</v>
      </c>
      <c r="E252" t="s">
        <v>54</v>
      </c>
      <c r="F252" t="s">
        <v>43</v>
      </c>
      <c r="G252">
        <v>24</v>
      </c>
      <c r="H252" s="4">
        <v>29.11</v>
      </c>
      <c r="I252">
        <v>698.64</v>
      </c>
      <c r="J252">
        <v>53.99</v>
      </c>
      <c r="K252">
        <v>164.65</v>
      </c>
      <c r="L252" t="s">
        <v>44</v>
      </c>
      <c r="M252" t="s">
        <v>37</v>
      </c>
      <c r="N252" t="s">
        <v>66</v>
      </c>
      <c r="O252">
        <f>_xlfn.XLOOKUP(E252,Product_Master!$B$2:$B$11,Product_Master!$F$2:$F$11)</f>
        <v>20</v>
      </c>
      <c r="P252">
        <f t="shared" si="6"/>
        <v>480</v>
      </c>
      <c r="Q252" s="5">
        <f t="shared" si="7"/>
        <v>0.23567216305965877</v>
      </c>
    </row>
    <row r="253" spans="1:17" x14ac:dyDescent="0.3">
      <c r="A253" t="s">
        <v>417</v>
      </c>
      <c r="B253" t="s">
        <v>157</v>
      </c>
      <c r="C253" t="s">
        <v>418</v>
      </c>
      <c r="D253" t="s">
        <v>91</v>
      </c>
      <c r="E253" t="s">
        <v>58</v>
      </c>
      <c r="F253" t="s">
        <v>59</v>
      </c>
      <c r="G253">
        <v>6</v>
      </c>
      <c r="H253" s="4">
        <v>27.91</v>
      </c>
      <c r="I253">
        <v>167.46</v>
      </c>
      <c r="J253">
        <v>10.01</v>
      </c>
      <c r="K253">
        <v>22.45</v>
      </c>
      <c r="L253" t="s">
        <v>22</v>
      </c>
      <c r="M253" t="s">
        <v>23</v>
      </c>
      <c r="N253" t="s">
        <v>66</v>
      </c>
      <c r="O253">
        <f>_xlfn.XLOOKUP(E253,Product_Master!$B$2:$B$11,Product_Master!$F$2:$F$11)</f>
        <v>22.5</v>
      </c>
      <c r="P253">
        <f t="shared" si="6"/>
        <v>135</v>
      </c>
      <c r="Q253" s="5">
        <f t="shared" si="7"/>
        <v>0.1340618655201242</v>
      </c>
    </row>
    <row r="254" spans="1:17" x14ac:dyDescent="0.3">
      <c r="A254" t="s">
        <v>419</v>
      </c>
      <c r="B254" t="s">
        <v>83</v>
      </c>
      <c r="C254" t="s">
        <v>40</v>
      </c>
      <c r="D254" t="s">
        <v>63</v>
      </c>
      <c r="E254" t="s">
        <v>58</v>
      </c>
      <c r="F254" t="s">
        <v>59</v>
      </c>
      <c r="G254">
        <v>28</v>
      </c>
      <c r="H254" s="4">
        <v>27.29</v>
      </c>
      <c r="I254">
        <v>764.12</v>
      </c>
      <c r="J254">
        <v>25.78</v>
      </c>
      <c r="K254">
        <v>108.34</v>
      </c>
      <c r="L254" t="s">
        <v>44</v>
      </c>
      <c r="M254" t="s">
        <v>23</v>
      </c>
      <c r="N254" t="s">
        <v>66</v>
      </c>
      <c r="O254">
        <f>_xlfn.XLOOKUP(E254,Product_Master!$B$2:$B$11,Product_Master!$F$2:$F$11)</f>
        <v>22.5</v>
      </c>
      <c r="P254">
        <f t="shared" si="6"/>
        <v>630</v>
      </c>
      <c r="Q254" s="5">
        <f t="shared" si="7"/>
        <v>0.1417840129822541</v>
      </c>
    </row>
    <row r="255" spans="1:17" x14ac:dyDescent="0.3">
      <c r="A255" t="s">
        <v>420</v>
      </c>
      <c r="B255" t="s">
        <v>83</v>
      </c>
      <c r="C255" t="s">
        <v>338</v>
      </c>
      <c r="D255" t="s">
        <v>53</v>
      </c>
      <c r="E255" t="s">
        <v>58</v>
      </c>
      <c r="F255" t="s">
        <v>59</v>
      </c>
      <c r="G255">
        <v>47</v>
      </c>
      <c r="H255" s="4">
        <v>35.880000000000003</v>
      </c>
      <c r="I255">
        <v>1686.36</v>
      </c>
      <c r="J255">
        <v>70.3</v>
      </c>
      <c r="K255">
        <v>558.55999999999995</v>
      </c>
      <c r="L255" t="s">
        <v>22</v>
      </c>
      <c r="M255" t="s">
        <v>31</v>
      </c>
      <c r="N255" t="s">
        <v>24</v>
      </c>
      <c r="O255">
        <f>_xlfn.XLOOKUP(E255,Product_Master!$B$2:$B$11,Product_Master!$F$2:$F$11)</f>
        <v>22.5</v>
      </c>
      <c r="P255">
        <f t="shared" si="6"/>
        <v>1057.5</v>
      </c>
      <c r="Q255" s="5">
        <f t="shared" si="7"/>
        <v>0.33122227756825351</v>
      </c>
    </row>
    <row r="256" spans="1:17" x14ac:dyDescent="0.3">
      <c r="A256" t="s">
        <v>421</v>
      </c>
      <c r="B256" t="s">
        <v>56</v>
      </c>
      <c r="C256" t="s">
        <v>218</v>
      </c>
      <c r="D256" t="s">
        <v>123</v>
      </c>
      <c r="E256" t="s">
        <v>69</v>
      </c>
      <c r="F256" t="s">
        <v>59</v>
      </c>
      <c r="G256">
        <v>19</v>
      </c>
      <c r="H256" s="4">
        <v>27.47</v>
      </c>
      <c r="I256">
        <v>521.92999999999995</v>
      </c>
      <c r="J256">
        <v>31.29</v>
      </c>
      <c r="K256">
        <v>196.14</v>
      </c>
      <c r="L256" t="s">
        <v>30</v>
      </c>
      <c r="M256" t="s">
        <v>37</v>
      </c>
      <c r="N256" t="s">
        <v>32</v>
      </c>
      <c r="O256">
        <f>_xlfn.XLOOKUP(E256,Product_Master!$B$2:$B$11,Product_Master!$F$2:$F$11)</f>
        <v>15.5</v>
      </c>
      <c r="P256">
        <f t="shared" si="6"/>
        <v>294.5</v>
      </c>
      <c r="Q256" s="5">
        <f t="shared" si="7"/>
        <v>0.37579752074032918</v>
      </c>
    </row>
    <row r="257" spans="1:17" x14ac:dyDescent="0.3">
      <c r="A257" t="s">
        <v>422</v>
      </c>
      <c r="B257" t="s">
        <v>132</v>
      </c>
      <c r="C257" t="s">
        <v>153</v>
      </c>
      <c r="D257" t="s">
        <v>147</v>
      </c>
      <c r="E257" t="s">
        <v>54</v>
      </c>
      <c r="F257" t="s">
        <v>43</v>
      </c>
      <c r="G257">
        <v>13</v>
      </c>
      <c r="H257" s="4">
        <v>29.26</v>
      </c>
      <c r="I257">
        <v>380.38</v>
      </c>
      <c r="J257">
        <v>9.4700000000000006</v>
      </c>
      <c r="K257">
        <v>110.91</v>
      </c>
      <c r="L257" t="s">
        <v>30</v>
      </c>
      <c r="M257" t="s">
        <v>37</v>
      </c>
      <c r="N257" t="s">
        <v>148</v>
      </c>
      <c r="O257">
        <f>_xlfn.XLOOKUP(E257,Product_Master!$B$2:$B$11,Product_Master!$F$2:$F$11)</f>
        <v>20</v>
      </c>
      <c r="P257">
        <f t="shared" si="6"/>
        <v>260</v>
      </c>
      <c r="Q257" s="5">
        <f t="shared" si="7"/>
        <v>0.29157684420842317</v>
      </c>
    </row>
    <row r="258" spans="1:17" x14ac:dyDescent="0.3">
      <c r="A258" t="s">
        <v>423</v>
      </c>
      <c r="B258" t="s">
        <v>17</v>
      </c>
      <c r="C258" t="s">
        <v>325</v>
      </c>
      <c r="D258" t="s">
        <v>170</v>
      </c>
      <c r="E258" t="s">
        <v>29</v>
      </c>
      <c r="F258" t="s">
        <v>21</v>
      </c>
      <c r="G258">
        <v>4</v>
      </c>
      <c r="H258" s="4">
        <v>26.17</v>
      </c>
      <c r="I258">
        <v>104.68</v>
      </c>
      <c r="J258">
        <v>6.33</v>
      </c>
      <c r="K258">
        <v>26.35</v>
      </c>
      <c r="L258" t="s">
        <v>22</v>
      </c>
      <c r="M258" t="s">
        <v>31</v>
      </c>
      <c r="N258" t="s">
        <v>32</v>
      </c>
      <c r="O258">
        <f>_xlfn.XLOOKUP(E258,Product_Master!$B$2:$B$11,Product_Master!$F$2:$F$11)</f>
        <v>18</v>
      </c>
      <c r="P258">
        <f t="shared" si="6"/>
        <v>72</v>
      </c>
      <c r="Q258" s="5">
        <f t="shared" si="7"/>
        <v>0.25171952617500953</v>
      </c>
    </row>
    <row r="259" spans="1:17" x14ac:dyDescent="0.3">
      <c r="A259" t="s">
        <v>424</v>
      </c>
      <c r="B259" t="s">
        <v>157</v>
      </c>
      <c r="C259" t="s">
        <v>185</v>
      </c>
      <c r="D259" t="s">
        <v>170</v>
      </c>
      <c r="E259" t="s">
        <v>58</v>
      </c>
      <c r="F259" t="s">
        <v>59</v>
      </c>
      <c r="G259">
        <v>43</v>
      </c>
      <c r="H259" s="4">
        <v>37.32</v>
      </c>
      <c r="I259">
        <v>1604.76</v>
      </c>
      <c r="J259">
        <v>61.01</v>
      </c>
      <c r="K259">
        <v>576.25</v>
      </c>
      <c r="L259" t="s">
        <v>22</v>
      </c>
      <c r="M259" t="s">
        <v>31</v>
      </c>
      <c r="N259" t="s">
        <v>32</v>
      </c>
      <c r="O259">
        <f>_xlfn.XLOOKUP(E259,Product_Master!$B$2:$B$11,Product_Master!$F$2:$F$11)</f>
        <v>22.5</v>
      </c>
      <c r="P259">
        <f t="shared" ref="P259:P322" si="8">G259*O259</f>
        <v>967.5</v>
      </c>
      <c r="Q259" s="5">
        <f t="shared" ref="Q259:Q322" si="9">K259/I259</f>
        <v>0.35908796330915527</v>
      </c>
    </row>
    <row r="260" spans="1:17" x14ac:dyDescent="0.3">
      <c r="A260" t="s">
        <v>425</v>
      </c>
      <c r="B260" t="s">
        <v>68</v>
      </c>
      <c r="C260" t="s">
        <v>312</v>
      </c>
      <c r="D260" t="s">
        <v>101</v>
      </c>
      <c r="E260" t="s">
        <v>29</v>
      </c>
      <c r="F260" t="s">
        <v>21</v>
      </c>
      <c r="G260">
        <v>27</v>
      </c>
      <c r="H260" s="4">
        <v>23.05</v>
      </c>
      <c r="I260">
        <v>622.35</v>
      </c>
      <c r="J260">
        <v>20.440000000000001</v>
      </c>
      <c r="K260">
        <v>115.91</v>
      </c>
      <c r="L260" t="s">
        <v>44</v>
      </c>
      <c r="M260" t="s">
        <v>31</v>
      </c>
      <c r="N260" t="s">
        <v>102</v>
      </c>
      <c r="O260">
        <f>_xlfn.XLOOKUP(E260,Product_Master!$B$2:$B$11,Product_Master!$F$2:$F$11)</f>
        <v>18</v>
      </c>
      <c r="P260">
        <f t="shared" si="8"/>
        <v>486</v>
      </c>
      <c r="Q260" s="5">
        <f t="shared" si="9"/>
        <v>0.18624568169036715</v>
      </c>
    </row>
    <row r="261" spans="1:17" x14ac:dyDescent="0.3">
      <c r="A261" t="s">
        <v>426</v>
      </c>
      <c r="B261" t="s">
        <v>39</v>
      </c>
      <c r="C261" t="s">
        <v>427</v>
      </c>
      <c r="D261" t="s">
        <v>91</v>
      </c>
      <c r="E261" t="s">
        <v>73</v>
      </c>
      <c r="F261" t="s">
        <v>43</v>
      </c>
      <c r="G261">
        <v>38</v>
      </c>
      <c r="H261" s="4">
        <v>19.02</v>
      </c>
      <c r="I261">
        <v>722.76</v>
      </c>
      <c r="J261">
        <v>14.63</v>
      </c>
      <c r="K261">
        <v>223.63</v>
      </c>
      <c r="L261" t="s">
        <v>30</v>
      </c>
      <c r="M261" t="s">
        <v>31</v>
      </c>
      <c r="N261" t="s">
        <v>66</v>
      </c>
      <c r="O261">
        <f>_xlfn.XLOOKUP(E261,Product_Master!$B$2:$B$11,Product_Master!$F$2:$F$11)</f>
        <v>12.75</v>
      </c>
      <c r="P261">
        <f t="shared" si="8"/>
        <v>484.5</v>
      </c>
      <c r="Q261" s="5">
        <f t="shared" si="9"/>
        <v>0.30941114616193482</v>
      </c>
    </row>
    <row r="262" spans="1:17" x14ac:dyDescent="0.3">
      <c r="A262" t="s">
        <v>428</v>
      </c>
      <c r="B262" t="s">
        <v>56</v>
      </c>
      <c r="C262" t="s">
        <v>429</v>
      </c>
      <c r="D262" t="s">
        <v>48</v>
      </c>
      <c r="E262" t="s">
        <v>49</v>
      </c>
      <c r="F262" t="s">
        <v>50</v>
      </c>
      <c r="G262">
        <v>10</v>
      </c>
      <c r="H262" s="4">
        <v>70.94</v>
      </c>
      <c r="I262">
        <v>709.4</v>
      </c>
      <c r="J262">
        <v>18.64</v>
      </c>
      <c r="K262">
        <v>290.76</v>
      </c>
      <c r="L262" t="s">
        <v>30</v>
      </c>
      <c r="M262" t="s">
        <v>37</v>
      </c>
      <c r="N262" t="s">
        <v>24</v>
      </c>
      <c r="O262">
        <f>_xlfn.XLOOKUP(E262,Product_Master!$B$2:$B$11,Product_Master!$F$2:$F$11)</f>
        <v>40</v>
      </c>
      <c r="P262">
        <f t="shared" si="8"/>
        <v>400</v>
      </c>
      <c r="Q262" s="5">
        <f t="shared" si="9"/>
        <v>0.40986749365661124</v>
      </c>
    </row>
    <row r="263" spans="1:17" x14ac:dyDescent="0.3">
      <c r="A263" t="s">
        <v>430</v>
      </c>
      <c r="B263" t="s">
        <v>157</v>
      </c>
      <c r="C263" t="s">
        <v>297</v>
      </c>
      <c r="D263" t="s">
        <v>81</v>
      </c>
      <c r="E263" t="s">
        <v>64</v>
      </c>
      <c r="F263" t="s">
        <v>65</v>
      </c>
      <c r="G263">
        <v>17</v>
      </c>
      <c r="H263" s="4">
        <v>38.28</v>
      </c>
      <c r="I263">
        <v>650.76</v>
      </c>
      <c r="J263">
        <v>38.43</v>
      </c>
      <c r="K263">
        <v>187.33</v>
      </c>
      <c r="L263" t="s">
        <v>30</v>
      </c>
      <c r="M263" t="s">
        <v>37</v>
      </c>
      <c r="N263" t="s">
        <v>66</v>
      </c>
      <c r="O263">
        <f>_xlfn.XLOOKUP(E263,Product_Master!$B$2:$B$11,Product_Master!$F$2:$F$11)</f>
        <v>25</v>
      </c>
      <c r="P263">
        <f t="shared" si="8"/>
        <v>425</v>
      </c>
      <c r="Q263" s="5">
        <f t="shared" si="9"/>
        <v>0.28786342123056119</v>
      </c>
    </row>
    <row r="264" spans="1:17" x14ac:dyDescent="0.3">
      <c r="A264" t="s">
        <v>431</v>
      </c>
      <c r="B264" t="s">
        <v>68</v>
      </c>
      <c r="C264" t="s">
        <v>383</v>
      </c>
      <c r="D264" t="s">
        <v>19</v>
      </c>
      <c r="E264" t="s">
        <v>42</v>
      </c>
      <c r="F264" t="s">
        <v>43</v>
      </c>
      <c r="G264">
        <v>10</v>
      </c>
      <c r="H264" s="4">
        <v>38.799999999999997</v>
      </c>
      <c r="I264">
        <v>388</v>
      </c>
      <c r="J264">
        <v>16.39</v>
      </c>
      <c r="K264">
        <v>51.61</v>
      </c>
      <c r="L264" t="s">
        <v>44</v>
      </c>
      <c r="M264" t="s">
        <v>31</v>
      </c>
      <c r="N264" t="s">
        <v>24</v>
      </c>
      <c r="O264">
        <f>_xlfn.XLOOKUP(E264,Product_Master!$B$2:$B$11,Product_Master!$F$2:$F$11)</f>
        <v>32</v>
      </c>
      <c r="P264">
        <f t="shared" si="8"/>
        <v>320</v>
      </c>
      <c r="Q264" s="5">
        <f t="shared" si="9"/>
        <v>0.13301546391752578</v>
      </c>
    </row>
    <row r="265" spans="1:17" x14ac:dyDescent="0.3">
      <c r="A265" t="s">
        <v>432</v>
      </c>
      <c r="B265" t="s">
        <v>107</v>
      </c>
      <c r="C265" t="s">
        <v>185</v>
      </c>
      <c r="D265" t="s">
        <v>63</v>
      </c>
      <c r="E265" t="s">
        <v>64</v>
      </c>
      <c r="F265" t="s">
        <v>65</v>
      </c>
      <c r="G265">
        <v>3</v>
      </c>
      <c r="H265" s="4">
        <v>33.840000000000003</v>
      </c>
      <c r="I265">
        <v>101.52</v>
      </c>
      <c r="J265">
        <v>2.3199999999999998</v>
      </c>
      <c r="K265">
        <v>24.2</v>
      </c>
      <c r="L265" t="s">
        <v>44</v>
      </c>
      <c r="M265" t="s">
        <v>37</v>
      </c>
      <c r="N265" t="s">
        <v>66</v>
      </c>
      <c r="O265">
        <f>_xlfn.XLOOKUP(E265,Product_Master!$B$2:$B$11,Product_Master!$F$2:$F$11)</f>
        <v>25</v>
      </c>
      <c r="P265">
        <f t="shared" si="8"/>
        <v>75</v>
      </c>
      <c r="Q265" s="5">
        <f t="shared" si="9"/>
        <v>0.23837667454688732</v>
      </c>
    </row>
    <row r="266" spans="1:17" x14ac:dyDescent="0.3">
      <c r="A266" t="s">
        <v>433</v>
      </c>
      <c r="B266" t="s">
        <v>86</v>
      </c>
      <c r="C266" t="s">
        <v>218</v>
      </c>
      <c r="D266" t="s">
        <v>170</v>
      </c>
      <c r="E266" t="s">
        <v>69</v>
      </c>
      <c r="F266" t="s">
        <v>59</v>
      </c>
      <c r="G266">
        <v>20</v>
      </c>
      <c r="H266" s="4">
        <v>21.12</v>
      </c>
      <c r="I266">
        <v>422.4</v>
      </c>
      <c r="J266">
        <v>22.08</v>
      </c>
      <c r="K266">
        <v>90.32</v>
      </c>
      <c r="L266" t="s">
        <v>30</v>
      </c>
      <c r="M266" t="s">
        <v>37</v>
      </c>
      <c r="N266" t="s">
        <v>32</v>
      </c>
      <c r="O266">
        <f>_xlfn.XLOOKUP(E266,Product_Master!$B$2:$B$11,Product_Master!$F$2:$F$11)</f>
        <v>15.5</v>
      </c>
      <c r="P266">
        <f t="shared" si="8"/>
        <v>310</v>
      </c>
      <c r="Q266" s="5">
        <f t="shared" si="9"/>
        <v>0.21382575757575756</v>
      </c>
    </row>
    <row r="267" spans="1:17" x14ac:dyDescent="0.3">
      <c r="A267" t="s">
        <v>434</v>
      </c>
      <c r="B267" t="s">
        <v>78</v>
      </c>
      <c r="C267" t="s">
        <v>295</v>
      </c>
      <c r="D267" t="s">
        <v>101</v>
      </c>
      <c r="E267" t="s">
        <v>20</v>
      </c>
      <c r="F267" t="s">
        <v>21</v>
      </c>
      <c r="G267">
        <v>1</v>
      </c>
      <c r="H267" s="4">
        <v>58.15</v>
      </c>
      <c r="I267">
        <v>58.15</v>
      </c>
      <c r="J267">
        <v>4.2</v>
      </c>
      <c r="K267">
        <v>18.95</v>
      </c>
      <c r="L267" t="s">
        <v>30</v>
      </c>
      <c r="M267" t="s">
        <v>31</v>
      </c>
      <c r="N267" t="s">
        <v>102</v>
      </c>
      <c r="O267">
        <f>_xlfn.XLOOKUP(E267,Product_Master!$B$2:$B$11,Product_Master!$F$2:$F$11)</f>
        <v>35</v>
      </c>
      <c r="P267">
        <f t="shared" si="8"/>
        <v>35</v>
      </c>
      <c r="Q267" s="5">
        <f t="shared" si="9"/>
        <v>0.32588134135855545</v>
      </c>
    </row>
    <row r="268" spans="1:17" x14ac:dyDescent="0.3">
      <c r="A268" t="s">
        <v>435</v>
      </c>
      <c r="B268" t="s">
        <v>86</v>
      </c>
      <c r="C268" t="s">
        <v>114</v>
      </c>
      <c r="D268" t="s">
        <v>41</v>
      </c>
      <c r="E268" t="s">
        <v>42</v>
      </c>
      <c r="F268" t="s">
        <v>43</v>
      </c>
      <c r="G268">
        <v>32</v>
      </c>
      <c r="H268" s="4">
        <v>45.96</v>
      </c>
      <c r="I268">
        <v>1470.72</v>
      </c>
      <c r="J268">
        <v>82.77</v>
      </c>
      <c r="K268">
        <v>363.95</v>
      </c>
      <c r="L268" t="s">
        <v>22</v>
      </c>
      <c r="M268" t="s">
        <v>31</v>
      </c>
      <c r="N268" t="s">
        <v>45</v>
      </c>
      <c r="O268">
        <f>_xlfn.XLOOKUP(E268,Product_Master!$B$2:$B$11,Product_Master!$F$2:$F$11)</f>
        <v>32</v>
      </c>
      <c r="P268">
        <f t="shared" si="8"/>
        <v>1024</v>
      </c>
      <c r="Q268" s="5">
        <f t="shared" si="9"/>
        <v>0.24746382724107918</v>
      </c>
    </row>
    <row r="269" spans="1:17" x14ac:dyDescent="0.3">
      <c r="A269" t="s">
        <v>436</v>
      </c>
      <c r="B269" t="s">
        <v>75</v>
      </c>
      <c r="C269" t="s">
        <v>316</v>
      </c>
      <c r="D269" t="s">
        <v>36</v>
      </c>
      <c r="E269" t="s">
        <v>73</v>
      </c>
      <c r="F269" t="s">
        <v>43</v>
      </c>
      <c r="G269">
        <v>37</v>
      </c>
      <c r="H269" s="4">
        <v>16.82</v>
      </c>
      <c r="I269">
        <v>622.34</v>
      </c>
      <c r="J269">
        <v>32.9</v>
      </c>
      <c r="K269">
        <v>117.69</v>
      </c>
      <c r="L269" t="s">
        <v>44</v>
      </c>
      <c r="M269" t="s">
        <v>31</v>
      </c>
      <c r="N269" t="s">
        <v>32</v>
      </c>
      <c r="O269">
        <f>_xlfn.XLOOKUP(E269,Product_Master!$B$2:$B$11,Product_Master!$F$2:$F$11)</f>
        <v>12.75</v>
      </c>
      <c r="P269">
        <f t="shared" si="8"/>
        <v>471.75</v>
      </c>
      <c r="Q269" s="5">
        <f t="shared" si="9"/>
        <v>0.18910884725391264</v>
      </c>
    </row>
    <row r="270" spans="1:17" x14ac:dyDescent="0.3">
      <c r="A270" t="s">
        <v>437</v>
      </c>
      <c r="B270" t="s">
        <v>34</v>
      </c>
      <c r="C270" t="s">
        <v>57</v>
      </c>
      <c r="D270" t="s">
        <v>36</v>
      </c>
      <c r="E270" t="s">
        <v>42</v>
      </c>
      <c r="F270" t="s">
        <v>43</v>
      </c>
      <c r="G270">
        <v>18</v>
      </c>
      <c r="H270" s="4">
        <v>54.62</v>
      </c>
      <c r="I270">
        <v>983.16</v>
      </c>
      <c r="J270">
        <v>22.61</v>
      </c>
      <c r="K270">
        <v>384.55</v>
      </c>
      <c r="L270" t="s">
        <v>44</v>
      </c>
      <c r="M270" t="s">
        <v>31</v>
      </c>
      <c r="N270" t="s">
        <v>32</v>
      </c>
      <c r="O270">
        <f>_xlfn.XLOOKUP(E270,Product_Master!$B$2:$B$11,Product_Master!$F$2:$F$11)</f>
        <v>32</v>
      </c>
      <c r="P270">
        <f t="shared" si="8"/>
        <v>576</v>
      </c>
      <c r="Q270" s="5">
        <f t="shared" si="9"/>
        <v>0.39113674274787424</v>
      </c>
    </row>
    <row r="271" spans="1:17" x14ac:dyDescent="0.3">
      <c r="A271" t="s">
        <v>438</v>
      </c>
      <c r="B271" t="s">
        <v>104</v>
      </c>
      <c r="C271" t="s">
        <v>122</v>
      </c>
      <c r="D271" t="s">
        <v>36</v>
      </c>
      <c r="E271" t="s">
        <v>73</v>
      </c>
      <c r="F271" t="s">
        <v>43</v>
      </c>
      <c r="G271">
        <v>30</v>
      </c>
      <c r="H271" s="4">
        <v>22.83</v>
      </c>
      <c r="I271">
        <v>684.9</v>
      </c>
      <c r="J271">
        <v>32.31</v>
      </c>
      <c r="K271">
        <v>270.08999999999997</v>
      </c>
      <c r="L271" t="s">
        <v>22</v>
      </c>
      <c r="M271" t="s">
        <v>31</v>
      </c>
      <c r="N271" t="s">
        <v>32</v>
      </c>
      <c r="O271">
        <f>_xlfn.XLOOKUP(E271,Product_Master!$B$2:$B$11,Product_Master!$F$2:$F$11)</f>
        <v>12.75</v>
      </c>
      <c r="P271">
        <f t="shared" si="8"/>
        <v>382.5</v>
      </c>
      <c r="Q271" s="5">
        <f t="shared" si="9"/>
        <v>0.3943495400788436</v>
      </c>
    </row>
    <row r="272" spans="1:17" x14ac:dyDescent="0.3">
      <c r="A272" t="s">
        <v>439</v>
      </c>
      <c r="B272" t="s">
        <v>78</v>
      </c>
      <c r="C272" t="s">
        <v>440</v>
      </c>
      <c r="D272" t="s">
        <v>123</v>
      </c>
      <c r="E272" t="s">
        <v>42</v>
      </c>
      <c r="F272" t="s">
        <v>43</v>
      </c>
      <c r="G272">
        <v>39</v>
      </c>
      <c r="H272" s="4">
        <v>47.02</v>
      </c>
      <c r="I272">
        <v>1833.78</v>
      </c>
      <c r="J272">
        <v>50.01</v>
      </c>
      <c r="K272">
        <v>535.77</v>
      </c>
      <c r="L272" t="s">
        <v>44</v>
      </c>
      <c r="M272" t="s">
        <v>31</v>
      </c>
      <c r="N272" t="s">
        <v>32</v>
      </c>
      <c r="O272">
        <f>_xlfn.XLOOKUP(E272,Product_Master!$B$2:$B$11,Product_Master!$F$2:$F$11)</f>
        <v>32</v>
      </c>
      <c r="P272">
        <f t="shared" si="8"/>
        <v>1248</v>
      </c>
      <c r="Q272" s="5">
        <f t="shared" si="9"/>
        <v>0.29216699931289469</v>
      </c>
    </row>
    <row r="273" spans="1:17" x14ac:dyDescent="0.3">
      <c r="A273" t="s">
        <v>441</v>
      </c>
      <c r="B273" t="s">
        <v>75</v>
      </c>
      <c r="C273" t="s">
        <v>105</v>
      </c>
      <c r="D273" t="s">
        <v>19</v>
      </c>
      <c r="E273" t="s">
        <v>98</v>
      </c>
      <c r="F273" t="s">
        <v>59</v>
      </c>
      <c r="G273">
        <v>22</v>
      </c>
      <c r="H273" s="4">
        <v>43.32</v>
      </c>
      <c r="I273">
        <v>953.04</v>
      </c>
      <c r="J273">
        <v>71.3</v>
      </c>
      <c r="K273">
        <v>265.74</v>
      </c>
      <c r="L273" t="s">
        <v>30</v>
      </c>
      <c r="M273" t="s">
        <v>37</v>
      </c>
      <c r="N273" t="s">
        <v>24</v>
      </c>
      <c r="O273">
        <f>_xlfn.XLOOKUP(E273,Product_Master!$B$2:$B$11,Product_Master!$F$2:$F$11)</f>
        <v>28</v>
      </c>
      <c r="P273">
        <f t="shared" si="8"/>
        <v>616</v>
      </c>
      <c r="Q273" s="5">
        <f t="shared" si="9"/>
        <v>0.27883404683958701</v>
      </c>
    </row>
    <row r="274" spans="1:17" x14ac:dyDescent="0.3">
      <c r="A274" t="s">
        <v>442</v>
      </c>
      <c r="B274" t="s">
        <v>39</v>
      </c>
      <c r="C274" t="s">
        <v>319</v>
      </c>
      <c r="D274" t="s">
        <v>91</v>
      </c>
      <c r="E274" t="s">
        <v>58</v>
      </c>
      <c r="F274" t="s">
        <v>59</v>
      </c>
      <c r="G274">
        <v>6</v>
      </c>
      <c r="H274" s="4">
        <v>31.69</v>
      </c>
      <c r="I274">
        <v>190.14</v>
      </c>
      <c r="J274">
        <v>12.52</v>
      </c>
      <c r="K274">
        <v>42.62</v>
      </c>
      <c r="L274" t="s">
        <v>44</v>
      </c>
      <c r="M274" t="s">
        <v>31</v>
      </c>
      <c r="N274" t="s">
        <v>66</v>
      </c>
      <c r="O274">
        <f>_xlfn.XLOOKUP(E274,Product_Master!$B$2:$B$11,Product_Master!$F$2:$F$11)</f>
        <v>22.5</v>
      </c>
      <c r="P274">
        <f t="shared" si="8"/>
        <v>135</v>
      </c>
      <c r="Q274" s="5">
        <f t="shared" si="9"/>
        <v>0.22415062585463344</v>
      </c>
    </row>
    <row r="275" spans="1:17" x14ac:dyDescent="0.3">
      <c r="A275" t="s">
        <v>443</v>
      </c>
      <c r="B275" t="s">
        <v>56</v>
      </c>
      <c r="C275" t="s">
        <v>218</v>
      </c>
      <c r="D275" t="s">
        <v>170</v>
      </c>
      <c r="E275" t="s">
        <v>20</v>
      </c>
      <c r="F275" t="s">
        <v>21</v>
      </c>
      <c r="G275">
        <v>19</v>
      </c>
      <c r="H275" s="4">
        <v>53.28</v>
      </c>
      <c r="I275">
        <v>1012.32</v>
      </c>
      <c r="J275">
        <v>27.24</v>
      </c>
      <c r="K275">
        <v>320.08</v>
      </c>
      <c r="L275" t="s">
        <v>44</v>
      </c>
      <c r="M275" t="s">
        <v>31</v>
      </c>
      <c r="N275" t="s">
        <v>32</v>
      </c>
      <c r="O275">
        <f>_xlfn.XLOOKUP(E275,Product_Master!$B$2:$B$11,Product_Master!$F$2:$F$11)</f>
        <v>35</v>
      </c>
      <c r="P275">
        <f t="shared" si="8"/>
        <v>665</v>
      </c>
      <c r="Q275" s="5">
        <f t="shared" si="9"/>
        <v>0.31618460565828982</v>
      </c>
    </row>
    <row r="276" spans="1:17" x14ac:dyDescent="0.3">
      <c r="A276" t="s">
        <v>444</v>
      </c>
      <c r="B276" t="s">
        <v>107</v>
      </c>
      <c r="C276" t="s">
        <v>173</v>
      </c>
      <c r="D276" t="s">
        <v>19</v>
      </c>
      <c r="E276" t="s">
        <v>20</v>
      </c>
      <c r="F276" t="s">
        <v>21</v>
      </c>
      <c r="G276">
        <v>47</v>
      </c>
      <c r="H276" s="4">
        <v>47.53</v>
      </c>
      <c r="I276">
        <v>2233.91</v>
      </c>
      <c r="J276">
        <v>128.91</v>
      </c>
      <c r="K276">
        <v>460</v>
      </c>
      <c r="L276" t="s">
        <v>30</v>
      </c>
      <c r="M276" t="s">
        <v>23</v>
      </c>
      <c r="N276" t="s">
        <v>24</v>
      </c>
      <c r="O276">
        <f>_xlfn.XLOOKUP(E276,Product_Master!$B$2:$B$11,Product_Master!$F$2:$F$11)</f>
        <v>35</v>
      </c>
      <c r="P276">
        <f t="shared" si="8"/>
        <v>1645</v>
      </c>
      <c r="Q276" s="5">
        <f t="shared" si="9"/>
        <v>0.20591697964555422</v>
      </c>
    </row>
    <row r="277" spans="1:17" x14ac:dyDescent="0.3">
      <c r="A277" t="s">
        <v>445</v>
      </c>
      <c r="B277" t="s">
        <v>132</v>
      </c>
      <c r="C277" t="s">
        <v>305</v>
      </c>
      <c r="D277" t="s">
        <v>81</v>
      </c>
      <c r="E277" t="s">
        <v>54</v>
      </c>
      <c r="F277" t="s">
        <v>43</v>
      </c>
      <c r="G277">
        <v>12</v>
      </c>
      <c r="H277" s="4">
        <v>24.02</v>
      </c>
      <c r="I277">
        <v>288.24</v>
      </c>
      <c r="J277">
        <v>9.8000000000000007</v>
      </c>
      <c r="K277">
        <v>38.44</v>
      </c>
      <c r="L277" t="s">
        <v>22</v>
      </c>
      <c r="M277" t="s">
        <v>37</v>
      </c>
      <c r="N277" t="s">
        <v>66</v>
      </c>
      <c r="O277">
        <f>_xlfn.XLOOKUP(E277,Product_Master!$B$2:$B$11,Product_Master!$F$2:$F$11)</f>
        <v>20</v>
      </c>
      <c r="P277">
        <f t="shared" si="8"/>
        <v>240</v>
      </c>
      <c r="Q277" s="5">
        <f t="shared" si="9"/>
        <v>0.133361087982237</v>
      </c>
    </row>
    <row r="278" spans="1:17" x14ac:dyDescent="0.3">
      <c r="A278" t="s">
        <v>446</v>
      </c>
      <c r="B278" t="s">
        <v>17</v>
      </c>
      <c r="C278" t="s">
        <v>383</v>
      </c>
      <c r="D278" t="s">
        <v>81</v>
      </c>
      <c r="E278" t="s">
        <v>73</v>
      </c>
      <c r="F278" t="s">
        <v>43</v>
      </c>
      <c r="G278">
        <v>32</v>
      </c>
      <c r="H278" s="4">
        <v>15.64</v>
      </c>
      <c r="I278">
        <v>500.48</v>
      </c>
      <c r="J278">
        <v>24.69</v>
      </c>
      <c r="K278">
        <v>67.790000000000006</v>
      </c>
      <c r="L278" t="s">
        <v>44</v>
      </c>
      <c r="M278" t="s">
        <v>23</v>
      </c>
      <c r="N278" t="s">
        <v>66</v>
      </c>
      <c r="O278">
        <f>_xlfn.XLOOKUP(E278,Product_Master!$B$2:$B$11,Product_Master!$F$2:$F$11)</f>
        <v>12.75</v>
      </c>
      <c r="P278">
        <f t="shared" si="8"/>
        <v>408</v>
      </c>
      <c r="Q278" s="5">
        <f t="shared" si="9"/>
        <v>0.13544996803069054</v>
      </c>
    </row>
    <row r="279" spans="1:17" x14ac:dyDescent="0.3">
      <c r="A279" t="s">
        <v>447</v>
      </c>
      <c r="B279" t="s">
        <v>39</v>
      </c>
      <c r="C279" t="s">
        <v>259</v>
      </c>
      <c r="D279" t="s">
        <v>147</v>
      </c>
      <c r="E279" t="s">
        <v>42</v>
      </c>
      <c r="F279" t="s">
        <v>43</v>
      </c>
      <c r="G279">
        <v>22</v>
      </c>
      <c r="H279" s="4">
        <v>42.54</v>
      </c>
      <c r="I279">
        <v>935.88</v>
      </c>
      <c r="J279">
        <v>45.37</v>
      </c>
      <c r="K279">
        <v>186.51</v>
      </c>
      <c r="L279" t="s">
        <v>22</v>
      </c>
      <c r="M279" t="s">
        <v>37</v>
      </c>
      <c r="N279" t="s">
        <v>148</v>
      </c>
      <c r="O279">
        <f>_xlfn.XLOOKUP(E279,Product_Master!$B$2:$B$11,Product_Master!$F$2:$F$11)</f>
        <v>32</v>
      </c>
      <c r="P279">
        <f t="shared" si="8"/>
        <v>704</v>
      </c>
      <c r="Q279" s="5">
        <f t="shared" si="9"/>
        <v>0.1992883703038851</v>
      </c>
    </row>
    <row r="280" spans="1:17" x14ac:dyDescent="0.3">
      <c r="A280" t="s">
        <v>448</v>
      </c>
      <c r="B280" t="s">
        <v>56</v>
      </c>
      <c r="C280" t="s">
        <v>334</v>
      </c>
      <c r="D280" t="s">
        <v>196</v>
      </c>
      <c r="E280" t="s">
        <v>64</v>
      </c>
      <c r="F280" t="s">
        <v>65</v>
      </c>
      <c r="G280">
        <v>37</v>
      </c>
      <c r="H280" s="4">
        <v>43.55</v>
      </c>
      <c r="I280">
        <v>1611.35</v>
      </c>
      <c r="J280">
        <v>67.78</v>
      </c>
      <c r="K280">
        <v>618.57000000000005</v>
      </c>
      <c r="L280" t="s">
        <v>30</v>
      </c>
      <c r="M280" t="s">
        <v>31</v>
      </c>
      <c r="N280" t="s">
        <v>66</v>
      </c>
      <c r="O280">
        <f>_xlfn.XLOOKUP(E280,Product_Master!$B$2:$B$11,Product_Master!$F$2:$F$11)</f>
        <v>25</v>
      </c>
      <c r="P280">
        <f t="shared" si="8"/>
        <v>925</v>
      </c>
      <c r="Q280" s="5">
        <f t="shared" si="9"/>
        <v>0.38388307940546751</v>
      </c>
    </row>
    <row r="281" spans="1:17" x14ac:dyDescent="0.3">
      <c r="A281" t="s">
        <v>449</v>
      </c>
      <c r="B281" t="s">
        <v>71</v>
      </c>
      <c r="C281" t="s">
        <v>130</v>
      </c>
      <c r="D281" t="s">
        <v>41</v>
      </c>
      <c r="E281" t="s">
        <v>69</v>
      </c>
      <c r="F281" t="s">
        <v>59</v>
      </c>
      <c r="G281">
        <v>42</v>
      </c>
      <c r="H281" s="4">
        <v>20.260000000000002</v>
      </c>
      <c r="I281">
        <v>850.92</v>
      </c>
      <c r="J281">
        <v>22.43</v>
      </c>
      <c r="K281">
        <v>177.49</v>
      </c>
      <c r="L281" t="s">
        <v>44</v>
      </c>
      <c r="M281" t="s">
        <v>37</v>
      </c>
      <c r="N281" t="s">
        <v>45</v>
      </c>
      <c r="O281">
        <f>_xlfn.XLOOKUP(E281,Product_Master!$B$2:$B$11,Product_Master!$F$2:$F$11)</f>
        <v>15.5</v>
      </c>
      <c r="P281">
        <f t="shared" si="8"/>
        <v>651</v>
      </c>
      <c r="Q281" s="5">
        <f t="shared" si="9"/>
        <v>0.20858600103417479</v>
      </c>
    </row>
    <row r="282" spans="1:17" x14ac:dyDescent="0.3">
      <c r="A282" t="s">
        <v>450</v>
      </c>
      <c r="B282" t="s">
        <v>61</v>
      </c>
      <c r="C282" t="s">
        <v>79</v>
      </c>
      <c r="D282" t="s">
        <v>48</v>
      </c>
      <c r="E282" t="s">
        <v>29</v>
      </c>
      <c r="F282" t="s">
        <v>21</v>
      </c>
      <c r="G282">
        <v>43</v>
      </c>
      <c r="H282" s="4">
        <v>24.08</v>
      </c>
      <c r="I282">
        <v>1035.44</v>
      </c>
      <c r="J282">
        <v>35.07</v>
      </c>
      <c r="K282">
        <v>226.37</v>
      </c>
      <c r="L282" t="s">
        <v>30</v>
      </c>
      <c r="M282" t="s">
        <v>37</v>
      </c>
      <c r="N282" t="s">
        <v>24</v>
      </c>
      <c r="O282">
        <f>_xlfn.XLOOKUP(E282,Product_Master!$B$2:$B$11,Product_Master!$F$2:$F$11)</f>
        <v>18</v>
      </c>
      <c r="P282">
        <f t="shared" si="8"/>
        <v>774</v>
      </c>
      <c r="Q282" s="5">
        <f t="shared" si="9"/>
        <v>0.21862203507687553</v>
      </c>
    </row>
    <row r="283" spans="1:17" x14ac:dyDescent="0.3">
      <c r="A283" t="s">
        <v>451</v>
      </c>
      <c r="B283" t="s">
        <v>56</v>
      </c>
      <c r="C283" t="s">
        <v>316</v>
      </c>
      <c r="D283" t="s">
        <v>170</v>
      </c>
      <c r="E283" t="s">
        <v>49</v>
      </c>
      <c r="F283" t="s">
        <v>50</v>
      </c>
      <c r="G283">
        <v>14</v>
      </c>
      <c r="H283" s="4">
        <v>69.010000000000005</v>
      </c>
      <c r="I283">
        <v>966.14</v>
      </c>
      <c r="J283">
        <v>32.67</v>
      </c>
      <c r="K283">
        <v>373.47</v>
      </c>
      <c r="L283" t="s">
        <v>30</v>
      </c>
      <c r="M283" t="s">
        <v>23</v>
      </c>
      <c r="N283" t="s">
        <v>32</v>
      </c>
      <c r="O283">
        <f>_xlfn.XLOOKUP(E283,Product_Master!$B$2:$B$11,Product_Master!$F$2:$F$11)</f>
        <v>40</v>
      </c>
      <c r="P283">
        <f t="shared" si="8"/>
        <v>560</v>
      </c>
      <c r="Q283" s="5">
        <f t="shared" si="9"/>
        <v>0.38655888380565967</v>
      </c>
    </row>
    <row r="284" spans="1:17" x14ac:dyDescent="0.3">
      <c r="A284" t="s">
        <v>452</v>
      </c>
      <c r="B284" t="s">
        <v>107</v>
      </c>
      <c r="C284" t="s">
        <v>135</v>
      </c>
      <c r="D284" t="s">
        <v>147</v>
      </c>
      <c r="E284" t="s">
        <v>54</v>
      </c>
      <c r="F284" t="s">
        <v>43</v>
      </c>
      <c r="G284">
        <v>29</v>
      </c>
      <c r="H284" s="4">
        <v>28.29</v>
      </c>
      <c r="I284">
        <v>820.41</v>
      </c>
      <c r="J284">
        <v>63.15</v>
      </c>
      <c r="K284">
        <v>177.26</v>
      </c>
      <c r="L284" t="s">
        <v>44</v>
      </c>
      <c r="M284" t="s">
        <v>37</v>
      </c>
      <c r="N284" t="s">
        <v>148</v>
      </c>
      <c r="O284">
        <f>_xlfn.XLOOKUP(E284,Product_Master!$B$2:$B$11,Product_Master!$F$2:$F$11)</f>
        <v>20</v>
      </c>
      <c r="P284">
        <f t="shared" si="8"/>
        <v>580</v>
      </c>
      <c r="Q284" s="5">
        <f t="shared" si="9"/>
        <v>0.21606270035713851</v>
      </c>
    </row>
    <row r="285" spans="1:17" x14ac:dyDescent="0.3">
      <c r="A285" t="s">
        <v>453</v>
      </c>
      <c r="B285" t="s">
        <v>157</v>
      </c>
      <c r="C285" t="s">
        <v>240</v>
      </c>
      <c r="D285" t="s">
        <v>53</v>
      </c>
      <c r="E285" t="s">
        <v>69</v>
      </c>
      <c r="F285" t="s">
        <v>59</v>
      </c>
      <c r="G285">
        <v>29</v>
      </c>
      <c r="H285" s="4">
        <v>26.51</v>
      </c>
      <c r="I285">
        <v>768.79</v>
      </c>
      <c r="J285">
        <v>15.66</v>
      </c>
      <c r="K285">
        <v>303.63</v>
      </c>
      <c r="L285" t="s">
        <v>30</v>
      </c>
      <c r="M285" t="s">
        <v>23</v>
      </c>
      <c r="N285" t="s">
        <v>24</v>
      </c>
      <c r="O285">
        <f>_xlfn.XLOOKUP(E285,Product_Master!$B$2:$B$11,Product_Master!$F$2:$F$11)</f>
        <v>15.5</v>
      </c>
      <c r="P285">
        <f t="shared" si="8"/>
        <v>449.5</v>
      </c>
      <c r="Q285" s="5">
        <f t="shared" si="9"/>
        <v>0.3949453036589966</v>
      </c>
    </row>
    <row r="286" spans="1:17" x14ac:dyDescent="0.3">
      <c r="A286" t="s">
        <v>454</v>
      </c>
      <c r="B286" t="s">
        <v>78</v>
      </c>
      <c r="C286" t="s">
        <v>139</v>
      </c>
      <c r="D286" t="s">
        <v>48</v>
      </c>
      <c r="E286" t="s">
        <v>20</v>
      </c>
      <c r="F286" t="s">
        <v>21</v>
      </c>
      <c r="G286">
        <v>11</v>
      </c>
      <c r="H286" s="4">
        <v>58.07</v>
      </c>
      <c r="I286">
        <v>638.77</v>
      </c>
      <c r="J286">
        <v>43.89</v>
      </c>
      <c r="K286">
        <v>209.88</v>
      </c>
      <c r="L286" t="s">
        <v>22</v>
      </c>
      <c r="M286" t="s">
        <v>31</v>
      </c>
      <c r="N286" t="s">
        <v>24</v>
      </c>
      <c r="O286">
        <f>_xlfn.XLOOKUP(E286,Product_Master!$B$2:$B$11,Product_Master!$F$2:$F$11)</f>
        <v>35</v>
      </c>
      <c r="P286">
        <f t="shared" si="8"/>
        <v>385</v>
      </c>
      <c r="Q286" s="5">
        <f t="shared" si="9"/>
        <v>0.32856896848630962</v>
      </c>
    </row>
    <row r="287" spans="1:17" x14ac:dyDescent="0.3">
      <c r="A287" t="s">
        <v>455</v>
      </c>
      <c r="B287" t="s">
        <v>61</v>
      </c>
      <c r="C287" t="s">
        <v>127</v>
      </c>
      <c r="D287" t="s">
        <v>28</v>
      </c>
      <c r="E287" t="s">
        <v>42</v>
      </c>
      <c r="F287" t="s">
        <v>43</v>
      </c>
      <c r="G287">
        <v>3</v>
      </c>
      <c r="H287" s="4">
        <v>48.76</v>
      </c>
      <c r="I287">
        <v>146.28</v>
      </c>
      <c r="J287">
        <v>10.45</v>
      </c>
      <c r="K287">
        <v>39.83</v>
      </c>
      <c r="L287" t="s">
        <v>44</v>
      </c>
      <c r="M287" t="s">
        <v>31</v>
      </c>
      <c r="N287" t="s">
        <v>32</v>
      </c>
      <c r="O287">
        <f>_xlfn.XLOOKUP(E287,Product_Master!$B$2:$B$11,Product_Master!$F$2:$F$11)</f>
        <v>32</v>
      </c>
      <c r="P287">
        <f t="shared" si="8"/>
        <v>96</v>
      </c>
      <c r="Q287" s="5">
        <f t="shared" si="9"/>
        <v>0.2722860267979218</v>
      </c>
    </row>
    <row r="288" spans="1:17" x14ac:dyDescent="0.3">
      <c r="A288" t="s">
        <v>456</v>
      </c>
      <c r="B288" t="s">
        <v>107</v>
      </c>
      <c r="C288" t="s">
        <v>180</v>
      </c>
      <c r="D288" t="s">
        <v>196</v>
      </c>
      <c r="E288" t="s">
        <v>54</v>
      </c>
      <c r="F288" t="s">
        <v>43</v>
      </c>
      <c r="G288">
        <v>49</v>
      </c>
      <c r="H288" s="4">
        <v>30.46</v>
      </c>
      <c r="I288">
        <v>1492.54</v>
      </c>
      <c r="J288">
        <v>51.82</v>
      </c>
      <c r="K288">
        <v>460.72</v>
      </c>
      <c r="L288" t="s">
        <v>30</v>
      </c>
      <c r="M288" t="s">
        <v>23</v>
      </c>
      <c r="N288" t="s">
        <v>66</v>
      </c>
      <c r="O288">
        <f>_xlfn.XLOOKUP(E288,Product_Master!$B$2:$B$11,Product_Master!$F$2:$F$11)</f>
        <v>20</v>
      </c>
      <c r="P288">
        <f t="shared" si="8"/>
        <v>980</v>
      </c>
      <c r="Q288" s="5">
        <f t="shared" si="9"/>
        <v>0.30868184437268015</v>
      </c>
    </row>
    <row r="289" spans="1:17" x14ac:dyDescent="0.3">
      <c r="A289" t="s">
        <v>457</v>
      </c>
      <c r="B289" t="s">
        <v>68</v>
      </c>
      <c r="C289" t="s">
        <v>35</v>
      </c>
      <c r="D289" t="s">
        <v>63</v>
      </c>
      <c r="E289" t="s">
        <v>98</v>
      </c>
      <c r="F289" t="s">
        <v>59</v>
      </c>
      <c r="G289">
        <v>25</v>
      </c>
      <c r="H289" s="4">
        <v>35.21</v>
      </c>
      <c r="I289">
        <v>880.25</v>
      </c>
      <c r="J289">
        <v>39.799999999999997</v>
      </c>
      <c r="K289">
        <v>140.44999999999999</v>
      </c>
      <c r="L289" t="s">
        <v>44</v>
      </c>
      <c r="M289" t="s">
        <v>31</v>
      </c>
      <c r="N289" t="s">
        <v>66</v>
      </c>
      <c r="O289">
        <f>_xlfn.XLOOKUP(E289,Product_Master!$B$2:$B$11,Product_Master!$F$2:$F$11)</f>
        <v>28</v>
      </c>
      <c r="P289">
        <f t="shared" si="8"/>
        <v>700</v>
      </c>
      <c r="Q289" s="5">
        <f t="shared" si="9"/>
        <v>0.1595569440499858</v>
      </c>
    </row>
    <row r="290" spans="1:17" x14ac:dyDescent="0.3">
      <c r="A290" t="s">
        <v>458</v>
      </c>
      <c r="B290" t="s">
        <v>157</v>
      </c>
      <c r="C290" t="s">
        <v>240</v>
      </c>
      <c r="D290" t="s">
        <v>19</v>
      </c>
      <c r="E290" t="s">
        <v>98</v>
      </c>
      <c r="F290" t="s">
        <v>59</v>
      </c>
      <c r="G290">
        <v>37</v>
      </c>
      <c r="H290" s="4">
        <v>44.82</v>
      </c>
      <c r="I290">
        <v>1658.34</v>
      </c>
      <c r="J290">
        <v>65.75</v>
      </c>
      <c r="K290">
        <v>556.59</v>
      </c>
      <c r="L290" t="s">
        <v>30</v>
      </c>
      <c r="M290" t="s">
        <v>31</v>
      </c>
      <c r="N290" t="s">
        <v>24</v>
      </c>
      <c r="O290">
        <f>_xlfn.XLOOKUP(E290,Product_Master!$B$2:$B$11,Product_Master!$F$2:$F$11)</f>
        <v>28</v>
      </c>
      <c r="P290">
        <f t="shared" si="8"/>
        <v>1036</v>
      </c>
      <c r="Q290" s="5">
        <f t="shared" si="9"/>
        <v>0.33563081153442603</v>
      </c>
    </row>
    <row r="291" spans="1:17" x14ac:dyDescent="0.3">
      <c r="A291" t="s">
        <v>459</v>
      </c>
      <c r="B291" t="s">
        <v>56</v>
      </c>
      <c r="C291" t="s">
        <v>325</v>
      </c>
      <c r="D291" t="s">
        <v>170</v>
      </c>
      <c r="E291" t="s">
        <v>69</v>
      </c>
      <c r="F291" t="s">
        <v>59</v>
      </c>
      <c r="G291">
        <v>11</v>
      </c>
      <c r="H291" s="4">
        <v>18.75</v>
      </c>
      <c r="I291">
        <v>206.25</v>
      </c>
      <c r="J291">
        <v>11.67</v>
      </c>
      <c r="K291">
        <v>24.08</v>
      </c>
      <c r="L291" t="s">
        <v>22</v>
      </c>
      <c r="M291" t="s">
        <v>23</v>
      </c>
      <c r="N291" t="s">
        <v>32</v>
      </c>
      <c r="O291">
        <f>_xlfn.XLOOKUP(E291,Product_Master!$B$2:$B$11,Product_Master!$F$2:$F$11)</f>
        <v>15.5</v>
      </c>
      <c r="P291">
        <f t="shared" si="8"/>
        <v>170.5</v>
      </c>
      <c r="Q291" s="5">
        <f t="shared" si="9"/>
        <v>0.11675151515151515</v>
      </c>
    </row>
    <row r="292" spans="1:17" x14ac:dyDescent="0.3">
      <c r="A292" t="s">
        <v>460</v>
      </c>
      <c r="B292" t="s">
        <v>83</v>
      </c>
      <c r="C292" t="s">
        <v>240</v>
      </c>
      <c r="D292" t="s">
        <v>41</v>
      </c>
      <c r="E292" t="s">
        <v>54</v>
      </c>
      <c r="F292" t="s">
        <v>43</v>
      </c>
      <c r="G292">
        <v>37</v>
      </c>
      <c r="H292" s="4">
        <v>31.66</v>
      </c>
      <c r="I292">
        <v>1171.42</v>
      </c>
      <c r="J292">
        <v>58.95</v>
      </c>
      <c r="K292">
        <v>372.47</v>
      </c>
      <c r="L292" t="s">
        <v>44</v>
      </c>
      <c r="M292" t="s">
        <v>23</v>
      </c>
      <c r="N292" t="s">
        <v>45</v>
      </c>
      <c r="O292">
        <f>_xlfn.XLOOKUP(E292,Product_Master!$B$2:$B$11,Product_Master!$F$2:$F$11)</f>
        <v>20</v>
      </c>
      <c r="P292">
        <f t="shared" si="8"/>
        <v>740</v>
      </c>
      <c r="Q292" s="5">
        <f t="shared" si="9"/>
        <v>0.31796452169162215</v>
      </c>
    </row>
    <row r="293" spans="1:17" x14ac:dyDescent="0.3">
      <c r="A293" t="s">
        <v>461</v>
      </c>
      <c r="B293" t="s">
        <v>95</v>
      </c>
      <c r="C293" t="s">
        <v>319</v>
      </c>
      <c r="D293" t="s">
        <v>28</v>
      </c>
      <c r="E293" t="s">
        <v>54</v>
      </c>
      <c r="F293" t="s">
        <v>43</v>
      </c>
      <c r="G293">
        <v>17</v>
      </c>
      <c r="H293" s="4">
        <v>32.74</v>
      </c>
      <c r="I293">
        <v>556.58000000000004</v>
      </c>
      <c r="J293">
        <v>14.68</v>
      </c>
      <c r="K293">
        <v>201.9</v>
      </c>
      <c r="L293" t="s">
        <v>30</v>
      </c>
      <c r="M293" t="s">
        <v>31</v>
      </c>
      <c r="N293" t="s">
        <v>32</v>
      </c>
      <c r="O293">
        <f>_xlfn.XLOOKUP(E293,Product_Master!$B$2:$B$11,Product_Master!$F$2:$F$11)</f>
        <v>20</v>
      </c>
      <c r="P293">
        <f t="shared" si="8"/>
        <v>340</v>
      </c>
      <c r="Q293" s="5">
        <f t="shared" si="9"/>
        <v>0.36275108699558012</v>
      </c>
    </row>
    <row r="294" spans="1:17" x14ac:dyDescent="0.3">
      <c r="A294" t="s">
        <v>462</v>
      </c>
      <c r="B294" t="s">
        <v>34</v>
      </c>
      <c r="C294" t="s">
        <v>79</v>
      </c>
      <c r="D294" t="s">
        <v>19</v>
      </c>
      <c r="E294" t="s">
        <v>98</v>
      </c>
      <c r="F294" t="s">
        <v>59</v>
      </c>
      <c r="G294">
        <v>7</v>
      </c>
      <c r="H294" s="4">
        <v>46.64</v>
      </c>
      <c r="I294">
        <v>326.48</v>
      </c>
      <c r="J294">
        <v>25.19</v>
      </c>
      <c r="K294">
        <v>105.29</v>
      </c>
      <c r="L294" t="s">
        <v>30</v>
      </c>
      <c r="M294" t="s">
        <v>37</v>
      </c>
      <c r="N294" t="s">
        <v>24</v>
      </c>
      <c r="O294">
        <f>_xlfn.XLOOKUP(E294,Product_Master!$B$2:$B$11,Product_Master!$F$2:$F$11)</f>
        <v>28</v>
      </c>
      <c r="P294">
        <f t="shared" si="8"/>
        <v>196</v>
      </c>
      <c r="Q294" s="5">
        <f t="shared" si="9"/>
        <v>0.32250061259495222</v>
      </c>
    </row>
    <row r="295" spans="1:17" x14ac:dyDescent="0.3">
      <c r="A295" t="s">
        <v>463</v>
      </c>
      <c r="B295" t="s">
        <v>26</v>
      </c>
      <c r="C295" t="s">
        <v>153</v>
      </c>
      <c r="D295" t="s">
        <v>88</v>
      </c>
      <c r="E295" t="s">
        <v>29</v>
      </c>
      <c r="F295" t="s">
        <v>21</v>
      </c>
      <c r="G295">
        <v>16</v>
      </c>
      <c r="H295" s="4">
        <v>24.77</v>
      </c>
      <c r="I295">
        <v>396.32</v>
      </c>
      <c r="J295">
        <v>15.6</v>
      </c>
      <c r="K295">
        <v>92.72</v>
      </c>
      <c r="L295" t="s">
        <v>22</v>
      </c>
      <c r="M295" t="s">
        <v>37</v>
      </c>
      <c r="N295" t="s">
        <v>66</v>
      </c>
      <c r="O295">
        <f>_xlfn.XLOOKUP(E295,Product_Master!$B$2:$B$11,Product_Master!$F$2:$F$11)</f>
        <v>18</v>
      </c>
      <c r="P295">
        <f t="shared" si="8"/>
        <v>288</v>
      </c>
      <c r="Q295" s="5">
        <f t="shared" si="9"/>
        <v>0.23395236172789666</v>
      </c>
    </row>
    <row r="296" spans="1:17" x14ac:dyDescent="0.3">
      <c r="A296" t="s">
        <v>464</v>
      </c>
      <c r="B296" t="s">
        <v>75</v>
      </c>
      <c r="C296" t="s">
        <v>72</v>
      </c>
      <c r="D296" t="s">
        <v>53</v>
      </c>
      <c r="E296" t="s">
        <v>49</v>
      </c>
      <c r="F296" t="s">
        <v>50</v>
      </c>
      <c r="G296">
        <v>39</v>
      </c>
      <c r="H296" s="4">
        <v>56.5</v>
      </c>
      <c r="I296">
        <v>2203.5</v>
      </c>
      <c r="J296">
        <v>141.58000000000001</v>
      </c>
      <c r="K296">
        <v>501.92</v>
      </c>
      <c r="L296" t="s">
        <v>44</v>
      </c>
      <c r="M296" t="s">
        <v>23</v>
      </c>
      <c r="N296" t="s">
        <v>24</v>
      </c>
      <c r="O296">
        <f>_xlfn.XLOOKUP(E296,Product_Master!$B$2:$B$11,Product_Master!$F$2:$F$11)</f>
        <v>40</v>
      </c>
      <c r="P296">
        <f t="shared" si="8"/>
        <v>1560</v>
      </c>
      <c r="Q296" s="5">
        <f t="shared" si="9"/>
        <v>0.2277830723848423</v>
      </c>
    </row>
    <row r="297" spans="1:17" x14ac:dyDescent="0.3">
      <c r="A297" t="s">
        <v>465</v>
      </c>
      <c r="B297" t="s">
        <v>68</v>
      </c>
      <c r="C297" t="s">
        <v>383</v>
      </c>
      <c r="D297" t="s">
        <v>196</v>
      </c>
      <c r="E297" t="s">
        <v>69</v>
      </c>
      <c r="F297" t="s">
        <v>59</v>
      </c>
      <c r="G297">
        <v>1</v>
      </c>
      <c r="H297" s="4">
        <v>24.01</v>
      </c>
      <c r="I297">
        <v>24.01</v>
      </c>
      <c r="J297">
        <v>1.58</v>
      </c>
      <c r="K297">
        <v>6.93</v>
      </c>
      <c r="L297" t="s">
        <v>22</v>
      </c>
      <c r="M297" t="s">
        <v>23</v>
      </c>
      <c r="N297" t="s">
        <v>66</v>
      </c>
      <c r="O297">
        <f>_xlfn.XLOOKUP(E297,Product_Master!$B$2:$B$11,Product_Master!$F$2:$F$11)</f>
        <v>15.5</v>
      </c>
      <c r="P297">
        <f t="shared" si="8"/>
        <v>15.5</v>
      </c>
      <c r="Q297" s="5">
        <f t="shared" si="9"/>
        <v>0.28862973760932942</v>
      </c>
    </row>
    <row r="298" spans="1:17" x14ac:dyDescent="0.3">
      <c r="A298" t="s">
        <v>466</v>
      </c>
      <c r="B298" t="s">
        <v>78</v>
      </c>
      <c r="C298" t="s">
        <v>117</v>
      </c>
      <c r="D298" t="s">
        <v>196</v>
      </c>
      <c r="E298" t="s">
        <v>64</v>
      </c>
      <c r="F298" t="s">
        <v>65</v>
      </c>
      <c r="G298">
        <v>45</v>
      </c>
      <c r="H298" s="4">
        <v>35.99</v>
      </c>
      <c r="I298">
        <v>1619.55</v>
      </c>
      <c r="J298">
        <v>49.95</v>
      </c>
      <c r="K298">
        <v>444.6</v>
      </c>
      <c r="L298" t="s">
        <v>22</v>
      </c>
      <c r="M298" t="s">
        <v>31</v>
      </c>
      <c r="N298" t="s">
        <v>66</v>
      </c>
      <c r="O298">
        <f>_xlfn.XLOOKUP(E298,Product_Master!$B$2:$B$11,Product_Master!$F$2:$F$11)</f>
        <v>25</v>
      </c>
      <c r="P298">
        <f t="shared" si="8"/>
        <v>1125</v>
      </c>
      <c r="Q298" s="5">
        <f t="shared" si="9"/>
        <v>0.27452070019449848</v>
      </c>
    </row>
    <row r="299" spans="1:17" x14ac:dyDescent="0.3">
      <c r="A299" t="s">
        <v>467</v>
      </c>
      <c r="B299" t="s">
        <v>26</v>
      </c>
      <c r="C299" t="s">
        <v>185</v>
      </c>
      <c r="D299" t="s">
        <v>81</v>
      </c>
      <c r="E299" t="s">
        <v>54</v>
      </c>
      <c r="F299" t="s">
        <v>43</v>
      </c>
      <c r="G299">
        <v>5</v>
      </c>
      <c r="H299" s="4">
        <v>25.45</v>
      </c>
      <c r="I299">
        <v>127.25</v>
      </c>
      <c r="J299">
        <v>7.22</v>
      </c>
      <c r="K299">
        <v>20.03</v>
      </c>
      <c r="L299" t="s">
        <v>44</v>
      </c>
      <c r="M299" t="s">
        <v>37</v>
      </c>
      <c r="N299" t="s">
        <v>66</v>
      </c>
      <c r="O299">
        <f>_xlfn.XLOOKUP(E299,Product_Master!$B$2:$B$11,Product_Master!$F$2:$F$11)</f>
        <v>20</v>
      </c>
      <c r="P299">
        <f t="shared" si="8"/>
        <v>100</v>
      </c>
      <c r="Q299" s="5">
        <f t="shared" si="9"/>
        <v>0.15740667976424363</v>
      </c>
    </row>
    <row r="300" spans="1:17" x14ac:dyDescent="0.3">
      <c r="A300" t="s">
        <v>468</v>
      </c>
      <c r="B300" t="s">
        <v>17</v>
      </c>
      <c r="C300" t="s">
        <v>117</v>
      </c>
      <c r="D300" t="s">
        <v>91</v>
      </c>
      <c r="E300" t="s">
        <v>69</v>
      </c>
      <c r="F300" t="s">
        <v>59</v>
      </c>
      <c r="G300">
        <v>24</v>
      </c>
      <c r="H300" s="4">
        <v>19.53</v>
      </c>
      <c r="I300">
        <v>468.72</v>
      </c>
      <c r="J300">
        <v>14.12</v>
      </c>
      <c r="K300">
        <v>82.6</v>
      </c>
      <c r="L300" t="s">
        <v>22</v>
      </c>
      <c r="M300" t="s">
        <v>23</v>
      </c>
      <c r="N300" t="s">
        <v>66</v>
      </c>
      <c r="O300">
        <f>_xlfn.XLOOKUP(E300,Product_Master!$B$2:$B$11,Product_Master!$F$2:$F$11)</f>
        <v>15.5</v>
      </c>
      <c r="P300">
        <f t="shared" si="8"/>
        <v>372</v>
      </c>
      <c r="Q300" s="5">
        <f t="shared" si="9"/>
        <v>0.17622461170848266</v>
      </c>
    </row>
    <row r="301" spans="1:17" x14ac:dyDescent="0.3">
      <c r="A301" t="s">
        <v>469</v>
      </c>
      <c r="B301" t="s">
        <v>17</v>
      </c>
      <c r="C301" t="s">
        <v>27</v>
      </c>
      <c r="D301" t="s">
        <v>48</v>
      </c>
      <c r="E301" t="s">
        <v>73</v>
      </c>
      <c r="F301" t="s">
        <v>43</v>
      </c>
      <c r="G301">
        <v>28</v>
      </c>
      <c r="H301" s="4">
        <v>22.33</v>
      </c>
      <c r="I301">
        <v>625.24</v>
      </c>
      <c r="J301">
        <v>44.24</v>
      </c>
      <c r="K301">
        <v>224</v>
      </c>
      <c r="L301" t="s">
        <v>22</v>
      </c>
      <c r="M301" t="s">
        <v>23</v>
      </c>
      <c r="N301" t="s">
        <v>24</v>
      </c>
      <c r="O301">
        <f>_xlfn.XLOOKUP(E301,Product_Master!$B$2:$B$11,Product_Master!$F$2:$F$11)</f>
        <v>12.75</v>
      </c>
      <c r="P301">
        <f t="shared" si="8"/>
        <v>357</v>
      </c>
      <c r="Q301" s="5">
        <f t="shared" si="9"/>
        <v>0.35826242722794449</v>
      </c>
    </row>
    <row r="302" spans="1:17" x14ac:dyDescent="0.3">
      <c r="A302" t="s">
        <v>470</v>
      </c>
      <c r="B302" t="s">
        <v>132</v>
      </c>
      <c r="C302" t="s">
        <v>108</v>
      </c>
      <c r="D302" t="s">
        <v>36</v>
      </c>
      <c r="E302" t="s">
        <v>42</v>
      </c>
      <c r="F302" t="s">
        <v>43</v>
      </c>
      <c r="G302">
        <v>49</v>
      </c>
      <c r="H302" s="4">
        <v>39.31</v>
      </c>
      <c r="I302">
        <v>1926.19</v>
      </c>
      <c r="J302">
        <v>69.7</v>
      </c>
      <c r="K302">
        <v>288.49</v>
      </c>
      <c r="L302" t="s">
        <v>30</v>
      </c>
      <c r="M302" t="s">
        <v>23</v>
      </c>
      <c r="N302" t="s">
        <v>32</v>
      </c>
      <c r="O302">
        <f>_xlfn.XLOOKUP(E302,Product_Master!$B$2:$B$11,Product_Master!$F$2:$F$11)</f>
        <v>32</v>
      </c>
      <c r="P302">
        <f t="shared" si="8"/>
        <v>1568</v>
      </c>
      <c r="Q302" s="5">
        <f t="shared" si="9"/>
        <v>0.14977234852221225</v>
      </c>
    </row>
    <row r="303" spans="1:17" x14ac:dyDescent="0.3">
      <c r="A303" t="s">
        <v>471</v>
      </c>
      <c r="B303" t="s">
        <v>95</v>
      </c>
      <c r="C303" t="s">
        <v>202</v>
      </c>
      <c r="D303" t="s">
        <v>196</v>
      </c>
      <c r="E303" t="s">
        <v>69</v>
      </c>
      <c r="F303" t="s">
        <v>59</v>
      </c>
      <c r="G303">
        <v>6</v>
      </c>
      <c r="H303" s="4">
        <v>22.95</v>
      </c>
      <c r="I303">
        <v>137.69999999999999</v>
      </c>
      <c r="J303">
        <v>5.63</v>
      </c>
      <c r="K303">
        <v>39.07</v>
      </c>
      <c r="L303" t="s">
        <v>30</v>
      </c>
      <c r="M303" t="s">
        <v>31</v>
      </c>
      <c r="N303" t="s">
        <v>66</v>
      </c>
      <c r="O303">
        <f>_xlfn.XLOOKUP(E303,Product_Master!$B$2:$B$11,Product_Master!$F$2:$F$11)</f>
        <v>15.5</v>
      </c>
      <c r="P303">
        <f t="shared" si="8"/>
        <v>93</v>
      </c>
      <c r="Q303" s="5">
        <f t="shared" si="9"/>
        <v>0.28373275236020334</v>
      </c>
    </row>
    <row r="304" spans="1:17" x14ac:dyDescent="0.3">
      <c r="A304" t="s">
        <v>472</v>
      </c>
      <c r="B304" t="s">
        <v>56</v>
      </c>
      <c r="C304" t="s">
        <v>173</v>
      </c>
      <c r="D304" t="s">
        <v>53</v>
      </c>
      <c r="E304" t="s">
        <v>54</v>
      </c>
      <c r="F304" t="s">
        <v>43</v>
      </c>
      <c r="G304">
        <v>35</v>
      </c>
      <c r="H304" s="4">
        <v>27.72</v>
      </c>
      <c r="I304">
        <v>970.2</v>
      </c>
      <c r="J304">
        <v>61.74</v>
      </c>
      <c r="K304">
        <v>208.46</v>
      </c>
      <c r="L304" t="s">
        <v>22</v>
      </c>
      <c r="M304" t="s">
        <v>37</v>
      </c>
      <c r="N304" t="s">
        <v>24</v>
      </c>
      <c r="O304">
        <f>_xlfn.XLOOKUP(E304,Product_Master!$B$2:$B$11,Product_Master!$F$2:$F$11)</f>
        <v>20</v>
      </c>
      <c r="P304">
        <f t="shared" si="8"/>
        <v>700</v>
      </c>
      <c r="Q304" s="5">
        <f t="shared" si="9"/>
        <v>0.21486291486291487</v>
      </c>
    </row>
    <row r="305" spans="1:17" x14ac:dyDescent="0.3">
      <c r="A305" t="s">
        <v>473</v>
      </c>
      <c r="B305" t="s">
        <v>39</v>
      </c>
      <c r="C305" t="s">
        <v>164</v>
      </c>
      <c r="D305" t="s">
        <v>63</v>
      </c>
      <c r="E305" t="s">
        <v>49</v>
      </c>
      <c r="F305" t="s">
        <v>50</v>
      </c>
      <c r="G305">
        <v>34</v>
      </c>
      <c r="H305" s="4">
        <v>64.75</v>
      </c>
      <c r="I305">
        <v>2201.5</v>
      </c>
      <c r="J305">
        <v>68.05</v>
      </c>
      <c r="K305">
        <v>773.45</v>
      </c>
      <c r="L305" t="s">
        <v>44</v>
      </c>
      <c r="M305" t="s">
        <v>37</v>
      </c>
      <c r="N305" t="s">
        <v>66</v>
      </c>
      <c r="O305">
        <f>_xlfn.XLOOKUP(E305,Product_Master!$B$2:$B$11,Product_Master!$F$2:$F$11)</f>
        <v>40</v>
      </c>
      <c r="P305">
        <f t="shared" si="8"/>
        <v>1360</v>
      </c>
      <c r="Q305" s="5">
        <f t="shared" si="9"/>
        <v>0.35132863956393368</v>
      </c>
    </row>
    <row r="306" spans="1:17" x14ac:dyDescent="0.3">
      <c r="A306" t="s">
        <v>474</v>
      </c>
      <c r="B306" t="s">
        <v>75</v>
      </c>
      <c r="C306" t="s">
        <v>137</v>
      </c>
      <c r="D306" t="s">
        <v>147</v>
      </c>
      <c r="E306" t="s">
        <v>54</v>
      </c>
      <c r="F306" t="s">
        <v>43</v>
      </c>
      <c r="G306">
        <v>49</v>
      </c>
      <c r="H306" s="4">
        <v>26.02</v>
      </c>
      <c r="I306">
        <v>1274.98</v>
      </c>
      <c r="J306">
        <v>61.84</v>
      </c>
      <c r="K306">
        <v>233.14</v>
      </c>
      <c r="L306" t="s">
        <v>44</v>
      </c>
      <c r="M306" t="s">
        <v>31</v>
      </c>
      <c r="N306" t="s">
        <v>148</v>
      </c>
      <c r="O306">
        <f>_xlfn.XLOOKUP(E306,Product_Master!$B$2:$B$11,Product_Master!$F$2:$F$11)</f>
        <v>20</v>
      </c>
      <c r="P306">
        <f t="shared" si="8"/>
        <v>980</v>
      </c>
      <c r="Q306" s="5">
        <f t="shared" si="9"/>
        <v>0.18285777031796577</v>
      </c>
    </row>
    <row r="307" spans="1:17" x14ac:dyDescent="0.3">
      <c r="A307" t="s">
        <v>475</v>
      </c>
      <c r="B307" t="s">
        <v>78</v>
      </c>
      <c r="C307" t="s">
        <v>265</v>
      </c>
      <c r="D307" t="s">
        <v>41</v>
      </c>
      <c r="E307" t="s">
        <v>64</v>
      </c>
      <c r="F307" t="s">
        <v>65</v>
      </c>
      <c r="G307">
        <v>1</v>
      </c>
      <c r="H307" s="4">
        <v>32.979999999999997</v>
      </c>
      <c r="I307">
        <v>32.979999999999997</v>
      </c>
      <c r="J307">
        <v>1.89</v>
      </c>
      <c r="K307">
        <v>6.09</v>
      </c>
      <c r="L307" t="s">
        <v>44</v>
      </c>
      <c r="M307" t="s">
        <v>31</v>
      </c>
      <c r="N307" t="s">
        <v>45</v>
      </c>
      <c r="O307">
        <f>_xlfn.XLOOKUP(E307,Product_Master!$B$2:$B$11,Product_Master!$F$2:$F$11)</f>
        <v>25</v>
      </c>
      <c r="P307">
        <f t="shared" si="8"/>
        <v>25</v>
      </c>
      <c r="Q307" s="5">
        <f t="shared" si="9"/>
        <v>0.18465736810187994</v>
      </c>
    </row>
    <row r="308" spans="1:17" x14ac:dyDescent="0.3">
      <c r="A308" t="s">
        <v>476</v>
      </c>
      <c r="B308" t="s">
        <v>132</v>
      </c>
      <c r="C308" t="s">
        <v>334</v>
      </c>
      <c r="D308" t="s">
        <v>41</v>
      </c>
      <c r="E308" t="s">
        <v>73</v>
      </c>
      <c r="F308" t="s">
        <v>43</v>
      </c>
      <c r="G308">
        <v>18</v>
      </c>
      <c r="H308" s="4">
        <v>20.09</v>
      </c>
      <c r="I308">
        <v>361.62</v>
      </c>
      <c r="J308">
        <v>8.3800000000000008</v>
      </c>
      <c r="K308">
        <v>123.74</v>
      </c>
      <c r="L308" t="s">
        <v>22</v>
      </c>
      <c r="M308" t="s">
        <v>23</v>
      </c>
      <c r="N308" t="s">
        <v>45</v>
      </c>
      <c r="O308">
        <f>_xlfn.XLOOKUP(E308,Product_Master!$B$2:$B$11,Product_Master!$F$2:$F$11)</f>
        <v>12.75</v>
      </c>
      <c r="P308">
        <f t="shared" si="8"/>
        <v>229.5</v>
      </c>
      <c r="Q308" s="5">
        <f t="shared" si="9"/>
        <v>0.34218240141585088</v>
      </c>
    </row>
    <row r="309" spans="1:17" x14ac:dyDescent="0.3">
      <c r="A309" t="s">
        <v>477</v>
      </c>
      <c r="B309" t="s">
        <v>56</v>
      </c>
      <c r="C309" t="s">
        <v>185</v>
      </c>
      <c r="D309" t="s">
        <v>196</v>
      </c>
      <c r="E309" t="s">
        <v>20</v>
      </c>
      <c r="F309" t="s">
        <v>21</v>
      </c>
      <c r="G309">
        <v>39</v>
      </c>
      <c r="H309" s="4">
        <v>49.59</v>
      </c>
      <c r="I309">
        <v>1934.01</v>
      </c>
      <c r="J309">
        <v>62.79</v>
      </c>
      <c r="K309">
        <v>506.22</v>
      </c>
      <c r="L309" t="s">
        <v>30</v>
      </c>
      <c r="M309" t="s">
        <v>31</v>
      </c>
      <c r="N309" t="s">
        <v>66</v>
      </c>
      <c r="O309">
        <f>_xlfn.XLOOKUP(E309,Product_Master!$B$2:$B$11,Product_Master!$F$2:$F$11)</f>
        <v>35</v>
      </c>
      <c r="P309">
        <f t="shared" si="8"/>
        <v>1365</v>
      </c>
      <c r="Q309" s="5">
        <f t="shared" si="9"/>
        <v>0.26174631982254487</v>
      </c>
    </row>
    <row r="310" spans="1:17" x14ac:dyDescent="0.3">
      <c r="A310" t="s">
        <v>478</v>
      </c>
      <c r="B310" t="s">
        <v>75</v>
      </c>
      <c r="C310" t="s">
        <v>310</v>
      </c>
      <c r="D310" t="s">
        <v>48</v>
      </c>
      <c r="E310" t="s">
        <v>42</v>
      </c>
      <c r="F310" t="s">
        <v>43</v>
      </c>
      <c r="G310">
        <v>6</v>
      </c>
      <c r="H310" s="4">
        <v>41.99</v>
      </c>
      <c r="I310">
        <v>251.94</v>
      </c>
      <c r="J310">
        <v>10.76</v>
      </c>
      <c r="K310">
        <v>49.18</v>
      </c>
      <c r="L310" t="s">
        <v>22</v>
      </c>
      <c r="M310" t="s">
        <v>23</v>
      </c>
      <c r="N310" t="s">
        <v>24</v>
      </c>
      <c r="O310">
        <f>_xlfn.XLOOKUP(E310,Product_Master!$B$2:$B$11,Product_Master!$F$2:$F$11)</f>
        <v>32</v>
      </c>
      <c r="P310">
        <f t="shared" si="8"/>
        <v>192</v>
      </c>
      <c r="Q310" s="5">
        <f t="shared" si="9"/>
        <v>0.19520520758910853</v>
      </c>
    </row>
    <row r="311" spans="1:17" x14ac:dyDescent="0.3">
      <c r="A311" t="s">
        <v>479</v>
      </c>
      <c r="B311" t="s">
        <v>107</v>
      </c>
      <c r="C311" t="s">
        <v>79</v>
      </c>
      <c r="D311" t="s">
        <v>81</v>
      </c>
      <c r="E311" t="s">
        <v>20</v>
      </c>
      <c r="F311" t="s">
        <v>21</v>
      </c>
      <c r="G311">
        <v>12</v>
      </c>
      <c r="H311" s="4">
        <v>47.4</v>
      </c>
      <c r="I311">
        <v>568.79999999999995</v>
      </c>
      <c r="J311">
        <v>23.31</v>
      </c>
      <c r="K311">
        <v>125.49</v>
      </c>
      <c r="L311" t="s">
        <v>44</v>
      </c>
      <c r="M311" t="s">
        <v>23</v>
      </c>
      <c r="N311" t="s">
        <v>66</v>
      </c>
      <c r="O311">
        <f>_xlfn.XLOOKUP(E311,Product_Master!$B$2:$B$11,Product_Master!$F$2:$F$11)</f>
        <v>35</v>
      </c>
      <c r="P311">
        <f t="shared" si="8"/>
        <v>420</v>
      </c>
      <c r="Q311" s="5">
        <f t="shared" si="9"/>
        <v>0.22062236286919831</v>
      </c>
    </row>
    <row r="312" spans="1:17" x14ac:dyDescent="0.3">
      <c r="A312" t="s">
        <v>480</v>
      </c>
      <c r="B312" t="s">
        <v>95</v>
      </c>
      <c r="C312" t="s">
        <v>268</v>
      </c>
      <c r="D312" t="s">
        <v>88</v>
      </c>
      <c r="E312" t="s">
        <v>54</v>
      </c>
      <c r="F312" t="s">
        <v>43</v>
      </c>
      <c r="G312">
        <v>50</v>
      </c>
      <c r="H312" s="4">
        <v>34.28</v>
      </c>
      <c r="I312">
        <v>1714</v>
      </c>
      <c r="J312">
        <v>59.84</v>
      </c>
      <c r="K312">
        <v>654.16</v>
      </c>
      <c r="L312" t="s">
        <v>22</v>
      </c>
      <c r="M312" t="s">
        <v>23</v>
      </c>
      <c r="N312" t="s">
        <v>66</v>
      </c>
      <c r="O312">
        <f>_xlfn.XLOOKUP(E312,Product_Master!$B$2:$B$11,Product_Master!$F$2:$F$11)</f>
        <v>20</v>
      </c>
      <c r="P312">
        <f t="shared" si="8"/>
        <v>1000</v>
      </c>
      <c r="Q312" s="5">
        <f t="shared" si="9"/>
        <v>0.38165694282380397</v>
      </c>
    </row>
    <row r="313" spans="1:17" x14ac:dyDescent="0.3">
      <c r="A313" t="s">
        <v>481</v>
      </c>
      <c r="B313" t="s">
        <v>104</v>
      </c>
      <c r="C313" t="s">
        <v>223</v>
      </c>
      <c r="D313" t="s">
        <v>101</v>
      </c>
      <c r="E313" t="s">
        <v>29</v>
      </c>
      <c r="F313" t="s">
        <v>21</v>
      </c>
      <c r="G313">
        <v>50</v>
      </c>
      <c r="H313" s="4">
        <v>29.39</v>
      </c>
      <c r="I313">
        <v>1469.5</v>
      </c>
      <c r="J313">
        <v>101.51</v>
      </c>
      <c r="K313">
        <v>467.99</v>
      </c>
      <c r="L313" t="s">
        <v>44</v>
      </c>
      <c r="M313" t="s">
        <v>37</v>
      </c>
      <c r="N313" t="s">
        <v>102</v>
      </c>
      <c r="O313">
        <f>_xlfn.XLOOKUP(E313,Product_Master!$B$2:$B$11,Product_Master!$F$2:$F$11)</f>
        <v>18</v>
      </c>
      <c r="P313">
        <f t="shared" si="8"/>
        <v>900</v>
      </c>
      <c r="Q313" s="5">
        <f t="shared" si="9"/>
        <v>0.31846886696155158</v>
      </c>
    </row>
    <row r="314" spans="1:17" x14ac:dyDescent="0.3">
      <c r="A314" t="s">
        <v>482</v>
      </c>
      <c r="B314" t="s">
        <v>71</v>
      </c>
      <c r="C314" t="s">
        <v>130</v>
      </c>
      <c r="D314" t="s">
        <v>41</v>
      </c>
      <c r="E314" t="s">
        <v>29</v>
      </c>
      <c r="F314" t="s">
        <v>21</v>
      </c>
      <c r="G314">
        <v>46</v>
      </c>
      <c r="H314" s="4">
        <v>30.34</v>
      </c>
      <c r="I314">
        <v>1395.64</v>
      </c>
      <c r="J314">
        <v>104.2</v>
      </c>
      <c r="K314">
        <v>463.44</v>
      </c>
      <c r="L314" t="s">
        <v>22</v>
      </c>
      <c r="M314" t="s">
        <v>31</v>
      </c>
      <c r="N314" t="s">
        <v>45</v>
      </c>
      <c r="O314">
        <f>_xlfn.XLOOKUP(E314,Product_Master!$B$2:$B$11,Product_Master!$F$2:$F$11)</f>
        <v>18</v>
      </c>
      <c r="P314">
        <f t="shared" si="8"/>
        <v>828</v>
      </c>
      <c r="Q314" s="5">
        <f t="shared" si="9"/>
        <v>0.33206270958126732</v>
      </c>
    </row>
    <row r="315" spans="1:17" x14ac:dyDescent="0.3">
      <c r="A315" t="s">
        <v>483</v>
      </c>
      <c r="B315" t="s">
        <v>86</v>
      </c>
      <c r="C315" t="s">
        <v>484</v>
      </c>
      <c r="D315" t="s">
        <v>81</v>
      </c>
      <c r="E315" t="s">
        <v>73</v>
      </c>
      <c r="F315" t="s">
        <v>43</v>
      </c>
      <c r="G315">
        <v>50</v>
      </c>
      <c r="H315" s="4">
        <v>18.809999999999999</v>
      </c>
      <c r="I315">
        <v>940.5</v>
      </c>
      <c r="J315">
        <v>40.25</v>
      </c>
      <c r="K315">
        <v>262.75</v>
      </c>
      <c r="L315" t="s">
        <v>30</v>
      </c>
      <c r="M315" t="s">
        <v>31</v>
      </c>
      <c r="N315" t="s">
        <v>66</v>
      </c>
      <c r="O315">
        <f>_xlfn.XLOOKUP(E315,Product_Master!$B$2:$B$11,Product_Master!$F$2:$F$11)</f>
        <v>12.75</v>
      </c>
      <c r="P315">
        <f t="shared" si="8"/>
        <v>637.5</v>
      </c>
      <c r="Q315" s="5">
        <f t="shared" si="9"/>
        <v>0.27937267410951622</v>
      </c>
    </row>
    <row r="316" spans="1:17" x14ac:dyDescent="0.3">
      <c r="A316" t="s">
        <v>485</v>
      </c>
      <c r="B316" t="s">
        <v>95</v>
      </c>
      <c r="C316" t="s">
        <v>223</v>
      </c>
      <c r="D316" t="s">
        <v>147</v>
      </c>
      <c r="E316" t="s">
        <v>58</v>
      </c>
      <c r="F316" t="s">
        <v>59</v>
      </c>
      <c r="G316">
        <v>2</v>
      </c>
      <c r="H316" s="4">
        <v>29.64</v>
      </c>
      <c r="I316">
        <v>59.28</v>
      </c>
      <c r="J316">
        <v>4.59</v>
      </c>
      <c r="K316">
        <v>9.69</v>
      </c>
      <c r="L316" t="s">
        <v>30</v>
      </c>
      <c r="M316" t="s">
        <v>37</v>
      </c>
      <c r="N316" t="s">
        <v>148</v>
      </c>
      <c r="O316">
        <f>_xlfn.XLOOKUP(E316,Product_Master!$B$2:$B$11,Product_Master!$F$2:$F$11)</f>
        <v>22.5</v>
      </c>
      <c r="P316">
        <f t="shared" si="8"/>
        <v>45</v>
      </c>
      <c r="Q316" s="5">
        <f t="shared" si="9"/>
        <v>0.16346153846153846</v>
      </c>
    </row>
    <row r="317" spans="1:17" x14ac:dyDescent="0.3">
      <c r="A317" t="s">
        <v>486</v>
      </c>
      <c r="B317" t="s">
        <v>157</v>
      </c>
      <c r="C317" t="s">
        <v>383</v>
      </c>
      <c r="D317" t="s">
        <v>81</v>
      </c>
      <c r="E317" t="s">
        <v>58</v>
      </c>
      <c r="F317" t="s">
        <v>59</v>
      </c>
      <c r="G317">
        <v>48</v>
      </c>
      <c r="H317" s="4">
        <v>27.9</v>
      </c>
      <c r="I317">
        <v>1339.2</v>
      </c>
      <c r="J317">
        <v>66.31</v>
      </c>
      <c r="K317">
        <v>192.89</v>
      </c>
      <c r="L317" t="s">
        <v>30</v>
      </c>
      <c r="M317" t="s">
        <v>37</v>
      </c>
      <c r="N317" t="s">
        <v>66</v>
      </c>
      <c r="O317">
        <f>_xlfn.XLOOKUP(E317,Product_Master!$B$2:$B$11,Product_Master!$F$2:$F$11)</f>
        <v>22.5</v>
      </c>
      <c r="P317">
        <f t="shared" si="8"/>
        <v>1080</v>
      </c>
      <c r="Q317" s="5">
        <f t="shared" si="9"/>
        <v>0.1440337514934289</v>
      </c>
    </row>
    <row r="318" spans="1:17" x14ac:dyDescent="0.3">
      <c r="A318" t="s">
        <v>487</v>
      </c>
      <c r="B318" t="s">
        <v>78</v>
      </c>
      <c r="C318" t="s">
        <v>312</v>
      </c>
      <c r="D318" t="s">
        <v>123</v>
      </c>
      <c r="E318" t="s">
        <v>64</v>
      </c>
      <c r="F318" t="s">
        <v>65</v>
      </c>
      <c r="G318">
        <v>28</v>
      </c>
      <c r="H318" s="4">
        <v>38.520000000000003</v>
      </c>
      <c r="I318">
        <v>1078.56</v>
      </c>
      <c r="J318">
        <v>64.510000000000005</v>
      </c>
      <c r="K318">
        <v>314.05</v>
      </c>
      <c r="L318" t="s">
        <v>22</v>
      </c>
      <c r="M318" t="s">
        <v>31</v>
      </c>
      <c r="N318" t="s">
        <v>32</v>
      </c>
      <c r="O318">
        <f>_xlfn.XLOOKUP(E318,Product_Master!$B$2:$B$11,Product_Master!$F$2:$F$11)</f>
        <v>25</v>
      </c>
      <c r="P318">
        <f t="shared" si="8"/>
        <v>700</v>
      </c>
      <c r="Q318" s="5">
        <f t="shared" si="9"/>
        <v>0.29117527073134553</v>
      </c>
    </row>
    <row r="319" spans="1:17" x14ac:dyDescent="0.3">
      <c r="A319" t="s">
        <v>488</v>
      </c>
      <c r="B319" t="s">
        <v>86</v>
      </c>
      <c r="C319" t="s">
        <v>200</v>
      </c>
      <c r="D319" t="s">
        <v>28</v>
      </c>
      <c r="E319" t="s">
        <v>58</v>
      </c>
      <c r="F319" t="s">
        <v>59</v>
      </c>
      <c r="G319">
        <v>11</v>
      </c>
      <c r="H319" s="4">
        <v>31.08</v>
      </c>
      <c r="I319">
        <v>341.88</v>
      </c>
      <c r="J319">
        <v>17.18</v>
      </c>
      <c r="K319">
        <v>77.2</v>
      </c>
      <c r="L319" t="s">
        <v>44</v>
      </c>
      <c r="M319" t="s">
        <v>37</v>
      </c>
      <c r="N319" t="s">
        <v>32</v>
      </c>
      <c r="O319">
        <f>_xlfn.XLOOKUP(E319,Product_Master!$B$2:$B$11,Product_Master!$F$2:$F$11)</f>
        <v>22.5</v>
      </c>
      <c r="P319">
        <f t="shared" si="8"/>
        <v>247.5</v>
      </c>
      <c r="Q319" s="5">
        <f t="shared" si="9"/>
        <v>0.22581022581022583</v>
      </c>
    </row>
    <row r="320" spans="1:17" x14ac:dyDescent="0.3">
      <c r="A320" t="s">
        <v>489</v>
      </c>
      <c r="B320" t="s">
        <v>39</v>
      </c>
      <c r="C320" t="s">
        <v>265</v>
      </c>
      <c r="D320" t="s">
        <v>53</v>
      </c>
      <c r="E320" t="s">
        <v>54</v>
      </c>
      <c r="F320" t="s">
        <v>43</v>
      </c>
      <c r="G320">
        <v>42</v>
      </c>
      <c r="H320" s="4">
        <v>25.95</v>
      </c>
      <c r="I320">
        <v>1089.9000000000001</v>
      </c>
      <c r="J320">
        <v>27.5</v>
      </c>
      <c r="K320">
        <v>222.4</v>
      </c>
      <c r="L320" t="s">
        <v>44</v>
      </c>
      <c r="M320" t="s">
        <v>37</v>
      </c>
      <c r="N320" t="s">
        <v>24</v>
      </c>
      <c r="O320">
        <f>_xlfn.XLOOKUP(E320,Product_Master!$B$2:$B$11,Product_Master!$F$2:$F$11)</f>
        <v>20</v>
      </c>
      <c r="P320">
        <f t="shared" si="8"/>
        <v>840</v>
      </c>
      <c r="Q320" s="5">
        <f t="shared" si="9"/>
        <v>0.2040554179282503</v>
      </c>
    </row>
    <row r="321" spans="1:17" x14ac:dyDescent="0.3">
      <c r="A321" t="s">
        <v>490</v>
      </c>
      <c r="B321" t="s">
        <v>71</v>
      </c>
      <c r="C321" t="s">
        <v>418</v>
      </c>
      <c r="D321" t="s">
        <v>81</v>
      </c>
      <c r="E321" t="s">
        <v>64</v>
      </c>
      <c r="F321" t="s">
        <v>65</v>
      </c>
      <c r="G321">
        <v>30</v>
      </c>
      <c r="H321" s="4">
        <v>30.16</v>
      </c>
      <c r="I321">
        <v>904.8</v>
      </c>
      <c r="J321">
        <v>70.13</v>
      </c>
      <c r="K321">
        <v>84.67</v>
      </c>
      <c r="L321" t="s">
        <v>30</v>
      </c>
      <c r="M321" t="s">
        <v>23</v>
      </c>
      <c r="N321" t="s">
        <v>66</v>
      </c>
      <c r="O321">
        <f>_xlfn.XLOOKUP(E321,Product_Master!$B$2:$B$11,Product_Master!$F$2:$F$11)</f>
        <v>25</v>
      </c>
      <c r="P321">
        <f t="shared" si="8"/>
        <v>750</v>
      </c>
      <c r="Q321" s="5">
        <f t="shared" si="9"/>
        <v>9.3578691423519017E-2</v>
      </c>
    </row>
    <row r="322" spans="1:17" x14ac:dyDescent="0.3">
      <c r="A322" t="s">
        <v>491</v>
      </c>
      <c r="B322" t="s">
        <v>95</v>
      </c>
      <c r="C322" t="s">
        <v>492</v>
      </c>
      <c r="D322" t="s">
        <v>41</v>
      </c>
      <c r="E322" t="s">
        <v>54</v>
      </c>
      <c r="F322" t="s">
        <v>43</v>
      </c>
      <c r="G322">
        <v>40</v>
      </c>
      <c r="H322" s="4">
        <v>30.03</v>
      </c>
      <c r="I322">
        <v>1201.2</v>
      </c>
      <c r="J322">
        <v>71.97</v>
      </c>
      <c r="K322">
        <v>329.23</v>
      </c>
      <c r="L322" t="s">
        <v>30</v>
      </c>
      <c r="M322" t="s">
        <v>23</v>
      </c>
      <c r="N322" t="s">
        <v>45</v>
      </c>
      <c r="O322">
        <f>_xlfn.XLOOKUP(E322,Product_Master!$B$2:$B$11,Product_Master!$F$2:$F$11)</f>
        <v>20</v>
      </c>
      <c r="P322">
        <f t="shared" si="8"/>
        <v>800</v>
      </c>
      <c r="Q322" s="5">
        <f t="shared" si="9"/>
        <v>0.27408424908424911</v>
      </c>
    </row>
    <row r="323" spans="1:17" x14ac:dyDescent="0.3">
      <c r="A323" t="s">
        <v>493</v>
      </c>
      <c r="B323" t="s">
        <v>39</v>
      </c>
      <c r="C323" t="s">
        <v>117</v>
      </c>
      <c r="D323" t="s">
        <v>101</v>
      </c>
      <c r="E323" t="s">
        <v>54</v>
      </c>
      <c r="F323" t="s">
        <v>43</v>
      </c>
      <c r="G323">
        <v>15</v>
      </c>
      <c r="H323" s="4">
        <v>27.12</v>
      </c>
      <c r="I323">
        <v>406.8</v>
      </c>
      <c r="J323">
        <v>24.28</v>
      </c>
      <c r="K323">
        <v>82.52</v>
      </c>
      <c r="L323" t="s">
        <v>30</v>
      </c>
      <c r="M323" t="s">
        <v>31</v>
      </c>
      <c r="N323" t="s">
        <v>102</v>
      </c>
      <c r="O323">
        <f>_xlfn.XLOOKUP(E323,Product_Master!$B$2:$B$11,Product_Master!$F$2:$F$11)</f>
        <v>20</v>
      </c>
      <c r="P323">
        <f t="shared" ref="P323:P386" si="10">G323*O323</f>
        <v>300</v>
      </c>
      <c r="Q323" s="5">
        <f t="shared" ref="Q323:Q386" si="11">K323/I323</f>
        <v>0.20285152409046212</v>
      </c>
    </row>
    <row r="324" spans="1:17" x14ac:dyDescent="0.3">
      <c r="A324" t="s">
        <v>494</v>
      </c>
      <c r="B324" t="s">
        <v>39</v>
      </c>
      <c r="C324" t="s">
        <v>180</v>
      </c>
      <c r="D324" t="s">
        <v>123</v>
      </c>
      <c r="E324" t="s">
        <v>73</v>
      </c>
      <c r="F324" t="s">
        <v>43</v>
      </c>
      <c r="G324">
        <v>35</v>
      </c>
      <c r="H324" s="4">
        <v>18.350000000000001</v>
      </c>
      <c r="I324">
        <v>642.25</v>
      </c>
      <c r="J324">
        <v>29.35</v>
      </c>
      <c r="K324">
        <v>166.65</v>
      </c>
      <c r="L324" t="s">
        <v>22</v>
      </c>
      <c r="M324" t="s">
        <v>31</v>
      </c>
      <c r="N324" t="s">
        <v>32</v>
      </c>
      <c r="O324">
        <f>_xlfn.XLOOKUP(E324,Product_Master!$B$2:$B$11,Product_Master!$F$2:$F$11)</f>
        <v>12.75</v>
      </c>
      <c r="P324">
        <f t="shared" si="10"/>
        <v>446.25</v>
      </c>
      <c r="Q324" s="5">
        <f t="shared" si="11"/>
        <v>0.2594783962631374</v>
      </c>
    </row>
    <row r="325" spans="1:17" x14ac:dyDescent="0.3">
      <c r="A325" t="s">
        <v>495</v>
      </c>
      <c r="B325" t="s">
        <v>56</v>
      </c>
      <c r="C325" t="s">
        <v>429</v>
      </c>
      <c r="D325" t="s">
        <v>101</v>
      </c>
      <c r="E325" t="s">
        <v>20</v>
      </c>
      <c r="F325" t="s">
        <v>21</v>
      </c>
      <c r="G325">
        <v>21</v>
      </c>
      <c r="H325" s="4">
        <v>52.59</v>
      </c>
      <c r="I325">
        <v>1104.3900000000001</v>
      </c>
      <c r="J325">
        <v>57.06</v>
      </c>
      <c r="K325">
        <v>312.33</v>
      </c>
      <c r="L325" t="s">
        <v>30</v>
      </c>
      <c r="M325" t="s">
        <v>31</v>
      </c>
      <c r="N325" t="s">
        <v>102</v>
      </c>
      <c r="O325">
        <f>_xlfn.XLOOKUP(E325,Product_Master!$B$2:$B$11,Product_Master!$F$2:$F$11)</f>
        <v>35</v>
      </c>
      <c r="P325">
        <f t="shared" si="10"/>
        <v>735</v>
      </c>
      <c r="Q325" s="5">
        <f t="shared" si="11"/>
        <v>0.28280770380028791</v>
      </c>
    </row>
    <row r="326" spans="1:17" x14ac:dyDescent="0.3">
      <c r="A326" t="s">
        <v>496</v>
      </c>
      <c r="B326" t="s">
        <v>68</v>
      </c>
      <c r="C326" t="s">
        <v>383</v>
      </c>
      <c r="D326" t="s">
        <v>63</v>
      </c>
      <c r="E326" t="s">
        <v>98</v>
      </c>
      <c r="F326" t="s">
        <v>59</v>
      </c>
      <c r="G326">
        <v>10</v>
      </c>
      <c r="H326" s="4">
        <v>44.2</v>
      </c>
      <c r="I326">
        <v>442</v>
      </c>
      <c r="J326">
        <v>18.45</v>
      </c>
      <c r="K326">
        <v>143.55000000000001</v>
      </c>
      <c r="L326" t="s">
        <v>22</v>
      </c>
      <c r="M326" t="s">
        <v>23</v>
      </c>
      <c r="N326" t="s">
        <v>66</v>
      </c>
      <c r="O326">
        <f>_xlfn.XLOOKUP(E326,Product_Master!$B$2:$B$11,Product_Master!$F$2:$F$11)</f>
        <v>28</v>
      </c>
      <c r="P326">
        <f t="shared" si="10"/>
        <v>280</v>
      </c>
      <c r="Q326" s="5">
        <f t="shared" si="11"/>
        <v>0.32477375565610861</v>
      </c>
    </row>
    <row r="327" spans="1:17" x14ac:dyDescent="0.3">
      <c r="A327" t="s">
        <v>497</v>
      </c>
      <c r="B327" t="s">
        <v>78</v>
      </c>
      <c r="C327" t="s">
        <v>228</v>
      </c>
      <c r="D327" t="s">
        <v>63</v>
      </c>
      <c r="E327" t="s">
        <v>20</v>
      </c>
      <c r="F327" t="s">
        <v>21</v>
      </c>
      <c r="G327">
        <v>11</v>
      </c>
      <c r="H327" s="4">
        <v>60.9</v>
      </c>
      <c r="I327">
        <v>669.9</v>
      </c>
      <c r="J327">
        <v>26.28</v>
      </c>
      <c r="K327">
        <v>258.62</v>
      </c>
      <c r="L327" t="s">
        <v>30</v>
      </c>
      <c r="M327" t="s">
        <v>31</v>
      </c>
      <c r="N327" t="s">
        <v>66</v>
      </c>
      <c r="O327">
        <f>_xlfn.XLOOKUP(E327,Product_Master!$B$2:$B$11,Product_Master!$F$2:$F$11)</f>
        <v>35</v>
      </c>
      <c r="P327">
        <f t="shared" si="10"/>
        <v>385</v>
      </c>
      <c r="Q327" s="5">
        <f t="shared" si="11"/>
        <v>0.38605762054037918</v>
      </c>
    </row>
    <row r="328" spans="1:17" x14ac:dyDescent="0.3">
      <c r="A328" t="s">
        <v>498</v>
      </c>
      <c r="B328" t="s">
        <v>68</v>
      </c>
      <c r="C328" t="s">
        <v>62</v>
      </c>
      <c r="D328" t="s">
        <v>88</v>
      </c>
      <c r="E328" t="s">
        <v>73</v>
      </c>
      <c r="F328" t="s">
        <v>43</v>
      </c>
      <c r="G328">
        <v>26</v>
      </c>
      <c r="H328" s="4">
        <v>22.32</v>
      </c>
      <c r="I328">
        <v>580.32000000000005</v>
      </c>
      <c r="J328">
        <v>45.08</v>
      </c>
      <c r="K328">
        <v>203.74</v>
      </c>
      <c r="L328" t="s">
        <v>30</v>
      </c>
      <c r="M328" t="s">
        <v>31</v>
      </c>
      <c r="N328" t="s">
        <v>66</v>
      </c>
      <c r="O328">
        <f>_xlfn.XLOOKUP(E328,Product_Master!$B$2:$B$11,Product_Master!$F$2:$F$11)</f>
        <v>12.75</v>
      </c>
      <c r="P328">
        <f t="shared" si="10"/>
        <v>331.5</v>
      </c>
      <c r="Q328" s="5">
        <f t="shared" si="11"/>
        <v>0.3510821615660325</v>
      </c>
    </row>
    <row r="329" spans="1:17" x14ac:dyDescent="0.3">
      <c r="A329" t="s">
        <v>499</v>
      </c>
      <c r="B329" t="s">
        <v>17</v>
      </c>
      <c r="C329" t="s">
        <v>280</v>
      </c>
      <c r="D329" t="s">
        <v>63</v>
      </c>
      <c r="E329" t="s">
        <v>98</v>
      </c>
      <c r="F329" t="s">
        <v>59</v>
      </c>
      <c r="G329">
        <v>46</v>
      </c>
      <c r="H329" s="4">
        <v>41.89</v>
      </c>
      <c r="I329">
        <v>1926.94</v>
      </c>
      <c r="J329">
        <v>97.39</v>
      </c>
      <c r="K329">
        <v>541.54999999999995</v>
      </c>
      <c r="L329" t="s">
        <v>22</v>
      </c>
      <c r="M329" t="s">
        <v>37</v>
      </c>
      <c r="N329" t="s">
        <v>66</v>
      </c>
      <c r="O329">
        <f>_xlfn.XLOOKUP(E329,Product_Master!$B$2:$B$11,Product_Master!$F$2:$F$11)</f>
        <v>28</v>
      </c>
      <c r="P329">
        <f t="shared" si="10"/>
        <v>1288</v>
      </c>
      <c r="Q329" s="5">
        <f t="shared" si="11"/>
        <v>0.28104144394739844</v>
      </c>
    </row>
    <row r="330" spans="1:17" x14ac:dyDescent="0.3">
      <c r="A330" t="s">
        <v>500</v>
      </c>
      <c r="B330" t="s">
        <v>39</v>
      </c>
      <c r="C330" t="s">
        <v>192</v>
      </c>
      <c r="D330" t="s">
        <v>28</v>
      </c>
      <c r="E330" t="s">
        <v>73</v>
      </c>
      <c r="F330" t="s">
        <v>43</v>
      </c>
      <c r="G330">
        <v>43</v>
      </c>
      <c r="H330" s="4">
        <v>21.24</v>
      </c>
      <c r="I330">
        <v>913.32</v>
      </c>
      <c r="J330">
        <v>50.32</v>
      </c>
      <c r="K330">
        <v>314.75</v>
      </c>
      <c r="L330" t="s">
        <v>30</v>
      </c>
      <c r="M330" t="s">
        <v>23</v>
      </c>
      <c r="N330" t="s">
        <v>32</v>
      </c>
      <c r="O330">
        <f>_xlfn.XLOOKUP(E330,Product_Master!$B$2:$B$11,Product_Master!$F$2:$F$11)</f>
        <v>12.75</v>
      </c>
      <c r="P330">
        <f t="shared" si="10"/>
        <v>548.25</v>
      </c>
      <c r="Q330" s="5">
        <f t="shared" si="11"/>
        <v>0.34462181929663205</v>
      </c>
    </row>
    <row r="331" spans="1:17" x14ac:dyDescent="0.3">
      <c r="A331" t="s">
        <v>501</v>
      </c>
      <c r="B331" t="s">
        <v>86</v>
      </c>
      <c r="C331" t="s">
        <v>502</v>
      </c>
      <c r="D331" t="s">
        <v>170</v>
      </c>
      <c r="E331" t="s">
        <v>58</v>
      </c>
      <c r="F331" t="s">
        <v>59</v>
      </c>
      <c r="G331">
        <v>28</v>
      </c>
      <c r="H331" s="4">
        <v>33.700000000000003</v>
      </c>
      <c r="I331">
        <v>943.6</v>
      </c>
      <c r="J331">
        <v>20.170000000000002</v>
      </c>
      <c r="K331">
        <v>293.43</v>
      </c>
      <c r="L331" t="s">
        <v>22</v>
      </c>
      <c r="M331" t="s">
        <v>31</v>
      </c>
      <c r="N331" t="s">
        <v>32</v>
      </c>
      <c r="O331">
        <f>_xlfn.XLOOKUP(E331,Product_Master!$B$2:$B$11,Product_Master!$F$2:$F$11)</f>
        <v>22.5</v>
      </c>
      <c r="P331">
        <f t="shared" si="10"/>
        <v>630</v>
      </c>
      <c r="Q331" s="5">
        <f t="shared" si="11"/>
        <v>0.31096863077575243</v>
      </c>
    </row>
    <row r="332" spans="1:17" x14ac:dyDescent="0.3">
      <c r="A332" t="s">
        <v>503</v>
      </c>
      <c r="B332" t="s">
        <v>71</v>
      </c>
      <c r="C332" t="s">
        <v>230</v>
      </c>
      <c r="D332" t="s">
        <v>196</v>
      </c>
      <c r="E332" t="s">
        <v>20</v>
      </c>
      <c r="F332" t="s">
        <v>21</v>
      </c>
      <c r="G332">
        <v>41</v>
      </c>
      <c r="H332" s="4">
        <v>42.74</v>
      </c>
      <c r="I332">
        <v>1752.34</v>
      </c>
      <c r="J332">
        <v>92.09</v>
      </c>
      <c r="K332">
        <v>225.25</v>
      </c>
      <c r="L332" t="s">
        <v>44</v>
      </c>
      <c r="M332" t="s">
        <v>23</v>
      </c>
      <c r="N332" t="s">
        <v>66</v>
      </c>
      <c r="O332">
        <f>_xlfn.XLOOKUP(E332,Product_Master!$B$2:$B$11,Product_Master!$F$2:$F$11)</f>
        <v>35</v>
      </c>
      <c r="P332">
        <f t="shared" si="10"/>
        <v>1435</v>
      </c>
      <c r="Q332" s="5">
        <f t="shared" si="11"/>
        <v>0.12854240615405688</v>
      </c>
    </row>
    <row r="333" spans="1:17" x14ac:dyDescent="0.3">
      <c r="A333" t="s">
        <v>504</v>
      </c>
      <c r="B333" t="s">
        <v>68</v>
      </c>
      <c r="C333" t="s">
        <v>429</v>
      </c>
      <c r="D333" t="s">
        <v>28</v>
      </c>
      <c r="E333" t="s">
        <v>54</v>
      </c>
      <c r="F333" t="s">
        <v>43</v>
      </c>
      <c r="G333">
        <v>24</v>
      </c>
      <c r="H333" s="4">
        <v>30.18</v>
      </c>
      <c r="I333">
        <v>724.32</v>
      </c>
      <c r="J333">
        <v>44.97</v>
      </c>
      <c r="K333">
        <v>199.35</v>
      </c>
      <c r="L333" t="s">
        <v>22</v>
      </c>
      <c r="M333" t="s">
        <v>23</v>
      </c>
      <c r="N333" t="s">
        <v>32</v>
      </c>
      <c r="O333">
        <f>_xlfn.XLOOKUP(E333,Product_Master!$B$2:$B$11,Product_Master!$F$2:$F$11)</f>
        <v>20</v>
      </c>
      <c r="P333">
        <f t="shared" si="10"/>
        <v>480</v>
      </c>
      <c r="Q333" s="5">
        <f t="shared" si="11"/>
        <v>0.27522365805168986</v>
      </c>
    </row>
    <row r="334" spans="1:17" x14ac:dyDescent="0.3">
      <c r="A334" t="s">
        <v>505</v>
      </c>
      <c r="B334" t="s">
        <v>26</v>
      </c>
      <c r="C334" t="s">
        <v>127</v>
      </c>
      <c r="D334" t="s">
        <v>91</v>
      </c>
      <c r="E334" t="s">
        <v>69</v>
      </c>
      <c r="F334" t="s">
        <v>59</v>
      </c>
      <c r="G334">
        <v>44</v>
      </c>
      <c r="H334" s="4">
        <v>20.02</v>
      </c>
      <c r="I334">
        <v>880.88</v>
      </c>
      <c r="J334">
        <v>60.27</v>
      </c>
      <c r="K334">
        <v>138.61000000000001</v>
      </c>
      <c r="L334" t="s">
        <v>30</v>
      </c>
      <c r="M334" t="s">
        <v>31</v>
      </c>
      <c r="N334" t="s">
        <v>66</v>
      </c>
      <c r="O334">
        <f>_xlfn.XLOOKUP(E334,Product_Master!$B$2:$B$11,Product_Master!$F$2:$F$11)</f>
        <v>15.5</v>
      </c>
      <c r="P334">
        <f t="shared" si="10"/>
        <v>682</v>
      </c>
      <c r="Q334" s="5">
        <f t="shared" si="11"/>
        <v>0.15735400962673693</v>
      </c>
    </row>
    <row r="335" spans="1:17" x14ac:dyDescent="0.3">
      <c r="A335" t="s">
        <v>506</v>
      </c>
      <c r="B335" t="s">
        <v>71</v>
      </c>
      <c r="C335" t="s">
        <v>125</v>
      </c>
      <c r="D335" t="s">
        <v>28</v>
      </c>
      <c r="E335" t="s">
        <v>54</v>
      </c>
      <c r="F335" t="s">
        <v>43</v>
      </c>
      <c r="G335">
        <v>12</v>
      </c>
      <c r="H335" s="4">
        <v>27.45</v>
      </c>
      <c r="I335">
        <v>329.4</v>
      </c>
      <c r="J335">
        <v>13.22</v>
      </c>
      <c r="K335">
        <v>76.180000000000007</v>
      </c>
      <c r="L335" t="s">
        <v>44</v>
      </c>
      <c r="M335" t="s">
        <v>37</v>
      </c>
      <c r="N335" t="s">
        <v>32</v>
      </c>
      <c r="O335">
        <f>_xlfn.XLOOKUP(E335,Product_Master!$B$2:$B$11,Product_Master!$F$2:$F$11)</f>
        <v>20</v>
      </c>
      <c r="P335">
        <f t="shared" si="10"/>
        <v>240</v>
      </c>
      <c r="Q335" s="5">
        <f t="shared" si="11"/>
        <v>0.23126897389192475</v>
      </c>
    </row>
    <row r="336" spans="1:17" x14ac:dyDescent="0.3">
      <c r="A336" t="s">
        <v>507</v>
      </c>
      <c r="B336" t="s">
        <v>132</v>
      </c>
      <c r="C336" t="s">
        <v>105</v>
      </c>
      <c r="D336" t="s">
        <v>101</v>
      </c>
      <c r="E336" t="s">
        <v>54</v>
      </c>
      <c r="F336" t="s">
        <v>43</v>
      </c>
      <c r="G336">
        <v>26</v>
      </c>
      <c r="H336" s="4">
        <v>30.57</v>
      </c>
      <c r="I336">
        <v>794.82</v>
      </c>
      <c r="J336">
        <v>19.45</v>
      </c>
      <c r="K336">
        <v>255.37</v>
      </c>
      <c r="L336" t="s">
        <v>44</v>
      </c>
      <c r="M336" t="s">
        <v>31</v>
      </c>
      <c r="N336" t="s">
        <v>102</v>
      </c>
      <c r="O336">
        <f>_xlfn.XLOOKUP(E336,Product_Master!$B$2:$B$11,Product_Master!$F$2:$F$11)</f>
        <v>20</v>
      </c>
      <c r="P336">
        <f t="shared" si="10"/>
        <v>520</v>
      </c>
      <c r="Q336" s="5">
        <f t="shared" si="11"/>
        <v>0.32129287134193907</v>
      </c>
    </row>
    <row r="337" spans="1:17" x14ac:dyDescent="0.3">
      <c r="A337" t="s">
        <v>508</v>
      </c>
      <c r="B337" t="s">
        <v>68</v>
      </c>
      <c r="C337" t="s">
        <v>133</v>
      </c>
      <c r="D337" t="s">
        <v>91</v>
      </c>
      <c r="E337" t="s">
        <v>64</v>
      </c>
      <c r="F337" t="s">
        <v>65</v>
      </c>
      <c r="G337">
        <v>46</v>
      </c>
      <c r="H337" s="4">
        <v>32.19</v>
      </c>
      <c r="I337">
        <v>1480.74</v>
      </c>
      <c r="J337">
        <v>111.13</v>
      </c>
      <c r="K337">
        <v>219.61</v>
      </c>
      <c r="L337" t="s">
        <v>44</v>
      </c>
      <c r="M337" t="s">
        <v>31</v>
      </c>
      <c r="N337" t="s">
        <v>66</v>
      </c>
      <c r="O337">
        <f>_xlfn.XLOOKUP(E337,Product_Master!$B$2:$B$11,Product_Master!$F$2:$F$11)</f>
        <v>25</v>
      </c>
      <c r="P337">
        <f t="shared" si="10"/>
        <v>1150</v>
      </c>
      <c r="Q337" s="5">
        <f t="shared" si="11"/>
        <v>0.14831097964531248</v>
      </c>
    </row>
    <row r="338" spans="1:17" x14ac:dyDescent="0.3">
      <c r="A338" t="s">
        <v>509</v>
      </c>
      <c r="B338" t="s">
        <v>104</v>
      </c>
      <c r="C338" t="s">
        <v>100</v>
      </c>
      <c r="D338" t="s">
        <v>81</v>
      </c>
      <c r="E338" t="s">
        <v>29</v>
      </c>
      <c r="F338" t="s">
        <v>21</v>
      </c>
      <c r="G338">
        <v>20</v>
      </c>
      <c r="H338" s="4">
        <v>31.79</v>
      </c>
      <c r="I338">
        <v>635.79999999999995</v>
      </c>
      <c r="J338">
        <v>38.43</v>
      </c>
      <c r="K338">
        <v>237.37</v>
      </c>
      <c r="L338" t="s">
        <v>22</v>
      </c>
      <c r="M338" t="s">
        <v>31</v>
      </c>
      <c r="N338" t="s">
        <v>66</v>
      </c>
      <c r="O338">
        <f>_xlfn.XLOOKUP(E338,Product_Master!$B$2:$B$11,Product_Master!$F$2:$F$11)</f>
        <v>18</v>
      </c>
      <c r="P338">
        <f t="shared" si="10"/>
        <v>360</v>
      </c>
      <c r="Q338" s="5">
        <f t="shared" si="11"/>
        <v>0.37334067316766284</v>
      </c>
    </row>
    <row r="339" spans="1:17" x14ac:dyDescent="0.3">
      <c r="A339" t="s">
        <v>510</v>
      </c>
      <c r="B339" t="s">
        <v>104</v>
      </c>
      <c r="C339" t="s">
        <v>18</v>
      </c>
      <c r="D339" t="s">
        <v>147</v>
      </c>
      <c r="E339" t="s">
        <v>29</v>
      </c>
      <c r="F339" t="s">
        <v>21</v>
      </c>
      <c r="G339">
        <v>8</v>
      </c>
      <c r="H339" s="4">
        <v>28.94</v>
      </c>
      <c r="I339">
        <v>231.52</v>
      </c>
      <c r="J339">
        <v>7</v>
      </c>
      <c r="K339">
        <v>80.52</v>
      </c>
      <c r="L339" t="s">
        <v>44</v>
      </c>
      <c r="M339" t="s">
        <v>31</v>
      </c>
      <c r="N339" t="s">
        <v>148</v>
      </c>
      <c r="O339">
        <f>_xlfn.XLOOKUP(E339,Product_Master!$B$2:$B$11,Product_Master!$F$2:$F$11)</f>
        <v>18</v>
      </c>
      <c r="P339">
        <f t="shared" si="10"/>
        <v>144</v>
      </c>
      <c r="Q339" s="5">
        <f t="shared" si="11"/>
        <v>0.34778852798894261</v>
      </c>
    </row>
    <row r="340" spans="1:17" x14ac:dyDescent="0.3">
      <c r="A340" t="s">
        <v>511</v>
      </c>
      <c r="B340" t="s">
        <v>39</v>
      </c>
      <c r="C340" t="s">
        <v>230</v>
      </c>
      <c r="D340" t="s">
        <v>123</v>
      </c>
      <c r="E340" t="s">
        <v>29</v>
      </c>
      <c r="F340" t="s">
        <v>21</v>
      </c>
      <c r="G340">
        <v>40</v>
      </c>
      <c r="H340" s="4">
        <v>30.66</v>
      </c>
      <c r="I340">
        <v>1226.4000000000001</v>
      </c>
      <c r="J340">
        <v>85.24</v>
      </c>
      <c r="K340">
        <v>421.16</v>
      </c>
      <c r="L340" t="s">
        <v>22</v>
      </c>
      <c r="M340" t="s">
        <v>23</v>
      </c>
      <c r="N340" t="s">
        <v>32</v>
      </c>
      <c r="O340">
        <f>_xlfn.XLOOKUP(E340,Product_Master!$B$2:$B$11,Product_Master!$F$2:$F$11)</f>
        <v>18</v>
      </c>
      <c r="P340">
        <f t="shared" si="10"/>
        <v>720</v>
      </c>
      <c r="Q340" s="5">
        <f t="shared" si="11"/>
        <v>0.34341161121983038</v>
      </c>
    </row>
    <row r="341" spans="1:17" x14ac:dyDescent="0.3">
      <c r="A341" t="s">
        <v>512</v>
      </c>
      <c r="B341" t="s">
        <v>104</v>
      </c>
      <c r="C341" t="s">
        <v>361</v>
      </c>
      <c r="D341" t="s">
        <v>147</v>
      </c>
      <c r="E341" t="s">
        <v>42</v>
      </c>
      <c r="F341" t="s">
        <v>43</v>
      </c>
      <c r="G341">
        <v>44</v>
      </c>
      <c r="H341" s="4">
        <v>54.09</v>
      </c>
      <c r="I341">
        <v>2379.96</v>
      </c>
      <c r="J341">
        <v>106.39</v>
      </c>
      <c r="K341">
        <v>865.57</v>
      </c>
      <c r="L341" t="s">
        <v>22</v>
      </c>
      <c r="M341" t="s">
        <v>31</v>
      </c>
      <c r="N341" t="s">
        <v>148</v>
      </c>
      <c r="O341">
        <f>_xlfn.XLOOKUP(E341,Product_Master!$B$2:$B$11,Product_Master!$F$2:$F$11)</f>
        <v>32</v>
      </c>
      <c r="P341">
        <f t="shared" si="10"/>
        <v>1408</v>
      </c>
      <c r="Q341" s="5">
        <f t="shared" si="11"/>
        <v>0.36369098640313285</v>
      </c>
    </row>
    <row r="342" spans="1:17" x14ac:dyDescent="0.3">
      <c r="A342" t="s">
        <v>513</v>
      </c>
      <c r="B342" t="s">
        <v>26</v>
      </c>
      <c r="C342" t="s">
        <v>127</v>
      </c>
      <c r="D342" t="s">
        <v>81</v>
      </c>
      <c r="E342" t="s">
        <v>49</v>
      </c>
      <c r="F342" t="s">
        <v>50</v>
      </c>
      <c r="G342">
        <v>32</v>
      </c>
      <c r="H342" s="4">
        <v>68.89</v>
      </c>
      <c r="I342">
        <v>2204.48</v>
      </c>
      <c r="J342">
        <v>152.05000000000001</v>
      </c>
      <c r="K342">
        <v>772.43</v>
      </c>
      <c r="L342" t="s">
        <v>22</v>
      </c>
      <c r="M342" t="s">
        <v>31</v>
      </c>
      <c r="N342" t="s">
        <v>66</v>
      </c>
      <c r="O342">
        <f>_xlfn.XLOOKUP(E342,Product_Master!$B$2:$B$11,Product_Master!$F$2:$F$11)</f>
        <v>40</v>
      </c>
      <c r="P342">
        <f t="shared" si="10"/>
        <v>1280</v>
      </c>
      <c r="Q342" s="5">
        <f t="shared" si="11"/>
        <v>0.35039102191900129</v>
      </c>
    </row>
    <row r="343" spans="1:17" x14ac:dyDescent="0.3">
      <c r="A343" t="s">
        <v>514</v>
      </c>
      <c r="B343" t="s">
        <v>107</v>
      </c>
      <c r="C343" t="s">
        <v>484</v>
      </c>
      <c r="D343" t="s">
        <v>196</v>
      </c>
      <c r="E343" t="s">
        <v>20</v>
      </c>
      <c r="F343" t="s">
        <v>21</v>
      </c>
      <c r="G343">
        <v>44</v>
      </c>
      <c r="H343" s="4">
        <v>43.35</v>
      </c>
      <c r="I343">
        <v>1907.4</v>
      </c>
      <c r="J343">
        <v>99.05</v>
      </c>
      <c r="K343">
        <v>268.35000000000002</v>
      </c>
      <c r="L343" t="s">
        <v>44</v>
      </c>
      <c r="M343" t="s">
        <v>31</v>
      </c>
      <c r="N343" t="s">
        <v>66</v>
      </c>
      <c r="O343">
        <f>_xlfn.XLOOKUP(E343,Product_Master!$B$2:$B$11,Product_Master!$F$2:$F$11)</f>
        <v>35</v>
      </c>
      <c r="P343">
        <f t="shared" si="10"/>
        <v>1540</v>
      </c>
      <c r="Q343" s="5">
        <f t="shared" si="11"/>
        <v>0.1406888958792073</v>
      </c>
    </row>
    <row r="344" spans="1:17" x14ac:dyDescent="0.3">
      <c r="A344" t="s">
        <v>515</v>
      </c>
      <c r="B344" t="s">
        <v>95</v>
      </c>
      <c r="C344" t="s">
        <v>27</v>
      </c>
      <c r="D344" t="s">
        <v>53</v>
      </c>
      <c r="E344" t="s">
        <v>98</v>
      </c>
      <c r="F344" t="s">
        <v>59</v>
      </c>
      <c r="G344">
        <v>24</v>
      </c>
      <c r="H344" s="4">
        <v>34</v>
      </c>
      <c r="I344">
        <v>816</v>
      </c>
      <c r="J344">
        <v>42.15</v>
      </c>
      <c r="K344">
        <v>101.85</v>
      </c>
      <c r="L344" t="s">
        <v>44</v>
      </c>
      <c r="M344" t="s">
        <v>23</v>
      </c>
      <c r="N344" t="s">
        <v>24</v>
      </c>
      <c r="O344">
        <f>_xlfn.XLOOKUP(E344,Product_Master!$B$2:$B$11,Product_Master!$F$2:$F$11)</f>
        <v>28</v>
      </c>
      <c r="P344">
        <f t="shared" si="10"/>
        <v>672</v>
      </c>
      <c r="Q344" s="5">
        <f t="shared" si="11"/>
        <v>0.12481617647058822</v>
      </c>
    </row>
    <row r="345" spans="1:17" x14ac:dyDescent="0.3">
      <c r="A345" t="s">
        <v>516</v>
      </c>
      <c r="B345" t="s">
        <v>83</v>
      </c>
      <c r="C345" t="s">
        <v>168</v>
      </c>
      <c r="D345" t="s">
        <v>63</v>
      </c>
      <c r="E345" t="s">
        <v>29</v>
      </c>
      <c r="F345" t="s">
        <v>21</v>
      </c>
      <c r="G345">
        <v>41</v>
      </c>
      <c r="H345" s="4">
        <v>30.25</v>
      </c>
      <c r="I345">
        <v>1240.25</v>
      </c>
      <c r="J345">
        <v>92.86</v>
      </c>
      <c r="K345">
        <v>409.39</v>
      </c>
      <c r="L345" t="s">
        <v>22</v>
      </c>
      <c r="M345" t="s">
        <v>23</v>
      </c>
      <c r="N345" t="s">
        <v>66</v>
      </c>
      <c r="O345">
        <f>_xlfn.XLOOKUP(E345,Product_Master!$B$2:$B$11,Product_Master!$F$2:$F$11)</f>
        <v>18</v>
      </c>
      <c r="P345">
        <f t="shared" si="10"/>
        <v>738</v>
      </c>
      <c r="Q345" s="5">
        <f t="shared" si="11"/>
        <v>0.33008667607337228</v>
      </c>
    </row>
    <row r="346" spans="1:17" x14ac:dyDescent="0.3">
      <c r="A346" t="s">
        <v>517</v>
      </c>
      <c r="B346" t="s">
        <v>104</v>
      </c>
      <c r="C346" t="s">
        <v>18</v>
      </c>
      <c r="D346" t="s">
        <v>101</v>
      </c>
      <c r="E346" t="s">
        <v>69</v>
      </c>
      <c r="F346" t="s">
        <v>59</v>
      </c>
      <c r="G346">
        <v>15</v>
      </c>
      <c r="H346" s="4">
        <v>23.71</v>
      </c>
      <c r="I346">
        <v>355.65</v>
      </c>
      <c r="J346">
        <v>7.22</v>
      </c>
      <c r="K346">
        <v>115.93</v>
      </c>
      <c r="L346" t="s">
        <v>30</v>
      </c>
      <c r="M346" t="s">
        <v>31</v>
      </c>
      <c r="N346" t="s">
        <v>102</v>
      </c>
      <c r="O346">
        <f>_xlfn.XLOOKUP(E346,Product_Master!$B$2:$B$11,Product_Master!$F$2:$F$11)</f>
        <v>15.5</v>
      </c>
      <c r="P346">
        <f t="shared" si="10"/>
        <v>232.5</v>
      </c>
      <c r="Q346" s="5">
        <f t="shared" si="11"/>
        <v>0.32596654013777593</v>
      </c>
    </row>
    <row r="347" spans="1:17" x14ac:dyDescent="0.3">
      <c r="A347" t="s">
        <v>518</v>
      </c>
      <c r="B347" t="s">
        <v>71</v>
      </c>
      <c r="C347" t="s">
        <v>141</v>
      </c>
      <c r="D347" t="s">
        <v>81</v>
      </c>
      <c r="E347" t="s">
        <v>42</v>
      </c>
      <c r="F347" t="s">
        <v>43</v>
      </c>
      <c r="G347">
        <v>33</v>
      </c>
      <c r="H347" s="4">
        <v>48.64</v>
      </c>
      <c r="I347">
        <v>1605.12</v>
      </c>
      <c r="J347">
        <v>98.71</v>
      </c>
      <c r="K347">
        <v>450.41</v>
      </c>
      <c r="L347" t="s">
        <v>22</v>
      </c>
      <c r="M347" t="s">
        <v>31</v>
      </c>
      <c r="N347" t="s">
        <v>66</v>
      </c>
      <c r="O347">
        <f>_xlfn.XLOOKUP(E347,Product_Master!$B$2:$B$11,Product_Master!$F$2:$F$11)</f>
        <v>32</v>
      </c>
      <c r="P347">
        <f t="shared" si="10"/>
        <v>1056</v>
      </c>
      <c r="Q347" s="5">
        <f t="shared" si="11"/>
        <v>0.28060830342902715</v>
      </c>
    </row>
    <row r="348" spans="1:17" x14ac:dyDescent="0.3">
      <c r="A348" t="s">
        <v>519</v>
      </c>
      <c r="B348" t="s">
        <v>34</v>
      </c>
      <c r="C348" t="s">
        <v>40</v>
      </c>
      <c r="D348" t="s">
        <v>170</v>
      </c>
      <c r="E348" t="s">
        <v>20</v>
      </c>
      <c r="F348" t="s">
        <v>21</v>
      </c>
      <c r="G348">
        <v>7</v>
      </c>
      <c r="H348" s="4">
        <v>50.94</v>
      </c>
      <c r="I348">
        <v>356.58</v>
      </c>
      <c r="J348">
        <v>11.19</v>
      </c>
      <c r="K348">
        <v>100.39</v>
      </c>
      <c r="L348" t="s">
        <v>30</v>
      </c>
      <c r="M348" t="s">
        <v>23</v>
      </c>
      <c r="N348" t="s">
        <v>32</v>
      </c>
      <c r="O348">
        <f>_xlfn.XLOOKUP(E348,Product_Master!$B$2:$B$11,Product_Master!$F$2:$F$11)</f>
        <v>35</v>
      </c>
      <c r="P348">
        <f t="shared" si="10"/>
        <v>245</v>
      </c>
      <c r="Q348" s="5">
        <f t="shared" si="11"/>
        <v>0.28153570026361546</v>
      </c>
    </row>
    <row r="349" spans="1:17" x14ac:dyDescent="0.3">
      <c r="A349" t="s">
        <v>520</v>
      </c>
      <c r="B349" t="s">
        <v>17</v>
      </c>
      <c r="C349" t="s">
        <v>223</v>
      </c>
      <c r="D349" t="s">
        <v>147</v>
      </c>
      <c r="E349" t="s">
        <v>54</v>
      </c>
      <c r="F349" t="s">
        <v>43</v>
      </c>
      <c r="G349">
        <v>1</v>
      </c>
      <c r="H349" s="4">
        <v>31.4</v>
      </c>
      <c r="I349">
        <v>31.4</v>
      </c>
      <c r="J349">
        <v>1.1399999999999999</v>
      </c>
      <c r="K349">
        <v>10.26</v>
      </c>
      <c r="L349" t="s">
        <v>44</v>
      </c>
      <c r="M349" t="s">
        <v>31</v>
      </c>
      <c r="N349" t="s">
        <v>148</v>
      </c>
      <c r="O349">
        <f>_xlfn.XLOOKUP(E349,Product_Master!$B$2:$B$11,Product_Master!$F$2:$F$11)</f>
        <v>20</v>
      </c>
      <c r="P349">
        <f t="shared" si="10"/>
        <v>20</v>
      </c>
      <c r="Q349" s="5">
        <f t="shared" si="11"/>
        <v>0.32675159235668788</v>
      </c>
    </row>
    <row r="350" spans="1:17" x14ac:dyDescent="0.3">
      <c r="A350" t="s">
        <v>521</v>
      </c>
      <c r="B350" t="s">
        <v>95</v>
      </c>
      <c r="C350" t="s">
        <v>218</v>
      </c>
      <c r="D350" t="s">
        <v>36</v>
      </c>
      <c r="E350" t="s">
        <v>73</v>
      </c>
      <c r="F350" t="s">
        <v>43</v>
      </c>
      <c r="G350">
        <v>28</v>
      </c>
      <c r="H350" s="4">
        <v>18.59</v>
      </c>
      <c r="I350">
        <v>520.52</v>
      </c>
      <c r="J350">
        <v>14.08</v>
      </c>
      <c r="K350">
        <v>149.44</v>
      </c>
      <c r="L350" t="s">
        <v>22</v>
      </c>
      <c r="M350" t="s">
        <v>23</v>
      </c>
      <c r="N350" t="s">
        <v>32</v>
      </c>
      <c r="O350">
        <f>_xlfn.XLOOKUP(E350,Product_Master!$B$2:$B$11,Product_Master!$F$2:$F$11)</f>
        <v>12.75</v>
      </c>
      <c r="P350">
        <f t="shared" si="10"/>
        <v>357</v>
      </c>
      <c r="Q350" s="5">
        <f t="shared" si="11"/>
        <v>0.28709751786674864</v>
      </c>
    </row>
    <row r="351" spans="1:17" x14ac:dyDescent="0.3">
      <c r="A351" t="s">
        <v>522</v>
      </c>
      <c r="B351" t="s">
        <v>104</v>
      </c>
      <c r="C351" t="s">
        <v>523</v>
      </c>
      <c r="D351" t="s">
        <v>123</v>
      </c>
      <c r="E351" t="s">
        <v>69</v>
      </c>
      <c r="F351" t="s">
        <v>59</v>
      </c>
      <c r="G351">
        <v>50</v>
      </c>
      <c r="H351" s="4">
        <v>20.66</v>
      </c>
      <c r="I351">
        <v>1033</v>
      </c>
      <c r="J351">
        <v>34.130000000000003</v>
      </c>
      <c r="K351">
        <v>223.87</v>
      </c>
      <c r="L351" t="s">
        <v>44</v>
      </c>
      <c r="M351" t="s">
        <v>31</v>
      </c>
      <c r="N351" t="s">
        <v>32</v>
      </c>
      <c r="O351">
        <f>_xlfn.XLOOKUP(E351,Product_Master!$B$2:$B$11,Product_Master!$F$2:$F$11)</f>
        <v>15.5</v>
      </c>
      <c r="P351">
        <f t="shared" si="10"/>
        <v>775</v>
      </c>
      <c r="Q351" s="5">
        <f t="shared" si="11"/>
        <v>0.21671829622458857</v>
      </c>
    </row>
    <row r="352" spans="1:17" x14ac:dyDescent="0.3">
      <c r="A352" t="s">
        <v>524</v>
      </c>
      <c r="B352" t="s">
        <v>17</v>
      </c>
      <c r="C352" t="s">
        <v>175</v>
      </c>
      <c r="D352" t="s">
        <v>63</v>
      </c>
      <c r="E352" t="s">
        <v>20</v>
      </c>
      <c r="F352" t="s">
        <v>21</v>
      </c>
      <c r="G352">
        <v>4</v>
      </c>
      <c r="H352" s="4">
        <v>46.62</v>
      </c>
      <c r="I352">
        <v>186.48</v>
      </c>
      <c r="J352">
        <v>13.29</v>
      </c>
      <c r="K352">
        <v>33.19</v>
      </c>
      <c r="L352" t="s">
        <v>30</v>
      </c>
      <c r="M352" t="s">
        <v>23</v>
      </c>
      <c r="N352" t="s">
        <v>66</v>
      </c>
      <c r="O352">
        <f>_xlfn.XLOOKUP(E352,Product_Master!$B$2:$B$11,Product_Master!$F$2:$F$11)</f>
        <v>35</v>
      </c>
      <c r="P352">
        <f t="shared" si="10"/>
        <v>140</v>
      </c>
      <c r="Q352" s="5">
        <f t="shared" si="11"/>
        <v>0.17798155298155299</v>
      </c>
    </row>
    <row r="353" spans="1:17" x14ac:dyDescent="0.3">
      <c r="A353" t="s">
        <v>525</v>
      </c>
      <c r="B353" t="s">
        <v>17</v>
      </c>
      <c r="C353" t="s">
        <v>484</v>
      </c>
      <c r="D353" t="s">
        <v>101</v>
      </c>
      <c r="E353" t="s">
        <v>69</v>
      </c>
      <c r="F353" t="s">
        <v>59</v>
      </c>
      <c r="G353">
        <v>37</v>
      </c>
      <c r="H353" s="4">
        <v>21.81</v>
      </c>
      <c r="I353">
        <v>806.97</v>
      </c>
      <c r="J353">
        <v>19.63</v>
      </c>
      <c r="K353">
        <v>213.84</v>
      </c>
      <c r="L353" t="s">
        <v>44</v>
      </c>
      <c r="M353" t="s">
        <v>37</v>
      </c>
      <c r="N353" t="s">
        <v>102</v>
      </c>
      <c r="O353">
        <f>_xlfn.XLOOKUP(E353,Product_Master!$B$2:$B$11,Product_Master!$F$2:$F$11)</f>
        <v>15.5</v>
      </c>
      <c r="P353">
        <f t="shared" si="10"/>
        <v>573.5</v>
      </c>
      <c r="Q353" s="5">
        <f t="shared" si="11"/>
        <v>0.26499126361574782</v>
      </c>
    </row>
    <row r="354" spans="1:17" x14ac:dyDescent="0.3">
      <c r="A354" t="s">
        <v>526</v>
      </c>
      <c r="B354" t="s">
        <v>34</v>
      </c>
      <c r="C354" t="s">
        <v>153</v>
      </c>
      <c r="D354" t="s">
        <v>63</v>
      </c>
      <c r="E354" t="s">
        <v>69</v>
      </c>
      <c r="F354" t="s">
        <v>59</v>
      </c>
      <c r="G354">
        <v>48</v>
      </c>
      <c r="H354" s="4">
        <v>26.68</v>
      </c>
      <c r="I354">
        <v>1280.6400000000001</v>
      </c>
      <c r="J354">
        <v>55.36</v>
      </c>
      <c r="K354">
        <v>481.28</v>
      </c>
      <c r="L354" t="s">
        <v>22</v>
      </c>
      <c r="M354" t="s">
        <v>31</v>
      </c>
      <c r="N354" t="s">
        <v>66</v>
      </c>
      <c r="O354">
        <f>_xlfn.XLOOKUP(E354,Product_Master!$B$2:$B$11,Product_Master!$F$2:$F$11)</f>
        <v>15.5</v>
      </c>
      <c r="P354">
        <f t="shared" si="10"/>
        <v>744</v>
      </c>
      <c r="Q354" s="5">
        <f t="shared" si="11"/>
        <v>0.37581209395302345</v>
      </c>
    </row>
    <row r="355" spans="1:17" x14ac:dyDescent="0.3">
      <c r="A355" t="s">
        <v>527</v>
      </c>
      <c r="B355" t="s">
        <v>61</v>
      </c>
      <c r="C355" t="s">
        <v>137</v>
      </c>
      <c r="D355" t="s">
        <v>41</v>
      </c>
      <c r="E355" t="s">
        <v>64</v>
      </c>
      <c r="F355" t="s">
        <v>65</v>
      </c>
      <c r="G355">
        <v>24</v>
      </c>
      <c r="H355" s="4">
        <v>42.82</v>
      </c>
      <c r="I355">
        <v>1027.68</v>
      </c>
      <c r="J355">
        <v>69.95</v>
      </c>
      <c r="K355">
        <v>357.73</v>
      </c>
      <c r="L355" t="s">
        <v>22</v>
      </c>
      <c r="M355" t="s">
        <v>23</v>
      </c>
      <c r="N355" t="s">
        <v>45</v>
      </c>
      <c r="O355">
        <f>_xlfn.XLOOKUP(E355,Product_Master!$B$2:$B$11,Product_Master!$F$2:$F$11)</f>
        <v>25</v>
      </c>
      <c r="P355">
        <f t="shared" si="10"/>
        <v>600</v>
      </c>
      <c r="Q355" s="5">
        <f t="shared" si="11"/>
        <v>0.34809473766152887</v>
      </c>
    </row>
    <row r="356" spans="1:17" x14ac:dyDescent="0.3">
      <c r="A356" t="s">
        <v>528</v>
      </c>
      <c r="B356" t="s">
        <v>17</v>
      </c>
      <c r="C356" t="s">
        <v>139</v>
      </c>
      <c r="D356" t="s">
        <v>147</v>
      </c>
      <c r="E356" t="s">
        <v>58</v>
      </c>
      <c r="F356" t="s">
        <v>59</v>
      </c>
      <c r="G356">
        <v>26</v>
      </c>
      <c r="H356" s="4">
        <v>34.4</v>
      </c>
      <c r="I356">
        <v>894.4</v>
      </c>
      <c r="J356">
        <v>40.42</v>
      </c>
      <c r="K356">
        <v>268.98</v>
      </c>
      <c r="L356" t="s">
        <v>22</v>
      </c>
      <c r="M356" t="s">
        <v>23</v>
      </c>
      <c r="N356" t="s">
        <v>148</v>
      </c>
      <c r="O356">
        <f>_xlfn.XLOOKUP(E356,Product_Master!$B$2:$B$11,Product_Master!$F$2:$F$11)</f>
        <v>22.5</v>
      </c>
      <c r="P356">
        <f t="shared" si="10"/>
        <v>585</v>
      </c>
      <c r="Q356" s="5">
        <f t="shared" si="11"/>
        <v>0.3007379248658319</v>
      </c>
    </row>
    <row r="357" spans="1:17" x14ac:dyDescent="0.3">
      <c r="A357" t="s">
        <v>529</v>
      </c>
      <c r="B357" t="s">
        <v>56</v>
      </c>
      <c r="C357" t="s">
        <v>221</v>
      </c>
      <c r="D357" t="s">
        <v>36</v>
      </c>
      <c r="E357" t="s">
        <v>20</v>
      </c>
      <c r="F357" t="s">
        <v>21</v>
      </c>
      <c r="G357">
        <v>47</v>
      </c>
      <c r="H357" s="4">
        <v>44.89</v>
      </c>
      <c r="I357">
        <v>2109.83</v>
      </c>
      <c r="J357">
        <v>45.91</v>
      </c>
      <c r="K357">
        <v>418.92</v>
      </c>
      <c r="L357" t="s">
        <v>22</v>
      </c>
      <c r="M357" t="s">
        <v>31</v>
      </c>
      <c r="N357" t="s">
        <v>32</v>
      </c>
      <c r="O357">
        <f>_xlfn.XLOOKUP(E357,Product_Master!$B$2:$B$11,Product_Master!$F$2:$F$11)</f>
        <v>35</v>
      </c>
      <c r="P357">
        <f t="shared" si="10"/>
        <v>1645</v>
      </c>
      <c r="Q357" s="5">
        <f t="shared" si="11"/>
        <v>0.19855628178573631</v>
      </c>
    </row>
    <row r="358" spans="1:17" x14ac:dyDescent="0.3">
      <c r="A358" t="s">
        <v>530</v>
      </c>
      <c r="B358" t="s">
        <v>78</v>
      </c>
      <c r="C358" t="s">
        <v>198</v>
      </c>
      <c r="D358" t="s">
        <v>63</v>
      </c>
      <c r="E358" t="s">
        <v>69</v>
      </c>
      <c r="F358" t="s">
        <v>59</v>
      </c>
      <c r="G358">
        <v>1</v>
      </c>
      <c r="H358" s="4">
        <v>18.739999999999998</v>
      </c>
      <c r="I358">
        <v>18.739999999999998</v>
      </c>
      <c r="J358">
        <v>0.5</v>
      </c>
      <c r="K358">
        <v>2.74</v>
      </c>
      <c r="L358" t="s">
        <v>44</v>
      </c>
      <c r="M358" t="s">
        <v>31</v>
      </c>
      <c r="N358" t="s">
        <v>66</v>
      </c>
      <c r="O358">
        <f>_xlfn.XLOOKUP(E358,Product_Master!$B$2:$B$11,Product_Master!$F$2:$F$11)</f>
        <v>15.5</v>
      </c>
      <c r="P358">
        <f t="shared" si="10"/>
        <v>15.5</v>
      </c>
      <c r="Q358" s="5">
        <f t="shared" si="11"/>
        <v>0.14621131270010676</v>
      </c>
    </row>
    <row r="359" spans="1:17" x14ac:dyDescent="0.3">
      <c r="A359" t="s">
        <v>531</v>
      </c>
      <c r="B359" t="s">
        <v>78</v>
      </c>
      <c r="C359" t="s">
        <v>189</v>
      </c>
      <c r="D359" t="s">
        <v>81</v>
      </c>
      <c r="E359" t="s">
        <v>58</v>
      </c>
      <c r="F359" t="s">
        <v>59</v>
      </c>
      <c r="G359">
        <v>27</v>
      </c>
      <c r="H359" s="4">
        <v>36.270000000000003</v>
      </c>
      <c r="I359">
        <v>979.29</v>
      </c>
      <c r="J359">
        <v>54.58</v>
      </c>
      <c r="K359">
        <v>317.20999999999998</v>
      </c>
      <c r="L359" t="s">
        <v>30</v>
      </c>
      <c r="M359" t="s">
        <v>31</v>
      </c>
      <c r="N359" t="s">
        <v>66</v>
      </c>
      <c r="O359">
        <f>_xlfn.XLOOKUP(E359,Product_Master!$B$2:$B$11,Product_Master!$F$2:$F$11)</f>
        <v>22.5</v>
      </c>
      <c r="P359">
        <f t="shared" si="10"/>
        <v>607.5</v>
      </c>
      <c r="Q359" s="5">
        <f t="shared" si="11"/>
        <v>0.32391834900795474</v>
      </c>
    </row>
    <row r="360" spans="1:17" x14ac:dyDescent="0.3">
      <c r="A360" t="s">
        <v>532</v>
      </c>
      <c r="B360" t="s">
        <v>39</v>
      </c>
      <c r="C360" t="s">
        <v>110</v>
      </c>
      <c r="D360" t="s">
        <v>170</v>
      </c>
      <c r="E360" t="s">
        <v>73</v>
      </c>
      <c r="F360" t="s">
        <v>43</v>
      </c>
      <c r="G360">
        <v>13</v>
      </c>
      <c r="H360" s="4">
        <v>18.82</v>
      </c>
      <c r="I360">
        <v>244.66</v>
      </c>
      <c r="J360">
        <v>6.49</v>
      </c>
      <c r="K360">
        <v>72.42</v>
      </c>
      <c r="L360" t="s">
        <v>44</v>
      </c>
      <c r="M360" t="s">
        <v>31</v>
      </c>
      <c r="N360" t="s">
        <v>32</v>
      </c>
      <c r="O360">
        <f>_xlfn.XLOOKUP(E360,Product_Master!$B$2:$B$11,Product_Master!$F$2:$F$11)</f>
        <v>12.75</v>
      </c>
      <c r="P360">
        <f t="shared" si="10"/>
        <v>165.75</v>
      </c>
      <c r="Q360" s="5">
        <f t="shared" si="11"/>
        <v>0.29600261587509197</v>
      </c>
    </row>
    <row r="361" spans="1:17" x14ac:dyDescent="0.3">
      <c r="A361" t="s">
        <v>533</v>
      </c>
      <c r="B361" t="s">
        <v>26</v>
      </c>
      <c r="C361" t="s">
        <v>361</v>
      </c>
      <c r="D361" t="s">
        <v>147</v>
      </c>
      <c r="E361" t="s">
        <v>98</v>
      </c>
      <c r="F361" t="s">
        <v>59</v>
      </c>
      <c r="G361">
        <v>41</v>
      </c>
      <c r="H361" s="4">
        <v>43.19</v>
      </c>
      <c r="I361">
        <v>1770.79</v>
      </c>
      <c r="J361">
        <v>83.28</v>
      </c>
      <c r="K361">
        <v>539.51</v>
      </c>
      <c r="L361" t="s">
        <v>30</v>
      </c>
      <c r="M361" t="s">
        <v>23</v>
      </c>
      <c r="N361" t="s">
        <v>148</v>
      </c>
      <c r="O361">
        <f>_xlfn.XLOOKUP(E361,Product_Master!$B$2:$B$11,Product_Master!$F$2:$F$11)</f>
        <v>28</v>
      </c>
      <c r="P361">
        <f t="shared" si="10"/>
        <v>1148</v>
      </c>
      <c r="Q361" s="5">
        <f t="shared" si="11"/>
        <v>0.30467192608948551</v>
      </c>
    </row>
    <row r="362" spans="1:17" x14ac:dyDescent="0.3">
      <c r="A362" t="s">
        <v>534</v>
      </c>
      <c r="B362" t="s">
        <v>86</v>
      </c>
      <c r="C362" t="s">
        <v>76</v>
      </c>
      <c r="D362" t="s">
        <v>63</v>
      </c>
      <c r="E362" t="s">
        <v>98</v>
      </c>
      <c r="F362" t="s">
        <v>59</v>
      </c>
      <c r="G362">
        <v>40</v>
      </c>
      <c r="H362" s="4">
        <v>42.31</v>
      </c>
      <c r="I362">
        <v>1692.4</v>
      </c>
      <c r="J362">
        <v>118.59</v>
      </c>
      <c r="K362">
        <v>453.81</v>
      </c>
      <c r="L362" t="s">
        <v>30</v>
      </c>
      <c r="M362" t="s">
        <v>37</v>
      </c>
      <c r="N362" t="s">
        <v>66</v>
      </c>
      <c r="O362">
        <f>_xlfn.XLOOKUP(E362,Product_Master!$B$2:$B$11,Product_Master!$F$2:$F$11)</f>
        <v>28</v>
      </c>
      <c r="P362">
        <f t="shared" si="10"/>
        <v>1120</v>
      </c>
      <c r="Q362" s="5">
        <f t="shared" si="11"/>
        <v>0.26814582840935947</v>
      </c>
    </row>
    <row r="363" spans="1:17" x14ac:dyDescent="0.3">
      <c r="A363" t="s">
        <v>535</v>
      </c>
      <c r="B363" t="s">
        <v>61</v>
      </c>
      <c r="C363" t="s">
        <v>295</v>
      </c>
      <c r="D363" t="s">
        <v>196</v>
      </c>
      <c r="E363" t="s">
        <v>42</v>
      </c>
      <c r="F363" t="s">
        <v>43</v>
      </c>
      <c r="G363">
        <v>1</v>
      </c>
      <c r="H363" s="4">
        <v>57.15</v>
      </c>
      <c r="I363">
        <v>57.15</v>
      </c>
      <c r="J363">
        <v>4.1100000000000003</v>
      </c>
      <c r="K363">
        <v>21.04</v>
      </c>
      <c r="L363" t="s">
        <v>30</v>
      </c>
      <c r="M363" t="s">
        <v>23</v>
      </c>
      <c r="N363" t="s">
        <v>66</v>
      </c>
      <c r="O363">
        <f>_xlfn.XLOOKUP(E363,Product_Master!$B$2:$B$11,Product_Master!$F$2:$F$11)</f>
        <v>32</v>
      </c>
      <c r="P363">
        <f t="shared" si="10"/>
        <v>32</v>
      </c>
      <c r="Q363" s="5">
        <f t="shared" si="11"/>
        <v>0.36815398075240596</v>
      </c>
    </row>
    <row r="364" spans="1:17" x14ac:dyDescent="0.3">
      <c r="A364" t="s">
        <v>536</v>
      </c>
      <c r="B364" t="s">
        <v>107</v>
      </c>
      <c r="C364" t="s">
        <v>187</v>
      </c>
      <c r="D364" t="s">
        <v>48</v>
      </c>
      <c r="E364" t="s">
        <v>54</v>
      </c>
      <c r="F364" t="s">
        <v>43</v>
      </c>
      <c r="G364">
        <v>15</v>
      </c>
      <c r="H364" s="4">
        <v>30.03</v>
      </c>
      <c r="I364">
        <v>450.45</v>
      </c>
      <c r="J364">
        <v>29.99</v>
      </c>
      <c r="K364">
        <v>120.46</v>
      </c>
      <c r="L364" t="s">
        <v>44</v>
      </c>
      <c r="M364" t="s">
        <v>31</v>
      </c>
      <c r="N364" t="s">
        <v>24</v>
      </c>
      <c r="O364">
        <f>_xlfn.XLOOKUP(E364,Product_Master!$B$2:$B$11,Product_Master!$F$2:$F$11)</f>
        <v>20</v>
      </c>
      <c r="P364">
        <f t="shared" si="10"/>
        <v>300</v>
      </c>
      <c r="Q364" s="5">
        <f t="shared" si="11"/>
        <v>0.26742146742146744</v>
      </c>
    </row>
    <row r="365" spans="1:17" x14ac:dyDescent="0.3">
      <c r="A365" t="s">
        <v>537</v>
      </c>
      <c r="B365" t="s">
        <v>107</v>
      </c>
      <c r="C365" t="s">
        <v>180</v>
      </c>
      <c r="D365" t="s">
        <v>41</v>
      </c>
      <c r="E365" t="s">
        <v>54</v>
      </c>
      <c r="F365" t="s">
        <v>43</v>
      </c>
      <c r="G365">
        <v>48</v>
      </c>
      <c r="H365" s="4">
        <v>30.91</v>
      </c>
      <c r="I365">
        <v>1483.68</v>
      </c>
      <c r="J365">
        <v>85.5</v>
      </c>
      <c r="K365">
        <v>438.18</v>
      </c>
      <c r="L365" t="s">
        <v>22</v>
      </c>
      <c r="M365" t="s">
        <v>31</v>
      </c>
      <c r="N365" t="s">
        <v>45</v>
      </c>
      <c r="O365">
        <f>_xlfn.XLOOKUP(E365,Product_Master!$B$2:$B$11,Product_Master!$F$2:$F$11)</f>
        <v>20</v>
      </c>
      <c r="P365">
        <f t="shared" si="10"/>
        <v>960</v>
      </c>
      <c r="Q365" s="5">
        <f t="shared" si="11"/>
        <v>0.29533322549336782</v>
      </c>
    </row>
    <row r="366" spans="1:17" x14ac:dyDescent="0.3">
      <c r="A366" t="s">
        <v>538</v>
      </c>
      <c r="B366" t="s">
        <v>157</v>
      </c>
      <c r="C366" t="s">
        <v>342</v>
      </c>
      <c r="D366" t="s">
        <v>53</v>
      </c>
      <c r="E366" t="s">
        <v>58</v>
      </c>
      <c r="F366" t="s">
        <v>59</v>
      </c>
      <c r="G366">
        <v>8</v>
      </c>
      <c r="H366" s="4">
        <v>32.19</v>
      </c>
      <c r="I366">
        <v>257.52</v>
      </c>
      <c r="J366">
        <v>11.85</v>
      </c>
      <c r="K366">
        <v>65.67</v>
      </c>
      <c r="L366" t="s">
        <v>22</v>
      </c>
      <c r="M366" t="s">
        <v>23</v>
      </c>
      <c r="N366" t="s">
        <v>24</v>
      </c>
      <c r="O366">
        <f>_xlfn.XLOOKUP(E366,Product_Master!$B$2:$B$11,Product_Master!$F$2:$F$11)</f>
        <v>22.5</v>
      </c>
      <c r="P366">
        <f t="shared" si="10"/>
        <v>180</v>
      </c>
      <c r="Q366" s="5">
        <f t="shared" si="11"/>
        <v>0.25500931966449208</v>
      </c>
    </row>
    <row r="367" spans="1:17" x14ac:dyDescent="0.3">
      <c r="A367" t="s">
        <v>539</v>
      </c>
      <c r="B367" t="s">
        <v>71</v>
      </c>
      <c r="C367" t="s">
        <v>166</v>
      </c>
      <c r="D367" t="s">
        <v>88</v>
      </c>
      <c r="E367" t="s">
        <v>49</v>
      </c>
      <c r="F367" t="s">
        <v>50</v>
      </c>
      <c r="G367">
        <v>22</v>
      </c>
      <c r="H367" s="4">
        <v>60.75</v>
      </c>
      <c r="I367">
        <v>1336.5</v>
      </c>
      <c r="J367">
        <v>38.340000000000003</v>
      </c>
      <c r="K367">
        <v>418.16</v>
      </c>
      <c r="L367" t="s">
        <v>22</v>
      </c>
      <c r="M367" t="s">
        <v>31</v>
      </c>
      <c r="N367" t="s">
        <v>66</v>
      </c>
      <c r="O367">
        <f>_xlfn.XLOOKUP(E367,Product_Master!$B$2:$B$11,Product_Master!$F$2:$F$11)</f>
        <v>40</v>
      </c>
      <c r="P367">
        <f t="shared" si="10"/>
        <v>880</v>
      </c>
      <c r="Q367" s="5">
        <f t="shared" si="11"/>
        <v>0.3128769173213618</v>
      </c>
    </row>
    <row r="368" spans="1:17" x14ac:dyDescent="0.3">
      <c r="A368" t="s">
        <v>540</v>
      </c>
      <c r="B368" t="s">
        <v>104</v>
      </c>
      <c r="C368" t="s">
        <v>137</v>
      </c>
      <c r="D368" t="s">
        <v>36</v>
      </c>
      <c r="E368" t="s">
        <v>49</v>
      </c>
      <c r="F368" t="s">
        <v>50</v>
      </c>
      <c r="G368">
        <v>38</v>
      </c>
      <c r="H368" s="4">
        <v>66.06</v>
      </c>
      <c r="I368">
        <v>2510.2800000000002</v>
      </c>
      <c r="J368">
        <v>50.37</v>
      </c>
      <c r="K368">
        <v>939.91</v>
      </c>
      <c r="L368" t="s">
        <v>22</v>
      </c>
      <c r="M368" t="s">
        <v>23</v>
      </c>
      <c r="N368" t="s">
        <v>32</v>
      </c>
      <c r="O368">
        <f>_xlfn.XLOOKUP(E368,Product_Master!$B$2:$B$11,Product_Master!$F$2:$F$11)</f>
        <v>40</v>
      </c>
      <c r="P368">
        <f t="shared" si="10"/>
        <v>1520</v>
      </c>
      <c r="Q368" s="5">
        <f t="shared" si="11"/>
        <v>0.37442436700288412</v>
      </c>
    </row>
    <row r="369" spans="1:17" x14ac:dyDescent="0.3">
      <c r="A369" t="s">
        <v>541</v>
      </c>
      <c r="B369" t="s">
        <v>68</v>
      </c>
      <c r="C369" t="s">
        <v>114</v>
      </c>
      <c r="D369" t="s">
        <v>19</v>
      </c>
      <c r="E369" t="s">
        <v>20</v>
      </c>
      <c r="F369" t="s">
        <v>21</v>
      </c>
      <c r="G369">
        <v>33</v>
      </c>
      <c r="H369" s="4">
        <v>50.88</v>
      </c>
      <c r="I369">
        <v>1679.04</v>
      </c>
      <c r="J369">
        <v>61.48</v>
      </c>
      <c r="K369">
        <v>462.56</v>
      </c>
      <c r="L369" t="s">
        <v>22</v>
      </c>
      <c r="M369" t="s">
        <v>31</v>
      </c>
      <c r="N369" t="s">
        <v>24</v>
      </c>
      <c r="O369">
        <f>_xlfn.XLOOKUP(E369,Product_Master!$B$2:$B$11,Product_Master!$F$2:$F$11)</f>
        <v>35</v>
      </c>
      <c r="P369">
        <f t="shared" si="10"/>
        <v>1155</v>
      </c>
      <c r="Q369" s="5">
        <f t="shared" si="11"/>
        <v>0.27549075662283212</v>
      </c>
    </row>
    <row r="370" spans="1:17" x14ac:dyDescent="0.3">
      <c r="A370" t="s">
        <v>542</v>
      </c>
      <c r="B370" t="s">
        <v>95</v>
      </c>
      <c r="C370" t="s">
        <v>280</v>
      </c>
      <c r="D370" t="s">
        <v>63</v>
      </c>
      <c r="E370" t="s">
        <v>98</v>
      </c>
      <c r="F370" t="s">
        <v>59</v>
      </c>
      <c r="G370">
        <v>49</v>
      </c>
      <c r="H370" s="4">
        <v>34.479999999999997</v>
      </c>
      <c r="I370">
        <v>1689.52</v>
      </c>
      <c r="J370">
        <v>53.06</v>
      </c>
      <c r="K370">
        <v>264.45999999999998</v>
      </c>
      <c r="L370" t="s">
        <v>44</v>
      </c>
      <c r="M370" t="s">
        <v>37</v>
      </c>
      <c r="N370" t="s">
        <v>66</v>
      </c>
      <c r="O370">
        <f>_xlfn.XLOOKUP(E370,Product_Master!$B$2:$B$11,Product_Master!$F$2:$F$11)</f>
        <v>28</v>
      </c>
      <c r="P370">
        <f t="shared" si="10"/>
        <v>1372</v>
      </c>
      <c r="Q370" s="5">
        <f t="shared" si="11"/>
        <v>0.15652966523036127</v>
      </c>
    </row>
    <row r="371" spans="1:17" x14ac:dyDescent="0.3">
      <c r="A371" t="s">
        <v>543</v>
      </c>
      <c r="B371" t="s">
        <v>157</v>
      </c>
      <c r="C371" t="s">
        <v>187</v>
      </c>
      <c r="D371" t="s">
        <v>91</v>
      </c>
      <c r="E371" t="s">
        <v>54</v>
      </c>
      <c r="F371" t="s">
        <v>43</v>
      </c>
      <c r="G371">
        <v>31</v>
      </c>
      <c r="H371" s="4">
        <v>25.43</v>
      </c>
      <c r="I371">
        <v>788.33</v>
      </c>
      <c r="J371">
        <v>57.81</v>
      </c>
      <c r="K371">
        <v>110.52</v>
      </c>
      <c r="L371" t="s">
        <v>22</v>
      </c>
      <c r="M371" t="s">
        <v>31</v>
      </c>
      <c r="N371" t="s">
        <v>66</v>
      </c>
      <c r="O371">
        <f>_xlfn.XLOOKUP(E371,Product_Master!$B$2:$B$11,Product_Master!$F$2:$F$11)</f>
        <v>20</v>
      </c>
      <c r="P371">
        <f t="shared" si="10"/>
        <v>620</v>
      </c>
      <c r="Q371" s="5">
        <f t="shared" si="11"/>
        <v>0.14019509596235077</v>
      </c>
    </row>
    <row r="372" spans="1:17" x14ac:dyDescent="0.3">
      <c r="A372" t="s">
        <v>544</v>
      </c>
      <c r="B372" t="s">
        <v>83</v>
      </c>
      <c r="C372" t="s">
        <v>245</v>
      </c>
      <c r="D372" t="s">
        <v>170</v>
      </c>
      <c r="E372" t="s">
        <v>54</v>
      </c>
      <c r="F372" t="s">
        <v>43</v>
      </c>
      <c r="G372">
        <v>29</v>
      </c>
      <c r="H372" s="4">
        <v>31.68</v>
      </c>
      <c r="I372">
        <v>918.72</v>
      </c>
      <c r="J372">
        <v>22.22</v>
      </c>
      <c r="K372">
        <v>316.5</v>
      </c>
      <c r="L372" t="s">
        <v>44</v>
      </c>
      <c r="M372" t="s">
        <v>23</v>
      </c>
      <c r="N372" t="s">
        <v>32</v>
      </c>
      <c r="O372">
        <f>_xlfn.XLOOKUP(E372,Product_Master!$B$2:$B$11,Product_Master!$F$2:$F$11)</f>
        <v>20</v>
      </c>
      <c r="P372">
        <f t="shared" si="10"/>
        <v>580</v>
      </c>
      <c r="Q372" s="5">
        <f t="shared" si="11"/>
        <v>0.34450104493207939</v>
      </c>
    </row>
    <row r="373" spans="1:17" x14ac:dyDescent="0.3">
      <c r="A373" t="s">
        <v>545</v>
      </c>
      <c r="B373" t="s">
        <v>104</v>
      </c>
      <c r="C373" t="s">
        <v>373</v>
      </c>
      <c r="D373" t="s">
        <v>81</v>
      </c>
      <c r="E373" t="s">
        <v>98</v>
      </c>
      <c r="F373" t="s">
        <v>59</v>
      </c>
      <c r="G373">
        <v>42</v>
      </c>
      <c r="H373" s="4">
        <v>33.89</v>
      </c>
      <c r="I373">
        <v>1423.38</v>
      </c>
      <c r="J373">
        <v>85.4</v>
      </c>
      <c r="K373">
        <v>161.97999999999999</v>
      </c>
      <c r="L373" t="s">
        <v>44</v>
      </c>
      <c r="M373" t="s">
        <v>23</v>
      </c>
      <c r="N373" t="s">
        <v>66</v>
      </c>
      <c r="O373">
        <f>_xlfn.XLOOKUP(E373,Product_Master!$B$2:$B$11,Product_Master!$F$2:$F$11)</f>
        <v>28</v>
      </c>
      <c r="P373">
        <f t="shared" si="10"/>
        <v>1176</v>
      </c>
      <c r="Q373" s="5">
        <f t="shared" si="11"/>
        <v>0.11379954755581782</v>
      </c>
    </row>
    <row r="374" spans="1:17" x14ac:dyDescent="0.3">
      <c r="A374" t="s">
        <v>546</v>
      </c>
      <c r="B374" t="s">
        <v>68</v>
      </c>
      <c r="C374" t="s">
        <v>57</v>
      </c>
      <c r="D374" t="s">
        <v>81</v>
      </c>
      <c r="E374" t="s">
        <v>29</v>
      </c>
      <c r="F374" t="s">
        <v>21</v>
      </c>
      <c r="G374">
        <v>13</v>
      </c>
      <c r="H374" s="4">
        <v>21.75</v>
      </c>
      <c r="I374">
        <v>282.75</v>
      </c>
      <c r="J374">
        <v>12.5</v>
      </c>
      <c r="K374">
        <v>36.25</v>
      </c>
      <c r="L374" t="s">
        <v>44</v>
      </c>
      <c r="M374" t="s">
        <v>31</v>
      </c>
      <c r="N374" t="s">
        <v>66</v>
      </c>
      <c r="O374">
        <f>_xlfn.XLOOKUP(E374,Product_Master!$B$2:$B$11,Product_Master!$F$2:$F$11)</f>
        <v>18</v>
      </c>
      <c r="P374">
        <f t="shared" si="10"/>
        <v>234</v>
      </c>
      <c r="Q374" s="5">
        <f t="shared" si="11"/>
        <v>0.12820512820512819</v>
      </c>
    </row>
    <row r="375" spans="1:17" x14ac:dyDescent="0.3">
      <c r="A375" t="s">
        <v>547</v>
      </c>
      <c r="B375" t="s">
        <v>86</v>
      </c>
      <c r="C375" t="s">
        <v>117</v>
      </c>
      <c r="D375" t="s">
        <v>91</v>
      </c>
      <c r="E375" t="s">
        <v>58</v>
      </c>
      <c r="F375" t="s">
        <v>59</v>
      </c>
      <c r="G375">
        <v>25</v>
      </c>
      <c r="H375" s="4">
        <v>37.58</v>
      </c>
      <c r="I375">
        <v>939.5</v>
      </c>
      <c r="J375">
        <v>48.44</v>
      </c>
      <c r="K375">
        <v>328.56</v>
      </c>
      <c r="L375" t="s">
        <v>44</v>
      </c>
      <c r="M375" t="s">
        <v>37</v>
      </c>
      <c r="N375" t="s">
        <v>66</v>
      </c>
      <c r="O375">
        <f>_xlfn.XLOOKUP(E375,Product_Master!$B$2:$B$11,Product_Master!$F$2:$F$11)</f>
        <v>22.5</v>
      </c>
      <c r="P375">
        <f t="shared" si="10"/>
        <v>562.5</v>
      </c>
      <c r="Q375" s="5">
        <f t="shared" si="11"/>
        <v>0.34971793507184673</v>
      </c>
    </row>
    <row r="376" spans="1:17" x14ac:dyDescent="0.3">
      <c r="A376" t="s">
        <v>548</v>
      </c>
      <c r="B376" t="s">
        <v>26</v>
      </c>
      <c r="C376" t="s">
        <v>322</v>
      </c>
      <c r="D376" t="s">
        <v>170</v>
      </c>
      <c r="E376" t="s">
        <v>54</v>
      </c>
      <c r="F376" t="s">
        <v>43</v>
      </c>
      <c r="G376">
        <v>16</v>
      </c>
      <c r="H376" s="4">
        <v>25.25</v>
      </c>
      <c r="I376">
        <v>404</v>
      </c>
      <c r="J376">
        <v>18.75</v>
      </c>
      <c r="K376">
        <v>65.25</v>
      </c>
      <c r="L376" t="s">
        <v>30</v>
      </c>
      <c r="M376" t="s">
        <v>37</v>
      </c>
      <c r="N376" t="s">
        <v>32</v>
      </c>
      <c r="O376">
        <f>_xlfn.XLOOKUP(E376,Product_Master!$B$2:$B$11,Product_Master!$F$2:$F$11)</f>
        <v>20</v>
      </c>
      <c r="P376">
        <f t="shared" si="10"/>
        <v>320</v>
      </c>
      <c r="Q376" s="5">
        <f t="shared" si="11"/>
        <v>0.16150990099009901</v>
      </c>
    </row>
    <row r="377" spans="1:17" x14ac:dyDescent="0.3">
      <c r="A377" t="s">
        <v>549</v>
      </c>
      <c r="B377" t="s">
        <v>68</v>
      </c>
      <c r="C377" t="s">
        <v>259</v>
      </c>
      <c r="D377" t="s">
        <v>91</v>
      </c>
      <c r="E377" t="s">
        <v>69</v>
      </c>
      <c r="F377" t="s">
        <v>59</v>
      </c>
      <c r="G377">
        <v>37</v>
      </c>
      <c r="H377" s="4">
        <v>25.85</v>
      </c>
      <c r="I377">
        <v>956.45</v>
      </c>
      <c r="J377">
        <v>31.7</v>
      </c>
      <c r="K377">
        <v>351.25</v>
      </c>
      <c r="L377" t="s">
        <v>44</v>
      </c>
      <c r="M377" t="s">
        <v>37</v>
      </c>
      <c r="N377" t="s">
        <v>66</v>
      </c>
      <c r="O377">
        <f>_xlfn.XLOOKUP(E377,Product_Master!$B$2:$B$11,Product_Master!$F$2:$F$11)</f>
        <v>15.5</v>
      </c>
      <c r="P377">
        <f t="shared" si="10"/>
        <v>573.5</v>
      </c>
      <c r="Q377" s="5">
        <f t="shared" si="11"/>
        <v>0.3672434523498353</v>
      </c>
    </row>
    <row r="378" spans="1:17" x14ac:dyDescent="0.3">
      <c r="A378" t="s">
        <v>550</v>
      </c>
      <c r="B378" t="s">
        <v>17</v>
      </c>
      <c r="C378" t="s">
        <v>62</v>
      </c>
      <c r="D378" t="s">
        <v>81</v>
      </c>
      <c r="E378" t="s">
        <v>54</v>
      </c>
      <c r="F378" t="s">
        <v>43</v>
      </c>
      <c r="G378">
        <v>1</v>
      </c>
      <c r="H378" s="4">
        <v>25.72</v>
      </c>
      <c r="I378">
        <v>25.72</v>
      </c>
      <c r="J378">
        <v>2.04</v>
      </c>
      <c r="K378">
        <v>3.68</v>
      </c>
      <c r="L378" t="s">
        <v>44</v>
      </c>
      <c r="M378" t="s">
        <v>37</v>
      </c>
      <c r="N378" t="s">
        <v>66</v>
      </c>
      <c r="O378">
        <f>_xlfn.XLOOKUP(E378,Product_Master!$B$2:$B$11,Product_Master!$F$2:$F$11)</f>
        <v>20</v>
      </c>
      <c r="P378">
        <f t="shared" si="10"/>
        <v>20</v>
      </c>
      <c r="Q378" s="5">
        <f t="shared" si="11"/>
        <v>0.14307931570762053</v>
      </c>
    </row>
    <row r="379" spans="1:17" x14ac:dyDescent="0.3">
      <c r="A379" t="s">
        <v>551</v>
      </c>
      <c r="B379" t="s">
        <v>132</v>
      </c>
      <c r="C379" t="s">
        <v>361</v>
      </c>
      <c r="D379" t="s">
        <v>81</v>
      </c>
      <c r="E379" t="s">
        <v>98</v>
      </c>
      <c r="F379" t="s">
        <v>59</v>
      </c>
      <c r="G379">
        <v>48</v>
      </c>
      <c r="H379" s="4">
        <v>47.05</v>
      </c>
      <c r="I379">
        <v>2258.4</v>
      </c>
      <c r="J379">
        <v>179.44</v>
      </c>
      <c r="K379">
        <v>734.96</v>
      </c>
      <c r="L379" t="s">
        <v>30</v>
      </c>
      <c r="M379" t="s">
        <v>31</v>
      </c>
      <c r="N379" t="s">
        <v>66</v>
      </c>
      <c r="O379">
        <f>_xlfn.XLOOKUP(E379,Product_Master!$B$2:$B$11,Product_Master!$F$2:$F$11)</f>
        <v>28</v>
      </c>
      <c r="P379">
        <f t="shared" si="10"/>
        <v>1344</v>
      </c>
      <c r="Q379" s="5">
        <f t="shared" si="11"/>
        <v>0.32543393552957844</v>
      </c>
    </row>
    <row r="380" spans="1:17" x14ac:dyDescent="0.3">
      <c r="A380" t="s">
        <v>552</v>
      </c>
      <c r="B380" t="s">
        <v>86</v>
      </c>
      <c r="C380" t="s">
        <v>141</v>
      </c>
      <c r="D380" t="s">
        <v>41</v>
      </c>
      <c r="E380" t="s">
        <v>54</v>
      </c>
      <c r="F380" t="s">
        <v>43</v>
      </c>
      <c r="G380">
        <v>48</v>
      </c>
      <c r="H380" s="4">
        <v>29.94</v>
      </c>
      <c r="I380">
        <v>1437.12</v>
      </c>
      <c r="J380">
        <v>30.14</v>
      </c>
      <c r="K380">
        <v>446.98</v>
      </c>
      <c r="L380" t="s">
        <v>30</v>
      </c>
      <c r="M380" t="s">
        <v>31</v>
      </c>
      <c r="N380" t="s">
        <v>45</v>
      </c>
      <c r="O380">
        <f>_xlfn.XLOOKUP(E380,Product_Master!$B$2:$B$11,Product_Master!$F$2:$F$11)</f>
        <v>20</v>
      </c>
      <c r="P380">
        <f t="shared" si="10"/>
        <v>960</v>
      </c>
      <c r="Q380" s="5">
        <f t="shared" si="11"/>
        <v>0.31102482743264309</v>
      </c>
    </row>
    <row r="381" spans="1:17" x14ac:dyDescent="0.3">
      <c r="A381" t="s">
        <v>553</v>
      </c>
      <c r="B381" t="s">
        <v>71</v>
      </c>
      <c r="C381" t="s">
        <v>390</v>
      </c>
      <c r="D381" t="s">
        <v>36</v>
      </c>
      <c r="E381" t="s">
        <v>58</v>
      </c>
      <c r="F381" t="s">
        <v>59</v>
      </c>
      <c r="G381">
        <v>12</v>
      </c>
      <c r="H381" s="4">
        <v>35.68</v>
      </c>
      <c r="I381">
        <v>428.16</v>
      </c>
      <c r="J381">
        <v>13.07</v>
      </c>
      <c r="K381">
        <v>145.09</v>
      </c>
      <c r="L381" t="s">
        <v>30</v>
      </c>
      <c r="M381" t="s">
        <v>37</v>
      </c>
      <c r="N381" t="s">
        <v>32</v>
      </c>
      <c r="O381">
        <f>_xlfn.XLOOKUP(E381,Product_Master!$B$2:$B$11,Product_Master!$F$2:$F$11)</f>
        <v>22.5</v>
      </c>
      <c r="P381">
        <f t="shared" si="10"/>
        <v>270</v>
      </c>
      <c r="Q381" s="5">
        <f t="shared" si="11"/>
        <v>0.33886864723467863</v>
      </c>
    </row>
    <row r="382" spans="1:17" x14ac:dyDescent="0.3">
      <c r="A382" t="s">
        <v>554</v>
      </c>
      <c r="B382" t="s">
        <v>68</v>
      </c>
      <c r="C382" t="s">
        <v>305</v>
      </c>
      <c r="D382" t="s">
        <v>19</v>
      </c>
      <c r="E382" t="s">
        <v>42</v>
      </c>
      <c r="F382" t="s">
        <v>43</v>
      </c>
      <c r="G382">
        <v>30</v>
      </c>
      <c r="H382" s="4">
        <v>49.32</v>
      </c>
      <c r="I382">
        <v>1479.6</v>
      </c>
      <c r="J382">
        <v>105.97</v>
      </c>
      <c r="K382">
        <v>413.63</v>
      </c>
      <c r="L382" t="s">
        <v>30</v>
      </c>
      <c r="M382" t="s">
        <v>31</v>
      </c>
      <c r="N382" t="s">
        <v>24</v>
      </c>
      <c r="O382">
        <f>_xlfn.XLOOKUP(E382,Product_Master!$B$2:$B$11,Product_Master!$F$2:$F$11)</f>
        <v>32</v>
      </c>
      <c r="P382">
        <f t="shared" si="10"/>
        <v>960</v>
      </c>
      <c r="Q382" s="5">
        <f t="shared" si="11"/>
        <v>0.27955528521221951</v>
      </c>
    </row>
    <row r="383" spans="1:17" x14ac:dyDescent="0.3">
      <c r="A383" t="s">
        <v>555</v>
      </c>
      <c r="B383" t="s">
        <v>157</v>
      </c>
      <c r="C383" t="s">
        <v>319</v>
      </c>
      <c r="D383" t="s">
        <v>123</v>
      </c>
      <c r="E383" t="s">
        <v>98</v>
      </c>
      <c r="F383" t="s">
        <v>59</v>
      </c>
      <c r="G383">
        <v>27</v>
      </c>
      <c r="H383" s="4">
        <v>37.68</v>
      </c>
      <c r="I383">
        <v>1017.36</v>
      </c>
      <c r="J383">
        <v>80.739999999999995</v>
      </c>
      <c r="K383">
        <v>180.62</v>
      </c>
      <c r="L383" t="s">
        <v>44</v>
      </c>
      <c r="M383" t="s">
        <v>23</v>
      </c>
      <c r="N383" t="s">
        <v>32</v>
      </c>
      <c r="O383">
        <f>_xlfn.XLOOKUP(E383,Product_Master!$B$2:$B$11,Product_Master!$F$2:$F$11)</f>
        <v>28</v>
      </c>
      <c r="P383">
        <f t="shared" si="10"/>
        <v>756</v>
      </c>
      <c r="Q383" s="5">
        <f t="shared" si="11"/>
        <v>0.17753794133836598</v>
      </c>
    </row>
    <row r="384" spans="1:17" x14ac:dyDescent="0.3">
      <c r="A384" t="s">
        <v>556</v>
      </c>
      <c r="B384" t="s">
        <v>104</v>
      </c>
      <c r="C384" t="s">
        <v>192</v>
      </c>
      <c r="D384" t="s">
        <v>36</v>
      </c>
      <c r="E384" t="s">
        <v>64</v>
      </c>
      <c r="F384" t="s">
        <v>65</v>
      </c>
      <c r="G384">
        <v>39</v>
      </c>
      <c r="H384" s="4">
        <v>36.340000000000003</v>
      </c>
      <c r="I384">
        <v>1417.26</v>
      </c>
      <c r="J384">
        <v>67</v>
      </c>
      <c r="K384">
        <v>375.26</v>
      </c>
      <c r="L384" t="s">
        <v>44</v>
      </c>
      <c r="M384" t="s">
        <v>31</v>
      </c>
      <c r="N384" t="s">
        <v>32</v>
      </c>
      <c r="O384">
        <f>_xlfn.XLOOKUP(E384,Product_Master!$B$2:$B$11,Product_Master!$F$2:$F$11)</f>
        <v>25</v>
      </c>
      <c r="P384">
        <f t="shared" si="10"/>
        <v>975</v>
      </c>
      <c r="Q384" s="5">
        <f t="shared" si="11"/>
        <v>0.26477851629200005</v>
      </c>
    </row>
    <row r="385" spans="1:17" x14ac:dyDescent="0.3">
      <c r="A385" t="s">
        <v>557</v>
      </c>
      <c r="B385" t="s">
        <v>107</v>
      </c>
      <c r="C385" t="s">
        <v>62</v>
      </c>
      <c r="D385" t="s">
        <v>63</v>
      </c>
      <c r="E385" t="s">
        <v>69</v>
      </c>
      <c r="F385" t="s">
        <v>59</v>
      </c>
      <c r="G385">
        <v>16</v>
      </c>
      <c r="H385" s="4">
        <v>24.33</v>
      </c>
      <c r="I385">
        <v>389.28</v>
      </c>
      <c r="J385">
        <v>22.33</v>
      </c>
      <c r="K385">
        <v>118.95</v>
      </c>
      <c r="L385" t="s">
        <v>22</v>
      </c>
      <c r="M385" t="s">
        <v>37</v>
      </c>
      <c r="N385" t="s">
        <v>66</v>
      </c>
      <c r="O385">
        <f>_xlfn.XLOOKUP(E385,Product_Master!$B$2:$B$11,Product_Master!$F$2:$F$11)</f>
        <v>15.5</v>
      </c>
      <c r="P385">
        <f t="shared" si="10"/>
        <v>248</v>
      </c>
      <c r="Q385" s="5">
        <f t="shared" si="11"/>
        <v>0.30556411837237979</v>
      </c>
    </row>
    <row r="386" spans="1:17" x14ac:dyDescent="0.3">
      <c r="A386" t="s">
        <v>558</v>
      </c>
      <c r="B386" t="s">
        <v>17</v>
      </c>
      <c r="C386" t="s">
        <v>319</v>
      </c>
      <c r="D386" t="s">
        <v>88</v>
      </c>
      <c r="E386" t="s">
        <v>69</v>
      </c>
      <c r="F386" t="s">
        <v>59</v>
      </c>
      <c r="G386">
        <v>40</v>
      </c>
      <c r="H386" s="4">
        <v>22.28</v>
      </c>
      <c r="I386">
        <v>891.2</v>
      </c>
      <c r="J386">
        <v>32.729999999999997</v>
      </c>
      <c r="K386">
        <v>238.47</v>
      </c>
      <c r="L386" t="s">
        <v>22</v>
      </c>
      <c r="M386" t="s">
        <v>31</v>
      </c>
      <c r="N386" t="s">
        <v>66</v>
      </c>
      <c r="O386">
        <f>_xlfn.XLOOKUP(E386,Product_Master!$B$2:$B$11,Product_Master!$F$2:$F$11)</f>
        <v>15.5</v>
      </c>
      <c r="P386">
        <f t="shared" si="10"/>
        <v>620</v>
      </c>
      <c r="Q386" s="5">
        <f t="shared" si="11"/>
        <v>0.26758303411131057</v>
      </c>
    </row>
    <row r="387" spans="1:17" x14ac:dyDescent="0.3">
      <c r="A387" t="s">
        <v>559</v>
      </c>
      <c r="B387" t="s">
        <v>71</v>
      </c>
      <c r="C387" t="s">
        <v>122</v>
      </c>
      <c r="D387" t="s">
        <v>91</v>
      </c>
      <c r="E387" t="s">
        <v>73</v>
      </c>
      <c r="F387" t="s">
        <v>43</v>
      </c>
      <c r="G387">
        <v>45</v>
      </c>
      <c r="H387" s="4">
        <v>21.71</v>
      </c>
      <c r="I387">
        <v>976.95</v>
      </c>
      <c r="J387">
        <v>51.6</v>
      </c>
      <c r="K387">
        <v>351.6</v>
      </c>
      <c r="L387" t="s">
        <v>22</v>
      </c>
      <c r="M387" t="s">
        <v>23</v>
      </c>
      <c r="N387" t="s">
        <v>66</v>
      </c>
      <c r="O387">
        <f>_xlfn.XLOOKUP(E387,Product_Master!$B$2:$B$11,Product_Master!$F$2:$F$11)</f>
        <v>12.75</v>
      </c>
      <c r="P387">
        <f t="shared" ref="P387:P450" si="12">G387*O387</f>
        <v>573.75</v>
      </c>
      <c r="Q387" s="5">
        <f t="shared" ref="Q387:Q450" si="13">K387/I387</f>
        <v>0.35989559342852756</v>
      </c>
    </row>
    <row r="388" spans="1:17" x14ac:dyDescent="0.3">
      <c r="A388" t="s">
        <v>560</v>
      </c>
      <c r="B388" t="s">
        <v>71</v>
      </c>
      <c r="C388" t="s">
        <v>200</v>
      </c>
      <c r="D388" t="s">
        <v>170</v>
      </c>
      <c r="E388" t="s">
        <v>64</v>
      </c>
      <c r="F388" t="s">
        <v>65</v>
      </c>
      <c r="G388">
        <v>8</v>
      </c>
      <c r="H388" s="4">
        <v>31.07</v>
      </c>
      <c r="I388">
        <v>248.56</v>
      </c>
      <c r="J388">
        <v>10.97</v>
      </c>
      <c r="K388">
        <v>37.590000000000003</v>
      </c>
      <c r="L388" t="s">
        <v>22</v>
      </c>
      <c r="M388" t="s">
        <v>31</v>
      </c>
      <c r="N388" t="s">
        <v>32</v>
      </c>
      <c r="O388">
        <f>_xlfn.XLOOKUP(E388,Product_Master!$B$2:$B$11,Product_Master!$F$2:$F$11)</f>
        <v>25</v>
      </c>
      <c r="P388">
        <f t="shared" si="12"/>
        <v>200</v>
      </c>
      <c r="Q388" s="5">
        <f t="shared" si="13"/>
        <v>0.15123109108464758</v>
      </c>
    </row>
    <row r="389" spans="1:17" x14ac:dyDescent="0.3">
      <c r="A389" t="s">
        <v>561</v>
      </c>
      <c r="B389" t="s">
        <v>83</v>
      </c>
      <c r="C389" t="s">
        <v>250</v>
      </c>
      <c r="D389" t="s">
        <v>123</v>
      </c>
      <c r="E389" t="s">
        <v>73</v>
      </c>
      <c r="F389" t="s">
        <v>43</v>
      </c>
      <c r="G389">
        <v>47</v>
      </c>
      <c r="H389" s="4">
        <v>21.93</v>
      </c>
      <c r="I389">
        <v>1030.71</v>
      </c>
      <c r="J389">
        <v>70.989999999999995</v>
      </c>
      <c r="K389">
        <v>360.47</v>
      </c>
      <c r="L389" t="s">
        <v>44</v>
      </c>
      <c r="M389" t="s">
        <v>23</v>
      </c>
      <c r="N389" t="s">
        <v>32</v>
      </c>
      <c r="O389">
        <f>_xlfn.XLOOKUP(E389,Product_Master!$B$2:$B$11,Product_Master!$F$2:$F$11)</f>
        <v>12.75</v>
      </c>
      <c r="P389">
        <f t="shared" si="12"/>
        <v>599.25</v>
      </c>
      <c r="Q389" s="5">
        <f t="shared" si="13"/>
        <v>0.3497297979062976</v>
      </c>
    </row>
    <row r="390" spans="1:17" x14ac:dyDescent="0.3">
      <c r="A390" t="s">
        <v>562</v>
      </c>
      <c r="B390" t="s">
        <v>95</v>
      </c>
      <c r="C390" t="s">
        <v>119</v>
      </c>
      <c r="D390" t="s">
        <v>123</v>
      </c>
      <c r="E390" t="s">
        <v>73</v>
      </c>
      <c r="F390" t="s">
        <v>43</v>
      </c>
      <c r="G390">
        <v>46</v>
      </c>
      <c r="H390" s="4">
        <v>21.46</v>
      </c>
      <c r="I390">
        <v>987.16</v>
      </c>
      <c r="J390">
        <v>21.64</v>
      </c>
      <c r="K390">
        <v>379.02</v>
      </c>
      <c r="L390" t="s">
        <v>30</v>
      </c>
      <c r="M390" t="s">
        <v>23</v>
      </c>
      <c r="N390" t="s">
        <v>32</v>
      </c>
      <c r="O390">
        <f>_xlfn.XLOOKUP(E390,Product_Master!$B$2:$B$11,Product_Master!$F$2:$F$11)</f>
        <v>12.75</v>
      </c>
      <c r="P390">
        <f t="shared" si="12"/>
        <v>586.5</v>
      </c>
      <c r="Q390" s="5">
        <f t="shared" si="13"/>
        <v>0.38394991693342517</v>
      </c>
    </row>
    <row r="391" spans="1:17" x14ac:dyDescent="0.3">
      <c r="A391" t="s">
        <v>563</v>
      </c>
      <c r="B391" t="s">
        <v>26</v>
      </c>
      <c r="C391" t="s">
        <v>90</v>
      </c>
      <c r="D391" t="s">
        <v>19</v>
      </c>
      <c r="E391" t="s">
        <v>98</v>
      </c>
      <c r="F391" t="s">
        <v>59</v>
      </c>
      <c r="G391">
        <v>45</v>
      </c>
      <c r="H391" s="4">
        <v>47.1</v>
      </c>
      <c r="I391">
        <v>2119.5</v>
      </c>
      <c r="J391">
        <v>120.16</v>
      </c>
      <c r="K391">
        <v>739.34</v>
      </c>
      <c r="L391" t="s">
        <v>30</v>
      </c>
      <c r="M391" t="s">
        <v>31</v>
      </c>
      <c r="N391" t="s">
        <v>24</v>
      </c>
      <c r="O391">
        <f>_xlfn.XLOOKUP(E391,Product_Master!$B$2:$B$11,Product_Master!$F$2:$F$11)</f>
        <v>28</v>
      </c>
      <c r="P391">
        <f t="shared" si="12"/>
        <v>1260</v>
      </c>
      <c r="Q391" s="5">
        <f t="shared" si="13"/>
        <v>0.34882755366831802</v>
      </c>
    </row>
    <row r="392" spans="1:17" x14ac:dyDescent="0.3">
      <c r="A392" t="s">
        <v>564</v>
      </c>
      <c r="B392" t="s">
        <v>104</v>
      </c>
      <c r="C392" t="s">
        <v>18</v>
      </c>
      <c r="D392" t="s">
        <v>196</v>
      </c>
      <c r="E392" t="s">
        <v>20</v>
      </c>
      <c r="F392" t="s">
        <v>21</v>
      </c>
      <c r="G392">
        <v>2</v>
      </c>
      <c r="H392" s="4">
        <v>58.32</v>
      </c>
      <c r="I392">
        <v>116.64</v>
      </c>
      <c r="J392">
        <v>8.99</v>
      </c>
      <c r="K392">
        <v>37.65</v>
      </c>
      <c r="L392" t="s">
        <v>22</v>
      </c>
      <c r="M392" t="s">
        <v>31</v>
      </c>
      <c r="N392" t="s">
        <v>66</v>
      </c>
      <c r="O392">
        <f>_xlfn.XLOOKUP(E392,Product_Master!$B$2:$B$11,Product_Master!$F$2:$F$11)</f>
        <v>35</v>
      </c>
      <c r="P392">
        <f t="shared" si="12"/>
        <v>70</v>
      </c>
      <c r="Q392" s="5">
        <f t="shared" si="13"/>
        <v>0.32278806584362141</v>
      </c>
    </row>
    <row r="393" spans="1:17" x14ac:dyDescent="0.3">
      <c r="A393" t="s">
        <v>565</v>
      </c>
      <c r="B393" t="s">
        <v>83</v>
      </c>
      <c r="C393" t="s">
        <v>319</v>
      </c>
      <c r="D393" t="s">
        <v>123</v>
      </c>
      <c r="E393" t="s">
        <v>20</v>
      </c>
      <c r="F393" t="s">
        <v>21</v>
      </c>
      <c r="G393">
        <v>31</v>
      </c>
      <c r="H393" s="4">
        <v>61.34</v>
      </c>
      <c r="I393">
        <v>1901.54</v>
      </c>
      <c r="J393">
        <v>147.43</v>
      </c>
      <c r="K393">
        <v>669.11</v>
      </c>
      <c r="L393" t="s">
        <v>30</v>
      </c>
      <c r="M393" t="s">
        <v>23</v>
      </c>
      <c r="N393" t="s">
        <v>32</v>
      </c>
      <c r="O393">
        <f>_xlfn.XLOOKUP(E393,Product_Master!$B$2:$B$11,Product_Master!$F$2:$F$11)</f>
        <v>35</v>
      </c>
      <c r="P393">
        <f t="shared" si="12"/>
        <v>1085</v>
      </c>
      <c r="Q393" s="5">
        <f t="shared" si="13"/>
        <v>0.35187795155505541</v>
      </c>
    </row>
    <row r="394" spans="1:17" x14ac:dyDescent="0.3">
      <c r="A394" t="s">
        <v>566</v>
      </c>
      <c r="B394" t="s">
        <v>86</v>
      </c>
      <c r="C394" t="s">
        <v>185</v>
      </c>
      <c r="D394" t="s">
        <v>48</v>
      </c>
      <c r="E394" t="s">
        <v>64</v>
      </c>
      <c r="F394" t="s">
        <v>65</v>
      </c>
      <c r="G394">
        <v>15</v>
      </c>
      <c r="H394" s="4">
        <v>43.9</v>
      </c>
      <c r="I394">
        <v>658.5</v>
      </c>
      <c r="J394">
        <v>36.479999999999997</v>
      </c>
      <c r="K394">
        <v>247.02</v>
      </c>
      <c r="L394" t="s">
        <v>44</v>
      </c>
      <c r="M394" t="s">
        <v>31</v>
      </c>
      <c r="N394" t="s">
        <v>24</v>
      </c>
      <c r="O394">
        <f>_xlfn.XLOOKUP(E394,Product_Master!$B$2:$B$11,Product_Master!$F$2:$F$11)</f>
        <v>25</v>
      </c>
      <c r="P394">
        <f t="shared" si="12"/>
        <v>375</v>
      </c>
      <c r="Q394" s="5">
        <f t="shared" si="13"/>
        <v>0.37512528473804102</v>
      </c>
    </row>
    <row r="395" spans="1:17" x14ac:dyDescent="0.3">
      <c r="A395" t="s">
        <v>567</v>
      </c>
      <c r="B395" t="s">
        <v>132</v>
      </c>
      <c r="C395" t="s">
        <v>185</v>
      </c>
      <c r="D395" t="s">
        <v>36</v>
      </c>
      <c r="E395" t="s">
        <v>73</v>
      </c>
      <c r="F395" t="s">
        <v>43</v>
      </c>
      <c r="G395">
        <v>4</v>
      </c>
      <c r="H395" s="4">
        <v>20.53</v>
      </c>
      <c r="I395">
        <v>82.12</v>
      </c>
      <c r="J395">
        <v>4.05</v>
      </c>
      <c r="K395">
        <v>27.07</v>
      </c>
      <c r="L395" t="s">
        <v>22</v>
      </c>
      <c r="M395" t="s">
        <v>37</v>
      </c>
      <c r="N395" t="s">
        <v>32</v>
      </c>
      <c r="O395">
        <f>_xlfn.XLOOKUP(E395,Product_Master!$B$2:$B$11,Product_Master!$F$2:$F$11)</f>
        <v>12.75</v>
      </c>
      <c r="P395">
        <f t="shared" si="12"/>
        <v>51</v>
      </c>
      <c r="Q395" s="5">
        <f t="shared" si="13"/>
        <v>0.32963955187530442</v>
      </c>
    </row>
    <row r="396" spans="1:17" x14ac:dyDescent="0.3">
      <c r="A396" t="s">
        <v>568</v>
      </c>
      <c r="B396" t="s">
        <v>95</v>
      </c>
      <c r="C396" t="s">
        <v>168</v>
      </c>
      <c r="D396" t="s">
        <v>147</v>
      </c>
      <c r="E396" t="s">
        <v>54</v>
      </c>
      <c r="F396" t="s">
        <v>43</v>
      </c>
      <c r="G396">
        <v>6</v>
      </c>
      <c r="H396" s="4">
        <v>24.7</v>
      </c>
      <c r="I396">
        <v>148.19999999999999</v>
      </c>
      <c r="J396">
        <v>3.76</v>
      </c>
      <c r="K396">
        <v>24.44</v>
      </c>
      <c r="L396" t="s">
        <v>44</v>
      </c>
      <c r="M396" t="s">
        <v>23</v>
      </c>
      <c r="N396" t="s">
        <v>148</v>
      </c>
      <c r="O396">
        <f>_xlfn.XLOOKUP(E396,Product_Master!$B$2:$B$11,Product_Master!$F$2:$F$11)</f>
        <v>20</v>
      </c>
      <c r="P396">
        <f t="shared" si="12"/>
        <v>120</v>
      </c>
      <c r="Q396" s="5">
        <f t="shared" si="13"/>
        <v>0.1649122807017544</v>
      </c>
    </row>
    <row r="397" spans="1:17" x14ac:dyDescent="0.3">
      <c r="A397" t="s">
        <v>569</v>
      </c>
      <c r="B397" t="s">
        <v>78</v>
      </c>
      <c r="C397" t="s">
        <v>349</v>
      </c>
      <c r="D397" t="s">
        <v>41</v>
      </c>
      <c r="E397" t="s">
        <v>73</v>
      </c>
      <c r="F397" t="s">
        <v>43</v>
      </c>
      <c r="G397">
        <v>19</v>
      </c>
      <c r="H397" s="4">
        <v>19.170000000000002</v>
      </c>
      <c r="I397">
        <v>364.23</v>
      </c>
      <c r="J397">
        <v>15.16</v>
      </c>
      <c r="K397">
        <v>106.82</v>
      </c>
      <c r="L397" t="s">
        <v>30</v>
      </c>
      <c r="M397" t="s">
        <v>31</v>
      </c>
      <c r="N397" t="s">
        <v>45</v>
      </c>
      <c r="O397">
        <f>_xlfn.XLOOKUP(E397,Product_Master!$B$2:$B$11,Product_Master!$F$2:$F$11)</f>
        <v>12.75</v>
      </c>
      <c r="P397">
        <f t="shared" si="12"/>
        <v>242.25</v>
      </c>
      <c r="Q397" s="5">
        <f t="shared" si="13"/>
        <v>0.29327622656014052</v>
      </c>
    </row>
    <row r="398" spans="1:17" x14ac:dyDescent="0.3">
      <c r="A398" t="s">
        <v>570</v>
      </c>
      <c r="B398" t="s">
        <v>107</v>
      </c>
      <c r="C398" t="s">
        <v>418</v>
      </c>
      <c r="D398" t="s">
        <v>63</v>
      </c>
      <c r="E398" t="s">
        <v>49</v>
      </c>
      <c r="F398" t="s">
        <v>50</v>
      </c>
      <c r="G398">
        <v>2</v>
      </c>
      <c r="H398" s="4">
        <v>55.28</v>
      </c>
      <c r="I398">
        <v>110.56</v>
      </c>
      <c r="J398">
        <v>5.37</v>
      </c>
      <c r="K398">
        <v>25.19</v>
      </c>
      <c r="L398" t="s">
        <v>44</v>
      </c>
      <c r="M398" t="s">
        <v>31</v>
      </c>
      <c r="N398" t="s">
        <v>66</v>
      </c>
      <c r="O398">
        <f>_xlfn.XLOOKUP(E398,Product_Master!$B$2:$B$11,Product_Master!$F$2:$F$11)</f>
        <v>40</v>
      </c>
      <c r="P398">
        <f t="shared" si="12"/>
        <v>80</v>
      </c>
      <c r="Q398" s="5">
        <f t="shared" si="13"/>
        <v>0.22784008683068019</v>
      </c>
    </row>
    <row r="399" spans="1:17" x14ac:dyDescent="0.3">
      <c r="A399" t="s">
        <v>571</v>
      </c>
      <c r="B399" t="s">
        <v>56</v>
      </c>
      <c r="C399" t="s">
        <v>230</v>
      </c>
      <c r="D399" t="s">
        <v>41</v>
      </c>
      <c r="E399" t="s">
        <v>64</v>
      </c>
      <c r="F399" t="s">
        <v>65</v>
      </c>
      <c r="G399">
        <v>49</v>
      </c>
      <c r="H399" s="4">
        <v>43.91</v>
      </c>
      <c r="I399">
        <v>2151.59</v>
      </c>
      <c r="J399">
        <v>63.55</v>
      </c>
      <c r="K399">
        <v>863.04</v>
      </c>
      <c r="L399" t="s">
        <v>22</v>
      </c>
      <c r="M399" t="s">
        <v>31</v>
      </c>
      <c r="N399" t="s">
        <v>45</v>
      </c>
      <c r="O399">
        <f>_xlfn.XLOOKUP(E399,Product_Master!$B$2:$B$11,Product_Master!$F$2:$F$11)</f>
        <v>25</v>
      </c>
      <c r="P399">
        <f t="shared" si="12"/>
        <v>1225</v>
      </c>
      <c r="Q399" s="5">
        <f t="shared" si="13"/>
        <v>0.40111731324276462</v>
      </c>
    </row>
    <row r="400" spans="1:17" x14ac:dyDescent="0.3">
      <c r="A400" t="s">
        <v>572</v>
      </c>
      <c r="B400" t="s">
        <v>34</v>
      </c>
      <c r="C400" t="s">
        <v>212</v>
      </c>
      <c r="D400" t="s">
        <v>41</v>
      </c>
      <c r="E400" t="s">
        <v>64</v>
      </c>
      <c r="F400" t="s">
        <v>65</v>
      </c>
      <c r="G400">
        <v>29</v>
      </c>
      <c r="H400" s="4">
        <v>41.84</v>
      </c>
      <c r="I400">
        <v>1213.3599999999999</v>
      </c>
      <c r="J400">
        <v>56.83</v>
      </c>
      <c r="K400">
        <v>431.53</v>
      </c>
      <c r="L400" t="s">
        <v>44</v>
      </c>
      <c r="M400" t="s">
        <v>37</v>
      </c>
      <c r="N400" t="s">
        <v>45</v>
      </c>
      <c r="O400">
        <f>_xlfn.XLOOKUP(E400,Product_Master!$B$2:$B$11,Product_Master!$F$2:$F$11)</f>
        <v>25</v>
      </c>
      <c r="P400">
        <f t="shared" si="12"/>
        <v>725</v>
      </c>
      <c r="Q400" s="5">
        <f t="shared" si="13"/>
        <v>0.35564877694995717</v>
      </c>
    </row>
    <row r="401" spans="1:17" x14ac:dyDescent="0.3">
      <c r="A401" t="s">
        <v>573</v>
      </c>
      <c r="B401" t="s">
        <v>56</v>
      </c>
      <c r="C401" t="s">
        <v>195</v>
      </c>
      <c r="D401" t="s">
        <v>101</v>
      </c>
      <c r="E401" t="s">
        <v>69</v>
      </c>
      <c r="F401" t="s">
        <v>59</v>
      </c>
      <c r="G401">
        <v>43</v>
      </c>
      <c r="H401" s="4">
        <v>27.41</v>
      </c>
      <c r="I401">
        <v>1178.6300000000001</v>
      </c>
      <c r="J401">
        <v>55.82</v>
      </c>
      <c r="K401">
        <v>456.31</v>
      </c>
      <c r="L401" t="s">
        <v>44</v>
      </c>
      <c r="M401" t="s">
        <v>31</v>
      </c>
      <c r="N401" t="s">
        <v>102</v>
      </c>
      <c r="O401">
        <f>_xlfn.XLOOKUP(E401,Product_Master!$B$2:$B$11,Product_Master!$F$2:$F$11)</f>
        <v>15.5</v>
      </c>
      <c r="P401">
        <f t="shared" si="12"/>
        <v>666.5</v>
      </c>
      <c r="Q401" s="5">
        <f t="shared" si="13"/>
        <v>0.38715288088713162</v>
      </c>
    </row>
    <row r="402" spans="1:17" x14ac:dyDescent="0.3">
      <c r="A402" t="s">
        <v>574</v>
      </c>
      <c r="B402" t="s">
        <v>71</v>
      </c>
      <c r="C402" t="s">
        <v>492</v>
      </c>
      <c r="D402" t="s">
        <v>53</v>
      </c>
      <c r="E402" t="s">
        <v>54</v>
      </c>
      <c r="F402" t="s">
        <v>43</v>
      </c>
      <c r="G402">
        <v>28</v>
      </c>
      <c r="H402" s="4">
        <v>31.84</v>
      </c>
      <c r="I402">
        <v>891.52</v>
      </c>
      <c r="J402">
        <v>54.24</v>
      </c>
      <c r="K402">
        <v>277.27999999999997</v>
      </c>
      <c r="L402" t="s">
        <v>22</v>
      </c>
      <c r="M402" t="s">
        <v>31</v>
      </c>
      <c r="N402" t="s">
        <v>24</v>
      </c>
      <c r="O402">
        <f>_xlfn.XLOOKUP(E402,Product_Master!$B$2:$B$11,Product_Master!$F$2:$F$11)</f>
        <v>20</v>
      </c>
      <c r="P402">
        <f t="shared" si="12"/>
        <v>560</v>
      </c>
      <c r="Q402" s="5">
        <f t="shared" si="13"/>
        <v>0.31101938262742279</v>
      </c>
    </row>
    <row r="403" spans="1:17" x14ac:dyDescent="0.3">
      <c r="A403" t="s">
        <v>575</v>
      </c>
      <c r="B403" t="s">
        <v>78</v>
      </c>
      <c r="C403" t="s">
        <v>310</v>
      </c>
      <c r="D403" t="s">
        <v>63</v>
      </c>
      <c r="E403" t="s">
        <v>64</v>
      </c>
      <c r="F403" t="s">
        <v>65</v>
      </c>
      <c r="G403">
        <v>42</v>
      </c>
      <c r="H403" s="4">
        <v>35.840000000000003</v>
      </c>
      <c r="I403">
        <v>1505.28</v>
      </c>
      <c r="J403">
        <v>60.65</v>
      </c>
      <c r="K403">
        <v>394.63</v>
      </c>
      <c r="L403" t="s">
        <v>44</v>
      </c>
      <c r="M403" t="s">
        <v>31</v>
      </c>
      <c r="N403" t="s">
        <v>66</v>
      </c>
      <c r="O403">
        <f>_xlfn.XLOOKUP(E403,Product_Master!$B$2:$B$11,Product_Master!$F$2:$F$11)</f>
        <v>25</v>
      </c>
      <c r="P403">
        <f t="shared" si="12"/>
        <v>1050</v>
      </c>
      <c r="Q403" s="5">
        <f t="shared" si="13"/>
        <v>0.262163849914966</v>
      </c>
    </row>
    <row r="404" spans="1:17" x14ac:dyDescent="0.3">
      <c r="A404" t="s">
        <v>576</v>
      </c>
      <c r="B404" t="s">
        <v>68</v>
      </c>
      <c r="C404" t="s">
        <v>72</v>
      </c>
      <c r="D404" t="s">
        <v>81</v>
      </c>
      <c r="E404" t="s">
        <v>58</v>
      </c>
      <c r="F404" t="s">
        <v>59</v>
      </c>
      <c r="G404">
        <v>22</v>
      </c>
      <c r="H404" s="4">
        <v>30.55</v>
      </c>
      <c r="I404">
        <v>672.1</v>
      </c>
      <c r="J404">
        <v>46.8</v>
      </c>
      <c r="K404">
        <v>130.30000000000001</v>
      </c>
      <c r="L404" t="s">
        <v>30</v>
      </c>
      <c r="M404" t="s">
        <v>37</v>
      </c>
      <c r="N404" t="s">
        <v>66</v>
      </c>
      <c r="O404">
        <f>_xlfn.XLOOKUP(E404,Product_Master!$B$2:$B$11,Product_Master!$F$2:$F$11)</f>
        <v>22.5</v>
      </c>
      <c r="P404">
        <f t="shared" si="12"/>
        <v>495</v>
      </c>
      <c r="Q404" s="5">
        <f t="shared" si="13"/>
        <v>0.19386995982740665</v>
      </c>
    </row>
    <row r="405" spans="1:17" x14ac:dyDescent="0.3">
      <c r="A405" t="s">
        <v>577</v>
      </c>
      <c r="B405" t="s">
        <v>75</v>
      </c>
      <c r="C405" t="s">
        <v>240</v>
      </c>
      <c r="D405" t="s">
        <v>91</v>
      </c>
      <c r="E405" t="s">
        <v>98</v>
      </c>
      <c r="F405" t="s">
        <v>59</v>
      </c>
      <c r="G405">
        <v>13</v>
      </c>
      <c r="H405" s="4">
        <v>45.16</v>
      </c>
      <c r="I405">
        <v>587.08000000000004</v>
      </c>
      <c r="J405">
        <v>29.68</v>
      </c>
      <c r="K405">
        <v>193.4</v>
      </c>
      <c r="L405" t="s">
        <v>30</v>
      </c>
      <c r="M405" t="s">
        <v>31</v>
      </c>
      <c r="N405" t="s">
        <v>66</v>
      </c>
      <c r="O405">
        <f>_xlfn.XLOOKUP(E405,Product_Master!$B$2:$B$11,Product_Master!$F$2:$F$11)</f>
        <v>28</v>
      </c>
      <c r="P405">
        <f t="shared" si="12"/>
        <v>364</v>
      </c>
      <c r="Q405" s="5">
        <f t="shared" si="13"/>
        <v>0.32942699461742864</v>
      </c>
    </row>
    <row r="406" spans="1:17" x14ac:dyDescent="0.3">
      <c r="A406" t="s">
        <v>578</v>
      </c>
      <c r="B406" t="s">
        <v>56</v>
      </c>
      <c r="C406" t="s">
        <v>161</v>
      </c>
      <c r="D406" t="s">
        <v>147</v>
      </c>
      <c r="E406" t="s">
        <v>20</v>
      </c>
      <c r="F406" t="s">
        <v>21</v>
      </c>
      <c r="G406">
        <v>40</v>
      </c>
      <c r="H406" s="4">
        <v>45.23</v>
      </c>
      <c r="I406">
        <v>1809.2</v>
      </c>
      <c r="J406">
        <v>136.25</v>
      </c>
      <c r="K406">
        <v>272.95</v>
      </c>
      <c r="L406" t="s">
        <v>44</v>
      </c>
      <c r="M406" t="s">
        <v>37</v>
      </c>
      <c r="N406" t="s">
        <v>148</v>
      </c>
      <c r="O406">
        <f>_xlfn.XLOOKUP(E406,Product_Master!$B$2:$B$11,Product_Master!$F$2:$F$11)</f>
        <v>35</v>
      </c>
      <c r="P406">
        <f t="shared" si="12"/>
        <v>1400</v>
      </c>
      <c r="Q406" s="5">
        <f t="shared" si="13"/>
        <v>0.15086778686712357</v>
      </c>
    </row>
    <row r="407" spans="1:17" x14ac:dyDescent="0.3">
      <c r="A407" t="s">
        <v>579</v>
      </c>
      <c r="B407" t="s">
        <v>157</v>
      </c>
      <c r="C407" t="s">
        <v>276</v>
      </c>
      <c r="D407" t="s">
        <v>91</v>
      </c>
      <c r="E407" t="s">
        <v>29</v>
      </c>
      <c r="F407" t="s">
        <v>21</v>
      </c>
      <c r="G407">
        <v>41</v>
      </c>
      <c r="H407" s="4">
        <v>22.78</v>
      </c>
      <c r="I407">
        <v>933.98</v>
      </c>
      <c r="J407">
        <v>38.369999999999997</v>
      </c>
      <c r="K407">
        <v>157.61000000000001</v>
      </c>
      <c r="L407" t="s">
        <v>30</v>
      </c>
      <c r="M407" t="s">
        <v>23</v>
      </c>
      <c r="N407" t="s">
        <v>66</v>
      </c>
      <c r="O407">
        <f>_xlfn.XLOOKUP(E407,Product_Master!$B$2:$B$11,Product_Master!$F$2:$F$11)</f>
        <v>18</v>
      </c>
      <c r="P407">
        <f t="shared" si="12"/>
        <v>738</v>
      </c>
      <c r="Q407" s="5">
        <f t="shared" si="13"/>
        <v>0.16875093685089618</v>
      </c>
    </row>
    <row r="408" spans="1:17" x14ac:dyDescent="0.3">
      <c r="A408" t="s">
        <v>580</v>
      </c>
      <c r="B408" t="s">
        <v>95</v>
      </c>
      <c r="C408" t="s">
        <v>119</v>
      </c>
      <c r="D408" t="s">
        <v>123</v>
      </c>
      <c r="E408" t="s">
        <v>69</v>
      </c>
      <c r="F408" t="s">
        <v>59</v>
      </c>
      <c r="G408">
        <v>34</v>
      </c>
      <c r="H408" s="4">
        <v>24.21</v>
      </c>
      <c r="I408">
        <v>823.14</v>
      </c>
      <c r="J408">
        <v>58.25</v>
      </c>
      <c r="K408">
        <v>237.89</v>
      </c>
      <c r="L408" t="s">
        <v>22</v>
      </c>
      <c r="M408" t="s">
        <v>23</v>
      </c>
      <c r="N408" t="s">
        <v>32</v>
      </c>
      <c r="O408">
        <f>_xlfn.XLOOKUP(E408,Product_Master!$B$2:$B$11,Product_Master!$F$2:$F$11)</f>
        <v>15.5</v>
      </c>
      <c r="P408">
        <f t="shared" si="12"/>
        <v>527</v>
      </c>
      <c r="Q408" s="5">
        <f t="shared" si="13"/>
        <v>0.28900308574483075</v>
      </c>
    </row>
    <row r="409" spans="1:17" x14ac:dyDescent="0.3">
      <c r="A409" t="s">
        <v>581</v>
      </c>
      <c r="B409" t="s">
        <v>75</v>
      </c>
      <c r="C409" t="s">
        <v>133</v>
      </c>
      <c r="D409" t="s">
        <v>28</v>
      </c>
      <c r="E409" t="s">
        <v>54</v>
      </c>
      <c r="F409" t="s">
        <v>43</v>
      </c>
      <c r="G409">
        <v>46</v>
      </c>
      <c r="H409" s="4">
        <v>34.64</v>
      </c>
      <c r="I409">
        <v>1593.44</v>
      </c>
      <c r="J409">
        <v>45.93</v>
      </c>
      <c r="K409">
        <v>627.51</v>
      </c>
      <c r="L409" t="s">
        <v>44</v>
      </c>
      <c r="M409" t="s">
        <v>23</v>
      </c>
      <c r="N409" t="s">
        <v>32</v>
      </c>
      <c r="O409">
        <f>_xlfn.XLOOKUP(E409,Product_Master!$B$2:$B$11,Product_Master!$F$2:$F$11)</f>
        <v>20</v>
      </c>
      <c r="P409">
        <f t="shared" si="12"/>
        <v>920</v>
      </c>
      <c r="Q409" s="5">
        <f t="shared" si="13"/>
        <v>0.39380836429360377</v>
      </c>
    </row>
    <row r="410" spans="1:17" x14ac:dyDescent="0.3">
      <c r="A410" t="s">
        <v>582</v>
      </c>
      <c r="B410" t="s">
        <v>157</v>
      </c>
      <c r="C410" t="s">
        <v>161</v>
      </c>
      <c r="D410" t="s">
        <v>48</v>
      </c>
      <c r="E410" t="s">
        <v>54</v>
      </c>
      <c r="F410" t="s">
        <v>43</v>
      </c>
      <c r="G410">
        <v>10</v>
      </c>
      <c r="H410" s="4">
        <v>27.06</v>
      </c>
      <c r="I410">
        <v>270.60000000000002</v>
      </c>
      <c r="J410">
        <v>15.35</v>
      </c>
      <c r="K410">
        <v>55.25</v>
      </c>
      <c r="L410" t="s">
        <v>22</v>
      </c>
      <c r="M410" t="s">
        <v>37</v>
      </c>
      <c r="N410" t="s">
        <v>24</v>
      </c>
      <c r="O410">
        <f>_xlfn.XLOOKUP(E410,Product_Master!$B$2:$B$11,Product_Master!$F$2:$F$11)</f>
        <v>20</v>
      </c>
      <c r="P410">
        <f t="shared" si="12"/>
        <v>200</v>
      </c>
      <c r="Q410" s="5">
        <f t="shared" si="13"/>
        <v>0.20417590539541758</v>
      </c>
    </row>
    <row r="411" spans="1:17" x14ac:dyDescent="0.3">
      <c r="A411" t="s">
        <v>583</v>
      </c>
      <c r="B411" t="s">
        <v>39</v>
      </c>
      <c r="C411" t="s">
        <v>158</v>
      </c>
      <c r="D411" t="s">
        <v>28</v>
      </c>
      <c r="E411" t="s">
        <v>29</v>
      </c>
      <c r="F411" t="s">
        <v>21</v>
      </c>
      <c r="G411">
        <v>11</v>
      </c>
      <c r="H411" s="4">
        <v>27.74</v>
      </c>
      <c r="I411">
        <v>305.14</v>
      </c>
      <c r="J411">
        <v>10.81</v>
      </c>
      <c r="K411">
        <v>96.33</v>
      </c>
      <c r="L411" t="s">
        <v>30</v>
      </c>
      <c r="M411" t="s">
        <v>37</v>
      </c>
      <c r="N411" t="s">
        <v>32</v>
      </c>
      <c r="O411">
        <f>_xlfn.XLOOKUP(E411,Product_Master!$B$2:$B$11,Product_Master!$F$2:$F$11)</f>
        <v>18</v>
      </c>
      <c r="P411">
        <f t="shared" si="12"/>
        <v>198</v>
      </c>
      <c r="Q411" s="5">
        <f t="shared" si="13"/>
        <v>0.31569115815691157</v>
      </c>
    </row>
    <row r="412" spans="1:17" x14ac:dyDescent="0.3">
      <c r="A412" t="s">
        <v>584</v>
      </c>
      <c r="B412" t="s">
        <v>157</v>
      </c>
      <c r="C412" t="s">
        <v>114</v>
      </c>
      <c r="D412" t="s">
        <v>48</v>
      </c>
      <c r="E412" t="s">
        <v>98</v>
      </c>
      <c r="F412" t="s">
        <v>59</v>
      </c>
      <c r="G412">
        <v>29</v>
      </c>
      <c r="H412" s="4">
        <v>38.08</v>
      </c>
      <c r="I412">
        <v>1104.32</v>
      </c>
      <c r="J412">
        <v>25.63</v>
      </c>
      <c r="K412">
        <v>266.69</v>
      </c>
      <c r="L412" t="s">
        <v>30</v>
      </c>
      <c r="M412" t="s">
        <v>37</v>
      </c>
      <c r="N412" t="s">
        <v>24</v>
      </c>
      <c r="O412">
        <f>_xlfn.XLOOKUP(E412,Product_Master!$B$2:$B$11,Product_Master!$F$2:$F$11)</f>
        <v>28</v>
      </c>
      <c r="P412">
        <f t="shared" si="12"/>
        <v>812</v>
      </c>
      <c r="Q412" s="5">
        <f t="shared" si="13"/>
        <v>0.24149702984642135</v>
      </c>
    </row>
    <row r="413" spans="1:17" x14ac:dyDescent="0.3">
      <c r="A413" t="s">
        <v>585</v>
      </c>
      <c r="B413" t="s">
        <v>75</v>
      </c>
      <c r="C413" t="s">
        <v>137</v>
      </c>
      <c r="D413" t="s">
        <v>48</v>
      </c>
      <c r="E413" t="s">
        <v>98</v>
      </c>
      <c r="F413" t="s">
        <v>59</v>
      </c>
      <c r="G413">
        <v>18</v>
      </c>
      <c r="H413" s="4">
        <v>43.65</v>
      </c>
      <c r="I413">
        <v>785.7</v>
      </c>
      <c r="J413">
        <v>54.52</v>
      </c>
      <c r="K413">
        <v>227.18</v>
      </c>
      <c r="L413" t="s">
        <v>30</v>
      </c>
      <c r="M413" t="s">
        <v>23</v>
      </c>
      <c r="N413" t="s">
        <v>24</v>
      </c>
      <c r="O413">
        <f>_xlfn.XLOOKUP(E413,Product_Master!$B$2:$B$11,Product_Master!$F$2:$F$11)</f>
        <v>28</v>
      </c>
      <c r="P413">
        <f t="shared" si="12"/>
        <v>504</v>
      </c>
      <c r="Q413" s="5">
        <f t="shared" si="13"/>
        <v>0.28914343897161765</v>
      </c>
    </row>
    <row r="414" spans="1:17" x14ac:dyDescent="0.3">
      <c r="A414" t="s">
        <v>586</v>
      </c>
      <c r="B414" t="s">
        <v>83</v>
      </c>
      <c r="C414" t="s">
        <v>373</v>
      </c>
      <c r="D414" t="s">
        <v>123</v>
      </c>
      <c r="E414" t="s">
        <v>20</v>
      </c>
      <c r="F414" t="s">
        <v>21</v>
      </c>
      <c r="G414">
        <v>49</v>
      </c>
      <c r="H414" s="4">
        <v>51.97</v>
      </c>
      <c r="I414">
        <v>2546.5300000000002</v>
      </c>
      <c r="J414">
        <v>112.26</v>
      </c>
      <c r="K414">
        <v>719.27</v>
      </c>
      <c r="L414" t="s">
        <v>30</v>
      </c>
      <c r="M414" t="s">
        <v>31</v>
      </c>
      <c r="N414" t="s">
        <v>32</v>
      </c>
      <c r="O414">
        <f>_xlfn.XLOOKUP(E414,Product_Master!$B$2:$B$11,Product_Master!$F$2:$F$11)</f>
        <v>35</v>
      </c>
      <c r="P414">
        <f t="shared" si="12"/>
        <v>1715</v>
      </c>
      <c r="Q414" s="5">
        <f t="shared" si="13"/>
        <v>0.28245102158623692</v>
      </c>
    </row>
    <row r="415" spans="1:17" x14ac:dyDescent="0.3">
      <c r="A415" t="s">
        <v>587</v>
      </c>
      <c r="B415" t="s">
        <v>17</v>
      </c>
      <c r="C415" t="s">
        <v>141</v>
      </c>
      <c r="D415" t="s">
        <v>81</v>
      </c>
      <c r="E415" t="s">
        <v>64</v>
      </c>
      <c r="F415" t="s">
        <v>65</v>
      </c>
      <c r="G415">
        <v>13</v>
      </c>
      <c r="H415" s="4">
        <v>36.85</v>
      </c>
      <c r="I415">
        <v>479.05</v>
      </c>
      <c r="J415">
        <v>10.15</v>
      </c>
      <c r="K415">
        <v>143.9</v>
      </c>
      <c r="L415" t="s">
        <v>22</v>
      </c>
      <c r="M415" t="s">
        <v>37</v>
      </c>
      <c r="N415" t="s">
        <v>66</v>
      </c>
      <c r="O415">
        <f>_xlfn.XLOOKUP(E415,Product_Master!$B$2:$B$11,Product_Master!$F$2:$F$11)</f>
        <v>25</v>
      </c>
      <c r="P415">
        <f t="shared" si="12"/>
        <v>325</v>
      </c>
      <c r="Q415" s="5">
        <f t="shared" si="13"/>
        <v>0.30038618098319592</v>
      </c>
    </row>
    <row r="416" spans="1:17" x14ac:dyDescent="0.3">
      <c r="A416" t="s">
        <v>588</v>
      </c>
      <c r="B416" t="s">
        <v>107</v>
      </c>
      <c r="C416" t="s">
        <v>87</v>
      </c>
      <c r="D416" t="s">
        <v>48</v>
      </c>
      <c r="E416" t="s">
        <v>42</v>
      </c>
      <c r="F416" t="s">
        <v>43</v>
      </c>
      <c r="G416">
        <v>33</v>
      </c>
      <c r="H416" s="4">
        <v>38.520000000000003</v>
      </c>
      <c r="I416">
        <v>1271.1600000000001</v>
      </c>
      <c r="J416">
        <v>81.459999999999994</v>
      </c>
      <c r="K416">
        <v>133.69999999999999</v>
      </c>
      <c r="L416" t="s">
        <v>22</v>
      </c>
      <c r="M416" t="s">
        <v>23</v>
      </c>
      <c r="N416" t="s">
        <v>24</v>
      </c>
      <c r="O416">
        <f>_xlfn.XLOOKUP(E416,Product_Master!$B$2:$B$11,Product_Master!$F$2:$F$11)</f>
        <v>32</v>
      </c>
      <c r="P416">
        <f t="shared" si="12"/>
        <v>1056</v>
      </c>
      <c r="Q416" s="5">
        <f t="shared" si="13"/>
        <v>0.10517952106737152</v>
      </c>
    </row>
    <row r="417" spans="1:17" x14ac:dyDescent="0.3">
      <c r="A417" t="s">
        <v>589</v>
      </c>
      <c r="B417" t="s">
        <v>75</v>
      </c>
      <c r="C417" t="s">
        <v>259</v>
      </c>
      <c r="D417" t="s">
        <v>63</v>
      </c>
      <c r="E417" t="s">
        <v>69</v>
      </c>
      <c r="F417" t="s">
        <v>59</v>
      </c>
      <c r="G417">
        <v>41</v>
      </c>
      <c r="H417" s="4">
        <v>26.98</v>
      </c>
      <c r="I417">
        <v>1106.18</v>
      </c>
      <c r="J417">
        <v>51.77</v>
      </c>
      <c r="K417">
        <v>418.91</v>
      </c>
      <c r="L417" t="s">
        <v>44</v>
      </c>
      <c r="M417" t="s">
        <v>31</v>
      </c>
      <c r="N417" t="s">
        <v>66</v>
      </c>
      <c r="O417">
        <f>_xlfn.XLOOKUP(E417,Product_Master!$B$2:$B$11,Product_Master!$F$2:$F$11)</f>
        <v>15.5</v>
      </c>
      <c r="P417">
        <f t="shared" si="12"/>
        <v>635.5</v>
      </c>
      <c r="Q417" s="5">
        <f t="shared" si="13"/>
        <v>0.37869966913160608</v>
      </c>
    </row>
    <row r="418" spans="1:17" x14ac:dyDescent="0.3">
      <c r="A418" t="s">
        <v>590</v>
      </c>
      <c r="B418" t="s">
        <v>83</v>
      </c>
      <c r="C418" t="s">
        <v>114</v>
      </c>
      <c r="D418" t="s">
        <v>123</v>
      </c>
      <c r="E418" t="s">
        <v>69</v>
      </c>
      <c r="F418" t="s">
        <v>59</v>
      </c>
      <c r="G418">
        <v>4</v>
      </c>
      <c r="H418" s="4">
        <v>23.56</v>
      </c>
      <c r="I418">
        <v>94.24</v>
      </c>
      <c r="J418">
        <v>7.03</v>
      </c>
      <c r="K418">
        <v>25.21</v>
      </c>
      <c r="L418" t="s">
        <v>44</v>
      </c>
      <c r="M418" t="s">
        <v>37</v>
      </c>
      <c r="N418" t="s">
        <v>32</v>
      </c>
      <c r="O418">
        <f>_xlfn.XLOOKUP(E418,Product_Master!$B$2:$B$11,Product_Master!$F$2:$F$11)</f>
        <v>15.5</v>
      </c>
      <c r="P418">
        <f t="shared" si="12"/>
        <v>62</v>
      </c>
      <c r="Q418" s="5">
        <f t="shared" si="13"/>
        <v>0.26750848896434637</v>
      </c>
    </row>
    <row r="419" spans="1:17" x14ac:dyDescent="0.3">
      <c r="A419" t="s">
        <v>591</v>
      </c>
      <c r="B419" t="s">
        <v>95</v>
      </c>
      <c r="C419" t="s">
        <v>316</v>
      </c>
      <c r="D419" t="s">
        <v>196</v>
      </c>
      <c r="E419" t="s">
        <v>42</v>
      </c>
      <c r="F419" t="s">
        <v>43</v>
      </c>
      <c r="G419">
        <v>17</v>
      </c>
      <c r="H419" s="4">
        <v>57.14</v>
      </c>
      <c r="I419">
        <v>971.38</v>
      </c>
      <c r="J419">
        <v>70.010000000000005</v>
      </c>
      <c r="K419">
        <v>357.37</v>
      </c>
      <c r="L419" t="s">
        <v>44</v>
      </c>
      <c r="M419" t="s">
        <v>31</v>
      </c>
      <c r="N419" t="s">
        <v>66</v>
      </c>
      <c r="O419">
        <f>_xlfn.XLOOKUP(E419,Product_Master!$B$2:$B$11,Product_Master!$F$2:$F$11)</f>
        <v>32</v>
      </c>
      <c r="P419">
        <f t="shared" si="12"/>
        <v>544</v>
      </c>
      <c r="Q419" s="5">
        <f t="shared" si="13"/>
        <v>0.36789927731680705</v>
      </c>
    </row>
    <row r="420" spans="1:17" x14ac:dyDescent="0.3">
      <c r="A420" t="s">
        <v>592</v>
      </c>
      <c r="B420" t="s">
        <v>26</v>
      </c>
      <c r="C420" t="s">
        <v>130</v>
      </c>
      <c r="D420" t="s">
        <v>147</v>
      </c>
      <c r="E420" t="s">
        <v>64</v>
      </c>
      <c r="F420" t="s">
        <v>65</v>
      </c>
      <c r="G420">
        <v>44</v>
      </c>
      <c r="H420" s="4">
        <v>38.14</v>
      </c>
      <c r="I420">
        <v>1678.16</v>
      </c>
      <c r="J420">
        <v>124.49</v>
      </c>
      <c r="K420">
        <v>453.67</v>
      </c>
      <c r="L420" t="s">
        <v>44</v>
      </c>
      <c r="M420" t="s">
        <v>23</v>
      </c>
      <c r="N420" t="s">
        <v>148</v>
      </c>
      <c r="O420">
        <f>_xlfn.XLOOKUP(E420,Product_Master!$B$2:$B$11,Product_Master!$F$2:$F$11)</f>
        <v>25</v>
      </c>
      <c r="P420">
        <f t="shared" si="12"/>
        <v>1100</v>
      </c>
      <c r="Q420" s="5">
        <f t="shared" si="13"/>
        <v>0.27033775087000045</v>
      </c>
    </row>
    <row r="421" spans="1:17" x14ac:dyDescent="0.3">
      <c r="A421" t="s">
        <v>593</v>
      </c>
      <c r="B421" t="s">
        <v>95</v>
      </c>
      <c r="C421" t="s">
        <v>119</v>
      </c>
      <c r="D421" t="s">
        <v>101</v>
      </c>
      <c r="E421" t="s">
        <v>29</v>
      </c>
      <c r="F421" t="s">
        <v>21</v>
      </c>
      <c r="G421">
        <v>14</v>
      </c>
      <c r="H421" s="4">
        <v>24</v>
      </c>
      <c r="I421">
        <v>336</v>
      </c>
      <c r="J421">
        <v>22.88</v>
      </c>
      <c r="K421">
        <v>61.12</v>
      </c>
      <c r="L421" t="s">
        <v>30</v>
      </c>
      <c r="M421" t="s">
        <v>31</v>
      </c>
      <c r="N421" t="s">
        <v>102</v>
      </c>
      <c r="O421">
        <f>_xlfn.XLOOKUP(E421,Product_Master!$B$2:$B$11,Product_Master!$F$2:$F$11)</f>
        <v>18</v>
      </c>
      <c r="P421">
        <f t="shared" si="12"/>
        <v>252</v>
      </c>
      <c r="Q421" s="5">
        <f t="shared" si="13"/>
        <v>0.1819047619047619</v>
      </c>
    </row>
    <row r="422" spans="1:17" x14ac:dyDescent="0.3">
      <c r="A422" t="s">
        <v>594</v>
      </c>
      <c r="B422" t="s">
        <v>83</v>
      </c>
      <c r="C422" t="s">
        <v>90</v>
      </c>
      <c r="D422" t="s">
        <v>63</v>
      </c>
      <c r="E422" t="s">
        <v>69</v>
      </c>
      <c r="F422" t="s">
        <v>59</v>
      </c>
      <c r="G422">
        <v>50</v>
      </c>
      <c r="H422" s="4">
        <v>26.91</v>
      </c>
      <c r="I422">
        <v>1345.5</v>
      </c>
      <c r="J422">
        <v>91.7</v>
      </c>
      <c r="K422">
        <v>478.8</v>
      </c>
      <c r="L422" t="s">
        <v>44</v>
      </c>
      <c r="M422" t="s">
        <v>23</v>
      </c>
      <c r="N422" t="s">
        <v>66</v>
      </c>
      <c r="O422">
        <f>_xlfn.XLOOKUP(E422,Product_Master!$B$2:$B$11,Product_Master!$F$2:$F$11)</f>
        <v>15.5</v>
      </c>
      <c r="P422">
        <f t="shared" si="12"/>
        <v>775</v>
      </c>
      <c r="Q422" s="5">
        <f t="shared" si="13"/>
        <v>0.35585284280936458</v>
      </c>
    </row>
    <row r="423" spans="1:17" x14ac:dyDescent="0.3">
      <c r="A423" t="s">
        <v>595</v>
      </c>
      <c r="B423" t="s">
        <v>61</v>
      </c>
      <c r="C423" t="s">
        <v>305</v>
      </c>
      <c r="D423" t="s">
        <v>36</v>
      </c>
      <c r="E423" t="s">
        <v>49</v>
      </c>
      <c r="F423" t="s">
        <v>50</v>
      </c>
      <c r="G423">
        <v>7</v>
      </c>
      <c r="H423" s="4">
        <v>59.41</v>
      </c>
      <c r="I423">
        <v>415.87</v>
      </c>
      <c r="J423">
        <v>25.51</v>
      </c>
      <c r="K423">
        <v>110.36</v>
      </c>
      <c r="L423" t="s">
        <v>22</v>
      </c>
      <c r="M423" t="s">
        <v>37</v>
      </c>
      <c r="N423" t="s">
        <v>32</v>
      </c>
      <c r="O423">
        <f>_xlfn.XLOOKUP(E423,Product_Master!$B$2:$B$11,Product_Master!$F$2:$F$11)</f>
        <v>40</v>
      </c>
      <c r="P423">
        <f t="shared" si="12"/>
        <v>280</v>
      </c>
      <c r="Q423" s="5">
        <f t="shared" si="13"/>
        <v>0.26537139009786714</v>
      </c>
    </row>
    <row r="424" spans="1:17" x14ac:dyDescent="0.3">
      <c r="A424" t="s">
        <v>596</v>
      </c>
      <c r="B424" t="s">
        <v>157</v>
      </c>
      <c r="C424" t="s">
        <v>268</v>
      </c>
      <c r="D424" t="s">
        <v>91</v>
      </c>
      <c r="E424" t="s">
        <v>64</v>
      </c>
      <c r="F424" t="s">
        <v>65</v>
      </c>
      <c r="G424">
        <v>48</v>
      </c>
      <c r="H424" s="4">
        <v>37.31</v>
      </c>
      <c r="I424">
        <v>1790.88</v>
      </c>
      <c r="J424">
        <v>67.45</v>
      </c>
      <c r="K424">
        <v>523.42999999999995</v>
      </c>
      <c r="L424" t="s">
        <v>22</v>
      </c>
      <c r="M424" t="s">
        <v>31</v>
      </c>
      <c r="N424" t="s">
        <v>66</v>
      </c>
      <c r="O424">
        <f>_xlfn.XLOOKUP(E424,Product_Master!$B$2:$B$11,Product_Master!$F$2:$F$11)</f>
        <v>25</v>
      </c>
      <c r="P424">
        <f t="shared" si="12"/>
        <v>1200</v>
      </c>
      <c r="Q424" s="5">
        <f t="shared" si="13"/>
        <v>0.29227530599481816</v>
      </c>
    </row>
    <row r="425" spans="1:17" x14ac:dyDescent="0.3">
      <c r="A425" t="s">
        <v>597</v>
      </c>
      <c r="B425" t="s">
        <v>95</v>
      </c>
      <c r="C425" t="s">
        <v>198</v>
      </c>
      <c r="D425" t="s">
        <v>88</v>
      </c>
      <c r="E425" t="s">
        <v>49</v>
      </c>
      <c r="F425" t="s">
        <v>50</v>
      </c>
      <c r="G425">
        <v>38</v>
      </c>
      <c r="H425" s="4">
        <v>52.91</v>
      </c>
      <c r="I425">
        <v>2010.58</v>
      </c>
      <c r="J425">
        <v>94.22</v>
      </c>
      <c r="K425">
        <v>396.36</v>
      </c>
      <c r="L425" t="s">
        <v>22</v>
      </c>
      <c r="M425" t="s">
        <v>23</v>
      </c>
      <c r="N425" t="s">
        <v>66</v>
      </c>
      <c r="O425">
        <f>_xlfn.XLOOKUP(E425,Product_Master!$B$2:$B$11,Product_Master!$F$2:$F$11)</f>
        <v>40</v>
      </c>
      <c r="P425">
        <f t="shared" si="12"/>
        <v>1520</v>
      </c>
      <c r="Q425" s="5">
        <f t="shared" si="13"/>
        <v>0.19713714450556558</v>
      </c>
    </row>
    <row r="426" spans="1:17" x14ac:dyDescent="0.3">
      <c r="A426" t="s">
        <v>598</v>
      </c>
      <c r="B426" t="s">
        <v>61</v>
      </c>
      <c r="C426" t="s">
        <v>79</v>
      </c>
      <c r="D426" t="s">
        <v>28</v>
      </c>
      <c r="E426" t="s">
        <v>29</v>
      </c>
      <c r="F426" t="s">
        <v>21</v>
      </c>
      <c r="G426">
        <v>14</v>
      </c>
      <c r="H426" s="4">
        <v>27.09</v>
      </c>
      <c r="I426">
        <v>379.26</v>
      </c>
      <c r="J426">
        <v>14.42</v>
      </c>
      <c r="K426">
        <v>112.84</v>
      </c>
      <c r="L426" t="s">
        <v>44</v>
      </c>
      <c r="M426" t="s">
        <v>37</v>
      </c>
      <c r="N426" t="s">
        <v>32</v>
      </c>
      <c r="O426">
        <f>_xlfn.XLOOKUP(E426,Product_Master!$B$2:$B$11,Product_Master!$F$2:$F$11)</f>
        <v>18</v>
      </c>
      <c r="P426">
        <f t="shared" si="12"/>
        <v>252</v>
      </c>
      <c r="Q426" s="5">
        <f t="shared" si="13"/>
        <v>0.29752676264304173</v>
      </c>
    </row>
    <row r="427" spans="1:17" x14ac:dyDescent="0.3">
      <c r="A427" t="s">
        <v>599</v>
      </c>
      <c r="B427" t="s">
        <v>83</v>
      </c>
      <c r="C427" t="s">
        <v>130</v>
      </c>
      <c r="D427" t="s">
        <v>91</v>
      </c>
      <c r="E427" t="s">
        <v>58</v>
      </c>
      <c r="F427" t="s">
        <v>59</v>
      </c>
      <c r="G427">
        <v>41</v>
      </c>
      <c r="H427" s="4">
        <v>30.52</v>
      </c>
      <c r="I427">
        <v>1251.32</v>
      </c>
      <c r="J427">
        <v>56.88</v>
      </c>
      <c r="K427">
        <v>271.94</v>
      </c>
      <c r="L427" t="s">
        <v>22</v>
      </c>
      <c r="M427" t="s">
        <v>37</v>
      </c>
      <c r="N427" t="s">
        <v>66</v>
      </c>
      <c r="O427">
        <f>_xlfn.XLOOKUP(E427,Product_Master!$B$2:$B$11,Product_Master!$F$2:$F$11)</f>
        <v>22.5</v>
      </c>
      <c r="P427">
        <f t="shared" si="12"/>
        <v>922.5</v>
      </c>
      <c r="Q427" s="5">
        <f t="shared" si="13"/>
        <v>0.21732250743215165</v>
      </c>
    </row>
    <row r="428" spans="1:17" x14ac:dyDescent="0.3">
      <c r="A428" t="s">
        <v>600</v>
      </c>
      <c r="B428" t="s">
        <v>107</v>
      </c>
      <c r="C428" t="s">
        <v>250</v>
      </c>
      <c r="D428" t="s">
        <v>48</v>
      </c>
      <c r="E428" t="s">
        <v>98</v>
      </c>
      <c r="F428" t="s">
        <v>59</v>
      </c>
      <c r="G428">
        <v>23</v>
      </c>
      <c r="H428" s="4">
        <v>40.94</v>
      </c>
      <c r="I428">
        <v>941.62</v>
      </c>
      <c r="J428">
        <v>71.66</v>
      </c>
      <c r="K428">
        <v>225.96</v>
      </c>
      <c r="L428" t="s">
        <v>30</v>
      </c>
      <c r="M428" t="s">
        <v>37</v>
      </c>
      <c r="N428" t="s">
        <v>24</v>
      </c>
      <c r="O428">
        <f>_xlfn.XLOOKUP(E428,Product_Master!$B$2:$B$11,Product_Master!$F$2:$F$11)</f>
        <v>28</v>
      </c>
      <c r="P428">
        <f t="shared" si="12"/>
        <v>644</v>
      </c>
      <c r="Q428" s="5">
        <f t="shared" si="13"/>
        <v>0.23996941441345768</v>
      </c>
    </row>
    <row r="429" spans="1:17" x14ac:dyDescent="0.3">
      <c r="A429" t="s">
        <v>601</v>
      </c>
      <c r="B429" t="s">
        <v>56</v>
      </c>
      <c r="C429" t="s">
        <v>316</v>
      </c>
      <c r="D429" t="s">
        <v>170</v>
      </c>
      <c r="E429" t="s">
        <v>98</v>
      </c>
      <c r="F429" t="s">
        <v>59</v>
      </c>
      <c r="G429">
        <v>34</v>
      </c>
      <c r="H429" s="4">
        <v>41.77</v>
      </c>
      <c r="I429">
        <v>1420.18</v>
      </c>
      <c r="J429">
        <v>112.45</v>
      </c>
      <c r="K429">
        <v>355.73</v>
      </c>
      <c r="L429" t="s">
        <v>30</v>
      </c>
      <c r="M429" t="s">
        <v>37</v>
      </c>
      <c r="N429" t="s">
        <v>32</v>
      </c>
      <c r="O429">
        <f>_xlfn.XLOOKUP(E429,Product_Master!$B$2:$B$11,Product_Master!$F$2:$F$11)</f>
        <v>28</v>
      </c>
      <c r="P429">
        <f t="shared" si="12"/>
        <v>952</v>
      </c>
      <c r="Q429" s="5">
        <f t="shared" si="13"/>
        <v>0.25048233322536578</v>
      </c>
    </row>
    <row r="430" spans="1:17" x14ac:dyDescent="0.3">
      <c r="A430" t="s">
        <v>602</v>
      </c>
      <c r="B430" t="s">
        <v>71</v>
      </c>
      <c r="C430" t="s">
        <v>119</v>
      </c>
      <c r="D430" t="s">
        <v>196</v>
      </c>
      <c r="E430" t="s">
        <v>49</v>
      </c>
      <c r="F430" t="s">
        <v>50</v>
      </c>
      <c r="G430">
        <v>32</v>
      </c>
      <c r="H430" s="4">
        <v>69.98</v>
      </c>
      <c r="I430">
        <v>2239.36</v>
      </c>
      <c r="J430">
        <v>133.51</v>
      </c>
      <c r="K430">
        <v>825.85</v>
      </c>
      <c r="L430" t="s">
        <v>44</v>
      </c>
      <c r="M430" t="s">
        <v>23</v>
      </c>
      <c r="N430" t="s">
        <v>66</v>
      </c>
      <c r="O430">
        <f>_xlfn.XLOOKUP(E430,Product_Master!$B$2:$B$11,Product_Master!$F$2:$F$11)</f>
        <v>40</v>
      </c>
      <c r="P430">
        <f t="shared" si="12"/>
        <v>1280</v>
      </c>
      <c r="Q430" s="5">
        <f t="shared" si="13"/>
        <v>0.3687884038296656</v>
      </c>
    </row>
    <row r="431" spans="1:17" x14ac:dyDescent="0.3">
      <c r="A431" t="s">
        <v>603</v>
      </c>
      <c r="B431" t="s">
        <v>157</v>
      </c>
      <c r="C431" t="s">
        <v>185</v>
      </c>
      <c r="D431" t="s">
        <v>28</v>
      </c>
      <c r="E431" t="s">
        <v>20</v>
      </c>
      <c r="F431" t="s">
        <v>21</v>
      </c>
      <c r="G431">
        <v>25</v>
      </c>
      <c r="H431" s="4">
        <v>42.91</v>
      </c>
      <c r="I431">
        <v>1072.75</v>
      </c>
      <c r="J431">
        <v>80.02</v>
      </c>
      <c r="K431">
        <v>117.73</v>
      </c>
      <c r="L431" t="s">
        <v>30</v>
      </c>
      <c r="M431" t="s">
        <v>31</v>
      </c>
      <c r="N431" t="s">
        <v>32</v>
      </c>
      <c r="O431">
        <f>_xlfn.XLOOKUP(E431,Product_Master!$B$2:$B$11,Product_Master!$F$2:$F$11)</f>
        <v>35</v>
      </c>
      <c r="P431">
        <f t="shared" si="12"/>
        <v>875</v>
      </c>
      <c r="Q431" s="5">
        <f t="shared" si="13"/>
        <v>0.10974597995805174</v>
      </c>
    </row>
    <row r="432" spans="1:17" x14ac:dyDescent="0.3">
      <c r="A432" t="s">
        <v>604</v>
      </c>
      <c r="B432" t="s">
        <v>78</v>
      </c>
      <c r="C432" t="s">
        <v>427</v>
      </c>
      <c r="D432" t="s">
        <v>48</v>
      </c>
      <c r="E432" t="s">
        <v>73</v>
      </c>
      <c r="F432" t="s">
        <v>43</v>
      </c>
      <c r="G432">
        <v>7</v>
      </c>
      <c r="H432" s="4">
        <v>22.6</v>
      </c>
      <c r="I432">
        <v>158.19999999999999</v>
      </c>
      <c r="J432">
        <v>7.04</v>
      </c>
      <c r="K432">
        <v>61.91</v>
      </c>
      <c r="L432" t="s">
        <v>44</v>
      </c>
      <c r="M432" t="s">
        <v>23</v>
      </c>
      <c r="N432" t="s">
        <v>24</v>
      </c>
      <c r="O432">
        <f>_xlfn.XLOOKUP(E432,Product_Master!$B$2:$B$11,Product_Master!$F$2:$F$11)</f>
        <v>12.75</v>
      </c>
      <c r="P432">
        <f t="shared" si="12"/>
        <v>89.25</v>
      </c>
      <c r="Q432" s="5">
        <f t="shared" si="13"/>
        <v>0.39134007585335018</v>
      </c>
    </row>
    <row r="433" spans="1:17" x14ac:dyDescent="0.3">
      <c r="A433" t="s">
        <v>605</v>
      </c>
      <c r="B433" t="s">
        <v>56</v>
      </c>
      <c r="C433" t="s">
        <v>105</v>
      </c>
      <c r="D433" t="s">
        <v>19</v>
      </c>
      <c r="E433" t="s">
        <v>73</v>
      </c>
      <c r="F433" t="s">
        <v>43</v>
      </c>
      <c r="G433">
        <v>48</v>
      </c>
      <c r="H433" s="4">
        <v>19.5</v>
      </c>
      <c r="I433">
        <v>936</v>
      </c>
      <c r="J433">
        <v>70.069999999999993</v>
      </c>
      <c r="K433">
        <v>253.93</v>
      </c>
      <c r="L433" t="s">
        <v>22</v>
      </c>
      <c r="M433" t="s">
        <v>31</v>
      </c>
      <c r="N433" t="s">
        <v>24</v>
      </c>
      <c r="O433">
        <f>_xlfn.XLOOKUP(E433,Product_Master!$B$2:$B$11,Product_Master!$F$2:$F$11)</f>
        <v>12.75</v>
      </c>
      <c r="P433">
        <f t="shared" si="12"/>
        <v>612</v>
      </c>
      <c r="Q433" s="5">
        <f t="shared" si="13"/>
        <v>0.27129273504273504</v>
      </c>
    </row>
    <row r="434" spans="1:17" x14ac:dyDescent="0.3">
      <c r="A434" t="s">
        <v>606</v>
      </c>
      <c r="B434" t="s">
        <v>68</v>
      </c>
      <c r="C434" t="s">
        <v>35</v>
      </c>
      <c r="D434" t="s">
        <v>147</v>
      </c>
      <c r="E434" t="s">
        <v>49</v>
      </c>
      <c r="F434" t="s">
        <v>50</v>
      </c>
      <c r="G434">
        <v>32</v>
      </c>
      <c r="H434" s="4">
        <v>49.97</v>
      </c>
      <c r="I434">
        <v>1599.04</v>
      </c>
      <c r="J434">
        <v>43.1</v>
      </c>
      <c r="K434">
        <v>275.94</v>
      </c>
      <c r="L434" t="s">
        <v>30</v>
      </c>
      <c r="M434" t="s">
        <v>37</v>
      </c>
      <c r="N434" t="s">
        <v>148</v>
      </c>
      <c r="O434">
        <f>_xlfn.XLOOKUP(E434,Product_Master!$B$2:$B$11,Product_Master!$F$2:$F$11)</f>
        <v>40</v>
      </c>
      <c r="P434">
        <f t="shared" si="12"/>
        <v>1280</v>
      </c>
      <c r="Q434" s="5">
        <f t="shared" si="13"/>
        <v>0.17256603962377426</v>
      </c>
    </row>
    <row r="435" spans="1:17" x14ac:dyDescent="0.3">
      <c r="A435" t="s">
        <v>607</v>
      </c>
      <c r="B435" t="s">
        <v>17</v>
      </c>
      <c r="C435" t="s">
        <v>18</v>
      </c>
      <c r="D435" t="s">
        <v>123</v>
      </c>
      <c r="E435" t="s">
        <v>69</v>
      </c>
      <c r="F435" t="s">
        <v>59</v>
      </c>
      <c r="G435">
        <v>41</v>
      </c>
      <c r="H435" s="4">
        <v>25.62</v>
      </c>
      <c r="I435">
        <v>1050.42</v>
      </c>
      <c r="J435">
        <v>79.2</v>
      </c>
      <c r="K435">
        <v>335.72</v>
      </c>
      <c r="L435" t="s">
        <v>22</v>
      </c>
      <c r="M435" t="s">
        <v>31</v>
      </c>
      <c r="N435" t="s">
        <v>32</v>
      </c>
      <c r="O435">
        <f>_xlfn.XLOOKUP(E435,Product_Master!$B$2:$B$11,Product_Master!$F$2:$F$11)</f>
        <v>15.5</v>
      </c>
      <c r="P435">
        <f t="shared" si="12"/>
        <v>635.5</v>
      </c>
      <c r="Q435" s="5">
        <f t="shared" si="13"/>
        <v>0.31960549113687858</v>
      </c>
    </row>
    <row r="436" spans="1:17" x14ac:dyDescent="0.3">
      <c r="A436" t="s">
        <v>608</v>
      </c>
      <c r="B436" t="s">
        <v>83</v>
      </c>
      <c r="C436" t="s">
        <v>312</v>
      </c>
      <c r="D436" t="s">
        <v>19</v>
      </c>
      <c r="E436" t="s">
        <v>73</v>
      </c>
      <c r="F436" t="s">
        <v>43</v>
      </c>
      <c r="G436">
        <v>46</v>
      </c>
      <c r="H436" s="4">
        <v>16.78</v>
      </c>
      <c r="I436">
        <v>771.88</v>
      </c>
      <c r="J436">
        <v>18.04</v>
      </c>
      <c r="K436">
        <v>167.34</v>
      </c>
      <c r="L436" t="s">
        <v>44</v>
      </c>
      <c r="M436" t="s">
        <v>37</v>
      </c>
      <c r="N436" t="s">
        <v>24</v>
      </c>
      <c r="O436">
        <f>_xlfn.XLOOKUP(E436,Product_Master!$B$2:$B$11,Product_Master!$F$2:$F$11)</f>
        <v>12.75</v>
      </c>
      <c r="P436">
        <f t="shared" si="12"/>
        <v>586.5</v>
      </c>
      <c r="Q436" s="5">
        <f t="shared" si="13"/>
        <v>0.21679535679121106</v>
      </c>
    </row>
    <row r="437" spans="1:17" x14ac:dyDescent="0.3">
      <c r="A437" t="s">
        <v>609</v>
      </c>
      <c r="B437" t="s">
        <v>83</v>
      </c>
      <c r="C437" t="s">
        <v>338</v>
      </c>
      <c r="D437" t="s">
        <v>36</v>
      </c>
      <c r="E437" t="s">
        <v>42</v>
      </c>
      <c r="F437" t="s">
        <v>43</v>
      </c>
      <c r="G437">
        <v>16</v>
      </c>
      <c r="H437" s="4">
        <v>42.18</v>
      </c>
      <c r="I437">
        <v>674.88</v>
      </c>
      <c r="J437">
        <v>19.100000000000001</v>
      </c>
      <c r="K437">
        <v>143.78</v>
      </c>
      <c r="L437" t="s">
        <v>22</v>
      </c>
      <c r="M437" t="s">
        <v>37</v>
      </c>
      <c r="N437" t="s">
        <v>32</v>
      </c>
      <c r="O437">
        <f>_xlfn.XLOOKUP(E437,Product_Master!$B$2:$B$11,Product_Master!$F$2:$F$11)</f>
        <v>32</v>
      </c>
      <c r="P437">
        <f t="shared" si="12"/>
        <v>512</v>
      </c>
      <c r="Q437" s="5">
        <f t="shared" si="13"/>
        <v>0.21304528212422949</v>
      </c>
    </row>
    <row r="438" spans="1:17" x14ac:dyDescent="0.3">
      <c r="A438" t="s">
        <v>610</v>
      </c>
      <c r="B438" t="s">
        <v>71</v>
      </c>
      <c r="C438" t="s">
        <v>79</v>
      </c>
      <c r="D438" t="s">
        <v>123</v>
      </c>
      <c r="E438" t="s">
        <v>64</v>
      </c>
      <c r="F438" t="s">
        <v>65</v>
      </c>
      <c r="G438">
        <v>12</v>
      </c>
      <c r="H438" s="4">
        <v>34.97</v>
      </c>
      <c r="I438">
        <v>419.64</v>
      </c>
      <c r="J438">
        <v>28.48</v>
      </c>
      <c r="K438">
        <v>91.16</v>
      </c>
      <c r="L438" t="s">
        <v>22</v>
      </c>
      <c r="M438" t="s">
        <v>23</v>
      </c>
      <c r="N438" t="s">
        <v>32</v>
      </c>
      <c r="O438">
        <f>_xlfn.XLOOKUP(E438,Product_Master!$B$2:$B$11,Product_Master!$F$2:$F$11)</f>
        <v>25</v>
      </c>
      <c r="P438">
        <f t="shared" si="12"/>
        <v>300</v>
      </c>
      <c r="Q438" s="5">
        <f t="shared" si="13"/>
        <v>0.21723381946430273</v>
      </c>
    </row>
    <row r="439" spans="1:17" x14ac:dyDescent="0.3">
      <c r="A439" t="s">
        <v>611</v>
      </c>
      <c r="B439" t="s">
        <v>78</v>
      </c>
      <c r="C439" t="s">
        <v>155</v>
      </c>
      <c r="D439" t="s">
        <v>41</v>
      </c>
      <c r="E439" t="s">
        <v>54</v>
      </c>
      <c r="F439" t="s">
        <v>43</v>
      </c>
      <c r="G439">
        <v>31</v>
      </c>
      <c r="H439" s="4">
        <v>33.619999999999997</v>
      </c>
      <c r="I439">
        <v>1042.22</v>
      </c>
      <c r="J439">
        <v>26.33</v>
      </c>
      <c r="K439">
        <v>395.89</v>
      </c>
      <c r="L439" t="s">
        <v>44</v>
      </c>
      <c r="M439" t="s">
        <v>37</v>
      </c>
      <c r="N439" t="s">
        <v>45</v>
      </c>
      <c r="O439">
        <f>_xlfn.XLOOKUP(E439,Product_Master!$B$2:$B$11,Product_Master!$F$2:$F$11)</f>
        <v>20</v>
      </c>
      <c r="P439">
        <f t="shared" si="12"/>
        <v>620</v>
      </c>
      <c r="Q439" s="5">
        <f t="shared" si="13"/>
        <v>0.37985262228704109</v>
      </c>
    </row>
    <row r="440" spans="1:17" x14ac:dyDescent="0.3">
      <c r="A440" t="s">
        <v>612</v>
      </c>
      <c r="B440" t="s">
        <v>132</v>
      </c>
      <c r="C440" t="s">
        <v>440</v>
      </c>
      <c r="D440" t="s">
        <v>88</v>
      </c>
      <c r="E440" t="s">
        <v>58</v>
      </c>
      <c r="F440" t="s">
        <v>59</v>
      </c>
      <c r="G440">
        <v>40</v>
      </c>
      <c r="H440" s="4">
        <v>30.56</v>
      </c>
      <c r="I440">
        <v>1222.4000000000001</v>
      </c>
      <c r="J440">
        <v>26.42</v>
      </c>
      <c r="K440">
        <v>295.98</v>
      </c>
      <c r="L440" t="s">
        <v>22</v>
      </c>
      <c r="M440" t="s">
        <v>23</v>
      </c>
      <c r="N440" t="s">
        <v>66</v>
      </c>
      <c r="O440">
        <f>_xlfn.XLOOKUP(E440,Product_Master!$B$2:$B$11,Product_Master!$F$2:$F$11)</f>
        <v>22.5</v>
      </c>
      <c r="P440">
        <f t="shared" si="12"/>
        <v>900</v>
      </c>
      <c r="Q440" s="5">
        <f t="shared" si="13"/>
        <v>0.24213023560209423</v>
      </c>
    </row>
    <row r="441" spans="1:17" x14ac:dyDescent="0.3">
      <c r="A441" t="s">
        <v>613</v>
      </c>
      <c r="B441" t="s">
        <v>17</v>
      </c>
      <c r="C441" t="s">
        <v>161</v>
      </c>
      <c r="D441" t="s">
        <v>170</v>
      </c>
      <c r="E441" t="s">
        <v>20</v>
      </c>
      <c r="F441" t="s">
        <v>21</v>
      </c>
      <c r="G441">
        <v>15</v>
      </c>
      <c r="H441" s="4">
        <v>61.93</v>
      </c>
      <c r="I441">
        <v>928.95</v>
      </c>
      <c r="J441">
        <v>25.68</v>
      </c>
      <c r="K441">
        <v>378.27</v>
      </c>
      <c r="L441" t="s">
        <v>30</v>
      </c>
      <c r="M441" t="s">
        <v>37</v>
      </c>
      <c r="N441" t="s">
        <v>32</v>
      </c>
      <c r="O441">
        <f>_xlfn.XLOOKUP(E441,Product_Master!$B$2:$B$11,Product_Master!$F$2:$F$11)</f>
        <v>35</v>
      </c>
      <c r="P441">
        <f t="shared" si="12"/>
        <v>525</v>
      </c>
      <c r="Q441" s="5">
        <f t="shared" si="13"/>
        <v>0.407201679315356</v>
      </c>
    </row>
    <row r="442" spans="1:17" x14ac:dyDescent="0.3">
      <c r="A442" t="s">
        <v>614</v>
      </c>
      <c r="B442" t="s">
        <v>157</v>
      </c>
      <c r="C442" t="s">
        <v>139</v>
      </c>
      <c r="D442" t="s">
        <v>63</v>
      </c>
      <c r="E442" t="s">
        <v>54</v>
      </c>
      <c r="F442" t="s">
        <v>43</v>
      </c>
      <c r="G442">
        <v>20</v>
      </c>
      <c r="H442" s="4">
        <v>35.770000000000003</v>
      </c>
      <c r="I442">
        <v>715.4</v>
      </c>
      <c r="J442">
        <v>39.229999999999997</v>
      </c>
      <c r="K442">
        <v>276.17</v>
      </c>
      <c r="L442" t="s">
        <v>22</v>
      </c>
      <c r="M442" t="s">
        <v>23</v>
      </c>
      <c r="N442" t="s">
        <v>66</v>
      </c>
      <c r="O442">
        <f>_xlfn.XLOOKUP(E442,Product_Master!$B$2:$B$11,Product_Master!$F$2:$F$11)</f>
        <v>20</v>
      </c>
      <c r="P442">
        <f t="shared" si="12"/>
        <v>400</v>
      </c>
      <c r="Q442" s="5">
        <f t="shared" si="13"/>
        <v>0.38603578417668438</v>
      </c>
    </row>
    <row r="443" spans="1:17" x14ac:dyDescent="0.3">
      <c r="A443" t="s">
        <v>615</v>
      </c>
      <c r="B443" t="s">
        <v>56</v>
      </c>
      <c r="C443" t="s">
        <v>265</v>
      </c>
      <c r="D443" t="s">
        <v>28</v>
      </c>
      <c r="E443" t="s">
        <v>73</v>
      </c>
      <c r="F443" t="s">
        <v>43</v>
      </c>
      <c r="G443">
        <v>21</v>
      </c>
      <c r="H443" s="4">
        <v>22.48</v>
      </c>
      <c r="I443">
        <v>472.08</v>
      </c>
      <c r="J443">
        <v>12.96</v>
      </c>
      <c r="K443">
        <v>191.37</v>
      </c>
      <c r="L443" t="s">
        <v>30</v>
      </c>
      <c r="M443" t="s">
        <v>23</v>
      </c>
      <c r="N443" t="s">
        <v>32</v>
      </c>
      <c r="O443">
        <f>_xlfn.XLOOKUP(E443,Product_Master!$B$2:$B$11,Product_Master!$F$2:$F$11)</f>
        <v>12.75</v>
      </c>
      <c r="P443">
        <f t="shared" si="12"/>
        <v>267.75</v>
      </c>
      <c r="Q443" s="5">
        <f t="shared" si="13"/>
        <v>0.40537620742247077</v>
      </c>
    </row>
    <row r="444" spans="1:17" x14ac:dyDescent="0.3">
      <c r="A444" t="s">
        <v>616</v>
      </c>
      <c r="B444" t="s">
        <v>17</v>
      </c>
      <c r="C444" t="s">
        <v>293</v>
      </c>
      <c r="D444" t="s">
        <v>63</v>
      </c>
      <c r="E444" t="s">
        <v>29</v>
      </c>
      <c r="F444" t="s">
        <v>21</v>
      </c>
      <c r="G444">
        <v>8</v>
      </c>
      <c r="H444" s="4">
        <v>27.53</v>
      </c>
      <c r="I444">
        <v>220.24</v>
      </c>
      <c r="J444">
        <v>12.66</v>
      </c>
      <c r="K444">
        <v>63.58</v>
      </c>
      <c r="L444" t="s">
        <v>30</v>
      </c>
      <c r="M444" t="s">
        <v>31</v>
      </c>
      <c r="N444" t="s">
        <v>66</v>
      </c>
      <c r="O444">
        <f>_xlfn.XLOOKUP(E444,Product_Master!$B$2:$B$11,Product_Master!$F$2:$F$11)</f>
        <v>18</v>
      </c>
      <c r="P444">
        <f t="shared" si="12"/>
        <v>144</v>
      </c>
      <c r="Q444" s="5">
        <f t="shared" si="13"/>
        <v>0.28868507083181982</v>
      </c>
    </row>
    <row r="445" spans="1:17" x14ac:dyDescent="0.3">
      <c r="A445" t="s">
        <v>617</v>
      </c>
      <c r="B445" t="s">
        <v>68</v>
      </c>
      <c r="C445" t="s">
        <v>245</v>
      </c>
      <c r="D445" t="s">
        <v>196</v>
      </c>
      <c r="E445" t="s">
        <v>58</v>
      </c>
      <c r="F445" t="s">
        <v>59</v>
      </c>
      <c r="G445">
        <v>35</v>
      </c>
      <c r="H445" s="4">
        <v>39.65</v>
      </c>
      <c r="I445">
        <v>1387.75</v>
      </c>
      <c r="J445">
        <v>60.95</v>
      </c>
      <c r="K445">
        <v>539.29999999999995</v>
      </c>
      <c r="L445" t="s">
        <v>44</v>
      </c>
      <c r="M445" t="s">
        <v>31</v>
      </c>
      <c r="N445" t="s">
        <v>66</v>
      </c>
      <c r="O445">
        <f>_xlfn.XLOOKUP(E445,Product_Master!$B$2:$B$11,Product_Master!$F$2:$F$11)</f>
        <v>22.5</v>
      </c>
      <c r="P445">
        <f t="shared" si="12"/>
        <v>787.5</v>
      </c>
      <c r="Q445" s="5">
        <f t="shared" si="13"/>
        <v>0.38861466402450007</v>
      </c>
    </row>
    <row r="446" spans="1:17" x14ac:dyDescent="0.3">
      <c r="A446" t="s">
        <v>618</v>
      </c>
      <c r="B446" t="s">
        <v>83</v>
      </c>
      <c r="C446" t="s">
        <v>200</v>
      </c>
      <c r="D446" t="s">
        <v>101</v>
      </c>
      <c r="E446" t="s">
        <v>69</v>
      </c>
      <c r="F446" t="s">
        <v>59</v>
      </c>
      <c r="G446">
        <v>50</v>
      </c>
      <c r="H446" s="4">
        <v>23.68</v>
      </c>
      <c r="I446">
        <v>1184</v>
      </c>
      <c r="J446">
        <v>46.62</v>
      </c>
      <c r="K446">
        <v>362.38</v>
      </c>
      <c r="L446" t="s">
        <v>30</v>
      </c>
      <c r="M446" t="s">
        <v>31</v>
      </c>
      <c r="N446" t="s">
        <v>102</v>
      </c>
      <c r="O446">
        <f>_xlfn.XLOOKUP(E446,Product_Master!$B$2:$B$11,Product_Master!$F$2:$F$11)</f>
        <v>15.5</v>
      </c>
      <c r="P446">
        <f t="shared" si="12"/>
        <v>775</v>
      </c>
      <c r="Q446" s="5">
        <f t="shared" si="13"/>
        <v>0.30606418918918921</v>
      </c>
    </row>
    <row r="447" spans="1:17" x14ac:dyDescent="0.3">
      <c r="A447" t="s">
        <v>619</v>
      </c>
      <c r="B447" t="s">
        <v>26</v>
      </c>
      <c r="C447" t="s">
        <v>202</v>
      </c>
      <c r="D447" t="s">
        <v>88</v>
      </c>
      <c r="E447" t="s">
        <v>73</v>
      </c>
      <c r="F447" t="s">
        <v>43</v>
      </c>
      <c r="G447">
        <v>5</v>
      </c>
      <c r="H447" s="4">
        <v>19.809999999999999</v>
      </c>
      <c r="I447">
        <v>99.05</v>
      </c>
      <c r="J447">
        <v>5.91</v>
      </c>
      <c r="K447">
        <v>29.39</v>
      </c>
      <c r="L447" t="s">
        <v>30</v>
      </c>
      <c r="M447" t="s">
        <v>37</v>
      </c>
      <c r="N447" t="s">
        <v>66</v>
      </c>
      <c r="O447">
        <f>_xlfn.XLOOKUP(E447,Product_Master!$B$2:$B$11,Product_Master!$F$2:$F$11)</f>
        <v>12.75</v>
      </c>
      <c r="P447">
        <f t="shared" si="12"/>
        <v>63.75</v>
      </c>
      <c r="Q447" s="5">
        <f t="shared" si="13"/>
        <v>0.2967188288743059</v>
      </c>
    </row>
    <row r="448" spans="1:17" x14ac:dyDescent="0.3">
      <c r="A448" t="s">
        <v>620</v>
      </c>
      <c r="B448" t="s">
        <v>107</v>
      </c>
      <c r="C448" t="s">
        <v>90</v>
      </c>
      <c r="D448" t="s">
        <v>41</v>
      </c>
      <c r="E448" t="s">
        <v>73</v>
      </c>
      <c r="F448" t="s">
        <v>43</v>
      </c>
      <c r="G448">
        <v>27</v>
      </c>
      <c r="H448" s="4">
        <v>18.03</v>
      </c>
      <c r="I448">
        <v>486.81</v>
      </c>
      <c r="J448">
        <v>36.630000000000003</v>
      </c>
      <c r="K448">
        <v>105.93</v>
      </c>
      <c r="L448" t="s">
        <v>22</v>
      </c>
      <c r="M448" t="s">
        <v>37</v>
      </c>
      <c r="N448" t="s">
        <v>45</v>
      </c>
      <c r="O448">
        <f>_xlfn.XLOOKUP(E448,Product_Master!$B$2:$B$11,Product_Master!$F$2:$F$11)</f>
        <v>12.75</v>
      </c>
      <c r="P448">
        <f t="shared" si="12"/>
        <v>344.25</v>
      </c>
      <c r="Q448" s="5">
        <f t="shared" si="13"/>
        <v>0.21760029580329082</v>
      </c>
    </row>
    <row r="449" spans="1:17" x14ac:dyDescent="0.3">
      <c r="A449" t="s">
        <v>621</v>
      </c>
      <c r="B449" t="s">
        <v>34</v>
      </c>
      <c r="C449" t="s">
        <v>280</v>
      </c>
      <c r="D449" t="s">
        <v>101</v>
      </c>
      <c r="E449" t="s">
        <v>29</v>
      </c>
      <c r="F449" t="s">
        <v>21</v>
      </c>
      <c r="G449">
        <v>45</v>
      </c>
      <c r="H449" s="4">
        <v>26.93</v>
      </c>
      <c r="I449">
        <v>1211.8499999999999</v>
      </c>
      <c r="J449">
        <v>62.85</v>
      </c>
      <c r="K449">
        <v>339</v>
      </c>
      <c r="L449" t="s">
        <v>30</v>
      </c>
      <c r="M449" t="s">
        <v>31</v>
      </c>
      <c r="N449" t="s">
        <v>102</v>
      </c>
      <c r="O449">
        <f>_xlfn.XLOOKUP(E449,Product_Master!$B$2:$B$11,Product_Master!$F$2:$F$11)</f>
        <v>18</v>
      </c>
      <c r="P449">
        <f t="shared" si="12"/>
        <v>810</v>
      </c>
      <c r="Q449" s="5">
        <f t="shared" si="13"/>
        <v>0.2797375912860503</v>
      </c>
    </row>
    <row r="450" spans="1:17" x14ac:dyDescent="0.3">
      <c r="A450" t="s">
        <v>622</v>
      </c>
      <c r="B450" t="s">
        <v>56</v>
      </c>
      <c r="C450" t="s">
        <v>338</v>
      </c>
      <c r="D450" t="s">
        <v>36</v>
      </c>
      <c r="E450" t="s">
        <v>54</v>
      </c>
      <c r="F450" t="s">
        <v>43</v>
      </c>
      <c r="G450">
        <v>40</v>
      </c>
      <c r="H450" s="4">
        <v>32.54</v>
      </c>
      <c r="I450">
        <v>1301.5999999999999</v>
      </c>
      <c r="J450">
        <v>47.06</v>
      </c>
      <c r="K450">
        <v>454.54</v>
      </c>
      <c r="L450" t="s">
        <v>22</v>
      </c>
      <c r="M450" t="s">
        <v>31</v>
      </c>
      <c r="N450" t="s">
        <v>32</v>
      </c>
      <c r="O450">
        <f>_xlfn.XLOOKUP(E450,Product_Master!$B$2:$B$11,Product_Master!$F$2:$F$11)</f>
        <v>20</v>
      </c>
      <c r="P450">
        <f t="shared" si="12"/>
        <v>800</v>
      </c>
      <c r="Q450" s="5">
        <f t="shared" si="13"/>
        <v>0.34921634910878924</v>
      </c>
    </row>
    <row r="451" spans="1:17" x14ac:dyDescent="0.3">
      <c r="A451" t="s">
        <v>623</v>
      </c>
      <c r="B451" t="s">
        <v>61</v>
      </c>
      <c r="C451" t="s">
        <v>100</v>
      </c>
      <c r="D451" t="s">
        <v>196</v>
      </c>
      <c r="E451" t="s">
        <v>58</v>
      </c>
      <c r="F451" t="s">
        <v>59</v>
      </c>
      <c r="G451">
        <v>26</v>
      </c>
      <c r="H451" s="4">
        <v>35.32</v>
      </c>
      <c r="I451">
        <v>918.32</v>
      </c>
      <c r="J451">
        <v>60.02</v>
      </c>
      <c r="K451">
        <v>273.3</v>
      </c>
      <c r="L451" t="s">
        <v>44</v>
      </c>
      <c r="M451" t="s">
        <v>23</v>
      </c>
      <c r="N451" t="s">
        <v>66</v>
      </c>
      <c r="O451">
        <f>_xlfn.XLOOKUP(E451,Product_Master!$B$2:$B$11,Product_Master!$F$2:$F$11)</f>
        <v>22.5</v>
      </c>
      <c r="P451">
        <f t="shared" ref="P451:P501" si="14">G451*O451</f>
        <v>585</v>
      </c>
      <c r="Q451" s="5">
        <f t="shared" ref="Q451:Q501" si="15">K451/I451</f>
        <v>0.29760867671399949</v>
      </c>
    </row>
    <row r="452" spans="1:17" x14ac:dyDescent="0.3">
      <c r="A452" t="s">
        <v>624</v>
      </c>
      <c r="B452" t="s">
        <v>17</v>
      </c>
      <c r="C452" t="s">
        <v>110</v>
      </c>
      <c r="D452" t="s">
        <v>41</v>
      </c>
      <c r="E452" t="s">
        <v>73</v>
      </c>
      <c r="F452" t="s">
        <v>43</v>
      </c>
      <c r="G452">
        <v>16</v>
      </c>
      <c r="H452" s="4">
        <v>16.440000000000001</v>
      </c>
      <c r="I452">
        <v>263.04000000000002</v>
      </c>
      <c r="J452">
        <v>17.64</v>
      </c>
      <c r="K452">
        <v>41.4</v>
      </c>
      <c r="L452" t="s">
        <v>22</v>
      </c>
      <c r="M452" t="s">
        <v>23</v>
      </c>
      <c r="N452" t="s">
        <v>45</v>
      </c>
      <c r="O452">
        <f>_xlfn.XLOOKUP(E452,Product_Master!$B$2:$B$11,Product_Master!$F$2:$F$11)</f>
        <v>12.75</v>
      </c>
      <c r="P452">
        <f t="shared" si="14"/>
        <v>204</v>
      </c>
      <c r="Q452" s="5">
        <f t="shared" si="15"/>
        <v>0.1573905109489051</v>
      </c>
    </row>
    <row r="453" spans="1:17" x14ac:dyDescent="0.3">
      <c r="A453" t="s">
        <v>625</v>
      </c>
      <c r="B453" t="s">
        <v>104</v>
      </c>
      <c r="C453" t="s">
        <v>245</v>
      </c>
      <c r="D453" t="s">
        <v>123</v>
      </c>
      <c r="E453" t="s">
        <v>98</v>
      </c>
      <c r="F453" t="s">
        <v>59</v>
      </c>
      <c r="G453">
        <v>39</v>
      </c>
      <c r="H453" s="4">
        <v>46.27</v>
      </c>
      <c r="I453">
        <v>1804.53</v>
      </c>
      <c r="J453">
        <v>38.57</v>
      </c>
      <c r="K453">
        <v>673.96</v>
      </c>
      <c r="L453" t="s">
        <v>44</v>
      </c>
      <c r="M453" t="s">
        <v>37</v>
      </c>
      <c r="N453" t="s">
        <v>32</v>
      </c>
      <c r="O453">
        <f>_xlfn.XLOOKUP(E453,Product_Master!$B$2:$B$11,Product_Master!$F$2:$F$11)</f>
        <v>28</v>
      </c>
      <c r="P453">
        <f t="shared" si="14"/>
        <v>1092</v>
      </c>
      <c r="Q453" s="5">
        <f t="shared" si="15"/>
        <v>0.37348229178788939</v>
      </c>
    </row>
    <row r="454" spans="1:17" x14ac:dyDescent="0.3">
      <c r="A454" t="s">
        <v>626</v>
      </c>
      <c r="B454" t="s">
        <v>39</v>
      </c>
      <c r="C454" t="s">
        <v>173</v>
      </c>
      <c r="D454" t="s">
        <v>28</v>
      </c>
      <c r="E454" t="s">
        <v>64</v>
      </c>
      <c r="F454" t="s">
        <v>65</v>
      </c>
      <c r="G454">
        <v>15</v>
      </c>
      <c r="H454" s="4">
        <v>33.22</v>
      </c>
      <c r="I454">
        <v>498.3</v>
      </c>
      <c r="J454">
        <v>36.85</v>
      </c>
      <c r="K454">
        <v>86.45</v>
      </c>
      <c r="L454" t="s">
        <v>44</v>
      </c>
      <c r="M454" t="s">
        <v>37</v>
      </c>
      <c r="N454" t="s">
        <v>32</v>
      </c>
      <c r="O454">
        <f>_xlfn.XLOOKUP(E454,Product_Master!$B$2:$B$11,Product_Master!$F$2:$F$11)</f>
        <v>25</v>
      </c>
      <c r="P454">
        <f t="shared" si="14"/>
        <v>375</v>
      </c>
      <c r="Q454" s="5">
        <f t="shared" si="15"/>
        <v>0.17348986554284568</v>
      </c>
    </row>
    <row r="455" spans="1:17" x14ac:dyDescent="0.3">
      <c r="A455" t="s">
        <v>627</v>
      </c>
      <c r="B455" t="s">
        <v>56</v>
      </c>
      <c r="C455" t="s">
        <v>226</v>
      </c>
      <c r="D455" t="s">
        <v>101</v>
      </c>
      <c r="E455" t="s">
        <v>49</v>
      </c>
      <c r="F455" t="s">
        <v>50</v>
      </c>
      <c r="G455">
        <v>35</v>
      </c>
      <c r="H455" s="4">
        <v>71.02</v>
      </c>
      <c r="I455">
        <v>2485.6999999999998</v>
      </c>
      <c r="J455">
        <v>137.22</v>
      </c>
      <c r="K455">
        <v>948.48</v>
      </c>
      <c r="L455" t="s">
        <v>30</v>
      </c>
      <c r="M455" t="s">
        <v>31</v>
      </c>
      <c r="N455" t="s">
        <v>102</v>
      </c>
      <c r="O455">
        <f>_xlfn.XLOOKUP(E455,Product_Master!$B$2:$B$11,Product_Master!$F$2:$F$11)</f>
        <v>40</v>
      </c>
      <c r="P455">
        <f t="shared" si="14"/>
        <v>1400</v>
      </c>
      <c r="Q455" s="5">
        <f t="shared" si="15"/>
        <v>0.38157460675061355</v>
      </c>
    </row>
    <row r="456" spans="1:17" x14ac:dyDescent="0.3">
      <c r="A456" t="s">
        <v>628</v>
      </c>
      <c r="B456" t="s">
        <v>68</v>
      </c>
      <c r="C456" t="s">
        <v>119</v>
      </c>
      <c r="D456" t="s">
        <v>88</v>
      </c>
      <c r="E456" t="s">
        <v>98</v>
      </c>
      <c r="F456" t="s">
        <v>59</v>
      </c>
      <c r="G456">
        <v>2</v>
      </c>
      <c r="H456" s="4">
        <v>42.31</v>
      </c>
      <c r="I456">
        <v>84.62</v>
      </c>
      <c r="J456">
        <v>4.28</v>
      </c>
      <c r="K456">
        <v>24.34</v>
      </c>
      <c r="L456" t="s">
        <v>30</v>
      </c>
      <c r="M456" t="s">
        <v>31</v>
      </c>
      <c r="N456" t="s">
        <v>66</v>
      </c>
      <c r="O456">
        <f>_xlfn.XLOOKUP(E456,Product_Master!$B$2:$B$11,Product_Master!$F$2:$F$11)</f>
        <v>28</v>
      </c>
      <c r="P456">
        <f t="shared" si="14"/>
        <v>56</v>
      </c>
      <c r="Q456" s="5">
        <f t="shared" si="15"/>
        <v>0.28763885606239659</v>
      </c>
    </row>
    <row r="457" spans="1:17" x14ac:dyDescent="0.3">
      <c r="A457" t="s">
        <v>629</v>
      </c>
      <c r="B457" t="s">
        <v>75</v>
      </c>
      <c r="C457" t="s">
        <v>108</v>
      </c>
      <c r="D457" t="s">
        <v>81</v>
      </c>
      <c r="E457" t="s">
        <v>64</v>
      </c>
      <c r="F457" t="s">
        <v>65</v>
      </c>
      <c r="G457">
        <v>8</v>
      </c>
      <c r="H457" s="4">
        <v>41.36</v>
      </c>
      <c r="I457">
        <v>330.88</v>
      </c>
      <c r="J457">
        <v>11.78</v>
      </c>
      <c r="K457">
        <v>119.1</v>
      </c>
      <c r="L457" t="s">
        <v>22</v>
      </c>
      <c r="M457" t="s">
        <v>23</v>
      </c>
      <c r="N457" t="s">
        <v>66</v>
      </c>
      <c r="O457">
        <f>_xlfn.XLOOKUP(E457,Product_Master!$B$2:$B$11,Product_Master!$F$2:$F$11)</f>
        <v>25</v>
      </c>
      <c r="P457">
        <f t="shared" si="14"/>
        <v>200</v>
      </c>
      <c r="Q457" s="5">
        <f t="shared" si="15"/>
        <v>0.35994922630560927</v>
      </c>
    </row>
    <row r="458" spans="1:17" x14ac:dyDescent="0.3">
      <c r="A458" t="s">
        <v>630</v>
      </c>
      <c r="B458" t="s">
        <v>68</v>
      </c>
      <c r="C458" t="s">
        <v>139</v>
      </c>
      <c r="D458" t="s">
        <v>48</v>
      </c>
      <c r="E458" t="s">
        <v>29</v>
      </c>
      <c r="F458" t="s">
        <v>21</v>
      </c>
      <c r="G458">
        <v>3</v>
      </c>
      <c r="H458" s="4">
        <v>31.39</v>
      </c>
      <c r="I458">
        <v>94.17</v>
      </c>
      <c r="J458">
        <v>2.52</v>
      </c>
      <c r="K458">
        <v>37.65</v>
      </c>
      <c r="L458" t="s">
        <v>44</v>
      </c>
      <c r="M458" t="s">
        <v>37</v>
      </c>
      <c r="N458" t="s">
        <v>24</v>
      </c>
      <c r="O458">
        <f>_xlfn.XLOOKUP(E458,Product_Master!$B$2:$B$11,Product_Master!$F$2:$F$11)</f>
        <v>18</v>
      </c>
      <c r="P458">
        <f t="shared" si="14"/>
        <v>54</v>
      </c>
      <c r="Q458" s="5">
        <f t="shared" si="15"/>
        <v>0.39980885632366991</v>
      </c>
    </row>
    <row r="459" spans="1:17" x14ac:dyDescent="0.3">
      <c r="A459" t="s">
        <v>631</v>
      </c>
      <c r="B459" t="s">
        <v>17</v>
      </c>
      <c r="C459" t="s">
        <v>164</v>
      </c>
      <c r="D459" t="s">
        <v>123</v>
      </c>
      <c r="E459" t="s">
        <v>58</v>
      </c>
      <c r="F459" t="s">
        <v>59</v>
      </c>
      <c r="G459">
        <v>48</v>
      </c>
      <c r="H459" s="4">
        <v>33.61</v>
      </c>
      <c r="I459">
        <v>1613.28</v>
      </c>
      <c r="J459">
        <v>109.92</v>
      </c>
      <c r="K459">
        <v>423.36</v>
      </c>
      <c r="L459" t="s">
        <v>22</v>
      </c>
      <c r="M459" t="s">
        <v>37</v>
      </c>
      <c r="N459" t="s">
        <v>32</v>
      </c>
      <c r="O459">
        <f>_xlfn.XLOOKUP(E459,Product_Master!$B$2:$B$11,Product_Master!$F$2:$F$11)</f>
        <v>22.5</v>
      </c>
      <c r="P459">
        <f t="shared" si="14"/>
        <v>1080</v>
      </c>
      <c r="Q459" s="5">
        <f t="shared" si="15"/>
        <v>0.26242189824457007</v>
      </c>
    </row>
    <row r="460" spans="1:17" x14ac:dyDescent="0.3">
      <c r="A460" t="s">
        <v>632</v>
      </c>
      <c r="B460" t="s">
        <v>83</v>
      </c>
      <c r="C460" t="s">
        <v>192</v>
      </c>
      <c r="D460" t="s">
        <v>170</v>
      </c>
      <c r="E460" t="s">
        <v>42</v>
      </c>
      <c r="F460" t="s">
        <v>43</v>
      </c>
      <c r="G460">
        <v>9</v>
      </c>
      <c r="H460" s="4">
        <v>50.29</v>
      </c>
      <c r="I460">
        <v>452.61</v>
      </c>
      <c r="J460">
        <v>32.93</v>
      </c>
      <c r="K460">
        <v>131.68</v>
      </c>
      <c r="L460" t="s">
        <v>30</v>
      </c>
      <c r="M460" t="s">
        <v>37</v>
      </c>
      <c r="N460" t="s">
        <v>32</v>
      </c>
      <c r="O460">
        <f>_xlfn.XLOOKUP(E460,Product_Master!$B$2:$B$11,Product_Master!$F$2:$F$11)</f>
        <v>32</v>
      </c>
      <c r="P460">
        <f t="shared" si="14"/>
        <v>288</v>
      </c>
      <c r="Q460" s="5">
        <f t="shared" si="15"/>
        <v>0.29093480038001812</v>
      </c>
    </row>
    <row r="461" spans="1:17" x14ac:dyDescent="0.3">
      <c r="A461" t="s">
        <v>633</v>
      </c>
      <c r="B461" t="s">
        <v>39</v>
      </c>
      <c r="C461" t="s">
        <v>164</v>
      </c>
      <c r="D461" t="s">
        <v>19</v>
      </c>
      <c r="E461" t="s">
        <v>58</v>
      </c>
      <c r="F461" t="s">
        <v>59</v>
      </c>
      <c r="G461">
        <v>12</v>
      </c>
      <c r="H461" s="4">
        <v>34.96</v>
      </c>
      <c r="I461">
        <v>419.52</v>
      </c>
      <c r="J461">
        <v>15.43</v>
      </c>
      <c r="K461">
        <v>134.09</v>
      </c>
      <c r="L461" t="s">
        <v>30</v>
      </c>
      <c r="M461" t="s">
        <v>37</v>
      </c>
      <c r="N461" t="s">
        <v>24</v>
      </c>
      <c r="O461">
        <f>_xlfn.XLOOKUP(E461,Product_Master!$B$2:$B$11,Product_Master!$F$2:$F$11)</f>
        <v>22.5</v>
      </c>
      <c r="P461">
        <f t="shared" si="14"/>
        <v>270</v>
      </c>
      <c r="Q461" s="5">
        <f t="shared" si="15"/>
        <v>0.31962719298245618</v>
      </c>
    </row>
    <row r="462" spans="1:17" x14ac:dyDescent="0.3">
      <c r="A462" t="s">
        <v>634</v>
      </c>
      <c r="B462" t="s">
        <v>26</v>
      </c>
      <c r="C462" t="s">
        <v>390</v>
      </c>
      <c r="D462" t="s">
        <v>147</v>
      </c>
      <c r="E462" t="s">
        <v>20</v>
      </c>
      <c r="F462" t="s">
        <v>21</v>
      </c>
      <c r="G462">
        <v>29</v>
      </c>
      <c r="H462" s="4">
        <v>52.72</v>
      </c>
      <c r="I462">
        <v>1528.88</v>
      </c>
      <c r="J462">
        <v>96.91</v>
      </c>
      <c r="K462">
        <v>416.97</v>
      </c>
      <c r="L462" t="s">
        <v>30</v>
      </c>
      <c r="M462" t="s">
        <v>37</v>
      </c>
      <c r="N462" t="s">
        <v>148</v>
      </c>
      <c r="O462">
        <f>_xlfn.XLOOKUP(E462,Product_Master!$B$2:$B$11,Product_Master!$F$2:$F$11)</f>
        <v>35</v>
      </c>
      <c r="P462">
        <f t="shared" si="14"/>
        <v>1015</v>
      </c>
      <c r="Q462" s="5">
        <f t="shared" si="15"/>
        <v>0.27272905656428237</v>
      </c>
    </row>
    <row r="463" spans="1:17" x14ac:dyDescent="0.3">
      <c r="A463" t="s">
        <v>635</v>
      </c>
      <c r="B463" t="s">
        <v>26</v>
      </c>
      <c r="C463" t="s">
        <v>349</v>
      </c>
      <c r="D463" t="s">
        <v>48</v>
      </c>
      <c r="E463" t="s">
        <v>69</v>
      </c>
      <c r="F463" t="s">
        <v>59</v>
      </c>
      <c r="G463">
        <v>39</v>
      </c>
      <c r="H463" s="4">
        <v>22.18</v>
      </c>
      <c r="I463">
        <v>865.02</v>
      </c>
      <c r="J463">
        <v>26.23</v>
      </c>
      <c r="K463">
        <v>234.29</v>
      </c>
      <c r="L463" t="s">
        <v>22</v>
      </c>
      <c r="M463" t="s">
        <v>37</v>
      </c>
      <c r="N463" t="s">
        <v>24</v>
      </c>
      <c r="O463">
        <f>_xlfn.XLOOKUP(E463,Product_Master!$B$2:$B$11,Product_Master!$F$2:$F$11)</f>
        <v>15.5</v>
      </c>
      <c r="P463">
        <f t="shared" si="14"/>
        <v>604.5</v>
      </c>
      <c r="Q463" s="5">
        <f t="shared" si="15"/>
        <v>0.27084922891956253</v>
      </c>
    </row>
    <row r="464" spans="1:17" x14ac:dyDescent="0.3">
      <c r="A464" t="s">
        <v>636</v>
      </c>
      <c r="B464" t="s">
        <v>26</v>
      </c>
      <c r="C464" t="s">
        <v>342</v>
      </c>
      <c r="D464" t="s">
        <v>81</v>
      </c>
      <c r="E464" t="s">
        <v>69</v>
      </c>
      <c r="F464" t="s">
        <v>59</v>
      </c>
      <c r="G464">
        <v>11</v>
      </c>
      <c r="H464" s="4">
        <v>21.4</v>
      </c>
      <c r="I464">
        <v>235.4</v>
      </c>
      <c r="J464">
        <v>11.64</v>
      </c>
      <c r="K464">
        <v>53.26</v>
      </c>
      <c r="L464" t="s">
        <v>22</v>
      </c>
      <c r="M464" t="s">
        <v>37</v>
      </c>
      <c r="N464" t="s">
        <v>66</v>
      </c>
      <c r="O464">
        <f>_xlfn.XLOOKUP(E464,Product_Master!$B$2:$B$11,Product_Master!$F$2:$F$11)</f>
        <v>15.5</v>
      </c>
      <c r="P464">
        <f t="shared" si="14"/>
        <v>170.5</v>
      </c>
      <c r="Q464" s="5">
        <f t="shared" si="15"/>
        <v>0.22625318606627015</v>
      </c>
    </row>
    <row r="465" spans="1:17" x14ac:dyDescent="0.3">
      <c r="A465" t="s">
        <v>637</v>
      </c>
      <c r="B465" t="s">
        <v>34</v>
      </c>
      <c r="C465" t="s">
        <v>310</v>
      </c>
      <c r="D465" t="s">
        <v>81</v>
      </c>
      <c r="E465" t="s">
        <v>64</v>
      </c>
      <c r="F465" t="s">
        <v>65</v>
      </c>
      <c r="G465">
        <v>21</v>
      </c>
      <c r="H465" s="4">
        <v>36.26</v>
      </c>
      <c r="I465">
        <v>761.46</v>
      </c>
      <c r="J465">
        <v>56.99</v>
      </c>
      <c r="K465">
        <v>179.47</v>
      </c>
      <c r="L465" t="s">
        <v>30</v>
      </c>
      <c r="M465" t="s">
        <v>23</v>
      </c>
      <c r="N465" t="s">
        <v>66</v>
      </c>
      <c r="O465">
        <f>_xlfn.XLOOKUP(E465,Product_Master!$B$2:$B$11,Product_Master!$F$2:$F$11)</f>
        <v>25</v>
      </c>
      <c r="P465">
        <f t="shared" si="14"/>
        <v>525</v>
      </c>
      <c r="Q465" s="5">
        <f t="shared" si="15"/>
        <v>0.23569196018175609</v>
      </c>
    </row>
    <row r="466" spans="1:17" x14ac:dyDescent="0.3">
      <c r="A466" t="s">
        <v>638</v>
      </c>
      <c r="B466" t="s">
        <v>39</v>
      </c>
      <c r="C466" t="s">
        <v>226</v>
      </c>
      <c r="D466" t="s">
        <v>63</v>
      </c>
      <c r="E466" t="s">
        <v>58</v>
      </c>
      <c r="F466" t="s">
        <v>59</v>
      </c>
      <c r="G466">
        <v>39</v>
      </c>
      <c r="H466" s="4">
        <v>35.409999999999997</v>
      </c>
      <c r="I466">
        <v>1380.99</v>
      </c>
      <c r="J466">
        <v>84.56</v>
      </c>
      <c r="K466">
        <v>418.93</v>
      </c>
      <c r="L466" t="s">
        <v>30</v>
      </c>
      <c r="M466" t="s">
        <v>23</v>
      </c>
      <c r="N466" t="s">
        <v>66</v>
      </c>
      <c r="O466">
        <f>_xlfn.XLOOKUP(E466,Product_Master!$B$2:$B$11,Product_Master!$F$2:$F$11)</f>
        <v>22.5</v>
      </c>
      <c r="P466">
        <f t="shared" si="14"/>
        <v>877.5</v>
      </c>
      <c r="Q466" s="5">
        <f t="shared" si="15"/>
        <v>0.30335483964402349</v>
      </c>
    </row>
    <row r="467" spans="1:17" x14ac:dyDescent="0.3">
      <c r="A467" t="s">
        <v>639</v>
      </c>
      <c r="B467" t="s">
        <v>34</v>
      </c>
      <c r="C467" t="s">
        <v>127</v>
      </c>
      <c r="D467" t="s">
        <v>63</v>
      </c>
      <c r="E467" t="s">
        <v>29</v>
      </c>
      <c r="F467" t="s">
        <v>21</v>
      </c>
      <c r="G467">
        <v>13</v>
      </c>
      <c r="H467" s="4">
        <v>27.35</v>
      </c>
      <c r="I467">
        <v>355.55</v>
      </c>
      <c r="J467">
        <v>26.23</v>
      </c>
      <c r="K467">
        <v>95.32</v>
      </c>
      <c r="L467" t="s">
        <v>30</v>
      </c>
      <c r="M467" t="s">
        <v>37</v>
      </c>
      <c r="N467" t="s">
        <v>66</v>
      </c>
      <c r="O467">
        <f>_xlfn.XLOOKUP(E467,Product_Master!$B$2:$B$11,Product_Master!$F$2:$F$11)</f>
        <v>18</v>
      </c>
      <c r="P467">
        <f t="shared" si="14"/>
        <v>234</v>
      </c>
      <c r="Q467" s="5">
        <f t="shared" si="15"/>
        <v>0.26809168893263957</v>
      </c>
    </row>
    <row r="468" spans="1:17" x14ac:dyDescent="0.3">
      <c r="A468" t="s">
        <v>640</v>
      </c>
      <c r="B468" t="s">
        <v>157</v>
      </c>
      <c r="C468" t="s">
        <v>108</v>
      </c>
      <c r="D468" t="s">
        <v>41</v>
      </c>
      <c r="E468" t="s">
        <v>73</v>
      </c>
      <c r="F468" t="s">
        <v>43</v>
      </c>
      <c r="G468">
        <v>40</v>
      </c>
      <c r="H468" s="4">
        <v>21.08</v>
      </c>
      <c r="I468">
        <v>843.2</v>
      </c>
      <c r="J468">
        <v>66.81</v>
      </c>
      <c r="K468">
        <v>266.39</v>
      </c>
      <c r="L468" t="s">
        <v>44</v>
      </c>
      <c r="M468" t="s">
        <v>31</v>
      </c>
      <c r="N468" t="s">
        <v>45</v>
      </c>
      <c r="O468">
        <f>_xlfn.XLOOKUP(E468,Product_Master!$B$2:$B$11,Product_Master!$F$2:$F$11)</f>
        <v>12.75</v>
      </c>
      <c r="P468">
        <f t="shared" si="14"/>
        <v>510</v>
      </c>
      <c r="Q468" s="5">
        <f t="shared" si="15"/>
        <v>0.3159274193548387</v>
      </c>
    </row>
    <row r="469" spans="1:17" x14ac:dyDescent="0.3">
      <c r="A469" t="s">
        <v>641</v>
      </c>
      <c r="B469" t="s">
        <v>39</v>
      </c>
      <c r="C469" t="s">
        <v>390</v>
      </c>
      <c r="D469" t="s">
        <v>53</v>
      </c>
      <c r="E469" t="s">
        <v>69</v>
      </c>
      <c r="F469" t="s">
        <v>59</v>
      </c>
      <c r="G469">
        <v>47</v>
      </c>
      <c r="H469" s="4">
        <v>27.54</v>
      </c>
      <c r="I469">
        <v>1294.3800000000001</v>
      </c>
      <c r="J469">
        <v>62.78</v>
      </c>
      <c r="K469">
        <v>503.1</v>
      </c>
      <c r="L469" t="s">
        <v>22</v>
      </c>
      <c r="M469" t="s">
        <v>23</v>
      </c>
      <c r="N469" t="s">
        <v>24</v>
      </c>
      <c r="O469">
        <f>_xlfn.XLOOKUP(E469,Product_Master!$B$2:$B$11,Product_Master!$F$2:$F$11)</f>
        <v>15.5</v>
      </c>
      <c r="P469">
        <f t="shared" si="14"/>
        <v>728.5</v>
      </c>
      <c r="Q469" s="5">
        <f t="shared" si="15"/>
        <v>0.38868029481296062</v>
      </c>
    </row>
    <row r="470" spans="1:17" x14ac:dyDescent="0.3">
      <c r="A470" t="s">
        <v>642</v>
      </c>
      <c r="B470" t="s">
        <v>86</v>
      </c>
      <c r="C470" t="s">
        <v>40</v>
      </c>
      <c r="D470" t="s">
        <v>196</v>
      </c>
      <c r="E470" t="s">
        <v>42</v>
      </c>
      <c r="F470" t="s">
        <v>43</v>
      </c>
      <c r="G470">
        <v>16</v>
      </c>
      <c r="H470" s="4">
        <v>45.08</v>
      </c>
      <c r="I470">
        <v>721.28</v>
      </c>
      <c r="J470">
        <v>21.61</v>
      </c>
      <c r="K470">
        <v>187.67</v>
      </c>
      <c r="L470" t="s">
        <v>30</v>
      </c>
      <c r="M470" t="s">
        <v>37</v>
      </c>
      <c r="N470" t="s">
        <v>66</v>
      </c>
      <c r="O470">
        <f>_xlfn.XLOOKUP(E470,Product_Master!$B$2:$B$11,Product_Master!$F$2:$F$11)</f>
        <v>32</v>
      </c>
      <c r="P470">
        <f t="shared" si="14"/>
        <v>512</v>
      </c>
      <c r="Q470" s="5">
        <f t="shared" si="15"/>
        <v>0.26019021739130432</v>
      </c>
    </row>
    <row r="471" spans="1:17" x14ac:dyDescent="0.3">
      <c r="A471" t="s">
        <v>643</v>
      </c>
      <c r="B471" t="s">
        <v>75</v>
      </c>
      <c r="C471" t="s">
        <v>141</v>
      </c>
      <c r="D471" t="s">
        <v>88</v>
      </c>
      <c r="E471" t="s">
        <v>58</v>
      </c>
      <c r="F471" t="s">
        <v>59</v>
      </c>
      <c r="G471">
        <v>37</v>
      </c>
      <c r="H471" s="4">
        <v>33.200000000000003</v>
      </c>
      <c r="I471">
        <v>1228.4000000000001</v>
      </c>
      <c r="J471">
        <v>41.34</v>
      </c>
      <c r="K471">
        <v>354.56</v>
      </c>
      <c r="L471" t="s">
        <v>44</v>
      </c>
      <c r="M471" t="s">
        <v>31</v>
      </c>
      <c r="N471" t="s">
        <v>66</v>
      </c>
      <c r="O471">
        <f>_xlfn.XLOOKUP(E471,Product_Master!$B$2:$B$11,Product_Master!$F$2:$F$11)</f>
        <v>22.5</v>
      </c>
      <c r="P471">
        <f t="shared" si="14"/>
        <v>832.5</v>
      </c>
      <c r="Q471" s="5">
        <f t="shared" si="15"/>
        <v>0.28863562357538258</v>
      </c>
    </row>
    <row r="472" spans="1:17" x14ac:dyDescent="0.3">
      <c r="A472" t="s">
        <v>644</v>
      </c>
      <c r="B472" t="s">
        <v>78</v>
      </c>
      <c r="C472" t="s">
        <v>18</v>
      </c>
      <c r="D472" t="s">
        <v>88</v>
      </c>
      <c r="E472" t="s">
        <v>29</v>
      </c>
      <c r="F472" t="s">
        <v>21</v>
      </c>
      <c r="G472">
        <v>8</v>
      </c>
      <c r="H472" s="4">
        <v>27.31</v>
      </c>
      <c r="I472">
        <v>218.48</v>
      </c>
      <c r="J472">
        <v>9.51</v>
      </c>
      <c r="K472">
        <v>64.97</v>
      </c>
      <c r="L472" t="s">
        <v>44</v>
      </c>
      <c r="M472" t="s">
        <v>23</v>
      </c>
      <c r="N472" t="s">
        <v>66</v>
      </c>
      <c r="O472">
        <f>_xlfn.XLOOKUP(E472,Product_Master!$B$2:$B$11,Product_Master!$F$2:$F$11)</f>
        <v>18</v>
      </c>
      <c r="P472">
        <f t="shared" si="14"/>
        <v>144</v>
      </c>
      <c r="Q472" s="5">
        <f t="shared" si="15"/>
        <v>0.29737275723178325</v>
      </c>
    </row>
    <row r="473" spans="1:17" x14ac:dyDescent="0.3">
      <c r="A473" t="s">
        <v>645</v>
      </c>
      <c r="B473" t="s">
        <v>34</v>
      </c>
      <c r="C473" t="s">
        <v>114</v>
      </c>
      <c r="D473" t="s">
        <v>101</v>
      </c>
      <c r="E473" t="s">
        <v>29</v>
      </c>
      <c r="F473" t="s">
        <v>21</v>
      </c>
      <c r="G473">
        <v>19</v>
      </c>
      <c r="H473" s="4">
        <v>29.14</v>
      </c>
      <c r="I473">
        <v>553.66</v>
      </c>
      <c r="J473">
        <v>19.7</v>
      </c>
      <c r="K473">
        <v>191.96</v>
      </c>
      <c r="L473" t="s">
        <v>22</v>
      </c>
      <c r="M473" t="s">
        <v>31</v>
      </c>
      <c r="N473" t="s">
        <v>102</v>
      </c>
      <c r="O473">
        <f>_xlfn.XLOOKUP(E473,Product_Master!$B$2:$B$11,Product_Master!$F$2:$F$11)</f>
        <v>18</v>
      </c>
      <c r="P473">
        <f t="shared" si="14"/>
        <v>342</v>
      </c>
      <c r="Q473" s="5">
        <f t="shared" si="15"/>
        <v>0.34671097785644622</v>
      </c>
    </row>
    <row r="474" spans="1:17" x14ac:dyDescent="0.3">
      <c r="A474" t="s">
        <v>646</v>
      </c>
      <c r="B474" t="s">
        <v>68</v>
      </c>
      <c r="C474" t="s">
        <v>228</v>
      </c>
      <c r="D474" t="s">
        <v>81</v>
      </c>
      <c r="E474" t="s">
        <v>20</v>
      </c>
      <c r="F474" t="s">
        <v>21</v>
      </c>
      <c r="G474">
        <v>6</v>
      </c>
      <c r="H474" s="4">
        <v>55.41</v>
      </c>
      <c r="I474">
        <v>332.46</v>
      </c>
      <c r="J474">
        <v>15.57</v>
      </c>
      <c r="K474">
        <v>106.89</v>
      </c>
      <c r="L474" t="s">
        <v>22</v>
      </c>
      <c r="M474" t="s">
        <v>23</v>
      </c>
      <c r="N474" t="s">
        <v>66</v>
      </c>
      <c r="O474">
        <f>_xlfn.XLOOKUP(E474,Product_Master!$B$2:$B$11,Product_Master!$F$2:$F$11)</f>
        <v>35</v>
      </c>
      <c r="P474">
        <f t="shared" si="14"/>
        <v>210</v>
      </c>
      <c r="Q474" s="5">
        <f t="shared" si="15"/>
        <v>0.3215123623894604</v>
      </c>
    </row>
    <row r="475" spans="1:17" x14ac:dyDescent="0.3">
      <c r="A475" t="s">
        <v>647</v>
      </c>
      <c r="B475" t="s">
        <v>75</v>
      </c>
      <c r="C475" t="s">
        <v>212</v>
      </c>
      <c r="D475" t="s">
        <v>88</v>
      </c>
      <c r="E475" t="s">
        <v>29</v>
      </c>
      <c r="F475" t="s">
        <v>21</v>
      </c>
      <c r="G475">
        <v>48</v>
      </c>
      <c r="H475" s="4">
        <v>29.07</v>
      </c>
      <c r="I475">
        <v>1395.36</v>
      </c>
      <c r="J475">
        <v>70.38</v>
      </c>
      <c r="K475">
        <v>460.98</v>
      </c>
      <c r="L475" t="s">
        <v>30</v>
      </c>
      <c r="M475" t="s">
        <v>37</v>
      </c>
      <c r="N475" t="s">
        <v>66</v>
      </c>
      <c r="O475">
        <f>_xlfn.XLOOKUP(E475,Product_Master!$B$2:$B$11,Product_Master!$F$2:$F$11)</f>
        <v>18</v>
      </c>
      <c r="P475">
        <f t="shared" si="14"/>
        <v>864</v>
      </c>
      <c r="Q475" s="5">
        <f t="shared" si="15"/>
        <v>0.33036635706914347</v>
      </c>
    </row>
    <row r="476" spans="1:17" x14ac:dyDescent="0.3">
      <c r="A476" t="s">
        <v>648</v>
      </c>
      <c r="B476" t="s">
        <v>107</v>
      </c>
      <c r="C476" t="s">
        <v>305</v>
      </c>
      <c r="D476" t="s">
        <v>41</v>
      </c>
      <c r="E476" t="s">
        <v>58</v>
      </c>
      <c r="F476" t="s">
        <v>59</v>
      </c>
      <c r="G476">
        <v>26</v>
      </c>
      <c r="H476" s="4">
        <v>27.17</v>
      </c>
      <c r="I476">
        <v>706.42</v>
      </c>
      <c r="J476">
        <v>33.94</v>
      </c>
      <c r="K476">
        <v>87.48</v>
      </c>
      <c r="L476" t="s">
        <v>44</v>
      </c>
      <c r="M476" t="s">
        <v>31</v>
      </c>
      <c r="N476" t="s">
        <v>45</v>
      </c>
      <c r="O476">
        <f>_xlfn.XLOOKUP(E476,Product_Master!$B$2:$B$11,Product_Master!$F$2:$F$11)</f>
        <v>22.5</v>
      </c>
      <c r="P476">
        <f t="shared" si="14"/>
        <v>585</v>
      </c>
      <c r="Q476" s="5">
        <f t="shared" si="15"/>
        <v>0.12383567849154895</v>
      </c>
    </row>
    <row r="477" spans="1:17" x14ac:dyDescent="0.3">
      <c r="A477" t="s">
        <v>649</v>
      </c>
      <c r="B477" t="s">
        <v>650</v>
      </c>
      <c r="C477" t="s">
        <v>122</v>
      </c>
      <c r="D477" t="s">
        <v>91</v>
      </c>
      <c r="E477" t="s">
        <v>20</v>
      </c>
      <c r="F477" t="s">
        <v>21</v>
      </c>
      <c r="G477">
        <v>9</v>
      </c>
      <c r="H477" s="4">
        <v>48.76</v>
      </c>
      <c r="I477">
        <v>438.84</v>
      </c>
      <c r="J477">
        <v>16.91</v>
      </c>
      <c r="K477">
        <v>106.93</v>
      </c>
      <c r="L477" t="s">
        <v>44</v>
      </c>
      <c r="M477" t="s">
        <v>23</v>
      </c>
      <c r="N477" t="s">
        <v>66</v>
      </c>
      <c r="O477">
        <f>_xlfn.XLOOKUP(E477,Product_Master!$B$2:$B$11,Product_Master!$F$2:$F$11)</f>
        <v>35</v>
      </c>
      <c r="P477">
        <f t="shared" si="14"/>
        <v>315</v>
      </c>
      <c r="Q477" s="5">
        <f t="shared" si="15"/>
        <v>0.24366511712697114</v>
      </c>
    </row>
    <row r="478" spans="1:17" x14ac:dyDescent="0.3">
      <c r="A478" t="s">
        <v>651</v>
      </c>
      <c r="B478" t="s">
        <v>652</v>
      </c>
      <c r="C478" t="s">
        <v>245</v>
      </c>
      <c r="D478" t="s">
        <v>28</v>
      </c>
      <c r="E478" t="s">
        <v>58</v>
      </c>
      <c r="F478" t="s">
        <v>59</v>
      </c>
      <c r="G478">
        <v>37</v>
      </c>
      <c r="H478" s="4">
        <v>33.21</v>
      </c>
      <c r="I478">
        <v>1228.77</v>
      </c>
      <c r="J478">
        <v>96.12</v>
      </c>
      <c r="K478">
        <v>300.14999999999998</v>
      </c>
      <c r="L478" t="s">
        <v>44</v>
      </c>
      <c r="M478" t="s">
        <v>31</v>
      </c>
      <c r="N478" t="s">
        <v>32</v>
      </c>
      <c r="O478">
        <f>_xlfn.XLOOKUP(E478,Product_Master!$B$2:$B$11,Product_Master!$F$2:$F$11)</f>
        <v>22.5</v>
      </c>
      <c r="P478">
        <f t="shared" si="14"/>
        <v>832.5</v>
      </c>
      <c r="Q478" s="5">
        <f t="shared" si="15"/>
        <v>0.24426865890280522</v>
      </c>
    </row>
    <row r="479" spans="1:17" x14ac:dyDescent="0.3">
      <c r="A479" t="s">
        <v>653</v>
      </c>
      <c r="B479" t="s">
        <v>654</v>
      </c>
      <c r="C479" t="s">
        <v>122</v>
      </c>
      <c r="D479" t="s">
        <v>41</v>
      </c>
      <c r="E479" t="s">
        <v>73</v>
      </c>
      <c r="F479" t="s">
        <v>43</v>
      </c>
      <c r="G479">
        <v>29</v>
      </c>
      <c r="H479" s="4">
        <v>16.54</v>
      </c>
      <c r="I479">
        <v>479.66</v>
      </c>
      <c r="J479">
        <v>30.23</v>
      </c>
      <c r="K479">
        <v>79.680000000000007</v>
      </c>
      <c r="L479" t="s">
        <v>30</v>
      </c>
      <c r="M479" t="s">
        <v>37</v>
      </c>
      <c r="N479" t="s">
        <v>45</v>
      </c>
      <c r="O479">
        <f>_xlfn.XLOOKUP(E479,Product_Master!$B$2:$B$11,Product_Master!$F$2:$F$11)</f>
        <v>12.75</v>
      </c>
      <c r="P479">
        <f t="shared" si="14"/>
        <v>369.75</v>
      </c>
      <c r="Q479" s="5">
        <f t="shared" si="15"/>
        <v>0.16611766668056541</v>
      </c>
    </row>
    <row r="480" spans="1:17" x14ac:dyDescent="0.3">
      <c r="A480" t="s">
        <v>655</v>
      </c>
      <c r="B480" t="s">
        <v>656</v>
      </c>
      <c r="C480" t="s">
        <v>90</v>
      </c>
      <c r="D480" t="s">
        <v>147</v>
      </c>
      <c r="E480" t="s">
        <v>64</v>
      </c>
      <c r="F480" t="s">
        <v>65</v>
      </c>
      <c r="G480">
        <v>11</v>
      </c>
      <c r="H480" s="4">
        <v>44.56</v>
      </c>
      <c r="I480">
        <v>490.16</v>
      </c>
      <c r="J480">
        <v>23.97</v>
      </c>
      <c r="K480">
        <v>191.19</v>
      </c>
      <c r="L480" t="s">
        <v>30</v>
      </c>
      <c r="M480" t="s">
        <v>37</v>
      </c>
      <c r="N480" t="s">
        <v>148</v>
      </c>
      <c r="O480">
        <f>_xlfn.XLOOKUP(E480,Product_Master!$B$2:$B$11,Product_Master!$F$2:$F$11)</f>
        <v>25</v>
      </c>
      <c r="P480">
        <f t="shared" si="14"/>
        <v>275</v>
      </c>
      <c r="Q480" s="5">
        <f t="shared" si="15"/>
        <v>0.39005630814427938</v>
      </c>
    </row>
    <row r="481" spans="1:17" x14ac:dyDescent="0.3">
      <c r="A481" t="s">
        <v>657</v>
      </c>
      <c r="B481" t="s">
        <v>658</v>
      </c>
      <c r="C481" t="s">
        <v>57</v>
      </c>
      <c r="D481" t="s">
        <v>53</v>
      </c>
      <c r="E481" t="s">
        <v>42</v>
      </c>
      <c r="F481" t="s">
        <v>43</v>
      </c>
      <c r="G481">
        <v>50</v>
      </c>
      <c r="H481" s="4">
        <v>44.78</v>
      </c>
      <c r="I481">
        <v>2239</v>
      </c>
      <c r="J481">
        <v>169.97</v>
      </c>
      <c r="K481">
        <v>469.03</v>
      </c>
      <c r="L481" t="s">
        <v>22</v>
      </c>
      <c r="M481" t="s">
        <v>37</v>
      </c>
      <c r="N481" t="s">
        <v>24</v>
      </c>
      <c r="O481">
        <f>_xlfn.XLOOKUP(E481,Product_Master!$B$2:$B$11,Product_Master!$F$2:$F$11)</f>
        <v>32</v>
      </c>
      <c r="P481">
        <f t="shared" si="14"/>
        <v>1600</v>
      </c>
      <c r="Q481" s="5">
        <f t="shared" si="15"/>
        <v>0.20948191156766413</v>
      </c>
    </row>
    <row r="482" spans="1:17" x14ac:dyDescent="0.3">
      <c r="A482" t="s">
        <v>659</v>
      </c>
      <c r="B482" t="s">
        <v>660</v>
      </c>
      <c r="C482" t="s">
        <v>87</v>
      </c>
      <c r="D482" t="s">
        <v>19</v>
      </c>
      <c r="E482" t="s">
        <v>29</v>
      </c>
      <c r="F482" t="s">
        <v>21</v>
      </c>
      <c r="G482">
        <v>30</v>
      </c>
      <c r="H482" s="4">
        <v>22.51</v>
      </c>
      <c r="I482">
        <v>675.3</v>
      </c>
      <c r="J482">
        <v>26.26</v>
      </c>
      <c r="K482">
        <v>109.04</v>
      </c>
      <c r="L482" t="s">
        <v>22</v>
      </c>
      <c r="M482" t="s">
        <v>23</v>
      </c>
      <c r="N482" t="s">
        <v>24</v>
      </c>
      <c r="O482">
        <f>_xlfn.XLOOKUP(E482,Product_Master!$B$2:$B$11,Product_Master!$F$2:$F$11)</f>
        <v>18</v>
      </c>
      <c r="P482">
        <f t="shared" si="14"/>
        <v>540</v>
      </c>
      <c r="Q482" s="5">
        <f t="shared" si="15"/>
        <v>0.16146897675107361</v>
      </c>
    </row>
    <row r="483" spans="1:17" x14ac:dyDescent="0.3">
      <c r="A483" t="s">
        <v>661</v>
      </c>
      <c r="B483" t="s">
        <v>662</v>
      </c>
      <c r="C483" t="s">
        <v>265</v>
      </c>
      <c r="D483" t="s">
        <v>147</v>
      </c>
      <c r="E483" t="s">
        <v>69</v>
      </c>
      <c r="F483" t="s">
        <v>59</v>
      </c>
      <c r="G483">
        <v>50</v>
      </c>
      <c r="H483" s="4">
        <v>27.18</v>
      </c>
      <c r="I483">
        <v>1359</v>
      </c>
      <c r="J483">
        <v>45.67</v>
      </c>
      <c r="K483">
        <v>538.33000000000004</v>
      </c>
      <c r="L483" t="s">
        <v>22</v>
      </c>
      <c r="M483" t="s">
        <v>37</v>
      </c>
      <c r="N483" t="s">
        <v>148</v>
      </c>
      <c r="O483">
        <f>_xlfn.XLOOKUP(E483,Product_Master!$B$2:$B$11,Product_Master!$F$2:$F$11)</f>
        <v>15.5</v>
      </c>
      <c r="P483">
        <f t="shared" si="14"/>
        <v>775</v>
      </c>
      <c r="Q483" s="5">
        <f t="shared" si="15"/>
        <v>0.39612214863870499</v>
      </c>
    </row>
    <row r="484" spans="1:17" x14ac:dyDescent="0.3">
      <c r="A484" t="s">
        <v>663</v>
      </c>
      <c r="B484" t="s">
        <v>664</v>
      </c>
      <c r="C484" t="s">
        <v>153</v>
      </c>
      <c r="D484" t="s">
        <v>36</v>
      </c>
      <c r="E484" t="s">
        <v>98</v>
      </c>
      <c r="F484" t="s">
        <v>59</v>
      </c>
      <c r="G484">
        <v>28</v>
      </c>
      <c r="H484" s="4">
        <v>37.51</v>
      </c>
      <c r="I484">
        <v>1050.28</v>
      </c>
      <c r="J484">
        <v>45.83</v>
      </c>
      <c r="K484">
        <v>220.45</v>
      </c>
      <c r="L484" t="s">
        <v>44</v>
      </c>
      <c r="M484" t="s">
        <v>31</v>
      </c>
      <c r="N484" t="s">
        <v>32</v>
      </c>
      <c r="O484">
        <f>_xlfn.XLOOKUP(E484,Product_Master!$B$2:$B$11,Product_Master!$F$2:$F$11)</f>
        <v>28</v>
      </c>
      <c r="P484">
        <f t="shared" si="14"/>
        <v>784</v>
      </c>
      <c r="Q484" s="5">
        <f t="shared" si="15"/>
        <v>0.20989640857676048</v>
      </c>
    </row>
    <row r="485" spans="1:17" x14ac:dyDescent="0.3">
      <c r="A485" t="s">
        <v>665</v>
      </c>
      <c r="B485" t="s">
        <v>666</v>
      </c>
      <c r="C485" t="s">
        <v>79</v>
      </c>
      <c r="D485" t="s">
        <v>147</v>
      </c>
      <c r="E485" t="s">
        <v>49</v>
      </c>
      <c r="F485" t="s">
        <v>50</v>
      </c>
      <c r="G485">
        <v>50</v>
      </c>
      <c r="H485" s="4">
        <v>53.71</v>
      </c>
      <c r="I485">
        <v>2685.5</v>
      </c>
      <c r="J485">
        <v>197.89</v>
      </c>
      <c r="K485">
        <v>487.61</v>
      </c>
      <c r="L485" t="s">
        <v>30</v>
      </c>
      <c r="M485" t="s">
        <v>37</v>
      </c>
      <c r="N485" t="s">
        <v>148</v>
      </c>
      <c r="O485">
        <f>_xlfn.XLOOKUP(E485,Product_Master!$B$2:$B$11,Product_Master!$F$2:$F$11)</f>
        <v>40</v>
      </c>
      <c r="P485">
        <f t="shared" si="14"/>
        <v>2000</v>
      </c>
      <c r="Q485" s="5">
        <f t="shared" si="15"/>
        <v>0.18157140197356172</v>
      </c>
    </row>
    <row r="486" spans="1:17" x14ac:dyDescent="0.3">
      <c r="A486" t="s">
        <v>667</v>
      </c>
      <c r="B486" t="s">
        <v>668</v>
      </c>
      <c r="C486" t="s">
        <v>418</v>
      </c>
      <c r="D486" t="s">
        <v>101</v>
      </c>
      <c r="E486" t="s">
        <v>69</v>
      </c>
      <c r="F486" t="s">
        <v>59</v>
      </c>
      <c r="G486">
        <v>24</v>
      </c>
      <c r="H486" s="4">
        <v>18.62</v>
      </c>
      <c r="I486">
        <v>446.88</v>
      </c>
      <c r="J486">
        <v>26.91</v>
      </c>
      <c r="K486">
        <v>47.97</v>
      </c>
      <c r="L486" t="s">
        <v>30</v>
      </c>
      <c r="M486" t="s">
        <v>31</v>
      </c>
      <c r="N486" t="s">
        <v>102</v>
      </c>
      <c r="O486">
        <f>_xlfn.XLOOKUP(E486,Product_Master!$B$2:$B$11,Product_Master!$F$2:$F$11)</f>
        <v>15.5</v>
      </c>
      <c r="P486">
        <f t="shared" si="14"/>
        <v>372</v>
      </c>
      <c r="Q486" s="5">
        <f t="shared" si="15"/>
        <v>0.10734425349087003</v>
      </c>
    </row>
    <row r="487" spans="1:17" x14ac:dyDescent="0.3">
      <c r="A487" t="s">
        <v>669</v>
      </c>
      <c r="B487" t="s">
        <v>670</v>
      </c>
      <c r="C487" t="s">
        <v>202</v>
      </c>
      <c r="D487" t="s">
        <v>81</v>
      </c>
      <c r="E487" t="s">
        <v>49</v>
      </c>
      <c r="F487" t="s">
        <v>50</v>
      </c>
      <c r="G487">
        <v>10</v>
      </c>
      <c r="H487" s="4">
        <v>49.15</v>
      </c>
      <c r="I487">
        <v>491.5</v>
      </c>
      <c r="J487">
        <v>13.3</v>
      </c>
      <c r="K487">
        <v>78.2</v>
      </c>
      <c r="L487" t="s">
        <v>44</v>
      </c>
      <c r="M487" t="s">
        <v>37</v>
      </c>
      <c r="N487" t="s">
        <v>66</v>
      </c>
      <c r="O487">
        <f>_xlfn.XLOOKUP(E487,Product_Master!$B$2:$B$11,Product_Master!$F$2:$F$11)</f>
        <v>40</v>
      </c>
      <c r="P487">
        <f t="shared" si="14"/>
        <v>400</v>
      </c>
      <c r="Q487" s="5">
        <f t="shared" si="15"/>
        <v>0.15910478128179045</v>
      </c>
    </row>
    <row r="488" spans="1:17" x14ac:dyDescent="0.3">
      <c r="A488" t="s">
        <v>671</v>
      </c>
      <c r="B488" t="s">
        <v>672</v>
      </c>
      <c r="C488" t="s">
        <v>226</v>
      </c>
      <c r="D488" t="s">
        <v>63</v>
      </c>
      <c r="E488" t="s">
        <v>49</v>
      </c>
      <c r="F488" t="s">
        <v>50</v>
      </c>
      <c r="G488">
        <v>42</v>
      </c>
      <c r="H488" s="4">
        <v>50.96</v>
      </c>
      <c r="I488">
        <v>2140.3200000000002</v>
      </c>
      <c r="J488">
        <v>127.85</v>
      </c>
      <c r="K488">
        <v>332.47</v>
      </c>
      <c r="L488" t="s">
        <v>22</v>
      </c>
      <c r="M488" t="s">
        <v>31</v>
      </c>
      <c r="N488" t="s">
        <v>66</v>
      </c>
      <c r="O488">
        <f>_xlfn.XLOOKUP(E488,Product_Master!$B$2:$B$11,Product_Master!$F$2:$F$11)</f>
        <v>40</v>
      </c>
      <c r="P488">
        <f t="shared" si="14"/>
        <v>1680</v>
      </c>
      <c r="Q488" s="5">
        <f t="shared" si="15"/>
        <v>0.15533658518352397</v>
      </c>
    </row>
    <row r="489" spans="1:17" x14ac:dyDescent="0.3">
      <c r="A489" t="s">
        <v>673</v>
      </c>
      <c r="B489" t="s">
        <v>674</v>
      </c>
      <c r="C489" t="s">
        <v>223</v>
      </c>
      <c r="D489" t="s">
        <v>63</v>
      </c>
      <c r="E489" t="s">
        <v>64</v>
      </c>
      <c r="F489" t="s">
        <v>65</v>
      </c>
      <c r="G489">
        <v>39</v>
      </c>
      <c r="H489" s="4">
        <v>37.46</v>
      </c>
      <c r="I489">
        <v>1460.94</v>
      </c>
      <c r="J489">
        <v>82.25</v>
      </c>
      <c r="K489">
        <v>403.69</v>
      </c>
      <c r="L489" t="s">
        <v>44</v>
      </c>
      <c r="M489" t="s">
        <v>23</v>
      </c>
      <c r="N489" t="s">
        <v>66</v>
      </c>
      <c r="O489">
        <f>_xlfn.XLOOKUP(E489,Product_Master!$B$2:$B$11,Product_Master!$F$2:$F$11)</f>
        <v>25</v>
      </c>
      <c r="P489">
        <f t="shared" si="14"/>
        <v>975</v>
      </c>
      <c r="Q489" s="5">
        <f t="shared" si="15"/>
        <v>0.27632209399427765</v>
      </c>
    </row>
    <row r="490" spans="1:17" x14ac:dyDescent="0.3">
      <c r="A490" t="s">
        <v>675</v>
      </c>
      <c r="B490" t="s">
        <v>676</v>
      </c>
      <c r="C490" t="s">
        <v>125</v>
      </c>
      <c r="D490" t="s">
        <v>123</v>
      </c>
      <c r="E490" t="s">
        <v>73</v>
      </c>
      <c r="F490" t="s">
        <v>43</v>
      </c>
      <c r="G490">
        <v>7</v>
      </c>
      <c r="H490" s="4">
        <v>20.2</v>
      </c>
      <c r="I490">
        <v>141.4</v>
      </c>
      <c r="J490">
        <v>4.3499999999999996</v>
      </c>
      <c r="K490">
        <v>47.8</v>
      </c>
      <c r="L490" t="s">
        <v>30</v>
      </c>
      <c r="M490" t="s">
        <v>37</v>
      </c>
      <c r="N490" t="s">
        <v>32</v>
      </c>
      <c r="O490">
        <f>_xlfn.XLOOKUP(E490,Product_Master!$B$2:$B$11,Product_Master!$F$2:$F$11)</f>
        <v>12.75</v>
      </c>
      <c r="P490">
        <f t="shared" si="14"/>
        <v>89.25</v>
      </c>
      <c r="Q490" s="5">
        <f t="shared" si="15"/>
        <v>0.33804809052333801</v>
      </c>
    </row>
    <row r="491" spans="1:17" x14ac:dyDescent="0.3">
      <c r="A491" t="s">
        <v>677</v>
      </c>
      <c r="B491" t="s">
        <v>678</v>
      </c>
      <c r="C491" t="s">
        <v>141</v>
      </c>
      <c r="D491" t="s">
        <v>48</v>
      </c>
      <c r="E491" t="s">
        <v>73</v>
      </c>
      <c r="F491" t="s">
        <v>43</v>
      </c>
      <c r="G491">
        <v>18</v>
      </c>
      <c r="H491" s="4">
        <v>18.63</v>
      </c>
      <c r="I491">
        <v>335.34</v>
      </c>
      <c r="J491">
        <v>26.18</v>
      </c>
      <c r="K491">
        <v>79.66</v>
      </c>
      <c r="L491" t="s">
        <v>30</v>
      </c>
      <c r="M491" t="s">
        <v>23</v>
      </c>
      <c r="N491" t="s">
        <v>24</v>
      </c>
      <c r="O491">
        <f>_xlfn.XLOOKUP(E491,Product_Master!$B$2:$B$11,Product_Master!$F$2:$F$11)</f>
        <v>12.75</v>
      </c>
      <c r="P491">
        <f t="shared" si="14"/>
        <v>229.5</v>
      </c>
      <c r="Q491" s="5">
        <f t="shared" si="15"/>
        <v>0.23754994930518281</v>
      </c>
    </row>
    <row r="492" spans="1:17" x14ac:dyDescent="0.3">
      <c r="A492" t="s">
        <v>679</v>
      </c>
      <c r="B492" t="s">
        <v>680</v>
      </c>
      <c r="C492" t="s">
        <v>310</v>
      </c>
      <c r="D492" t="s">
        <v>147</v>
      </c>
      <c r="E492" t="s">
        <v>58</v>
      </c>
      <c r="F492" t="s">
        <v>59</v>
      </c>
      <c r="G492">
        <v>12</v>
      </c>
      <c r="H492" s="4">
        <v>27.08</v>
      </c>
      <c r="I492">
        <v>324.95999999999998</v>
      </c>
      <c r="J492">
        <v>15.59</v>
      </c>
      <c r="K492">
        <v>39.369999999999997</v>
      </c>
      <c r="L492" t="s">
        <v>30</v>
      </c>
      <c r="M492" t="s">
        <v>37</v>
      </c>
      <c r="N492" t="s">
        <v>148</v>
      </c>
      <c r="O492">
        <f>_xlfn.XLOOKUP(E492,Product_Master!$B$2:$B$11,Product_Master!$F$2:$F$11)</f>
        <v>22.5</v>
      </c>
      <c r="P492">
        <f t="shared" si="14"/>
        <v>270</v>
      </c>
      <c r="Q492" s="5">
        <f t="shared" si="15"/>
        <v>0.12115337272279665</v>
      </c>
    </row>
    <row r="493" spans="1:17" x14ac:dyDescent="0.3">
      <c r="A493" t="s">
        <v>681</v>
      </c>
      <c r="B493" t="s">
        <v>682</v>
      </c>
      <c r="C493" t="s">
        <v>334</v>
      </c>
      <c r="D493" t="s">
        <v>123</v>
      </c>
      <c r="E493" t="s">
        <v>64</v>
      </c>
      <c r="F493" t="s">
        <v>65</v>
      </c>
      <c r="G493">
        <v>50</v>
      </c>
      <c r="H493" s="4">
        <v>32.21</v>
      </c>
      <c r="I493">
        <v>1610.5</v>
      </c>
      <c r="J493">
        <v>32.68</v>
      </c>
      <c r="K493">
        <v>327.82</v>
      </c>
      <c r="L493" t="s">
        <v>30</v>
      </c>
      <c r="M493" t="s">
        <v>37</v>
      </c>
      <c r="N493" t="s">
        <v>32</v>
      </c>
      <c r="O493">
        <f>_xlfn.XLOOKUP(E493,Product_Master!$B$2:$B$11,Product_Master!$F$2:$F$11)</f>
        <v>25</v>
      </c>
      <c r="P493">
        <f t="shared" si="14"/>
        <v>1250</v>
      </c>
      <c r="Q493" s="5">
        <f t="shared" si="15"/>
        <v>0.20355169202111145</v>
      </c>
    </row>
    <row r="494" spans="1:17" x14ac:dyDescent="0.3">
      <c r="A494" t="s">
        <v>683</v>
      </c>
      <c r="B494" t="s">
        <v>684</v>
      </c>
      <c r="C494" t="s">
        <v>429</v>
      </c>
      <c r="D494" t="s">
        <v>101</v>
      </c>
      <c r="E494" t="s">
        <v>73</v>
      </c>
      <c r="F494" t="s">
        <v>43</v>
      </c>
      <c r="G494">
        <v>49</v>
      </c>
      <c r="H494" s="4">
        <v>20.59</v>
      </c>
      <c r="I494">
        <v>1008.91</v>
      </c>
      <c r="J494">
        <v>78.03</v>
      </c>
      <c r="K494">
        <v>306.13</v>
      </c>
      <c r="L494" t="s">
        <v>30</v>
      </c>
      <c r="M494" t="s">
        <v>37</v>
      </c>
      <c r="N494" t="s">
        <v>102</v>
      </c>
      <c r="O494">
        <f>_xlfn.XLOOKUP(E494,Product_Master!$B$2:$B$11,Product_Master!$F$2:$F$11)</f>
        <v>12.75</v>
      </c>
      <c r="P494">
        <f t="shared" si="14"/>
        <v>624.75</v>
      </c>
      <c r="Q494" s="5">
        <f t="shared" si="15"/>
        <v>0.30342647015095497</v>
      </c>
    </row>
    <row r="495" spans="1:17" x14ac:dyDescent="0.3">
      <c r="A495" t="s">
        <v>685</v>
      </c>
      <c r="B495" t="s">
        <v>686</v>
      </c>
      <c r="C495" t="s">
        <v>100</v>
      </c>
      <c r="D495" t="s">
        <v>36</v>
      </c>
      <c r="E495" t="s">
        <v>54</v>
      </c>
      <c r="F495" t="s">
        <v>43</v>
      </c>
      <c r="G495">
        <v>22</v>
      </c>
      <c r="H495" s="4">
        <v>28.63</v>
      </c>
      <c r="I495">
        <v>629.86</v>
      </c>
      <c r="J495">
        <v>29.08</v>
      </c>
      <c r="K495">
        <v>160.78</v>
      </c>
      <c r="L495" t="s">
        <v>30</v>
      </c>
      <c r="M495" t="s">
        <v>31</v>
      </c>
      <c r="N495" t="s">
        <v>32</v>
      </c>
      <c r="O495">
        <f>_xlfn.XLOOKUP(E495,Product_Master!$B$2:$B$11,Product_Master!$F$2:$F$11)</f>
        <v>20</v>
      </c>
      <c r="P495">
        <f t="shared" si="14"/>
        <v>440</v>
      </c>
      <c r="Q495" s="5">
        <f t="shared" si="15"/>
        <v>0.25526307433397899</v>
      </c>
    </row>
    <row r="496" spans="1:17" x14ac:dyDescent="0.3">
      <c r="A496" t="s">
        <v>687</v>
      </c>
      <c r="B496" t="s">
        <v>688</v>
      </c>
      <c r="C496" t="s">
        <v>202</v>
      </c>
      <c r="D496" t="s">
        <v>63</v>
      </c>
      <c r="E496" t="s">
        <v>49</v>
      </c>
      <c r="F496" t="s">
        <v>50</v>
      </c>
      <c r="G496">
        <v>11</v>
      </c>
      <c r="H496" s="4">
        <v>56.12</v>
      </c>
      <c r="I496">
        <v>617.32000000000005</v>
      </c>
      <c r="J496">
        <v>38.26</v>
      </c>
      <c r="K496">
        <v>139.06</v>
      </c>
      <c r="L496" t="s">
        <v>30</v>
      </c>
      <c r="M496" t="s">
        <v>31</v>
      </c>
      <c r="N496" t="s">
        <v>66</v>
      </c>
      <c r="O496">
        <f>_xlfn.XLOOKUP(E496,Product_Master!$B$2:$B$11,Product_Master!$F$2:$F$11)</f>
        <v>40</v>
      </c>
      <c r="P496">
        <f t="shared" si="14"/>
        <v>440</v>
      </c>
      <c r="Q496" s="5">
        <f t="shared" si="15"/>
        <v>0.22526404457979651</v>
      </c>
    </row>
    <row r="497" spans="1:17" x14ac:dyDescent="0.3">
      <c r="A497" t="s">
        <v>689</v>
      </c>
      <c r="B497" t="s">
        <v>690</v>
      </c>
      <c r="C497" t="s">
        <v>47</v>
      </c>
      <c r="D497" t="s">
        <v>19</v>
      </c>
      <c r="E497" t="s">
        <v>64</v>
      </c>
      <c r="F497" t="s">
        <v>65</v>
      </c>
      <c r="G497">
        <v>2</v>
      </c>
      <c r="H497" s="4">
        <v>30.88</v>
      </c>
      <c r="I497">
        <v>61.76</v>
      </c>
      <c r="J497">
        <v>4.42</v>
      </c>
      <c r="K497">
        <v>7.34</v>
      </c>
      <c r="L497" t="s">
        <v>44</v>
      </c>
      <c r="M497" t="s">
        <v>31</v>
      </c>
      <c r="N497" t="s">
        <v>24</v>
      </c>
      <c r="O497">
        <f>_xlfn.XLOOKUP(E497,Product_Master!$B$2:$B$11,Product_Master!$F$2:$F$11)</f>
        <v>25</v>
      </c>
      <c r="P497">
        <f t="shared" si="14"/>
        <v>50</v>
      </c>
      <c r="Q497" s="5">
        <f t="shared" si="15"/>
        <v>0.11884715025906736</v>
      </c>
    </row>
    <row r="498" spans="1:17" x14ac:dyDescent="0.3">
      <c r="A498" t="s">
        <v>691</v>
      </c>
      <c r="B498" t="s">
        <v>692</v>
      </c>
      <c r="C498" t="s">
        <v>316</v>
      </c>
      <c r="D498" t="s">
        <v>147</v>
      </c>
      <c r="E498" t="s">
        <v>49</v>
      </c>
      <c r="F498" t="s">
        <v>50</v>
      </c>
      <c r="G498">
        <v>34</v>
      </c>
      <c r="H498" s="4">
        <v>63.8</v>
      </c>
      <c r="I498">
        <v>2169.1999999999998</v>
      </c>
      <c r="J498">
        <v>69.650000000000006</v>
      </c>
      <c r="K498">
        <v>739.55</v>
      </c>
      <c r="L498" t="s">
        <v>30</v>
      </c>
      <c r="M498" t="s">
        <v>37</v>
      </c>
      <c r="N498" t="s">
        <v>148</v>
      </c>
      <c r="O498">
        <f>_xlfn.XLOOKUP(E498,Product_Master!$B$2:$B$11,Product_Master!$F$2:$F$11)</f>
        <v>40</v>
      </c>
      <c r="P498">
        <f t="shared" si="14"/>
        <v>1360</v>
      </c>
      <c r="Q498" s="5">
        <f t="shared" si="15"/>
        <v>0.34093214088143092</v>
      </c>
    </row>
    <row r="499" spans="1:17" x14ac:dyDescent="0.3">
      <c r="A499" t="s">
        <v>693</v>
      </c>
      <c r="B499" t="s">
        <v>694</v>
      </c>
      <c r="C499" t="s">
        <v>195</v>
      </c>
      <c r="D499" t="s">
        <v>53</v>
      </c>
      <c r="E499" t="s">
        <v>98</v>
      </c>
      <c r="F499" t="s">
        <v>59</v>
      </c>
      <c r="G499">
        <v>50</v>
      </c>
      <c r="H499" s="4">
        <v>44.61</v>
      </c>
      <c r="I499">
        <v>2230.5</v>
      </c>
      <c r="J499">
        <v>91.32</v>
      </c>
      <c r="K499">
        <v>739.18</v>
      </c>
      <c r="L499" t="s">
        <v>44</v>
      </c>
      <c r="M499" t="s">
        <v>23</v>
      </c>
      <c r="N499" t="s">
        <v>24</v>
      </c>
      <c r="O499">
        <f>_xlfn.XLOOKUP(E499,Product_Master!$B$2:$B$11,Product_Master!$F$2:$F$11)</f>
        <v>28</v>
      </c>
      <c r="P499">
        <f t="shared" si="14"/>
        <v>1400</v>
      </c>
      <c r="Q499" s="5">
        <f t="shared" si="15"/>
        <v>0.33139654785922434</v>
      </c>
    </row>
    <row r="500" spans="1:17" x14ac:dyDescent="0.3">
      <c r="A500" t="s">
        <v>695</v>
      </c>
      <c r="B500" t="s">
        <v>696</v>
      </c>
      <c r="C500" t="s">
        <v>84</v>
      </c>
      <c r="D500" t="s">
        <v>88</v>
      </c>
      <c r="E500" t="s">
        <v>73</v>
      </c>
      <c r="F500" t="s">
        <v>43</v>
      </c>
      <c r="G500">
        <v>14</v>
      </c>
      <c r="H500" s="4">
        <v>18.61</v>
      </c>
      <c r="I500">
        <v>260.54000000000002</v>
      </c>
      <c r="J500">
        <v>5.39</v>
      </c>
      <c r="K500">
        <v>76.650000000000006</v>
      </c>
      <c r="L500" t="s">
        <v>30</v>
      </c>
      <c r="M500" t="s">
        <v>37</v>
      </c>
      <c r="N500" t="s">
        <v>66</v>
      </c>
      <c r="O500">
        <f>_xlfn.XLOOKUP(E500,Product_Master!$B$2:$B$11,Product_Master!$F$2:$F$11)</f>
        <v>12.75</v>
      </c>
      <c r="P500">
        <f t="shared" si="14"/>
        <v>178.5</v>
      </c>
      <c r="Q500" s="5">
        <f t="shared" si="15"/>
        <v>0.29419666845781839</v>
      </c>
    </row>
    <row r="501" spans="1:17" x14ac:dyDescent="0.3">
      <c r="A501" t="s">
        <v>697</v>
      </c>
      <c r="B501" t="s">
        <v>698</v>
      </c>
      <c r="C501" t="s">
        <v>305</v>
      </c>
      <c r="D501" t="s">
        <v>28</v>
      </c>
      <c r="E501" t="s">
        <v>69</v>
      </c>
      <c r="F501" t="s">
        <v>59</v>
      </c>
      <c r="G501">
        <v>7</v>
      </c>
      <c r="H501" s="4">
        <v>24.61</v>
      </c>
      <c r="I501">
        <v>172.27</v>
      </c>
      <c r="J501">
        <v>9.64</v>
      </c>
      <c r="K501">
        <v>54.13</v>
      </c>
      <c r="L501" t="s">
        <v>44</v>
      </c>
      <c r="M501" t="s">
        <v>37</v>
      </c>
      <c r="N501" t="s">
        <v>32</v>
      </c>
      <c r="O501">
        <f>_xlfn.XLOOKUP(E501,Product_Master!$B$2:$B$11,Product_Master!$F$2:$F$11)</f>
        <v>15.5</v>
      </c>
      <c r="P501">
        <f t="shared" si="14"/>
        <v>108.5</v>
      </c>
      <c r="Q501" s="5">
        <f t="shared" si="15"/>
        <v>0.31421605619086318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BDAAC-033D-4644-A936-63DF4B269DF1}">
  <dimension ref="A1:S501"/>
  <sheetViews>
    <sheetView workbookViewId="0">
      <selection sqref="A1:S501"/>
    </sheetView>
  </sheetViews>
  <sheetFormatPr defaultRowHeight="14.4" x14ac:dyDescent="0.3"/>
  <cols>
    <col min="1" max="1" width="14.77734375" bestFit="1" customWidth="1"/>
    <col min="2" max="2" width="9.21875" bestFit="1" customWidth="1"/>
    <col min="3" max="3" width="17.21875" bestFit="1" customWidth="1"/>
    <col min="4" max="4" width="10.88671875" bestFit="1" customWidth="1"/>
    <col min="5" max="5" width="16.109375" bestFit="1" customWidth="1"/>
    <col min="6" max="6" width="11.21875" bestFit="1" customWidth="1"/>
    <col min="7" max="7" width="3" bestFit="1" customWidth="1"/>
    <col min="8" max="8" width="7.6640625" bestFit="1" customWidth="1"/>
    <col min="9" max="9" width="8" bestFit="1" customWidth="1"/>
    <col min="10" max="10" width="7" bestFit="1" customWidth="1"/>
    <col min="11" max="11" width="8" bestFit="1" customWidth="1"/>
    <col min="12" max="12" width="4.88671875" bestFit="1" customWidth="1"/>
    <col min="13" max="13" width="7.6640625" bestFit="1" customWidth="1"/>
    <col min="14" max="15" width="9" customWidth="1"/>
    <col min="16" max="16" width="10.33203125" bestFit="1" customWidth="1"/>
    <col min="17" max="17" width="12.33203125" bestFit="1" customWidth="1"/>
    <col min="18" max="18" width="18.33203125" bestFit="1" customWidth="1"/>
    <col min="19" max="19" width="13.66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15</v>
      </c>
      <c r="P1" s="29" t="s">
        <v>823</v>
      </c>
      <c r="Q1" s="6" t="s">
        <v>721</v>
      </c>
      <c r="R1" s="6" t="s">
        <v>722</v>
      </c>
      <c r="S1" s="6" t="s">
        <v>723</v>
      </c>
    </row>
    <row r="2" spans="1:19" x14ac:dyDescent="0.3">
      <c r="A2" t="s">
        <v>16</v>
      </c>
      <c r="B2" s="23" t="s">
        <v>17</v>
      </c>
      <c r="C2" t="s">
        <v>18</v>
      </c>
      <c r="D2" t="s">
        <v>19</v>
      </c>
      <c r="E2" t="s">
        <v>20</v>
      </c>
      <c r="F2" t="s">
        <v>21</v>
      </c>
      <c r="G2">
        <v>20</v>
      </c>
      <c r="H2" s="4">
        <v>55.22</v>
      </c>
      <c r="I2">
        <v>1104.4000000000001</v>
      </c>
      <c r="J2">
        <v>49.36</v>
      </c>
      <c r="K2">
        <v>355.04</v>
      </c>
      <c r="L2" t="s">
        <v>22</v>
      </c>
      <c r="M2" t="s">
        <v>23</v>
      </c>
      <c r="N2" t="s">
        <v>24</v>
      </c>
      <c r="O2" s="5">
        <f>Table14[[#This Row],[Profit]]/Table14[[#This Row],[Total_Sales]]</f>
        <v>0.32147772546178921</v>
      </c>
      <c r="P2" s="23">
        <f>DATE(YEAR(Table14[[#This Row],[Order_Date]]), MONTH(Table14[[#This Row],[Order_Date]]), 1)</f>
        <v>45658</v>
      </c>
      <c r="Q2" t="str">
        <f>_xlfn.XLOOKUP(Table14[[#This Row],[Product]],Product_Master!$B$2:$B$11,Product_Master!$D$2:$D$11)</f>
        <v>CarryPro</v>
      </c>
      <c r="R2" t="str">
        <f>_xlfn.XLOOKUP(Table14[[#This Row],[Product]],Product_Master!$B$2:$B$11,Product_Master!$E$2:$E$11)</f>
        <v>Vietnam</v>
      </c>
      <c r="S2">
        <f>_xlfn.XLOOKUP(Table14[[#This Row],[Product]],Product_Master!$B$2:$B$11,Product_Master!$F$2:$F$11)</f>
        <v>35</v>
      </c>
    </row>
    <row r="3" spans="1:19" x14ac:dyDescent="0.3">
      <c r="A3" t="s">
        <v>25</v>
      </c>
      <c r="B3" s="23" t="s">
        <v>26</v>
      </c>
      <c r="C3" t="s">
        <v>27</v>
      </c>
      <c r="D3" t="s">
        <v>28</v>
      </c>
      <c r="E3" t="s">
        <v>29</v>
      </c>
      <c r="F3" t="s">
        <v>21</v>
      </c>
      <c r="G3">
        <v>33</v>
      </c>
      <c r="H3" s="4">
        <v>32.03</v>
      </c>
      <c r="I3" s="8">
        <v>1056.99</v>
      </c>
      <c r="J3">
        <v>59.59</v>
      </c>
      <c r="K3">
        <v>403.4</v>
      </c>
      <c r="L3" t="s">
        <v>30</v>
      </c>
      <c r="M3" t="s">
        <v>31</v>
      </c>
      <c r="N3" t="s">
        <v>32</v>
      </c>
      <c r="O3" s="5">
        <f>Table14[[#This Row],[Profit]]/Table14[[#This Row],[Total_Sales]]</f>
        <v>0.38164977908967918</v>
      </c>
      <c r="P3" s="23">
        <f>DATE(YEAR(Table14[[#This Row],[Order_Date]]), MONTH(Table14[[#This Row],[Order_Date]]), 1)</f>
        <v>45689</v>
      </c>
      <c r="Q3" t="str">
        <f>_xlfn.XLOOKUP(Table14[[#This Row],[Product]],Product_Master!$B$2:$B$11,Product_Master!$D$2:$D$11)</f>
        <v>CraftLine</v>
      </c>
      <c r="R3" t="str">
        <f>_xlfn.XLOOKUP(Table14[[#This Row],[Product]],Product_Master!$B$2:$B$11,Product_Master!$E$2:$E$11)</f>
        <v>Italy</v>
      </c>
      <c r="S3">
        <f>_xlfn.XLOOKUP(Table14[[#This Row],[Product]],Product_Master!$B$2:$B$11,Product_Master!$F$2:$F$11)</f>
        <v>18</v>
      </c>
    </row>
    <row r="4" spans="1:19" x14ac:dyDescent="0.3">
      <c r="A4" t="s">
        <v>33</v>
      </c>
      <c r="B4" s="23" t="s">
        <v>34</v>
      </c>
      <c r="C4" t="s">
        <v>35</v>
      </c>
      <c r="D4" t="s">
        <v>36</v>
      </c>
      <c r="E4" t="s">
        <v>29</v>
      </c>
      <c r="F4" t="s">
        <v>21</v>
      </c>
      <c r="G4">
        <v>34</v>
      </c>
      <c r="H4" s="4">
        <v>28.48</v>
      </c>
      <c r="I4" s="8">
        <v>968.32</v>
      </c>
      <c r="J4">
        <v>73.95</v>
      </c>
      <c r="K4">
        <v>282.37</v>
      </c>
      <c r="L4" t="s">
        <v>22</v>
      </c>
      <c r="M4" t="s">
        <v>37</v>
      </c>
      <c r="N4" t="s">
        <v>32</v>
      </c>
      <c r="O4" s="5">
        <f>Table14[[#This Row],[Profit]]/Table14[[#This Row],[Total_Sales]]</f>
        <v>0.2916081460674157</v>
      </c>
      <c r="P4" s="23">
        <f>DATE(YEAR(Table14[[#This Row],[Order_Date]]), MONTH(Table14[[#This Row],[Order_Date]]), 1)</f>
        <v>45383</v>
      </c>
      <c r="Q4" t="str">
        <f>_xlfn.XLOOKUP(Table14[[#This Row],[Product]],Product_Master!$B$2:$B$11,Product_Master!$D$2:$D$11)</f>
        <v>CraftLine</v>
      </c>
      <c r="R4" t="str">
        <f>_xlfn.XLOOKUP(Table14[[#This Row],[Product]],Product_Master!$B$2:$B$11,Product_Master!$E$2:$E$11)</f>
        <v>Italy</v>
      </c>
      <c r="S4">
        <f>_xlfn.XLOOKUP(Table14[[#This Row],[Product]],Product_Master!$B$2:$B$11,Product_Master!$F$2:$F$11)</f>
        <v>18</v>
      </c>
    </row>
    <row r="5" spans="1:19" x14ac:dyDescent="0.3">
      <c r="A5" t="s">
        <v>38</v>
      </c>
      <c r="B5" s="23" t="s">
        <v>39</v>
      </c>
      <c r="C5" t="s">
        <v>40</v>
      </c>
      <c r="D5" t="s">
        <v>41</v>
      </c>
      <c r="E5" t="s">
        <v>42</v>
      </c>
      <c r="F5" t="s">
        <v>43</v>
      </c>
      <c r="G5">
        <v>6</v>
      </c>
      <c r="H5" s="4">
        <v>56.36</v>
      </c>
      <c r="I5" s="8">
        <v>338.16</v>
      </c>
      <c r="J5">
        <v>11.39</v>
      </c>
      <c r="K5">
        <v>134.77000000000001</v>
      </c>
      <c r="L5" t="s">
        <v>44</v>
      </c>
      <c r="M5" t="s">
        <v>31</v>
      </c>
      <c r="N5" t="s">
        <v>45</v>
      </c>
      <c r="O5" s="5">
        <f>Table14[[#This Row],[Profit]]/Table14[[#This Row],[Total_Sales]]</f>
        <v>0.39853915306363852</v>
      </c>
      <c r="P5" s="23">
        <f>DATE(YEAR(Table14[[#This Row],[Order_Date]]), MONTH(Table14[[#This Row],[Order_Date]]), 1)</f>
        <v>45566</v>
      </c>
      <c r="Q5" t="str">
        <f>_xlfn.XLOOKUP(Table14[[#This Row],[Product]],Product_Master!$B$2:$B$11,Product_Master!$D$2:$D$11)</f>
        <v>AudioTech Ltd.</v>
      </c>
      <c r="R5" t="str">
        <f>_xlfn.XLOOKUP(Table14[[#This Row],[Product]],Product_Master!$B$2:$B$11,Product_Master!$E$2:$E$11)</f>
        <v>China</v>
      </c>
      <c r="S5">
        <f>_xlfn.XLOOKUP(Table14[[#This Row],[Product]],Product_Master!$B$2:$B$11,Product_Master!$F$2:$F$11)</f>
        <v>32</v>
      </c>
    </row>
    <row r="6" spans="1:19" x14ac:dyDescent="0.3">
      <c r="A6" t="s">
        <v>46</v>
      </c>
      <c r="B6" s="23" t="s">
        <v>26</v>
      </c>
      <c r="C6" t="s">
        <v>47</v>
      </c>
      <c r="D6" t="s">
        <v>48</v>
      </c>
      <c r="E6" t="s">
        <v>49</v>
      </c>
      <c r="F6" t="s">
        <v>50</v>
      </c>
      <c r="G6">
        <v>17</v>
      </c>
      <c r="H6" s="4">
        <v>69.22</v>
      </c>
      <c r="I6" s="8">
        <v>1176.74</v>
      </c>
      <c r="J6">
        <v>65.94</v>
      </c>
      <c r="K6">
        <v>430.8</v>
      </c>
      <c r="L6" t="s">
        <v>30</v>
      </c>
      <c r="M6" t="s">
        <v>23</v>
      </c>
      <c r="N6" t="s">
        <v>24</v>
      </c>
      <c r="O6" s="5">
        <f>Table14[[#This Row],[Profit]]/Table14[[#This Row],[Total_Sales]]</f>
        <v>0.36609616397844896</v>
      </c>
      <c r="P6" s="23">
        <f>DATE(YEAR(Table14[[#This Row],[Order_Date]]), MONTH(Table14[[#This Row],[Order_Date]]), 1)</f>
        <v>45689</v>
      </c>
      <c r="Q6" t="str">
        <f>_xlfn.XLOOKUP(Table14[[#This Row],[Product]],Product_Master!$B$2:$B$11,Product_Master!$D$2:$D$11)</f>
        <v>BlueWear</v>
      </c>
      <c r="R6" t="str">
        <f>_xlfn.XLOOKUP(Table14[[#This Row],[Product]],Product_Master!$B$2:$B$11,Product_Master!$E$2:$E$11)</f>
        <v>Bangladesh</v>
      </c>
      <c r="S6">
        <f>_xlfn.XLOOKUP(Table14[[#This Row],[Product]],Product_Master!$B$2:$B$11,Product_Master!$F$2:$F$11)</f>
        <v>40</v>
      </c>
    </row>
    <row r="7" spans="1:19" x14ac:dyDescent="0.3">
      <c r="A7" t="s">
        <v>51</v>
      </c>
      <c r="B7" s="23" t="s">
        <v>26</v>
      </c>
      <c r="C7" t="s">
        <v>52</v>
      </c>
      <c r="D7" t="s">
        <v>53</v>
      </c>
      <c r="E7" t="s">
        <v>54</v>
      </c>
      <c r="F7" t="s">
        <v>43</v>
      </c>
      <c r="G7">
        <v>13</v>
      </c>
      <c r="H7" s="4">
        <v>27.94</v>
      </c>
      <c r="I7" s="8">
        <v>363.22</v>
      </c>
      <c r="J7">
        <v>15.36</v>
      </c>
      <c r="K7">
        <v>87.86</v>
      </c>
      <c r="L7" t="s">
        <v>30</v>
      </c>
      <c r="M7" t="s">
        <v>23</v>
      </c>
      <c r="N7" t="s">
        <v>24</v>
      </c>
      <c r="O7" s="5">
        <f>Table14[[#This Row],[Profit]]/Table14[[#This Row],[Total_Sales]]</f>
        <v>0.2418919663014151</v>
      </c>
      <c r="P7" s="23">
        <f>DATE(YEAR(Table14[[#This Row],[Order_Date]]), MONTH(Table14[[#This Row],[Order_Date]]), 1)</f>
        <v>45689</v>
      </c>
      <c r="Q7" t="str">
        <f>_xlfn.XLOOKUP(Table14[[#This Row],[Product]],Product_Master!$B$2:$B$11,Product_Master!$D$2:$D$11)</f>
        <v>ClickTech</v>
      </c>
      <c r="R7" t="str">
        <f>_xlfn.XLOOKUP(Table14[[#This Row],[Product]],Product_Master!$B$2:$B$11,Product_Master!$E$2:$E$11)</f>
        <v>China</v>
      </c>
      <c r="S7">
        <f>_xlfn.XLOOKUP(Table14[[#This Row],[Product]],Product_Master!$B$2:$B$11,Product_Master!$F$2:$F$11)</f>
        <v>20</v>
      </c>
    </row>
    <row r="8" spans="1:19" x14ac:dyDescent="0.3">
      <c r="A8" t="s">
        <v>55</v>
      </c>
      <c r="B8" s="23" t="s">
        <v>56</v>
      </c>
      <c r="C8" t="s">
        <v>57</v>
      </c>
      <c r="D8" t="s">
        <v>28</v>
      </c>
      <c r="E8" t="s">
        <v>58</v>
      </c>
      <c r="F8" t="s">
        <v>59</v>
      </c>
      <c r="G8">
        <v>3</v>
      </c>
      <c r="H8" s="4">
        <v>31.52</v>
      </c>
      <c r="I8" s="8">
        <v>94.56</v>
      </c>
      <c r="J8">
        <v>6.98</v>
      </c>
      <c r="K8">
        <v>20.079999999999998</v>
      </c>
      <c r="L8" t="s">
        <v>22</v>
      </c>
      <c r="M8" t="s">
        <v>37</v>
      </c>
      <c r="N8" t="s">
        <v>32</v>
      </c>
      <c r="O8" s="5">
        <f>Table14[[#This Row],[Profit]]/Table14[[#This Row],[Total_Sales]]</f>
        <v>0.21235194585448391</v>
      </c>
      <c r="P8" s="23">
        <f>DATE(YEAR(Table14[[#This Row],[Order_Date]]), MONTH(Table14[[#This Row],[Order_Date]]), 1)</f>
        <v>45444</v>
      </c>
      <c r="Q8" t="str">
        <f>_xlfn.XLOOKUP(Table14[[#This Row],[Product]],Product_Master!$B$2:$B$11,Product_Master!$D$2:$D$11)</f>
        <v>ClearCraft</v>
      </c>
      <c r="R8" t="str">
        <f>_xlfn.XLOOKUP(Table14[[#This Row],[Product]],Product_Master!$B$2:$B$11,Product_Master!$E$2:$E$11)</f>
        <v>India</v>
      </c>
      <c r="S8">
        <f>_xlfn.XLOOKUP(Table14[[#This Row],[Product]],Product_Master!$B$2:$B$11,Product_Master!$F$2:$F$11)</f>
        <v>22.5</v>
      </c>
    </row>
    <row r="9" spans="1:19" x14ac:dyDescent="0.3">
      <c r="A9" t="s">
        <v>60</v>
      </c>
      <c r="B9" s="23" t="s">
        <v>61</v>
      </c>
      <c r="C9" t="s">
        <v>62</v>
      </c>
      <c r="D9" t="s">
        <v>63</v>
      </c>
      <c r="E9" t="s">
        <v>64</v>
      </c>
      <c r="F9" t="s">
        <v>65</v>
      </c>
      <c r="G9">
        <v>14</v>
      </c>
      <c r="H9" s="4">
        <v>30.71</v>
      </c>
      <c r="I9" s="8">
        <v>429.94</v>
      </c>
      <c r="J9">
        <v>13.03</v>
      </c>
      <c r="K9">
        <v>66.91</v>
      </c>
      <c r="L9" t="s">
        <v>30</v>
      </c>
      <c r="M9" t="s">
        <v>23</v>
      </c>
      <c r="N9" t="s">
        <v>66</v>
      </c>
      <c r="O9" s="5">
        <f>Table14[[#This Row],[Profit]]/Table14[[#This Row],[Total_Sales]]</f>
        <v>0.15562636646973996</v>
      </c>
      <c r="P9" s="23">
        <f>DATE(YEAR(Table14[[#This Row],[Order_Date]]), MONTH(Table14[[#This Row],[Order_Date]]), 1)</f>
        <v>45778</v>
      </c>
      <c r="Q9" t="str">
        <f>_xlfn.XLOOKUP(Table14[[#This Row],[Product]],Product_Master!$B$2:$B$11,Product_Master!$D$2:$D$11)</f>
        <v>SoftWeave</v>
      </c>
      <c r="R9" t="str">
        <f>_xlfn.XLOOKUP(Table14[[#This Row],[Product]],Product_Master!$B$2:$B$11,Product_Master!$E$2:$E$11)</f>
        <v>Turkey</v>
      </c>
      <c r="S9">
        <f>_xlfn.XLOOKUP(Table14[[#This Row],[Product]],Product_Master!$B$2:$B$11,Product_Master!$F$2:$F$11)</f>
        <v>25</v>
      </c>
    </row>
    <row r="10" spans="1:19" x14ac:dyDescent="0.3">
      <c r="A10" t="s">
        <v>67</v>
      </c>
      <c r="B10" s="23" t="s">
        <v>68</v>
      </c>
      <c r="C10" t="s">
        <v>35</v>
      </c>
      <c r="D10" t="s">
        <v>19</v>
      </c>
      <c r="E10" t="s">
        <v>69</v>
      </c>
      <c r="F10" t="s">
        <v>59</v>
      </c>
      <c r="G10">
        <v>47</v>
      </c>
      <c r="H10" s="4">
        <v>24.47</v>
      </c>
      <c r="I10" s="8">
        <v>1150.0899999999999</v>
      </c>
      <c r="J10">
        <v>61.3</v>
      </c>
      <c r="K10">
        <v>360.29</v>
      </c>
      <c r="L10" t="s">
        <v>30</v>
      </c>
      <c r="M10" t="s">
        <v>23</v>
      </c>
      <c r="N10" t="s">
        <v>24</v>
      </c>
      <c r="O10" s="5">
        <f>Table14[[#This Row],[Profit]]/Table14[[#This Row],[Total_Sales]]</f>
        <v>0.31327113530245465</v>
      </c>
      <c r="P10" s="23">
        <f>DATE(YEAR(Table14[[#This Row],[Order_Date]]), MONTH(Table14[[#This Row],[Order_Date]]), 1)</f>
        <v>45536</v>
      </c>
      <c r="Q10" t="str">
        <f>_xlfn.XLOOKUP(Table14[[#This Row],[Product]],Product_Master!$B$2:$B$11,Product_Master!$D$2:$D$11)</f>
        <v>Artisans Co.</v>
      </c>
      <c r="R10" t="str">
        <f>_xlfn.XLOOKUP(Table14[[#This Row],[Product]],Product_Master!$B$2:$B$11,Product_Master!$E$2:$E$11)</f>
        <v>India</v>
      </c>
      <c r="S10">
        <f>_xlfn.XLOOKUP(Table14[[#This Row],[Product]],Product_Master!$B$2:$B$11,Product_Master!$F$2:$F$11)</f>
        <v>15.5</v>
      </c>
    </row>
    <row r="11" spans="1:19" x14ac:dyDescent="0.3">
      <c r="A11" t="s">
        <v>70</v>
      </c>
      <c r="B11" s="23" t="s">
        <v>71</v>
      </c>
      <c r="C11" t="s">
        <v>72</v>
      </c>
      <c r="D11" t="s">
        <v>36</v>
      </c>
      <c r="E11" t="s">
        <v>73</v>
      </c>
      <c r="F11" t="s">
        <v>43</v>
      </c>
      <c r="G11">
        <v>27</v>
      </c>
      <c r="H11" s="4">
        <v>18.98</v>
      </c>
      <c r="I11" s="8">
        <v>512.46</v>
      </c>
      <c r="J11">
        <v>28.89</v>
      </c>
      <c r="K11">
        <v>139.32</v>
      </c>
      <c r="L11" t="s">
        <v>30</v>
      </c>
      <c r="M11" t="s">
        <v>37</v>
      </c>
      <c r="N11" t="s">
        <v>32</v>
      </c>
      <c r="O11" s="5">
        <f>Table14[[#This Row],[Profit]]/Table14[[#This Row],[Total_Sales]]</f>
        <v>0.27186512118018963</v>
      </c>
      <c r="P11" s="23">
        <f>DATE(YEAR(Table14[[#This Row],[Order_Date]]), MONTH(Table14[[#This Row],[Order_Date]]), 1)</f>
        <v>45505</v>
      </c>
      <c r="Q11" t="str">
        <f>_xlfn.XLOOKUP(Table14[[#This Row],[Product]],Product_Master!$B$2:$B$11,Product_Master!$D$2:$D$11)</f>
        <v>BrightHome</v>
      </c>
      <c r="R11" t="str">
        <f>_xlfn.XLOOKUP(Table14[[#This Row],[Product]],Product_Master!$B$2:$B$11,Product_Master!$E$2:$E$11)</f>
        <v>Vietnam</v>
      </c>
      <c r="S11">
        <f>_xlfn.XLOOKUP(Table14[[#This Row],[Product]],Product_Master!$B$2:$B$11,Product_Master!$F$2:$F$11)</f>
        <v>12.75</v>
      </c>
    </row>
    <row r="12" spans="1:19" x14ac:dyDescent="0.3">
      <c r="A12" t="s">
        <v>74</v>
      </c>
      <c r="B12" s="23" t="s">
        <v>75</v>
      </c>
      <c r="C12" t="s">
        <v>76</v>
      </c>
      <c r="D12" t="s">
        <v>63</v>
      </c>
      <c r="E12" t="s">
        <v>20</v>
      </c>
      <c r="F12" t="s">
        <v>21</v>
      </c>
      <c r="G12">
        <v>32</v>
      </c>
      <c r="H12" s="4">
        <v>57.84</v>
      </c>
      <c r="I12" s="8">
        <v>1850.88</v>
      </c>
      <c r="J12">
        <v>55.15</v>
      </c>
      <c r="K12">
        <v>675.73</v>
      </c>
      <c r="L12" t="s">
        <v>22</v>
      </c>
      <c r="M12" t="s">
        <v>23</v>
      </c>
      <c r="N12" t="s">
        <v>66</v>
      </c>
      <c r="O12" s="5">
        <f>Table14[[#This Row],[Profit]]/Table14[[#This Row],[Total_Sales]]</f>
        <v>0.36508579702627936</v>
      </c>
      <c r="P12" s="23">
        <f>DATE(YEAR(Table14[[#This Row],[Order_Date]]), MONTH(Table14[[#This Row],[Order_Date]]), 1)</f>
        <v>45748</v>
      </c>
      <c r="Q12" t="str">
        <f>_xlfn.XLOOKUP(Table14[[#This Row],[Product]],Product_Master!$B$2:$B$11,Product_Master!$D$2:$D$11)</f>
        <v>CarryPro</v>
      </c>
      <c r="R12" t="str">
        <f>_xlfn.XLOOKUP(Table14[[#This Row],[Product]],Product_Master!$B$2:$B$11,Product_Master!$E$2:$E$11)</f>
        <v>Vietnam</v>
      </c>
      <c r="S12">
        <f>_xlfn.XLOOKUP(Table14[[#This Row],[Product]],Product_Master!$B$2:$B$11,Product_Master!$F$2:$F$11)</f>
        <v>35</v>
      </c>
    </row>
    <row r="13" spans="1:19" x14ac:dyDescent="0.3">
      <c r="A13" t="s">
        <v>77</v>
      </c>
      <c r="B13" s="23" t="s">
        <v>78</v>
      </c>
      <c r="C13" t="s">
        <v>79</v>
      </c>
      <c r="D13" t="s">
        <v>48</v>
      </c>
      <c r="E13" t="s">
        <v>49</v>
      </c>
      <c r="F13" t="s">
        <v>50</v>
      </c>
      <c r="G13">
        <v>49</v>
      </c>
      <c r="H13" s="4">
        <v>58.77</v>
      </c>
      <c r="I13" s="8">
        <v>2879.73</v>
      </c>
      <c r="J13">
        <v>140.29</v>
      </c>
      <c r="K13">
        <v>779.44</v>
      </c>
      <c r="L13" t="s">
        <v>44</v>
      </c>
      <c r="M13" t="s">
        <v>37</v>
      </c>
      <c r="N13" t="s">
        <v>24</v>
      </c>
      <c r="O13" s="5">
        <f>Table14[[#This Row],[Profit]]/Table14[[#This Row],[Total_Sales]]</f>
        <v>0.27066426366360735</v>
      </c>
      <c r="P13" s="23">
        <f>DATE(YEAR(Table14[[#This Row],[Order_Date]]), MONTH(Table14[[#This Row],[Order_Date]]), 1)</f>
        <v>45627</v>
      </c>
      <c r="Q13" t="str">
        <f>_xlfn.XLOOKUP(Table14[[#This Row],[Product]],Product_Master!$B$2:$B$11,Product_Master!$D$2:$D$11)</f>
        <v>BlueWear</v>
      </c>
      <c r="R13" t="str">
        <f>_xlfn.XLOOKUP(Table14[[#This Row],[Product]],Product_Master!$B$2:$B$11,Product_Master!$E$2:$E$11)</f>
        <v>Bangladesh</v>
      </c>
      <c r="S13">
        <f>_xlfn.XLOOKUP(Table14[[#This Row],[Product]],Product_Master!$B$2:$B$11,Product_Master!$F$2:$F$11)</f>
        <v>40</v>
      </c>
    </row>
    <row r="14" spans="1:19" x14ac:dyDescent="0.3">
      <c r="A14" t="s">
        <v>80</v>
      </c>
      <c r="B14" s="23" t="s">
        <v>68</v>
      </c>
      <c r="C14" t="s">
        <v>76</v>
      </c>
      <c r="D14" t="s">
        <v>81</v>
      </c>
      <c r="E14" t="s">
        <v>20</v>
      </c>
      <c r="F14" t="s">
        <v>21</v>
      </c>
      <c r="G14">
        <v>43</v>
      </c>
      <c r="H14" s="4">
        <v>56.92</v>
      </c>
      <c r="I14" s="8">
        <v>2447.56</v>
      </c>
      <c r="J14">
        <v>140.4</v>
      </c>
      <c r="K14">
        <v>802.16</v>
      </c>
      <c r="L14" t="s">
        <v>22</v>
      </c>
      <c r="M14" t="s">
        <v>31</v>
      </c>
      <c r="N14" t="s">
        <v>66</v>
      </c>
      <c r="O14" s="5">
        <f>Table14[[#This Row],[Profit]]/Table14[[#This Row],[Total_Sales]]</f>
        <v>0.3277386458350357</v>
      </c>
      <c r="P14" s="23">
        <f>DATE(YEAR(Table14[[#This Row],[Order_Date]]), MONTH(Table14[[#This Row],[Order_Date]]), 1)</f>
        <v>45536</v>
      </c>
      <c r="Q14" t="str">
        <f>_xlfn.XLOOKUP(Table14[[#This Row],[Product]],Product_Master!$B$2:$B$11,Product_Master!$D$2:$D$11)</f>
        <v>CarryPro</v>
      </c>
      <c r="R14" t="str">
        <f>_xlfn.XLOOKUP(Table14[[#This Row],[Product]],Product_Master!$B$2:$B$11,Product_Master!$E$2:$E$11)</f>
        <v>Vietnam</v>
      </c>
      <c r="S14">
        <f>_xlfn.XLOOKUP(Table14[[#This Row],[Product]],Product_Master!$B$2:$B$11,Product_Master!$F$2:$F$11)</f>
        <v>35</v>
      </c>
    </row>
    <row r="15" spans="1:19" x14ac:dyDescent="0.3">
      <c r="A15" t="s">
        <v>82</v>
      </c>
      <c r="B15" s="23" t="s">
        <v>83</v>
      </c>
      <c r="C15" t="s">
        <v>84</v>
      </c>
      <c r="D15" t="s">
        <v>36</v>
      </c>
      <c r="E15" t="s">
        <v>64</v>
      </c>
      <c r="F15" t="s">
        <v>65</v>
      </c>
      <c r="G15">
        <v>32</v>
      </c>
      <c r="H15" s="4">
        <v>43.45</v>
      </c>
      <c r="I15" s="8">
        <v>1390.4</v>
      </c>
      <c r="J15">
        <v>30.04</v>
      </c>
      <c r="K15">
        <v>560.36</v>
      </c>
      <c r="L15" t="s">
        <v>22</v>
      </c>
      <c r="M15" t="s">
        <v>37</v>
      </c>
      <c r="N15" t="s">
        <v>32</v>
      </c>
      <c r="O15" s="5">
        <f>Table14[[#This Row],[Profit]]/Table14[[#This Row],[Total_Sales]]</f>
        <v>0.4030207134637514</v>
      </c>
      <c r="P15" s="23">
        <f>DATE(YEAR(Table14[[#This Row],[Order_Date]]), MONTH(Table14[[#This Row],[Order_Date]]), 1)</f>
        <v>45323</v>
      </c>
      <c r="Q15" t="str">
        <f>_xlfn.XLOOKUP(Table14[[#This Row],[Product]],Product_Master!$B$2:$B$11,Product_Master!$D$2:$D$11)</f>
        <v>SoftWeave</v>
      </c>
      <c r="R15" t="str">
        <f>_xlfn.XLOOKUP(Table14[[#This Row],[Product]],Product_Master!$B$2:$B$11,Product_Master!$E$2:$E$11)</f>
        <v>Turkey</v>
      </c>
      <c r="S15">
        <f>_xlfn.XLOOKUP(Table14[[#This Row],[Product]],Product_Master!$B$2:$B$11,Product_Master!$F$2:$F$11)</f>
        <v>25</v>
      </c>
    </row>
    <row r="16" spans="1:19" x14ac:dyDescent="0.3">
      <c r="A16" t="s">
        <v>85</v>
      </c>
      <c r="B16" s="23" t="s">
        <v>86</v>
      </c>
      <c r="C16" t="s">
        <v>87</v>
      </c>
      <c r="D16" t="s">
        <v>88</v>
      </c>
      <c r="E16" t="s">
        <v>64</v>
      </c>
      <c r="F16" t="s">
        <v>65</v>
      </c>
      <c r="G16">
        <v>22</v>
      </c>
      <c r="H16" s="4">
        <v>42.59</v>
      </c>
      <c r="I16" s="8">
        <v>936.98</v>
      </c>
      <c r="J16">
        <v>29.87</v>
      </c>
      <c r="K16">
        <v>357.11</v>
      </c>
      <c r="L16" t="s">
        <v>30</v>
      </c>
      <c r="M16" t="s">
        <v>37</v>
      </c>
      <c r="N16" t="s">
        <v>66</v>
      </c>
      <c r="O16" s="5">
        <f>Table14[[#This Row],[Profit]]/Table14[[#This Row],[Total_Sales]]</f>
        <v>0.38112873273709152</v>
      </c>
      <c r="P16" s="23">
        <f>DATE(YEAR(Table14[[#This Row],[Order_Date]]), MONTH(Table14[[#This Row],[Order_Date]]), 1)</f>
        <v>45352</v>
      </c>
      <c r="Q16" t="str">
        <f>_xlfn.XLOOKUP(Table14[[#This Row],[Product]],Product_Master!$B$2:$B$11,Product_Master!$D$2:$D$11)</f>
        <v>SoftWeave</v>
      </c>
      <c r="R16" t="str">
        <f>_xlfn.XLOOKUP(Table14[[#This Row],[Product]],Product_Master!$B$2:$B$11,Product_Master!$E$2:$E$11)</f>
        <v>Turkey</v>
      </c>
      <c r="S16">
        <f>_xlfn.XLOOKUP(Table14[[#This Row],[Product]],Product_Master!$B$2:$B$11,Product_Master!$F$2:$F$11)</f>
        <v>25</v>
      </c>
    </row>
    <row r="17" spans="1:19" x14ac:dyDescent="0.3">
      <c r="A17" t="s">
        <v>89</v>
      </c>
      <c r="B17" s="23" t="s">
        <v>68</v>
      </c>
      <c r="C17" t="s">
        <v>90</v>
      </c>
      <c r="D17" t="s">
        <v>91</v>
      </c>
      <c r="E17" t="s">
        <v>54</v>
      </c>
      <c r="F17" t="s">
        <v>43</v>
      </c>
      <c r="G17">
        <v>48</v>
      </c>
      <c r="H17" s="4">
        <v>25.36</v>
      </c>
      <c r="I17" s="8">
        <v>1217.28</v>
      </c>
      <c r="J17">
        <v>49.68</v>
      </c>
      <c r="K17">
        <v>207.6</v>
      </c>
      <c r="L17" t="s">
        <v>30</v>
      </c>
      <c r="M17" t="s">
        <v>23</v>
      </c>
      <c r="N17" t="s">
        <v>66</v>
      </c>
      <c r="O17" s="5">
        <f>Table14[[#This Row],[Profit]]/Table14[[#This Row],[Total_Sales]]</f>
        <v>0.17054416403785488</v>
      </c>
      <c r="P17" s="23">
        <f>DATE(YEAR(Table14[[#This Row],[Order_Date]]), MONTH(Table14[[#This Row],[Order_Date]]), 1)</f>
        <v>45536</v>
      </c>
      <c r="Q17" t="str">
        <f>_xlfn.XLOOKUP(Table14[[#This Row],[Product]],Product_Master!$B$2:$B$11,Product_Master!$D$2:$D$11)</f>
        <v>ClickTech</v>
      </c>
      <c r="R17" t="str">
        <f>_xlfn.XLOOKUP(Table14[[#This Row],[Product]],Product_Master!$B$2:$B$11,Product_Master!$E$2:$E$11)</f>
        <v>China</v>
      </c>
      <c r="S17">
        <f>_xlfn.XLOOKUP(Table14[[#This Row],[Product]],Product_Master!$B$2:$B$11,Product_Master!$F$2:$F$11)</f>
        <v>20</v>
      </c>
    </row>
    <row r="18" spans="1:19" x14ac:dyDescent="0.3">
      <c r="A18" t="s">
        <v>92</v>
      </c>
      <c r="B18" s="23" t="s">
        <v>71</v>
      </c>
      <c r="C18" t="s">
        <v>76</v>
      </c>
      <c r="D18" t="s">
        <v>88</v>
      </c>
      <c r="E18" t="s">
        <v>29</v>
      </c>
      <c r="F18" t="s">
        <v>21</v>
      </c>
      <c r="G18">
        <v>48</v>
      </c>
      <c r="H18" s="4">
        <v>30.07</v>
      </c>
      <c r="I18" s="8">
        <v>1443.36</v>
      </c>
      <c r="J18">
        <v>102.31</v>
      </c>
      <c r="K18">
        <v>477.05</v>
      </c>
      <c r="L18" t="s">
        <v>44</v>
      </c>
      <c r="M18" t="s">
        <v>23</v>
      </c>
      <c r="N18" t="s">
        <v>66</v>
      </c>
      <c r="O18" s="5">
        <f>Table14[[#This Row],[Profit]]/Table14[[#This Row],[Total_Sales]]</f>
        <v>0.33051352399955664</v>
      </c>
      <c r="P18" s="23">
        <f>DATE(YEAR(Table14[[#This Row],[Order_Date]]), MONTH(Table14[[#This Row],[Order_Date]]), 1)</f>
        <v>45505</v>
      </c>
      <c r="Q18" t="str">
        <f>_xlfn.XLOOKUP(Table14[[#This Row],[Product]],Product_Master!$B$2:$B$11,Product_Master!$D$2:$D$11)</f>
        <v>CraftLine</v>
      </c>
      <c r="R18" t="str">
        <f>_xlfn.XLOOKUP(Table14[[#This Row],[Product]],Product_Master!$B$2:$B$11,Product_Master!$E$2:$E$11)</f>
        <v>Italy</v>
      </c>
      <c r="S18">
        <f>_xlfn.XLOOKUP(Table14[[#This Row],[Product]],Product_Master!$B$2:$B$11,Product_Master!$F$2:$F$11)</f>
        <v>18</v>
      </c>
    </row>
    <row r="19" spans="1:19" x14ac:dyDescent="0.3">
      <c r="A19" t="s">
        <v>93</v>
      </c>
      <c r="B19" s="23" t="s">
        <v>68</v>
      </c>
      <c r="C19" t="s">
        <v>52</v>
      </c>
      <c r="D19" t="s">
        <v>88</v>
      </c>
      <c r="E19" t="s">
        <v>54</v>
      </c>
      <c r="F19" t="s">
        <v>43</v>
      </c>
      <c r="G19">
        <v>6</v>
      </c>
      <c r="H19" s="4">
        <v>32.17</v>
      </c>
      <c r="I19" s="8">
        <v>193.02</v>
      </c>
      <c r="J19">
        <v>14.45</v>
      </c>
      <c r="K19">
        <v>58.57</v>
      </c>
      <c r="L19" t="s">
        <v>44</v>
      </c>
      <c r="M19" t="s">
        <v>23</v>
      </c>
      <c r="N19" t="s">
        <v>66</v>
      </c>
      <c r="O19" s="5">
        <f>Table14[[#This Row],[Profit]]/Table14[[#This Row],[Total_Sales]]</f>
        <v>0.30344005802507512</v>
      </c>
      <c r="P19" s="23">
        <f>DATE(YEAR(Table14[[#This Row],[Order_Date]]), MONTH(Table14[[#This Row],[Order_Date]]), 1)</f>
        <v>45536</v>
      </c>
      <c r="Q19" t="str">
        <f>_xlfn.XLOOKUP(Table14[[#This Row],[Product]],Product_Master!$B$2:$B$11,Product_Master!$D$2:$D$11)</f>
        <v>ClickTech</v>
      </c>
      <c r="R19" t="str">
        <f>_xlfn.XLOOKUP(Table14[[#This Row],[Product]],Product_Master!$B$2:$B$11,Product_Master!$E$2:$E$11)</f>
        <v>China</v>
      </c>
      <c r="S19">
        <f>_xlfn.XLOOKUP(Table14[[#This Row],[Product]],Product_Master!$B$2:$B$11,Product_Master!$F$2:$F$11)</f>
        <v>20</v>
      </c>
    </row>
    <row r="20" spans="1:19" x14ac:dyDescent="0.3">
      <c r="A20" t="s">
        <v>94</v>
      </c>
      <c r="B20" s="23" t="s">
        <v>95</v>
      </c>
      <c r="C20" t="s">
        <v>96</v>
      </c>
      <c r="D20" t="s">
        <v>81</v>
      </c>
      <c r="E20" t="s">
        <v>29</v>
      </c>
      <c r="F20" t="s">
        <v>21</v>
      </c>
      <c r="G20">
        <v>37</v>
      </c>
      <c r="H20" s="4">
        <v>24.14</v>
      </c>
      <c r="I20" s="8">
        <v>893.18</v>
      </c>
      <c r="J20">
        <v>31.39</v>
      </c>
      <c r="K20">
        <v>195.79</v>
      </c>
      <c r="L20" t="s">
        <v>30</v>
      </c>
      <c r="M20" t="s">
        <v>31</v>
      </c>
      <c r="N20" t="s">
        <v>66</v>
      </c>
      <c r="O20" s="5">
        <f>Table14[[#This Row],[Profit]]/Table14[[#This Row],[Total_Sales]]</f>
        <v>0.21920553527844333</v>
      </c>
      <c r="P20" s="23">
        <f>DATE(YEAR(Table14[[#This Row],[Order_Date]]), MONTH(Table14[[#This Row],[Order_Date]]), 1)</f>
        <v>45474</v>
      </c>
      <c r="Q20" t="str">
        <f>_xlfn.XLOOKUP(Table14[[#This Row],[Product]],Product_Master!$B$2:$B$11,Product_Master!$D$2:$D$11)</f>
        <v>CraftLine</v>
      </c>
      <c r="R20" t="str">
        <f>_xlfn.XLOOKUP(Table14[[#This Row],[Product]],Product_Master!$B$2:$B$11,Product_Master!$E$2:$E$11)</f>
        <v>Italy</v>
      </c>
      <c r="S20">
        <f>_xlfn.XLOOKUP(Table14[[#This Row],[Product]],Product_Master!$B$2:$B$11,Product_Master!$F$2:$F$11)</f>
        <v>18</v>
      </c>
    </row>
    <row r="21" spans="1:19" x14ac:dyDescent="0.3">
      <c r="A21" t="s">
        <v>97</v>
      </c>
      <c r="B21" s="23" t="s">
        <v>75</v>
      </c>
      <c r="C21" t="s">
        <v>47</v>
      </c>
      <c r="D21" t="s">
        <v>28</v>
      </c>
      <c r="E21" t="s">
        <v>98</v>
      </c>
      <c r="F21" t="s">
        <v>59</v>
      </c>
      <c r="G21">
        <v>39</v>
      </c>
      <c r="H21" s="4">
        <v>37.840000000000003</v>
      </c>
      <c r="I21" s="8">
        <v>1475.76</v>
      </c>
      <c r="J21">
        <v>73.400000000000006</v>
      </c>
      <c r="K21">
        <v>310.36</v>
      </c>
      <c r="L21" t="s">
        <v>30</v>
      </c>
      <c r="M21" t="s">
        <v>37</v>
      </c>
      <c r="N21" t="s">
        <v>32</v>
      </c>
      <c r="O21" s="5">
        <f>Table14[[#This Row],[Profit]]/Table14[[#This Row],[Total_Sales]]</f>
        <v>0.21030519867729172</v>
      </c>
      <c r="P21" s="23">
        <f>DATE(YEAR(Table14[[#This Row],[Order_Date]]), MONTH(Table14[[#This Row],[Order_Date]]), 1)</f>
        <v>45748</v>
      </c>
      <c r="Q21" t="str">
        <f>_xlfn.XLOOKUP(Table14[[#This Row],[Product]],Product_Master!$B$2:$B$11,Product_Master!$D$2:$D$11)</f>
        <v>BrightHome</v>
      </c>
      <c r="R21" t="str">
        <f>_xlfn.XLOOKUP(Table14[[#This Row],[Product]],Product_Master!$B$2:$B$11,Product_Master!$E$2:$E$11)</f>
        <v>India</v>
      </c>
      <c r="S21">
        <f>_xlfn.XLOOKUP(Table14[[#This Row],[Product]],Product_Master!$B$2:$B$11,Product_Master!$F$2:$F$11)</f>
        <v>28</v>
      </c>
    </row>
    <row r="22" spans="1:19" x14ac:dyDescent="0.3">
      <c r="A22" t="s">
        <v>99</v>
      </c>
      <c r="B22" s="23" t="s">
        <v>26</v>
      </c>
      <c r="C22" t="s">
        <v>100</v>
      </c>
      <c r="D22" t="s">
        <v>101</v>
      </c>
      <c r="E22" t="s">
        <v>49</v>
      </c>
      <c r="F22" t="s">
        <v>50</v>
      </c>
      <c r="G22">
        <v>6</v>
      </c>
      <c r="H22" s="4">
        <v>68.77</v>
      </c>
      <c r="I22" s="8">
        <v>412.62</v>
      </c>
      <c r="J22">
        <v>17.18</v>
      </c>
      <c r="K22">
        <v>155.44</v>
      </c>
      <c r="L22" t="s">
        <v>30</v>
      </c>
      <c r="M22" t="s">
        <v>23</v>
      </c>
      <c r="N22" t="s">
        <v>102</v>
      </c>
      <c r="O22" s="5">
        <f>Table14[[#This Row],[Profit]]/Table14[[#This Row],[Total_Sales]]</f>
        <v>0.37671465270709126</v>
      </c>
      <c r="P22" s="23">
        <f>DATE(YEAR(Table14[[#This Row],[Order_Date]]), MONTH(Table14[[#This Row],[Order_Date]]), 1)</f>
        <v>45689</v>
      </c>
      <c r="Q22" t="str">
        <f>_xlfn.XLOOKUP(Table14[[#This Row],[Product]],Product_Master!$B$2:$B$11,Product_Master!$D$2:$D$11)</f>
        <v>BlueWear</v>
      </c>
      <c r="R22" t="str">
        <f>_xlfn.XLOOKUP(Table14[[#This Row],[Product]],Product_Master!$B$2:$B$11,Product_Master!$E$2:$E$11)</f>
        <v>Bangladesh</v>
      </c>
      <c r="S22">
        <f>_xlfn.XLOOKUP(Table14[[#This Row],[Product]],Product_Master!$B$2:$B$11,Product_Master!$F$2:$F$11)</f>
        <v>40</v>
      </c>
    </row>
    <row r="23" spans="1:19" x14ac:dyDescent="0.3">
      <c r="A23" t="s">
        <v>103</v>
      </c>
      <c r="B23" s="23" t="s">
        <v>104</v>
      </c>
      <c r="C23" t="s">
        <v>105</v>
      </c>
      <c r="D23" t="s">
        <v>48</v>
      </c>
      <c r="E23" t="s">
        <v>73</v>
      </c>
      <c r="F23" t="s">
        <v>43</v>
      </c>
      <c r="G23">
        <v>6</v>
      </c>
      <c r="H23" s="4">
        <v>18.5</v>
      </c>
      <c r="I23" s="8">
        <v>111</v>
      </c>
      <c r="J23">
        <v>5.26</v>
      </c>
      <c r="K23">
        <v>29.24</v>
      </c>
      <c r="L23" t="s">
        <v>44</v>
      </c>
      <c r="M23" t="s">
        <v>31</v>
      </c>
      <c r="N23" t="s">
        <v>24</v>
      </c>
      <c r="O23" s="5">
        <f>Table14[[#This Row],[Profit]]/Table14[[#This Row],[Total_Sales]]</f>
        <v>0.2634234234234234</v>
      </c>
      <c r="P23" s="23">
        <f>DATE(YEAR(Table14[[#This Row],[Order_Date]]), MONTH(Table14[[#This Row],[Order_Date]]), 1)</f>
        <v>45717</v>
      </c>
      <c r="Q23" t="str">
        <f>_xlfn.XLOOKUP(Table14[[#This Row],[Product]],Product_Master!$B$2:$B$11,Product_Master!$D$2:$D$11)</f>
        <v>BrightHome</v>
      </c>
      <c r="R23" t="str">
        <f>_xlfn.XLOOKUP(Table14[[#This Row],[Product]],Product_Master!$B$2:$B$11,Product_Master!$E$2:$E$11)</f>
        <v>Vietnam</v>
      </c>
      <c r="S23">
        <f>_xlfn.XLOOKUP(Table14[[#This Row],[Product]],Product_Master!$B$2:$B$11,Product_Master!$F$2:$F$11)</f>
        <v>12.75</v>
      </c>
    </row>
    <row r="24" spans="1:19" x14ac:dyDescent="0.3">
      <c r="A24" t="s">
        <v>106</v>
      </c>
      <c r="B24" s="23" t="s">
        <v>107</v>
      </c>
      <c r="C24" t="s">
        <v>108</v>
      </c>
      <c r="D24" t="s">
        <v>36</v>
      </c>
      <c r="E24" t="s">
        <v>58</v>
      </c>
      <c r="F24" t="s">
        <v>59</v>
      </c>
      <c r="G24">
        <v>33</v>
      </c>
      <c r="H24" s="4">
        <v>28.96</v>
      </c>
      <c r="I24" s="8">
        <v>955.68</v>
      </c>
      <c r="J24">
        <v>49.07</v>
      </c>
      <c r="K24">
        <v>164.11</v>
      </c>
      <c r="L24" t="s">
        <v>30</v>
      </c>
      <c r="M24" t="s">
        <v>23</v>
      </c>
      <c r="N24" t="s">
        <v>32</v>
      </c>
      <c r="O24" s="5">
        <f>Table14[[#This Row],[Profit]]/Table14[[#This Row],[Total_Sales]]</f>
        <v>0.17172065963502431</v>
      </c>
      <c r="P24" s="23">
        <f>DATE(YEAR(Table14[[#This Row],[Order_Date]]), MONTH(Table14[[#This Row],[Order_Date]]), 1)</f>
        <v>45413</v>
      </c>
      <c r="Q24" t="str">
        <f>_xlfn.XLOOKUP(Table14[[#This Row],[Product]],Product_Master!$B$2:$B$11,Product_Master!$D$2:$D$11)</f>
        <v>ClearCraft</v>
      </c>
      <c r="R24" t="str">
        <f>_xlfn.XLOOKUP(Table14[[#This Row],[Product]],Product_Master!$B$2:$B$11,Product_Master!$E$2:$E$11)</f>
        <v>India</v>
      </c>
      <c r="S24">
        <f>_xlfn.XLOOKUP(Table14[[#This Row],[Product]],Product_Master!$B$2:$B$11,Product_Master!$F$2:$F$11)</f>
        <v>22.5</v>
      </c>
    </row>
    <row r="25" spans="1:19" x14ac:dyDescent="0.3">
      <c r="A25" t="s">
        <v>109</v>
      </c>
      <c r="B25" s="23" t="s">
        <v>83</v>
      </c>
      <c r="C25" t="s">
        <v>110</v>
      </c>
      <c r="D25" t="s">
        <v>48</v>
      </c>
      <c r="E25" t="s">
        <v>58</v>
      </c>
      <c r="F25" t="s">
        <v>59</v>
      </c>
      <c r="G25">
        <v>31</v>
      </c>
      <c r="H25" s="4">
        <v>35.020000000000003</v>
      </c>
      <c r="I25" s="8">
        <v>1085.6199999999999</v>
      </c>
      <c r="J25">
        <v>74.650000000000006</v>
      </c>
      <c r="K25">
        <v>313.47000000000003</v>
      </c>
      <c r="L25" t="s">
        <v>44</v>
      </c>
      <c r="M25" t="s">
        <v>23</v>
      </c>
      <c r="N25" t="s">
        <v>24</v>
      </c>
      <c r="O25" s="5">
        <f>Table14[[#This Row],[Profit]]/Table14[[#This Row],[Total_Sales]]</f>
        <v>0.2887474438569666</v>
      </c>
      <c r="P25" s="23">
        <f>DATE(YEAR(Table14[[#This Row],[Order_Date]]), MONTH(Table14[[#This Row],[Order_Date]]), 1)</f>
        <v>45323</v>
      </c>
      <c r="Q25" t="str">
        <f>_xlfn.XLOOKUP(Table14[[#This Row],[Product]],Product_Master!$B$2:$B$11,Product_Master!$D$2:$D$11)</f>
        <v>ClearCraft</v>
      </c>
      <c r="R25" t="str">
        <f>_xlfn.XLOOKUP(Table14[[#This Row],[Product]],Product_Master!$B$2:$B$11,Product_Master!$E$2:$E$11)</f>
        <v>India</v>
      </c>
      <c r="S25">
        <f>_xlfn.XLOOKUP(Table14[[#This Row],[Product]],Product_Master!$B$2:$B$11,Product_Master!$F$2:$F$11)</f>
        <v>22.5</v>
      </c>
    </row>
    <row r="26" spans="1:19" x14ac:dyDescent="0.3">
      <c r="A26" t="s">
        <v>111</v>
      </c>
      <c r="B26" s="23" t="s">
        <v>75</v>
      </c>
      <c r="C26" t="s">
        <v>112</v>
      </c>
      <c r="D26" t="s">
        <v>48</v>
      </c>
      <c r="E26" t="s">
        <v>54</v>
      </c>
      <c r="F26" t="s">
        <v>43</v>
      </c>
      <c r="G26">
        <v>25</v>
      </c>
      <c r="H26" s="4">
        <v>31.57</v>
      </c>
      <c r="I26" s="8">
        <v>789.25</v>
      </c>
      <c r="J26">
        <v>56.47</v>
      </c>
      <c r="K26">
        <v>232.78</v>
      </c>
      <c r="L26" t="s">
        <v>30</v>
      </c>
      <c r="M26" t="s">
        <v>31</v>
      </c>
      <c r="N26" t="s">
        <v>24</v>
      </c>
      <c r="O26" s="5">
        <f>Table14[[#This Row],[Profit]]/Table14[[#This Row],[Total_Sales]]</f>
        <v>0.29493823249920809</v>
      </c>
      <c r="P26" s="23">
        <f>DATE(YEAR(Table14[[#This Row],[Order_Date]]), MONTH(Table14[[#This Row],[Order_Date]]), 1)</f>
        <v>45748</v>
      </c>
      <c r="Q26" t="str">
        <f>_xlfn.XLOOKUP(Table14[[#This Row],[Product]],Product_Master!$B$2:$B$11,Product_Master!$D$2:$D$11)</f>
        <v>ClickTech</v>
      </c>
      <c r="R26" t="str">
        <f>_xlfn.XLOOKUP(Table14[[#This Row],[Product]],Product_Master!$B$2:$B$11,Product_Master!$E$2:$E$11)</f>
        <v>China</v>
      </c>
      <c r="S26">
        <f>_xlfn.XLOOKUP(Table14[[#This Row],[Product]],Product_Master!$B$2:$B$11,Product_Master!$F$2:$F$11)</f>
        <v>20</v>
      </c>
    </row>
    <row r="27" spans="1:19" x14ac:dyDescent="0.3">
      <c r="A27" t="s">
        <v>113</v>
      </c>
      <c r="B27" s="23" t="s">
        <v>78</v>
      </c>
      <c r="C27" t="s">
        <v>114</v>
      </c>
      <c r="D27" t="s">
        <v>36</v>
      </c>
      <c r="E27" t="s">
        <v>69</v>
      </c>
      <c r="F27" t="s">
        <v>59</v>
      </c>
      <c r="G27">
        <v>14</v>
      </c>
      <c r="H27" s="4">
        <v>27.08</v>
      </c>
      <c r="I27" s="8">
        <v>379.12</v>
      </c>
      <c r="J27">
        <v>11.12</v>
      </c>
      <c r="K27">
        <v>151</v>
      </c>
      <c r="L27" t="s">
        <v>30</v>
      </c>
      <c r="M27" t="s">
        <v>37</v>
      </c>
      <c r="N27" t="s">
        <v>32</v>
      </c>
      <c r="O27" s="5">
        <f>Table14[[#This Row],[Profit]]/Table14[[#This Row],[Total_Sales]]</f>
        <v>0.39829077864528378</v>
      </c>
      <c r="P27" s="23">
        <f>DATE(YEAR(Table14[[#This Row],[Order_Date]]), MONTH(Table14[[#This Row],[Order_Date]]), 1)</f>
        <v>45627</v>
      </c>
      <c r="Q27" t="str">
        <f>_xlfn.XLOOKUP(Table14[[#This Row],[Product]],Product_Master!$B$2:$B$11,Product_Master!$D$2:$D$11)</f>
        <v>Artisans Co.</v>
      </c>
      <c r="R27" t="str">
        <f>_xlfn.XLOOKUP(Table14[[#This Row],[Product]],Product_Master!$B$2:$B$11,Product_Master!$E$2:$E$11)</f>
        <v>India</v>
      </c>
      <c r="S27">
        <f>_xlfn.XLOOKUP(Table14[[#This Row],[Product]],Product_Master!$B$2:$B$11,Product_Master!$F$2:$F$11)</f>
        <v>15.5</v>
      </c>
    </row>
    <row r="28" spans="1:19" x14ac:dyDescent="0.3">
      <c r="A28" t="s">
        <v>115</v>
      </c>
      <c r="B28" s="23" t="s">
        <v>56</v>
      </c>
      <c r="C28" t="s">
        <v>40</v>
      </c>
      <c r="D28" t="s">
        <v>36</v>
      </c>
      <c r="E28" t="s">
        <v>98</v>
      </c>
      <c r="F28" t="s">
        <v>59</v>
      </c>
      <c r="G28">
        <v>39</v>
      </c>
      <c r="H28" s="4">
        <v>35.32</v>
      </c>
      <c r="I28" s="8">
        <v>1377.48</v>
      </c>
      <c r="J28">
        <v>63.72</v>
      </c>
      <c r="K28">
        <v>221.76</v>
      </c>
      <c r="L28" t="s">
        <v>30</v>
      </c>
      <c r="M28" t="s">
        <v>31</v>
      </c>
      <c r="N28" t="s">
        <v>32</v>
      </c>
      <c r="O28" s="5">
        <f>Table14[[#This Row],[Profit]]/Table14[[#This Row],[Total_Sales]]</f>
        <v>0.16098963324331386</v>
      </c>
      <c r="P28" s="23">
        <f>DATE(YEAR(Table14[[#This Row],[Order_Date]]), MONTH(Table14[[#This Row],[Order_Date]]), 1)</f>
        <v>45444</v>
      </c>
      <c r="Q28" t="str">
        <f>_xlfn.XLOOKUP(Table14[[#This Row],[Product]],Product_Master!$B$2:$B$11,Product_Master!$D$2:$D$11)</f>
        <v>BrightHome</v>
      </c>
      <c r="R28" t="str">
        <f>_xlfn.XLOOKUP(Table14[[#This Row],[Product]],Product_Master!$B$2:$B$11,Product_Master!$E$2:$E$11)</f>
        <v>India</v>
      </c>
      <c r="S28">
        <f>_xlfn.XLOOKUP(Table14[[#This Row],[Product]],Product_Master!$B$2:$B$11,Product_Master!$F$2:$F$11)</f>
        <v>28</v>
      </c>
    </row>
    <row r="29" spans="1:19" x14ac:dyDescent="0.3">
      <c r="A29" t="s">
        <v>116</v>
      </c>
      <c r="B29" s="23" t="s">
        <v>71</v>
      </c>
      <c r="C29" t="s">
        <v>117</v>
      </c>
      <c r="D29" t="s">
        <v>63</v>
      </c>
      <c r="E29" t="s">
        <v>58</v>
      </c>
      <c r="F29" t="s">
        <v>59</v>
      </c>
      <c r="G29">
        <v>6</v>
      </c>
      <c r="H29" s="4">
        <v>39.630000000000003</v>
      </c>
      <c r="I29" s="8">
        <v>237.78</v>
      </c>
      <c r="J29">
        <v>8.08</v>
      </c>
      <c r="K29">
        <v>94.7</v>
      </c>
      <c r="L29" t="s">
        <v>22</v>
      </c>
      <c r="M29" t="s">
        <v>37</v>
      </c>
      <c r="N29" t="s">
        <v>66</v>
      </c>
      <c r="O29" s="5">
        <f>Table14[[#This Row],[Profit]]/Table14[[#This Row],[Total_Sales]]</f>
        <v>0.39826730591302884</v>
      </c>
      <c r="P29" s="23">
        <f>DATE(YEAR(Table14[[#This Row],[Order_Date]]), MONTH(Table14[[#This Row],[Order_Date]]), 1)</f>
        <v>45505</v>
      </c>
      <c r="Q29" t="str">
        <f>_xlfn.XLOOKUP(Table14[[#This Row],[Product]],Product_Master!$B$2:$B$11,Product_Master!$D$2:$D$11)</f>
        <v>ClearCraft</v>
      </c>
      <c r="R29" t="str">
        <f>_xlfn.XLOOKUP(Table14[[#This Row],[Product]],Product_Master!$B$2:$B$11,Product_Master!$E$2:$E$11)</f>
        <v>India</v>
      </c>
      <c r="S29">
        <f>_xlfn.XLOOKUP(Table14[[#This Row],[Product]],Product_Master!$B$2:$B$11,Product_Master!$F$2:$F$11)</f>
        <v>22.5</v>
      </c>
    </row>
    <row r="30" spans="1:19" x14ac:dyDescent="0.3">
      <c r="A30" t="s">
        <v>118</v>
      </c>
      <c r="B30" s="23" t="s">
        <v>17</v>
      </c>
      <c r="C30" t="s">
        <v>119</v>
      </c>
      <c r="D30" t="s">
        <v>101</v>
      </c>
      <c r="E30" t="s">
        <v>49</v>
      </c>
      <c r="F30" t="s">
        <v>50</v>
      </c>
      <c r="G30">
        <v>36</v>
      </c>
      <c r="H30" s="4">
        <v>68.400000000000006</v>
      </c>
      <c r="I30" s="8">
        <v>2462.4</v>
      </c>
      <c r="J30">
        <v>150.83000000000001</v>
      </c>
      <c r="K30">
        <v>871.57</v>
      </c>
      <c r="L30" t="s">
        <v>30</v>
      </c>
      <c r="M30" t="s">
        <v>23</v>
      </c>
      <c r="N30" t="s">
        <v>102</v>
      </c>
      <c r="O30" s="5">
        <f>Table14[[#This Row],[Profit]]/Table14[[#This Row],[Total_Sales]]</f>
        <v>0.35395142949967512</v>
      </c>
      <c r="P30" s="23">
        <f>DATE(YEAR(Table14[[#This Row],[Order_Date]]), MONTH(Table14[[#This Row],[Order_Date]]), 1)</f>
        <v>45658</v>
      </c>
      <c r="Q30" t="str">
        <f>_xlfn.XLOOKUP(Table14[[#This Row],[Product]],Product_Master!$B$2:$B$11,Product_Master!$D$2:$D$11)</f>
        <v>BlueWear</v>
      </c>
      <c r="R30" t="str">
        <f>_xlfn.XLOOKUP(Table14[[#This Row],[Product]],Product_Master!$B$2:$B$11,Product_Master!$E$2:$E$11)</f>
        <v>Bangladesh</v>
      </c>
      <c r="S30">
        <f>_xlfn.XLOOKUP(Table14[[#This Row],[Product]],Product_Master!$B$2:$B$11,Product_Master!$F$2:$F$11)</f>
        <v>40</v>
      </c>
    </row>
    <row r="31" spans="1:19" x14ac:dyDescent="0.3">
      <c r="A31" t="s">
        <v>120</v>
      </c>
      <c r="B31" s="23" t="s">
        <v>95</v>
      </c>
      <c r="C31" t="s">
        <v>90</v>
      </c>
      <c r="D31" t="s">
        <v>36</v>
      </c>
      <c r="E31" t="s">
        <v>64</v>
      </c>
      <c r="F31" t="s">
        <v>65</v>
      </c>
      <c r="G31">
        <v>1</v>
      </c>
      <c r="H31" s="4">
        <v>44.98</v>
      </c>
      <c r="I31" s="8">
        <v>44.98</v>
      </c>
      <c r="J31">
        <v>2.81</v>
      </c>
      <c r="K31">
        <v>17.170000000000002</v>
      </c>
      <c r="L31" t="s">
        <v>30</v>
      </c>
      <c r="M31" t="s">
        <v>31</v>
      </c>
      <c r="N31" t="s">
        <v>32</v>
      </c>
      <c r="O31" s="5">
        <f>Table14[[#This Row],[Profit]]/Table14[[#This Row],[Total_Sales]]</f>
        <v>0.38172521120498004</v>
      </c>
      <c r="P31" s="23">
        <f>DATE(YEAR(Table14[[#This Row],[Order_Date]]), MONTH(Table14[[#This Row],[Order_Date]]), 1)</f>
        <v>45474</v>
      </c>
      <c r="Q31" t="str">
        <f>_xlfn.XLOOKUP(Table14[[#This Row],[Product]],Product_Master!$B$2:$B$11,Product_Master!$D$2:$D$11)</f>
        <v>SoftWeave</v>
      </c>
      <c r="R31" t="str">
        <f>_xlfn.XLOOKUP(Table14[[#This Row],[Product]],Product_Master!$B$2:$B$11,Product_Master!$E$2:$E$11)</f>
        <v>Turkey</v>
      </c>
      <c r="S31">
        <f>_xlfn.XLOOKUP(Table14[[#This Row],[Product]],Product_Master!$B$2:$B$11,Product_Master!$F$2:$F$11)</f>
        <v>25</v>
      </c>
    </row>
    <row r="32" spans="1:19" x14ac:dyDescent="0.3">
      <c r="A32" t="s">
        <v>121</v>
      </c>
      <c r="B32" s="23" t="s">
        <v>75</v>
      </c>
      <c r="C32" t="s">
        <v>122</v>
      </c>
      <c r="D32" t="s">
        <v>123</v>
      </c>
      <c r="E32" t="s">
        <v>98</v>
      </c>
      <c r="F32" t="s">
        <v>59</v>
      </c>
      <c r="G32">
        <v>3</v>
      </c>
      <c r="H32" s="4">
        <v>37.74</v>
      </c>
      <c r="I32" s="8">
        <v>113.22</v>
      </c>
      <c r="J32">
        <v>4.04</v>
      </c>
      <c r="K32">
        <v>25.18</v>
      </c>
      <c r="L32" t="s">
        <v>30</v>
      </c>
      <c r="M32" t="s">
        <v>31</v>
      </c>
      <c r="N32" t="s">
        <v>32</v>
      </c>
      <c r="O32" s="5">
        <f>Table14[[#This Row],[Profit]]/Table14[[#This Row],[Total_Sales]]</f>
        <v>0.22239886945769299</v>
      </c>
      <c r="P32" s="23">
        <f>DATE(YEAR(Table14[[#This Row],[Order_Date]]), MONTH(Table14[[#This Row],[Order_Date]]), 1)</f>
        <v>45748</v>
      </c>
      <c r="Q32" t="str">
        <f>_xlfn.XLOOKUP(Table14[[#This Row],[Product]],Product_Master!$B$2:$B$11,Product_Master!$D$2:$D$11)</f>
        <v>BrightHome</v>
      </c>
      <c r="R32" t="str">
        <f>_xlfn.XLOOKUP(Table14[[#This Row],[Product]],Product_Master!$B$2:$B$11,Product_Master!$E$2:$E$11)</f>
        <v>India</v>
      </c>
      <c r="S32">
        <f>_xlfn.XLOOKUP(Table14[[#This Row],[Product]],Product_Master!$B$2:$B$11,Product_Master!$F$2:$F$11)</f>
        <v>28</v>
      </c>
    </row>
    <row r="33" spans="1:19" x14ac:dyDescent="0.3">
      <c r="A33" t="s">
        <v>124</v>
      </c>
      <c r="B33" s="23" t="s">
        <v>107</v>
      </c>
      <c r="C33" t="s">
        <v>125</v>
      </c>
      <c r="D33" t="s">
        <v>123</v>
      </c>
      <c r="E33" t="s">
        <v>64</v>
      </c>
      <c r="F33" t="s">
        <v>65</v>
      </c>
      <c r="G33">
        <v>12</v>
      </c>
      <c r="H33" s="4">
        <v>39.799999999999997</v>
      </c>
      <c r="I33" s="8">
        <v>477.6</v>
      </c>
      <c r="J33">
        <v>20.54</v>
      </c>
      <c r="K33">
        <v>157.06</v>
      </c>
      <c r="L33" t="s">
        <v>44</v>
      </c>
      <c r="M33" t="s">
        <v>31</v>
      </c>
      <c r="N33" t="s">
        <v>32</v>
      </c>
      <c r="O33" s="5">
        <f>Table14[[#This Row],[Profit]]/Table14[[#This Row],[Total_Sales]]</f>
        <v>0.32885259631490787</v>
      </c>
      <c r="P33" s="23">
        <f>DATE(YEAR(Table14[[#This Row],[Order_Date]]), MONTH(Table14[[#This Row],[Order_Date]]), 1)</f>
        <v>45413</v>
      </c>
      <c r="Q33" t="str">
        <f>_xlfn.XLOOKUP(Table14[[#This Row],[Product]],Product_Master!$B$2:$B$11,Product_Master!$D$2:$D$11)</f>
        <v>SoftWeave</v>
      </c>
      <c r="R33" t="str">
        <f>_xlfn.XLOOKUP(Table14[[#This Row],[Product]],Product_Master!$B$2:$B$11,Product_Master!$E$2:$E$11)</f>
        <v>Turkey</v>
      </c>
      <c r="S33">
        <f>_xlfn.XLOOKUP(Table14[[#This Row],[Product]],Product_Master!$B$2:$B$11,Product_Master!$F$2:$F$11)</f>
        <v>25</v>
      </c>
    </row>
    <row r="34" spans="1:19" x14ac:dyDescent="0.3">
      <c r="A34" t="s">
        <v>126</v>
      </c>
      <c r="B34" s="23" t="s">
        <v>34</v>
      </c>
      <c r="C34" t="s">
        <v>127</v>
      </c>
      <c r="D34" t="s">
        <v>63</v>
      </c>
      <c r="E34" t="s">
        <v>42</v>
      </c>
      <c r="F34" t="s">
        <v>43</v>
      </c>
      <c r="G34">
        <v>26</v>
      </c>
      <c r="H34" s="4">
        <v>43.23</v>
      </c>
      <c r="I34" s="8">
        <v>1123.98</v>
      </c>
      <c r="J34">
        <v>57.2</v>
      </c>
      <c r="K34">
        <v>234.78</v>
      </c>
      <c r="L34" t="s">
        <v>30</v>
      </c>
      <c r="M34" t="s">
        <v>37</v>
      </c>
      <c r="N34" t="s">
        <v>66</v>
      </c>
      <c r="O34" s="5">
        <f>Table14[[#This Row],[Profit]]/Table14[[#This Row],[Total_Sales]]</f>
        <v>0.20888272033310201</v>
      </c>
      <c r="P34" s="23">
        <f>DATE(YEAR(Table14[[#This Row],[Order_Date]]), MONTH(Table14[[#This Row],[Order_Date]]), 1)</f>
        <v>45383</v>
      </c>
      <c r="Q34" t="str">
        <f>_xlfn.XLOOKUP(Table14[[#This Row],[Product]],Product_Master!$B$2:$B$11,Product_Master!$D$2:$D$11)</f>
        <v>AudioTech Ltd.</v>
      </c>
      <c r="R34" t="str">
        <f>_xlfn.XLOOKUP(Table14[[#This Row],[Product]],Product_Master!$B$2:$B$11,Product_Master!$E$2:$E$11)</f>
        <v>China</v>
      </c>
      <c r="S34">
        <f>_xlfn.XLOOKUP(Table14[[#This Row],[Product]],Product_Master!$B$2:$B$11,Product_Master!$F$2:$F$11)</f>
        <v>32</v>
      </c>
    </row>
    <row r="35" spans="1:19" x14ac:dyDescent="0.3">
      <c r="A35" t="s">
        <v>128</v>
      </c>
      <c r="B35" s="23" t="s">
        <v>17</v>
      </c>
      <c r="C35" t="s">
        <v>40</v>
      </c>
      <c r="D35" t="s">
        <v>36</v>
      </c>
      <c r="E35" t="s">
        <v>49</v>
      </c>
      <c r="F35" t="s">
        <v>50</v>
      </c>
      <c r="G35">
        <v>17</v>
      </c>
      <c r="H35" s="4">
        <v>66.34</v>
      </c>
      <c r="I35" s="8">
        <v>1127.78</v>
      </c>
      <c r="J35">
        <v>81.150000000000006</v>
      </c>
      <c r="K35">
        <v>366.63</v>
      </c>
      <c r="L35" t="s">
        <v>30</v>
      </c>
      <c r="M35" t="s">
        <v>37</v>
      </c>
      <c r="N35" t="s">
        <v>32</v>
      </c>
      <c r="O35" s="5">
        <f>Table14[[#This Row],[Profit]]/Table14[[#This Row],[Total_Sales]]</f>
        <v>0.32508999982266046</v>
      </c>
      <c r="P35" s="23">
        <f>DATE(YEAR(Table14[[#This Row],[Order_Date]]), MONTH(Table14[[#This Row],[Order_Date]]), 1)</f>
        <v>45658</v>
      </c>
      <c r="Q35" t="str">
        <f>_xlfn.XLOOKUP(Table14[[#This Row],[Product]],Product_Master!$B$2:$B$11,Product_Master!$D$2:$D$11)</f>
        <v>BlueWear</v>
      </c>
      <c r="R35" t="str">
        <f>_xlfn.XLOOKUP(Table14[[#This Row],[Product]],Product_Master!$B$2:$B$11,Product_Master!$E$2:$E$11)</f>
        <v>Bangladesh</v>
      </c>
      <c r="S35">
        <f>_xlfn.XLOOKUP(Table14[[#This Row],[Product]],Product_Master!$B$2:$B$11,Product_Master!$F$2:$F$11)</f>
        <v>40</v>
      </c>
    </row>
    <row r="36" spans="1:19" x14ac:dyDescent="0.3">
      <c r="A36" t="s">
        <v>129</v>
      </c>
      <c r="B36" s="23" t="s">
        <v>39</v>
      </c>
      <c r="C36" t="s">
        <v>130</v>
      </c>
      <c r="D36" t="s">
        <v>81</v>
      </c>
      <c r="E36" t="s">
        <v>64</v>
      </c>
      <c r="F36" t="s">
        <v>65</v>
      </c>
      <c r="G36">
        <v>4</v>
      </c>
      <c r="H36" s="4">
        <v>33.869999999999997</v>
      </c>
      <c r="I36" s="8">
        <v>135.47999999999999</v>
      </c>
      <c r="J36">
        <v>6.59</v>
      </c>
      <c r="K36">
        <v>28.89</v>
      </c>
      <c r="L36" t="s">
        <v>22</v>
      </c>
      <c r="M36" t="s">
        <v>37</v>
      </c>
      <c r="N36" t="s">
        <v>66</v>
      </c>
      <c r="O36" s="5">
        <f>Table14[[#This Row],[Profit]]/Table14[[#This Row],[Total_Sales]]</f>
        <v>0.21324180690876884</v>
      </c>
      <c r="P36" s="23">
        <f>DATE(YEAR(Table14[[#This Row],[Order_Date]]), MONTH(Table14[[#This Row],[Order_Date]]), 1)</f>
        <v>45566</v>
      </c>
      <c r="Q36" t="str">
        <f>_xlfn.XLOOKUP(Table14[[#This Row],[Product]],Product_Master!$B$2:$B$11,Product_Master!$D$2:$D$11)</f>
        <v>SoftWeave</v>
      </c>
      <c r="R36" t="str">
        <f>_xlfn.XLOOKUP(Table14[[#This Row],[Product]],Product_Master!$B$2:$B$11,Product_Master!$E$2:$E$11)</f>
        <v>Turkey</v>
      </c>
      <c r="S36">
        <f>_xlfn.XLOOKUP(Table14[[#This Row],[Product]],Product_Master!$B$2:$B$11,Product_Master!$F$2:$F$11)</f>
        <v>25</v>
      </c>
    </row>
    <row r="37" spans="1:19" x14ac:dyDescent="0.3">
      <c r="A37" t="s">
        <v>131</v>
      </c>
      <c r="B37" s="23" t="s">
        <v>132</v>
      </c>
      <c r="C37" t="s">
        <v>133</v>
      </c>
      <c r="D37" t="s">
        <v>36</v>
      </c>
      <c r="E37" t="s">
        <v>49</v>
      </c>
      <c r="F37" t="s">
        <v>50</v>
      </c>
      <c r="G37">
        <v>10</v>
      </c>
      <c r="H37" s="4">
        <v>64.650000000000006</v>
      </c>
      <c r="I37" s="8">
        <v>646.5</v>
      </c>
      <c r="J37">
        <v>17.89</v>
      </c>
      <c r="K37">
        <v>228.61</v>
      </c>
      <c r="L37" t="s">
        <v>44</v>
      </c>
      <c r="M37" t="s">
        <v>23</v>
      </c>
      <c r="N37" t="s">
        <v>32</v>
      </c>
      <c r="O37" s="5">
        <f>Table14[[#This Row],[Profit]]/Table14[[#This Row],[Total_Sales]]</f>
        <v>0.35361175560711527</v>
      </c>
      <c r="P37" s="23">
        <f>DATE(YEAR(Table14[[#This Row],[Order_Date]]), MONTH(Table14[[#This Row],[Order_Date]]), 1)</f>
        <v>45597</v>
      </c>
      <c r="Q37" t="str">
        <f>_xlfn.XLOOKUP(Table14[[#This Row],[Product]],Product_Master!$B$2:$B$11,Product_Master!$D$2:$D$11)</f>
        <v>BlueWear</v>
      </c>
      <c r="R37" t="str">
        <f>_xlfn.XLOOKUP(Table14[[#This Row],[Product]],Product_Master!$B$2:$B$11,Product_Master!$E$2:$E$11)</f>
        <v>Bangladesh</v>
      </c>
      <c r="S37">
        <f>_xlfn.XLOOKUP(Table14[[#This Row],[Product]],Product_Master!$B$2:$B$11,Product_Master!$F$2:$F$11)</f>
        <v>40</v>
      </c>
    </row>
    <row r="38" spans="1:19" x14ac:dyDescent="0.3">
      <c r="A38" t="s">
        <v>134</v>
      </c>
      <c r="B38" s="23" t="s">
        <v>78</v>
      </c>
      <c r="C38" t="s">
        <v>135</v>
      </c>
      <c r="D38" t="s">
        <v>101</v>
      </c>
      <c r="E38" t="s">
        <v>58</v>
      </c>
      <c r="F38" t="s">
        <v>59</v>
      </c>
      <c r="G38">
        <v>12</v>
      </c>
      <c r="H38" s="4">
        <v>29.56</v>
      </c>
      <c r="I38" s="8">
        <v>354.72</v>
      </c>
      <c r="J38">
        <v>21.4</v>
      </c>
      <c r="K38">
        <v>63.32</v>
      </c>
      <c r="L38" t="s">
        <v>30</v>
      </c>
      <c r="M38" t="s">
        <v>23</v>
      </c>
      <c r="N38" t="s">
        <v>102</v>
      </c>
      <c r="O38" s="5">
        <f>Table14[[#This Row],[Profit]]/Table14[[#This Row],[Total_Sales]]</f>
        <v>0.17850699142986015</v>
      </c>
      <c r="P38" s="23">
        <f>DATE(YEAR(Table14[[#This Row],[Order_Date]]), MONTH(Table14[[#This Row],[Order_Date]]), 1)</f>
        <v>45627</v>
      </c>
      <c r="Q38" t="str">
        <f>_xlfn.XLOOKUP(Table14[[#This Row],[Product]],Product_Master!$B$2:$B$11,Product_Master!$D$2:$D$11)</f>
        <v>ClearCraft</v>
      </c>
      <c r="R38" t="str">
        <f>_xlfn.XLOOKUP(Table14[[#This Row],[Product]],Product_Master!$B$2:$B$11,Product_Master!$E$2:$E$11)</f>
        <v>India</v>
      </c>
      <c r="S38">
        <f>_xlfn.XLOOKUP(Table14[[#This Row],[Product]],Product_Master!$B$2:$B$11,Product_Master!$F$2:$F$11)</f>
        <v>22.5</v>
      </c>
    </row>
    <row r="39" spans="1:19" x14ac:dyDescent="0.3">
      <c r="A39" t="s">
        <v>136</v>
      </c>
      <c r="B39" s="23" t="s">
        <v>107</v>
      </c>
      <c r="C39" t="s">
        <v>137</v>
      </c>
      <c r="D39" t="s">
        <v>19</v>
      </c>
      <c r="E39" t="s">
        <v>64</v>
      </c>
      <c r="F39" t="s">
        <v>65</v>
      </c>
      <c r="G39">
        <v>4</v>
      </c>
      <c r="H39" s="4">
        <v>35.36</v>
      </c>
      <c r="I39" s="8">
        <v>141.44</v>
      </c>
      <c r="J39">
        <v>8.66</v>
      </c>
      <c r="K39">
        <v>32.78</v>
      </c>
      <c r="L39" t="s">
        <v>44</v>
      </c>
      <c r="M39" t="s">
        <v>31</v>
      </c>
      <c r="N39" t="s">
        <v>24</v>
      </c>
      <c r="O39" s="5">
        <f>Table14[[#This Row],[Profit]]/Table14[[#This Row],[Total_Sales]]</f>
        <v>0.23175904977375567</v>
      </c>
      <c r="P39" s="23">
        <f>DATE(YEAR(Table14[[#This Row],[Order_Date]]), MONTH(Table14[[#This Row],[Order_Date]]), 1)</f>
        <v>45413</v>
      </c>
      <c r="Q39" t="str">
        <f>_xlfn.XLOOKUP(Table14[[#This Row],[Product]],Product_Master!$B$2:$B$11,Product_Master!$D$2:$D$11)</f>
        <v>SoftWeave</v>
      </c>
      <c r="R39" t="str">
        <f>_xlfn.XLOOKUP(Table14[[#This Row],[Product]],Product_Master!$B$2:$B$11,Product_Master!$E$2:$E$11)</f>
        <v>Turkey</v>
      </c>
      <c r="S39">
        <f>_xlfn.XLOOKUP(Table14[[#This Row],[Product]],Product_Master!$B$2:$B$11,Product_Master!$F$2:$F$11)</f>
        <v>25</v>
      </c>
    </row>
    <row r="40" spans="1:19" x14ac:dyDescent="0.3">
      <c r="A40" t="s">
        <v>138</v>
      </c>
      <c r="B40" s="23" t="s">
        <v>17</v>
      </c>
      <c r="C40" t="s">
        <v>139</v>
      </c>
      <c r="D40" t="s">
        <v>36</v>
      </c>
      <c r="E40" t="s">
        <v>54</v>
      </c>
      <c r="F40" t="s">
        <v>43</v>
      </c>
      <c r="G40">
        <v>28</v>
      </c>
      <c r="H40" s="4">
        <v>31.42</v>
      </c>
      <c r="I40" s="8">
        <v>879.76</v>
      </c>
      <c r="J40">
        <v>69.319999999999993</v>
      </c>
      <c r="K40">
        <v>250.44</v>
      </c>
      <c r="L40" t="s">
        <v>22</v>
      </c>
      <c r="M40" t="s">
        <v>37</v>
      </c>
      <c r="N40" t="s">
        <v>32</v>
      </c>
      <c r="O40" s="5">
        <f>Table14[[#This Row],[Profit]]/Table14[[#This Row],[Total_Sales]]</f>
        <v>0.28466854596708191</v>
      </c>
      <c r="P40" s="23">
        <f>DATE(YEAR(Table14[[#This Row],[Order_Date]]), MONTH(Table14[[#This Row],[Order_Date]]), 1)</f>
        <v>45658</v>
      </c>
      <c r="Q40" t="str">
        <f>_xlfn.XLOOKUP(Table14[[#This Row],[Product]],Product_Master!$B$2:$B$11,Product_Master!$D$2:$D$11)</f>
        <v>ClickTech</v>
      </c>
      <c r="R40" t="str">
        <f>_xlfn.XLOOKUP(Table14[[#This Row],[Product]],Product_Master!$B$2:$B$11,Product_Master!$E$2:$E$11)</f>
        <v>China</v>
      </c>
      <c r="S40">
        <f>_xlfn.XLOOKUP(Table14[[#This Row],[Product]],Product_Master!$B$2:$B$11,Product_Master!$F$2:$F$11)</f>
        <v>20</v>
      </c>
    </row>
    <row r="41" spans="1:19" x14ac:dyDescent="0.3">
      <c r="A41" t="s">
        <v>140</v>
      </c>
      <c r="B41" s="23" t="s">
        <v>107</v>
      </c>
      <c r="C41" t="s">
        <v>141</v>
      </c>
      <c r="D41" t="s">
        <v>19</v>
      </c>
      <c r="E41" t="s">
        <v>20</v>
      </c>
      <c r="F41" t="s">
        <v>21</v>
      </c>
      <c r="G41">
        <v>35</v>
      </c>
      <c r="H41">
        <v>55.12</v>
      </c>
      <c r="I41">
        <v>1929.2</v>
      </c>
      <c r="J41">
        <v>58.22</v>
      </c>
      <c r="K41">
        <v>645.98</v>
      </c>
      <c r="L41" t="s">
        <v>22</v>
      </c>
      <c r="M41" t="s">
        <v>23</v>
      </c>
      <c r="N41" t="s">
        <v>24</v>
      </c>
      <c r="O41" s="5">
        <f>Table14[[#This Row],[Profit]]/Table14[[#This Row],[Total_Sales]]</f>
        <v>0.3348434584283641</v>
      </c>
      <c r="P41" s="23">
        <f>DATE(YEAR(Table14[[#This Row],[Order_Date]]), MONTH(Table14[[#This Row],[Order_Date]]), 1)</f>
        <v>45413</v>
      </c>
      <c r="Q41" t="str">
        <f>_xlfn.XLOOKUP(Table14[[#This Row],[Product]],Product_Master!$B$2:$B$11,Product_Master!$D$2:$D$11)</f>
        <v>CarryPro</v>
      </c>
      <c r="R41" t="str">
        <f>_xlfn.XLOOKUP(Table14[[#This Row],[Product]],Product_Master!$B$2:$B$11,Product_Master!$E$2:$E$11)</f>
        <v>Vietnam</v>
      </c>
      <c r="S41">
        <f>_xlfn.XLOOKUP(Table14[[#This Row],[Product]],Product_Master!$B$2:$B$11,Product_Master!$F$2:$F$11)</f>
        <v>35</v>
      </c>
    </row>
    <row r="42" spans="1:19" x14ac:dyDescent="0.3">
      <c r="A42" t="s">
        <v>142</v>
      </c>
      <c r="B42" s="23" t="s">
        <v>75</v>
      </c>
      <c r="C42" t="s">
        <v>143</v>
      </c>
      <c r="D42" t="s">
        <v>88</v>
      </c>
      <c r="E42" t="s">
        <v>58</v>
      </c>
      <c r="F42" t="s">
        <v>59</v>
      </c>
      <c r="G42">
        <v>41</v>
      </c>
      <c r="H42" s="4">
        <v>33.94</v>
      </c>
      <c r="I42" s="8">
        <v>1391.54</v>
      </c>
      <c r="J42">
        <v>33.26</v>
      </c>
      <c r="K42">
        <v>435.78</v>
      </c>
      <c r="L42" t="s">
        <v>22</v>
      </c>
      <c r="M42" t="s">
        <v>37</v>
      </c>
      <c r="N42" t="s">
        <v>66</v>
      </c>
      <c r="O42" s="5">
        <f>Table14[[#This Row],[Profit]]/Table14[[#This Row],[Total_Sales]]</f>
        <v>0.31316383287580662</v>
      </c>
      <c r="P42" s="23">
        <f>DATE(YEAR(Table14[[#This Row],[Order_Date]]), MONTH(Table14[[#This Row],[Order_Date]]), 1)</f>
        <v>45748</v>
      </c>
      <c r="Q42" t="str">
        <f>_xlfn.XLOOKUP(Table14[[#This Row],[Product]],Product_Master!$B$2:$B$11,Product_Master!$D$2:$D$11)</f>
        <v>ClearCraft</v>
      </c>
      <c r="R42" t="str">
        <f>_xlfn.XLOOKUP(Table14[[#This Row],[Product]],Product_Master!$B$2:$B$11,Product_Master!$E$2:$E$11)</f>
        <v>India</v>
      </c>
      <c r="S42">
        <f>_xlfn.XLOOKUP(Table14[[#This Row],[Product]],Product_Master!$B$2:$B$11,Product_Master!$F$2:$F$11)</f>
        <v>22.5</v>
      </c>
    </row>
    <row r="43" spans="1:19" x14ac:dyDescent="0.3">
      <c r="A43" t="s">
        <v>144</v>
      </c>
      <c r="B43" s="23" t="s">
        <v>71</v>
      </c>
      <c r="C43" t="s">
        <v>84</v>
      </c>
      <c r="D43" t="s">
        <v>81</v>
      </c>
      <c r="E43" t="s">
        <v>58</v>
      </c>
      <c r="F43" t="s">
        <v>59</v>
      </c>
      <c r="G43">
        <v>20</v>
      </c>
      <c r="H43" s="4">
        <v>38.43</v>
      </c>
      <c r="I43" s="8">
        <v>768.6</v>
      </c>
      <c r="J43">
        <v>60.07</v>
      </c>
      <c r="K43">
        <v>258.52999999999997</v>
      </c>
      <c r="L43" t="s">
        <v>44</v>
      </c>
      <c r="M43" t="s">
        <v>37</v>
      </c>
      <c r="N43" t="s">
        <v>66</v>
      </c>
      <c r="O43" s="5">
        <f>Table14[[#This Row],[Profit]]/Table14[[#This Row],[Total_Sales]]</f>
        <v>0.33636481915170435</v>
      </c>
      <c r="P43" s="23">
        <f>DATE(YEAR(Table14[[#This Row],[Order_Date]]), MONTH(Table14[[#This Row],[Order_Date]]), 1)</f>
        <v>45505</v>
      </c>
      <c r="Q43" t="str">
        <f>_xlfn.XLOOKUP(Table14[[#This Row],[Product]],Product_Master!$B$2:$B$11,Product_Master!$D$2:$D$11)</f>
        <v>ClearCraft</v>
      </c>
      <c r="R43" t="str">
        <f>_xlfn.XLOOKUP(Table14[[#This Row],[Product]],Product_Master!$B$2:$B$11,Product_Master!$E$2:$E$11)</f>
        <v>India</v>
      </c>
      <c r="S43">
        <f>_xlfn.XLOOKUP(Table14[[#This Row],[Product]],Product_Master!$B$2:$B$11,Product_Master!$F$2:$F$11)</f>
        <v>22.5</v>
      </c>
    </row>
    <row r="44" spans="1:19" x14ac:dyDescent="0.3">
      <c r="A44" t="s">
        <v>145</v>
      </c>
      <c r="B44" s="23" t="s">
        <v>107</v>
      </c>
      <c r="C44" t="s">
        <v>87</v>
      </c>
      <c r="D44" t="s">
        <v>41</v>
      </c>
      <c r="E44" t="s">
        <v>64</v>
      </c>
      <c r="F44" t="s">
        <v>65</v>
      </c>
      <c r="G44">
        <v>23</v>
      </c>
      <c r="H44" s="4">
        <v>35.07</v>
      </c>
      <c r="I44" s="8">
        <v>806.61</v>
      </c>
      <c r="J44">
        <v>21.23</v>
      </c>
      <c r="K44">
        <v>210.38</v>
      </c>
      <c r="L44" t="s">
        <v>22</v>
      </c>
      <c r="M44" t="s">
        <v>37</v>
      </c>
      <c r="N44" t="s">
        <v>45</v>
      </c>
      <c r="O44" s="5">
        <f>Table14[[#This Row],[Profit]]/Table14[[#This Row],[Total_Sales]]</f>
        <v>0.26081997495691844</v>
      </c>
      <c r="P44" s="23">
        <f>DATE(YEAR(Table14[[#This Row],[Order_Date]]), MONTH(Table14[[#This Row],[Order_Date]]), 1)</f>
        <v>45413</v>
      </c>
      <c r="Q44" t="str">
        <f>_xlfn.XLOOKUP(Table14[[#This Row],[Product]],Product_Master!$B$2:$B$11,Product_Master!$D$2:$D$11)</f>
        <v>SoftWeave</v>
      </c>
      <c r="R44" t="str">
        <f>_xlfn.XLOOKUP(Table14[[#This Row],[Product]],Product_Master!$B$2:$B$11,Product_Master!$E$2:$E$11)</f>
        <v>Turkey</v>
      </c>
      <c r="S44">
        <f>_xlfn.XLOOKUP(Table14[[#This Row],[Product]],Product_Master!$B$2:$B$11,Product_Master!$F$2:$F$11)</f>
        <v>25</v>
      </c>
    </row>
    <row r="45" spans="1:19" x14ac:dyDescent="0.3">
      <c r="A45" t="s">
        <v>146</v>
      </c>
      <c r="B45" s="23" t="s">
        <v>104</v>
      </c>
      <c r="C45" t="s">
        <v>79</v>
      </c>
      <c r="D45" t="s">
        <v>147</v>
      </c>
      <c r="E45" t="s">
        <v>49</v>
      </c>
      <c r="F45" t="s">
        <v>50</v>
      </c>
      <c r="G45">
        <v>35</v>
      </c>
      <c r="H45" s="4">
        <v>71.44</v>
      </c>
      <c r="I45" s="8">
        <v>2500.4</v>
      </c>
      <c r="J45">
        <v>166.81</v>
      </c>
      <c r="K45">
        <v>933.59</v>
      </c>
      <c r="L45" t="s">
        <v>30</v>
      </c>
      <c r="M45" t="s">
        <v>31</v>
      </c>
      <c r="N45" t="s">
        <v>148</v>
      </c>
      <c r="O45" s="5">
        <f>Table14[[#This Row],[Profit]]/Table14[[#This Row],[Total_Sales]]</f>
        <v>0.37337625979843225</v>
      </c>
      <c r="P45" s="23">
        <f>DATE(YEAR(Table14[[#This Row],[Order_Date]]), MONTH(Table14[[#This Row],[Order_Date]]), 1)</f>
        <v>45717</v>
      </c>
      <c r="Q45" t="str">
        <f>_xlfn.XLOOKUP(Table14[[#This Row],[Product]],Product_Master!$B$2:$B$11,Product_Master!$D$2:$D$11)</f>
        <v>BlueWear</v>
      </c>
      <c r="R45" t="str">
        <f>_xlfn.XLOOKUP(Table14[[#This Row],[Product]],Product_Master!$B$2:$B$11,Product_Master!$E$2:$E$11)</f>
        <v>Bangladesh</v>
      </c>
      <c r="S45">
        <f>_xlfn.XLOOKUP(Table14[[#This Row],[Product]],Product_Master!$B$2:$B$11,Product_Master!$F$2:$F$11)</f>
        <v>40</v>
      </c>
    </row>
    <row r="46" spans="1:19" x14ac:dyDescent="0.3">
      <c r="A46" t="s">
        <v>149</v>
      </c>
      <c r="B46" s="23" t="s">
        <v>78</v>
      </c>
      <c r="C46" t="s">
        <v>133</v>
      </c>
      <c r="D46" t="s">
        <v>48</v>
      </c>
      <c r="E46" t="s">
        <v>29</v>
      </c>
      <c r="F46" t="s">
        <v>21</v>
      </c>
      <c r="G46">
        <v>11</v>
      </c>
      <c r="H46">
        <v>26.05</v>
      </c>
      <c r="I46">
        <v>286.55</v>
      </c>
      <c r="J46">
        <v>13.39</v>
      </c>
      <c r="K46">
        <v>75.16</v>
      </c>
      <c r="L46" t="s">
        <v>30</v>
      </c>
      <c r="M46" t="s">
        <v>23</v>
      </c>
      <c r="N46" t="s">
        <v>24</v>
      </c>
      <c r="O46" s="5">
        <f>Table14[[#This Row],[Profit]]/Table14[[#This Row],[Total_Sales]]</f>
        <v>0.26229279357878205</v>
      </c>
      <c r="P46" s="23">
        <f>DATE(YEAR(Table14[[#This Row],[Order_Date]]), MONTH(Table14[[#This Row],[Order_Date]]), 1)</f>
        <v>45627</v>
      </c>
      <c r="Q46" t="str">
        <f>_xlfn.XLOOKUP(Table14[[#This Row],[Product]],Product_Master!$B$2:$B$11,Product_Master!$D$2:$D$11)</f>
        <v>CraftLine</v>
      </c>
      <c r="R46" t="str">
        <f>_xlfn.XLOOKUP(Table14[[#This Row],[Product]],Product_Master!$B$2:$B$11,Product_Master!$E$2:$E$11)</f>
        <v>Italy</v>
      </c>
      <c r="S46">
        <f>_xlfn.XLOOKUP(Table14[[#This Row],[Product]],Product_Master!$B$2:$B$11,Product_Master!$F$2:$F$11)</f>
        <v>18</v>
      </c>
    </row>
    <row r="47" spans="1:19" x14ac:dyDescent="0.3">
      <c r="A47" t="s">
        <v>150</v>
      </c>
      <c r="B47" s="23" t="s">
        <v>83</v>
      </c>
      <c r="C47" t="s">
        <v>47</v>
      </c>
      <c r="D47" t="s">
        <v>28</v>
      </c>
      <c r="E47" t="s">
        <v>69</v>
      </c>
      <c r="F47" t="s">
        <v>59</v>
      </c>
      <c r="G47">
        <v>46</v>
      </c>
      <c r="H47" s="4">
        <v>26.67</v>
      </c>
      <c r="I47" s="8">
        <v>1226.82</v>
      </c>
      <c r="J47">
        <v>83.55</v>
      </c>
      <c r="K47">
        <v>430.27</v>
      </c>
      <c r="L47" t="s">
        <v>22</v>
      </c>
      <c r="M47" t="s">
        <v>37</v>
      </c>
      <c r="N47" t="s">
        <v>32</v>
      </c>
      <c r="O47" s="5">
        <f>Table14[[#This Row],[Profit]]/Table14[[#This Row],[Total_Sales]]</f>
        <v>0.35071974698814823</v>
      </c>
      <c r="P47" s="23">
        <f>DATE(YEAR(Table14[[#This Row],[Order_Date]]), MONTH(Table14[[#This Row],[Order_Date]]), 1)</f>
        <v>45323</v>
      </c>
      <c r="Q47" t="str">
        <f>_xlfn.XLOOKUP(Table14[[#This Row],[Product]],Product_Master!$B$2:$B$11,Product_Master!$D$2:$D$11)</f>
        <v>Artisans Co.</v>
      </c>
      <c r="R47" t="str">
        <f>_xlfn.XLOOKUP(Table14[[#This Row],[Product]],Product_Master!$B$2:$B$11,Product_Master!$E$2:$E$11)</f>
        <v>India</v>
      </c>
      <c r="S47">
        <f>_xlfn.XLOOKUP(Table14[[#This Row],[Product]],Product_Master!$B$2:$B$11,Product_Master!$F$2:$F$11)</f>
        <v>15.5</v>
      </c>
    </row>
    <row r="48" spans="1:19" x14ac:dyDescent="0.3">
      <c r="A48" t="s">
        <v>151</v>
      </c>
      <c r="B48" s="23" t="s">
        <v>132</v>
      </c>
      <c r="C48" t="s">
        <v>108</v>
      </c>
      <c r="D48" t="s">
        <v>28</v>
      </c>
      <c r="E48" t="s">
        <v>98</v>
      </c>
      <c r="F48" t="s">
        <v>59</v>
      </c>
      <c r="G48">
        <v>12</v>
      </c>
      <c r="H48" s="4">
        <v>42.84</v>
      </c>
      <c r="I48" s="8">
        <v>514.08000000000004</v>
      </c>
      <c r="J48">
        <v>22.74</v>
      </c>
      <c r="K48">
        <v>155.34</v>
      </c>
      <c r="L48" t="s">
        <v>44</v>
      </c>
      <c r="M48" t="s">
        <v>23</v>
      </c>
      <c r="N48" t="s">
        <v>32</v>
      </c>
      <c r="O48" s="5">
        <f>Table14[[#This Row],[Profit]]/Table14[[#This Row],[Total_Sales]]</f>
        <v>0.30217086834733892</v>
      </c>
      <c r="P48" s="23">
        <f>DATE(YEAR(Table14[[#This Row],[Order_Date]]), MONTH(Table14[[#This Row],[Order_Date]]), 1)</f>
        <v>45597</v>
      </c>
      <c r="Q48" t="str">
        <f>_xlfn.XLOOKUP(Table14[[#This Row],[Product]],Product_Master!$B$2:$B$11,Product_Master!$D$2:$D$11)</f>
        <v>BrightHome</v>
      </c>
      <c r="R48" t="str">
        <f>_xlfn.XLOOKUP(Table14[[#This Row],[Product]],Product_Master!$B$2:$B$11,Product_Master!$E$2:$E$11)</f>
        <v>India</v>
      </c>
      <c r="S48">
        <f>_xlfn.XLOOKUP(Table14[[#This Row],[Product]],Product_Master!$B$2:$B$11,Product_Master!$F$2:$F$11)</f>
        <v>28</v>
      </c>
    </row>
    <row r="49" spans="1:19" x14ac:dyDescent="0.3">
      <c r="A49" t="s">
        <v>152</v>
      </c>
      <c r="B49" s="23" t="s">
        <v>95</v>
      </c>
      <c r="C49" t="s">
        <v>153</v>
      </c>
      <c r="D49" t="s">
        <v>81</v>
      </c>
      <c r="E49" t="s">
        <v>29</v>
      </c>
      <c r="F49" t="s">
        <v>21</v>
      </c>
      <c r="G49">
        <v>18</v>
      </c>
      <c r="H49" s="4">
        <v>30.89</v>
      </c>
      <c r="I49" s="8">
        <v>556.02</v>
      </c>
      <c r="J49">
        <v>12</v>
      </c>
      <c r="K49">
        <v>220.02</v>
      </c>
      <c r="L49" t="s">
        <v>30</v>
      </c>
      <c r="M49" t="s">
        <v>23</v>
      </c>
      <c r="N49" t="s">
        <v>66</v>
      </c>
      <c r="O49" s="5">
        <f>Table14[[#This Row],[Profit]]/Table14[[#This Row],[Total_Sales]]</f>
        <v>0.39570519046077485</v>
      </c>
      <c r="P49" s="23">
        <f>DATE(YEAR(Table14[[#This Row],[Order_Date]]), MONTH(Table14[[#This Row],[Order_Date]]), 1)</f>
        <v>45474</v>
      </c>
      <c r="Q49" t="str">
        <f>_xlfn.XLOOKUP(Table14[[#This Row],[Product]],Product_Master!$B$2:$B$11,Product_Master!$D$2:$D$11)</f>
        <v>CraftLine</v>
      </c>
      <c r="R49" t="str">
        <f>_xlfn.XLOOKUP(Table14[[#This Row],[Product]],Product_Master!$B$2:$B$11,Product_Master!$E$2:$E$11)</f>
        <v>Italy</v>
      </c>
      <c r="S49">
        <f>_xlfn.XLOOKUP(Table14[[#This Row],[Product]],Product_Master!$B$2:$B$11,Product_Master!$F$2:$F$11)</f>
        <v>18</v>
      </c>
    </row>
    <row r="50" spans="1:19" x14ac:dyDescent="0.3">
      <c r="A50" t="s">
        <v>154</v>
      </c>
      <c r="B50" s="23" t="s">
        <v>78</v>
      </c>
      <c r="C50" t="s">
        <v>155</v>
      </c>
      <c r="D50" t="s">
        <v>48</v>
      </c>
      <c r="E50" t="s">
        <v>20</v>
      </c>
      <c r="F50" t="s">
        <v>21</v>
      </c>
      <c r="G50">
        <v>21</v>
      </c>
      <c r="H50">
        <v>52.41</v>
      </c>
      <c r="I50">
        <v>1100.6099999999999</v>
      </c>
      <c r="J50">
        <v>81.099999999999994</v>
      </c>
      <c r="K50">
        <v>284.51</v>
      </c>
      <c r="L50" t="s">
        <v>44</v>
      </c>
      <c r="M50" t="s">
        <v>31</v>
      </c>
      <c r="N50" t="s">
        <v>24</v>
      </c>
      <c r="O50" s="5">
        <f>Table14[[#This Row],[Profit]]/Table14[[#This Row],[Total_Sales]]</f>
        <v>0.25850210337903529</v>
      </c>
      <c r="P50" s="23">
        <f>DATE(YEAR(Table14[[#This Row],[Order_Date]]), MONTH(Table14[[#This Row],[Order_Date]]), 1)</f>
        <v>45627</v>
      </c>
      <c r="Q50" t="str">
        <f>_xlfn.XLOOKUP(Table14[[#This Row],[Product]],Product_Master!$B$2:$B$11,Product_Master!$D$2:$D$11)</f>
        <v>CarryPro</v>
      </c>
      <c r="R50" t="str">
        <f>_xlfn.XLOOKUP(Table14[[#This Row],[Product]],Product_Master!$B$2:$B$11,Product_Master!$E$2:$E$11)</f>
        <v>Vietnam</v>
      </c>
      <c r="S50">
        <f>_xlfn.XLOOKUP(Table14[[#This Row],[Product]],Product_Master!$B$2:$B$11,Product_Master!$F$2:$F$11)</f>
        <v>35</v>
      </c>
    </row>
    <row r="51" spans="1:19" x14ac:dyDescent="0.3">
      <c r="A51" t="s">
        <v>156</v>
      </c>
      <c r="B51" s="23" t="s">
        <v>157</v>
      </c>
      <c r="C51" t="s">
        <v>158</v>
      </c>
      <c r="D51" t="s">
        <v>147</v>
      </c>
      <c r="E51" t="s">
        <v>98</v>
      </c>
      <c r="F51" t="s">
        <v>59</v>
      </c>
      <c r="G51">
        <v>17</v>
      </c>
      <c r="H51" s="4">
        <v>38.64</v>
      </c>
      <c r="I51" s="8">
        <v>656.88</v>
      </c>
      <c r="J51">
        <v>13.86</v>
      </c>
      <c r="K51">
        <v>167.02</v>
      </c>
      <c r="L51" t="s">
        <v>30</v>
      </c>
      <c r="M51" t="s">
        <v>23</v>
      </c>
      <c r="N51" t="s">
        <v>148</v>
      </c>
      <c r="O51" s="5">
        <f>Table14[[#This Row],[Profit]]/Table14[[#This Row],[Total_Sales]]</f>
        <v>0.25426257459505541</v>
      </c>
      <c r="P51" s="23">
        <f>DATE(YEAR(Table14[[#This Row],[Order_Date]]), MONTH(Table14[[#This Row],[Order_Date]]), 1)</f>
        <v>45292</v>
      </c>
      <c r="Q51" t="str">
        <f>_xlfn.XLOOKUP(Table14[[#This Row],[Product]],Product_Master!$B$2:$B$11,Product_Master!$D$2:$D$11)</f>
        <v>BrightHome</v>
      </c>
      <c r="R51" t="str">
        <f>_xlfn.XLOOKUP(Table14[[#This Row],[Product]],Product_Master!$B$2:$B$11,Product_Master!$E$2:$E$11)</f>
        <v>India</v>
      </c>
      <c r="S51">
        <f>_xlfn.XLOOKUP(Table14[[#This Row],[Product]],Product_Master!$B$2:$B$11,Product_Master!$F$2:$F$11)</f>
        <v>28</v>
      </c>
    </row>
    <row r="52" spans="1:19" x14ac:dyDescent="0.3">
      <c r="A52" t="s">
        <v>159</v>
      </c>
      <c r="B52" s="23" t="s">
        <v>75</v>
      </c>
      <c r="C52" t="s">
        <v>137</v>
      </c>
      <c r="D52" t="s">
        <v>91</v>
      </c>
      <c r="E52" t="s">
        <v>29</v>
      </c>
      <c r="F52" t="s">
        <v>21</v>
      </c>
      <c r="G52">
        <v>41</v>
      </c>
      <c r="H52" s="4">
        <v>25.79</v>
      </c>
      <c r="I52" s="8">
        <v>1057.3900000000001</v>
      </c>
      <c r="J52">
        <v>71.22</v>
      </c>
      <c r="K52">
        <v>248.17</v>
      </c>
      <c r="L52" t="s">
        <v>30</v>
      </c>
      <c r="M52" t="s">
        <v>31</v>
      </c>
      <c r="N52" t="s">
        <v>66</v>
      </c>
      <c r="O52" s="5">
        <f>Table14[[#This Row],[Profit]]/Table14[[#This Row],[Total_Sales]]</f>
        <v>0.23470053622599038</v>
      </c>
      <c r="P52" s="23">
        <f>DATE(YEAR(Table14[[#This Row],[Order_Date]]), MONTH(Table14[[#This Row],[Order_Date]]), 1)</f>
        <v>45748</v>
      </c>
      <c r="Q52" t="str">
        <f>_xlfn.XLOOKUP(Table14[[#This Row],[Product]],Product_Master!$B$2:$B$11,Product_Master!$D$2:$D$11)</f>
        <v>CraftLine</v>
      </c>
      <c r="R52" t="str">
        <f>_xlfn.XLOOKUP(Table14[[#This Row],[Product]],Product_Master!$B$2:$B$11,Product_Master!$E$2:$E$11)</f>
        <v>Italy</v>
      </c>
      <c r="S52">
        <f>_xlfn.XLOOKUP(Table14[[#This Row],[Product]],Product_Master!$B$2:$B$11,Product_Master!$F$2:$F$11)</f>
        <v>18</v>
      </c>
    </row>
    <row r="53" spans="1:19" x14ac:dyDescent="0.3">
      <c r="A53" t="s">
        <v>160</v>
      </c>
      <c r="B53" s="23" t="s">
        <v>95</v>
      </c>
      <c r="C53" t="s">
        <v>161</v>
      </c>
      <c r="D53" t="s">
        <v>91</v>
      </c>
      <c r="E53" t="s">
        <v>98</v>
      </c>
      <c r="F53" t="s">
        <v>59</v>
      </c>
      <c r="G53">
        <v>41</v>
      </c>
      <c r="H53" s="4">
        <v>41.13</v>
      </c>
      <c r="I53" s="8">
        <v>1686.33</v>
      </c>
      <c r="J53">
        <v>80.12</v>
      </c>
      <c r="K53">
        <v>458.21</v>
      </c>
      <c r="L53" t="s">
        <v>30</v>
      </c>
      <c r="M53" t="s">
        <v>37</v>
      </c>
      <c r="N53" t="s">
        <v>66</v>
      </c>
      <c r="O53" s="5">
        <f>Table14[[#This Row],[Profit]]/Table14[[#This Row],[Total_Sales]]</f>
        <v>0.27172024455474314</v>
      </c>
      <c r="P53" s="23">
        <f>DATE(YEAR(Table14[[#This Row],[Order_Date]]), MONTH(Table14[[#This Row],[Order_Date]]), 1)</f>
        <v>45474</v>
      </c>
      <c r="Q53" t="str">
        <f>_xlfn.XLOOKUP(Table14[[#This Row],[Product]],Product_Master!$B$2:$B$11,Product_Master!$D$2:$D$11)</f>
        <v>BrightHome</v>
      </c>
      <c r="R53" t="str">
        <f>_xlfn.XLOOKUP(Table14[[#This Row],[Product]],Product_Master!$B$2:$B$11,Product_Master!$E$2:$E$11)</f>
        <v>India</v>
      </c>
      <c r="S53">
        <f>_xlfn.XLOOKUP(Table14[[#This Row],[Product]],Product_Master!$B$2:$B$11,Product_Master!$F$2:$F$11)</f>
        <v>28</v>
      </c>
    </row>
    <row r="54" spans="1:19" x14ac:dyDescent="0.3">
      <c r="A54" t="s">
        <v>162</v>
      </c>
      <c r="B54" s="23" t="s">
        <v>132</v>
      </c>
      <c r="C54" t="s">
        <v>79</v>
      </c>
      <c r="D54" t="s">
        <v>63</v>
      </c>
      <c r="E54" t="s">
        <v>49</v>
      </c>
      <c r="F54" t="s">
        <v>50</v>
      </c>
      <c r="G54">
        <v>33</v>
      </c>
      <c r="H54" s="4">
        <v>55.67</v>
      </c>
      <c r="I54" s="8">
        <v>1837.11</v>
      </c>
      <c r="J54">
        <v>144.32</v>
      </c>
      <c r="K54">
        <v>372.79</v>
      </c>
      <c r="L54" t="s">
        <v>22</v>
      </c>
      <c r="M54" t="s">
        <v>23</v>
      </c>
      <c r="N54" t="s">
        <v>66</v>
      </c>
      <c r="O54" s="5">
        <f>Table14[[#This Row],[Profit]]/Table14[[#This Row],[Total_Sales]]</f>
        <v>0.2029219807197174</v>
      </c>
      <c r="P54" s="23">
        <f>DATE(YEAR(Table14[[#This Row],[Order_Date]]), MONTH(Table14[[#This Row],[Order_Date]]), 1)</f>
        <v>45597</v>
      </c>
      <c r="Q54" t="str">
        <f>_xlfn.XLOOKUP(Table14[[#This Row],[Product]],Product_Master!$B$2:$B$11,Product_Master!$D$2:$D$11)</f>
        <v>BlueWear</v>
      </c>
      <c r="R54" t="str">
        <f>_xlfn.XLOOKUP(Table14[[#This Row],[Product]],Product_Master!$B$2:$B$11,Product_Master!$E$2:$E$11)</f>
        <v>Bangladesh</v>
      </c>
      <c r="S54">
        <f>_xlfn.XLOOKUP(Table14[[#This Row],[Product]],Product_Master!$B$2:$B$11,Product_Master!$F$2:$F$11)</f>
        <v>40</v>
      </c>
    </row>
    <row r="55" spans="1:19" x14ac:dyDescent="0.3">
      <c r="A55" t="s">
        <v>163</v>
      </c>
      <c r="B55" s="23" t="s">
        <v>132</v>
      </c>
      <c r="C55" t="s">
        <v>164</v>
      </c>
      <c r="D55" t="s">
        <v>91</v>
      </c>
      <c r="E55" t="s">
        <v>49</v>
      </c>
      <c r="F55" t="s">
        <v>50</v>
      </c>
      <c r="G55">
        <v>18</v>
      </c>
      <c r="H55" s="4">
        <v>50.87</v>
      </c>
      <c r="I55" s="8">
        <v>915.66</v>
      </c>
      <c r="J55">
        <v>49.93</v>
      </c>
      <c r="K55">
        <v>145.72999999999999</v>
      </c>
      <c r="L55" t="s">
        <v>22</v>
      </c>
      <c r="M55" t="s">
        <v>31</v>
      </c>
      <c r="N55" t="s">
        <v>66</v>
      </c>
      <c r="O55" s="5">
        <f>Table14[[#This Row],[Profit]]/Table14[[#This Row],[Total_Sales]]</f>
        <v>0.15915296070593887</v>
      </c>
      <c r="P55" s="23">
        <f>DATE(YEAR(Table14[[#This Row],[Order_Date]]), MONTH(Table14[[#This Row],[Order_Date]]), 1)</f>
        <v>45597</v>
      </c>
      <c r="Q55" t="str">
        <f>_xlfn.XLOOKUP(Table14[[#This Row],[Product]],Product_Master!$B$2:$B$11,Product_Master!$D$2:$D$11)</f>
        <v>BlueWear</v>
      </c>
      <c r="R55" t="str">
        <f>_xlfn.XLOOKUP(Table14[[#This Row],[Product]],Product_Master!$B$2:$B$11,Product_Master!$E$2:$E$11)</f>
        <v>Bangladesh</v>
      </c>
      <c r="S55">
        <f>_xlfn.XLOOKUP(Table14[[#This Row],[Product]],Product_Master!$B$2:$B$11,Product_Master!$F$2:$F$11)</f>
        <v>40</v>
      </c>
    </row>
    <row r="56" spans="1:19" x14ac:dyDescent="0.3">
      <c r="A56" t="s">
        <v>165</v>
      </c>
      <c r="B56" s="23" t="s">
        <v>75</v>
      </c>
      <c r="C56" t="s">
        <v>166</v>
      </c>
      <c r="D56" t="s">
        <v>101</v>
      </c>
      <c r="E56" t="s">
        <v>69</v>
      </c>
      <c r="F56" t="s">
        <v>59</v>
      </c>
      <c r="G56">
        <v>14</v>
      </c>
      <c r="H56" s="4">
        <v>26.7</v>
      </c>
      <c r="I56" s="8">
        <v>373.8</v>
      </c>
      <c r="J56">
        <v>11.84</v>
      </c>
      <c r="K56">
        <v>144.96</v>
      </c>
      <c r="L56" t="s">
        <v>44</v>
      </c>
      <c r="M56" t="s">
        <v>23</v>
      </c>
      <c r="N56" t="s">
        <v>102</v>
      </c>
      <c r="O56" s="5">
        <f>Table14[[#This Row],[Profit]]/Table14[[#This Row],[Total_Sales]]</f>
        <v>0.38780096308186196</v>
      </c>
      <c r="P56" s="23">
        <f>DATE(YEAR(Table14[[#This Row],[Order_Date]]), MONTH(Table14[[#This Row],[Order_Date]]), 1)</f>
        <v>45748</v>
      </c>
      <c r="Q56" t="str">
        <f>_xlfn.XLOOKUP(Table14[[#This Row],[Product]],Product_Master!$B$2:$B$11,Product_Master!$D$2:$D$11)</f>
        <v>Artisans Co.</v>
      </c>
      <c r="R56" t="str">
        <f>_xlfn.XLOOKUP(Table14[[#This Row],[Product]],Product_Master!$B$2:$B$11,Product_Master!$E$2:$E$11)</f>
        <v>India</v>
      </c>
      <c r="S56">
        <f>_xlfn.XLOOKUP(Table14[[#This Row],[Product]],Product_Master!$B$2:$B$11,Product_Master!$F$2:$F$11)</f>
        <v>15.5</v>
      </c>
    </row>
    <row r="57" spans="1:19" x14ac:dyDescent="0.3">
      <c r="A57" t="s">
        <v>167</v>
      </c>
      <c r="B57" s="23" t="s">
        <v>68</v>
      </c>
      <c r="C57" t="s">
        <v>168</v>
      </c>
      <c r="D57" t="s">
        <v>19</v>
      </c>
      <c r="E57" t="s">
        <v>29</v>
      </c>
      <c r="F57" t="s">
        <v>21</v>
      </c>
      <c r="G57">
        <v>16</v>
      </c>
      <c r="H57">
        <v>28.96</v>
      </c>
      <c r="I57">
        <v>463.36</v>
      </c>
      <c r="J57">
        <v>35.65</v>
      </c>
      <c r="K57">
        <v>139.71</v>
      </c>
      <c r="L57" t="s">
        <v>22</v>
      </c>
      <c r="M57" t="s">
        <v>37</v>
      </c>
      <c r="N57" t="s">
        <v>24</v>
      </c>
      <c r="O57" s="5">
        <f>Table14[[#This Row],[Profit]]/Table14[[#This Row],[Total_Sales]]</f>
        <v>0.30151502071823205</v>
      </c>
      <c r="P57" s="23">
        <f>DATE(YEAR(Table14[[#This Row],[Order_Date]]), MONTH(Table14[[#This Row],[Order_Date]]), 1)</f>
        <v>45536</v>
      </c>
      <c r="Q57" t="str">
        <f>_xlfn.XLOOKUP(Table14[[#This Row],[Product]],Product_Master!$B$2:$B$11,Product_Master!$D$2:$D$11)</f>
        <v>CraftLine</v>
      </c>
      <c r="R57" t="str">
        <f>_xlfn.XLOOKUP(Table14[[#This Row],[Product]],Product_Master!$B$2:$B$11,Product_Master!$E$2:$E$11)</f>
        <v>Italy</v>
      </c>
      <c r="S57">
        <f>_xlfn.XLOOKUP(Table14[[#This Row],[Product]],Product_Master!$B$2:$B$11,Product_Master!$F$2:$F$11)</f>
        <v>18</v>
      </c>
    </row>
    <row r="58" spans="1:19" x14ac:dyDescent="0.3">
      <c r="A58" t="s">
        <v>169</v>
      </c>
      <c r="B58" s="23" t="s">
        <v>107</v>
      </c>
      <c r="C58" t="s">
        <v>79</v>
      </c>
      <c r="D58" t="s">
        <v>170</v>
      </c>
      <c r="E58" t="s">
        <v>29</v>
      </c>
      <c r="F58" t="s">
        <v>21</v>
      </c>
      <c r="G58">
        <v>47</v>
      </c>
      <c r="H58" s="4">
        <v>23.03</v>
      </c>
      <c r="I58" s="8">
        <v>1082.4100000000001</v>
      </c>
      <c r="J58">
        <v>50.12</v>
      </c>
      <c r="K58">
        <v>186.29</v>
      </c>
      <c r="L58" t="s">
        <v>44</v>
      </c>
      <c r="M58" t="s">
        <v>23</v>
      </c>
      <c r="N58" t="s">
        <v>32</v>
      </c>
      <c r="O58" s="5">
        <f>Table14[[#This Row],[Profit]]/Table14[[#This Row],[Total_Sales]]</f>
        <v>0.1721066878539555</v>
      </c>
      <c r="P58" s="23">
        <f>DATE(YEAR(Table14[[#This Row],[Order_Date]]), MONTH(Table14[[#This Row],[Order_Date]]), 1)</f>
        <v>45413</v>
      </c>
      <c r="Q58" t="str">
        <f>_xlfn.XLOOKUP(Table14[[#This Row],[Product]],Product_Master!$B$2:$B$11,Product_Master!$D$2:$D$11)</f>
        <v>CraftLine</v>
      </c>
      <c r="R58" t="str">
        <f>_xlfn.XLOOKUP(Table14[[#This Row],[Product]],Product_Master!$B$2:$B$11,Product_Master!$E$2:$E$11)</f>
        <v>Italy</v>
      </c>
      <c r="S58">
        <f>_xlfn.XLOOKUP(Table14[[#This Row],[Product]],Product_Master!$B$2:$B$11,Product_Master!$F$2:$F$11)</f>
        <v>18</v>
      </c>
    </row>
    <row r="59" spans="1:19" x14ac:dyDescent="0.3">
      <c r="A59" t="s">
        <v>171</v>
      </c>
      <c r="B59" s="23" t="s">
        <v>107</v>
      </c>
      <c r="C59" t="s">
        <v>168</v>
      </c>
      <c r="D59" t="s">
        <v>147</v>
      </c>
      <c r="E59" t="s">
        <v>20</v>
      </c>
      <c r="F59" t="s">
        <v>21</v>
      </c>
      <c r="G59">
        <v>18</v>
      </c>
      <c r="H59" s="4">
        <v>50.03</v>
      </c>
      <c r="I59" s="8">
        <v>900.54</v>
      </c>
      <c r="J59">
        <v>68.44</v>
      </c>
      <c r="K59">
        <v>202.1</v>
      </c>
      <c r="L59" t="s">
        <v>44</v>
      </c>
      <c r="M59" t="s">
        <v>23</v>
      </c>
      <c r="N59" t="s">
        <v>148</v>
      </c>
      <c r="O59" s="5">
        <f>Table14[[#This Row],[Profit]]/Table14[[#This Row],[Total_Sales]]</f>
        <v>0.22442090301374731</v>
      </c>
      <c r="P59" s="23">
        <f>DATE(YEAR(Table14[[#This Row],[Order_Date]]), MONTH(Table14[[#This Row],[Order_Date]]), 1)</f>
        <v>45413</v>
      </c>
      <c r="Q59" t="str">
        <f>_xlfn.XLOOKUP(Table14[[#This Row],[Product]],Product_Master!$B$2:$B$11,Product_Master!$D$2:$D$11)</f>
        <v>CarryPro</v>
      </c>
      <c r="R59" t="str">
        <f>_xlfn.XLOOKUP(Table14[[#This Row],[Product]],Product_Master!$B$2:$B$11,Product_Master!$E$2:$E$11)</f>
        <v>Vietnam</v>
      </c>
      <c r="S59">
        <f>_xlfn.XLOOKUP(Table14[[#This Row],[Product]],Product_Master!$B$2:$B$11,Product_Master!$F$2:$F$11)</f>
        <v>35</v>
      </c>
    </row>
    <row r="60" spans="1:19" x14ac:dyDescent="0.3">
      <c r="A60" t="s">
        <v>172</v>
      </c>
      <c r="B60" s="23" t="s">
        <v>95</v>
      </c>
      <c r="C60" t="s">
        <v>173</v>
      </c>
      <c r="D60" t="s">
        <v>28</v>
      </c>
      <c r="E60" t="s">
        <v>64</v>
      </c>
      <c r="F60" t="s">
        <v>65</v>
      </c>
      <c r="G60">
        <v>38</v>
      </c>
      <c r="H60" s="4">
        <v>32.07</v>
      </c>
      <c r="I60" s="8">
        <v>1218.6600000000001</v>
      </c>
      <c r="J60">
        <v>54.49</v>
      </c>
      <c r="K60">
        <v>214.17</v>
      </c>
      <c r="L60" t="s">
        <v>44</v>
      </c>
      <c r="M60" t="s">
        <v>37</v>
      </c>
      <c r="N60" t="s">
        <v>32</v>
      </c>
      <c r="O60" s="5">
        <f>Table14[[#This Row],[Profit]]/Table14[[#This Row],[Total_Sales]]</f>
        <v>0.17574220865540838</v>
      </c>
      <c r="P60" s="23">
        <f>DATE(YEAR(Table14[[#This Row],[Order_Date]]), MONTH(Table14[[#This Row],[Order_Date]]), 1)</f>
        <v>45474</v>
      </c>
      <c r="Q60" t="str">
        <f>_xlfn.XLOOKUP(Table14[[#This Row],[Product]],Product_Master!$B$2:$B$11,Product_Master!$D$2:$D$11)</f>
        <v>SoftWeave</v>
      </c>
      <c r="R60" t="str">
        <f>_xlfn.XLOOKUP(Table14[[#This Row],[Product]],Product_Master!$B$2:$B$11,Product_Master!$E$2:$E$11)</f>
        <v>Turkey</v>
      </c>
      <c r="S60">
        <f>_xlfn.XLOOKUP(Table14[[#This Row],[Product]],Product_Master!$B$2:$B$11,Product_Master!$F$2:$F$11)</f>
        <v>25</v>
      </c>
    </row>
    <row r="61" spans="1:19" x14ac:dyDescent="0.3">
      <c r="A61" t="s">
        <v>174</v>
      </c>
      <c r="B61" s="23" t="s">
        <v>75</v>
      </c>
      <c r="C61" t="s">
        <v>175</v>
      </c>
      <c r="D61" t="s">
        <v>41</v>
      </c>
      <c r="E61" t="s">
        <v>42</v>
      </c>
      <c r="F61" t="s">
        <v>43</v>
      </c>
      <c r="G61">
        <v>23</v>
      </c>
      <c r="H61" s="4">
        <v>50.96</v>
      </c>
      <c r="I61" s="8">
        <v>1172.08</v>
      </c>
      <c r="J61">
        <v>61</v>
      </c>
      <c r="K61">
        <v>375.08</v>
      </c>
      <c r="L61" t="s">
        <v>44</v>
      </c>
      <c r="M61" t="s">
        <v>31</v>
      </c>
      <c r="N61" t="s">
        <v>45</v>
      </c>
      <c r="O61" s="5">
        <f>Table14[[#This Row],[Profit]]/Table14[[#This Row],[Total_Sales]]</f>
        <v>0.32001228585079516</v>
      </c>
      <c r="P61" s="23">
        <f>DATE(YEAR(Table14[[#This Row],[Order_Date]]), MONTH(Table14[[#This Row],[Order_Date]]), 1)</f>
        <v>45748</v>
      </c>
      <c r="Q61" t="str">
        <f>_xlfn.XLOOKUP(Table14[[#This Row],[Product]],Product_Master!$B$2:$B$11,Product_Master!$D$2:$D$11)</f>
        <v>AudioTech Ltd.</v>
      </c>
      <c r="R61" t="str">
        <f>_xlfn.XLOOKUP(Table14[[#This Row],[Product]],Product_Master!$B$2:$B$11,Product_Master!$E$2:$E$11)</f>
        <v>China</v>
      </c>
      <c r="S61">
        <f>_xlfn.XLOOKUP(Table14[[#This Row],[Product]],Product_Master!$B$2:$B$11,Product_Master!$F$2:$F$11)</f>
        <v>32</v>
      </c>
    </row>
    <row r="62" spans="1:19" x14ac:dyDescent="0.3">
      <c r="A62" t="s">
        <v>176</v>
      </c>
      <c r="B62" s="23" t="s">
        <v>104</v>
      </c>
      <c r="C62" t="s">
        <v>177</v>
      </c>
      <c r="D62" t="s">
        <v>91</v>
      </c>
      <c r="E62" t="s">
        <v>49</v>
      </c>
      <c r="F62" t="s">
        <v>50</v>
      </c>
      <c r="G62">
        <v>46</v>
      </c>
      <c r="H62" s="4">
        <v>70.599999999999994</v>
      </c>
      <c r="I62" s="8">
        <v>3247.6</v>
      </c>
      <c r="J62">
        <v>166.91</v>
      </c>
      <c r="K62">
        <v>1240.69</v>
      </c>
      <c r="L62" t="s">
        <v>44</v>
      </c>
      <c r="M62" t="s">
        <v>31</v>
      </c>
      <c r="N62" t="s">
        <v>66</v>
      </c>
      <c r="O62" s="5">
        <f>Table14[[#This Row],[Profit]]/Table14[[#This Row],[Total_Sales]]</f>
        <v>0.3820328858233773</v>
      </c>
      <c r="P62" s="23">
        <f>DATE(YEAR(Table14[[#This Row],[Order_Date]]), MONTH(Table14[[#This Row],[Order_Date]]), 1)</f>
        <v>45717</v>
      </c>
      <c r="Q62" t="str">
        <f>_xlfn.XLOOKUP(Table14[[#This Row],[Product]],Product_Master!$B$2:$B$11,Product_Master!$D$2:$D$11)</f>
        <v>BlueWear</v>
      </c>
      <c r="R62" t="str">
        <f>_xlfn.XLOOKUP(Table14[[#This Row],[Product]],Product_Master!$B$2:$B$11,Product_Master!$E$2:$E$11)</f>
        <v>Bangladesh</v>
      </c>
      <c r="S62">
        <f>_xlfn.XLOOKUP(Table14[[#This Row],[Product]],Product_Master!$B$2:$B$11,Product_Master!$F$2:$F$11)</f>
        <v>40</v>
      </c>
    </row>
    <row r="63" spans="1:19" x14ac:dyDescent="0.3">
      <c r="A63" t="s">
        <v>178</v>
      </c>
      <c r="B63" s="23" t="s">
        <v>71</v>
      </c>
      <c r="C63" t="s">
        <v>108</v>
      </c>
      <c r="D63" t="s">
        <v>91</v>
      </c>
      <c r="E63" t="s">
        <v>49</v>
      </c>
      <c r="F63" t="s">
        <v>50</v>
      </c>
      <c r="G63">
        <v>15</v>
      </c>
      <c r="H63" s="4">
        <v>53.36</v>
      </c>
      <c r="I63" s="8">
        <v>800.4</v>
      </c>
      <c r="J63">
        <v>56.29</v>
      </c>
      <c r="K63">
        <v>144.11000000000001</v>
      </c>
      <c r="L63" t="s">
        <v>22</v>
      </c>
      <c r="M63" t="s">
        <v>23</v>
      </c>
      <c r="N63" t="s">
        <v>66</v>
      </c>
      <c r="O63" s="5">
        <f>Table14[[#This Row],[Profit]]/Table14[[#This Row],[Total_Sales]]</f>
        <v>0.18004747626186909</v>
      </c>
      <c r="P63" s="23">
        <f>DATE(YEAR(Table14[[#This Row],[Order_Date]]), MONTH(Table14[[#This Row],[Order_Date]]), 1)</f>
        <v>45505</v>
      </c>
      <c r="Q63" t="str">
        <f>_xlfn.XLOOKUP(Table14[[#This Row],[Product]],Product_Master!$B$2:$B$11,Product_Master!$D$2:$D$11)</f>
        <v>BlueWear</v>
      </c>
      <c r="R63" t="str">
        <f>_xlfn.XLOOKUP(Table14[[#This Row],[Product]],Product_Master!$B$2:$B$11,Product_Master!$E$2:$E$11)</f>
        <v>Bangladesh</v>
      </c>
      <c r="S63">
        <f>_xlfn.XLOOKUP(Table14[[#This Row],[Product]],Product_Master!$B$2:$B$11,Product_Master!$F$2:$F$11)</f>
        <v>40</v>
      </c>
    </row>
    <row r="64" spans="1:19" x14ac:dyDescent="0.3">
      <c r="A64" t="s">
        <v>179</v>
      </c>
      <c r="B64" s="23" t="s">
        <v>86</v>
      </c>
      <c r="C64" t="s">
        <v>180</v>
      </c>
      <c r="D64" t="s">
        <v>147</v>
      </c>
      <c r="E64" t="s">
        <v>42</v>
      </c>
      <c r="F64" t="s">
        <v>43</v>
      </c>
      <c r="G64">
        <v>42</v>
      </c>
      <c r="H64" s="4">
        <v>39.840000000000003</v>
      </c>
      <c r="I64" s="8">
        <v>1673.28</v>
      </c>
      <c r="J64">
        <v>132.74</v>
      </c>
      <c r="K64">
        <v>196.54</v>
      </c>
      <c r="L64" t="s">
        <v>22</v>
      </c>
      <c r="M64" t="s">
        <v>37</v>
      </c>
      <c r="N64" t="s">
        <v>148</v>
      </c>
      <c r="O64" s="5">
        <f>Table14[[#This Row],[Profit]]/Table14[[#This Row],[Total_Sales]]</f>
        <v>0.11745792694587875</v>
      </c>
      <c r="P64" s="23">
        <f>DATE(YEAR(Table14[[#This Row],[Order_Date]]), MONTH(Table14[[#This Row],[Order_Date]]), 1)</f>
        <v>45352</v>
      </c>
      <c r="Q64" t="str">
        <f>_xlfn.XLOOKUP(Table14[[#This Row],[Product]],Product_Master!$B$2:$B$11,Product_Master!$D$2:$D$11)</f>
        <v>AudioTech Ltd.</v>
      </c>
      <c r="R64" t="str">
        <f>_xlfn.XLOOKUP(Table14[[#This Row],[Product]],Product_Master!$B$2:$B$11,Product_Master!$E$2:$E$11)</f>
        <v>China</v>
      </c>
      <c r="S64">
        <f>_xlfn.XLOOKUP(Table14[[#This Row],[Product]],Product_Master!$B$2:$B$11,Product_Master!$F$2:$F$11)</f>
        <v>32</v>
      </c>
    </row>
    <row r="65" spans="1:19" x14ac:dyDescent="0.3">
      <c r="A65" t="s">
        <v>181</v>
      </c>
      <c r="B65" s="23" t="s">
        <v>75</v>
      </c>
      <c r="C65" t="s">
        <v>164</v>
      </c>
      <c r="D65" t="s">
        <v>91</v>
      </c>
      <c r="E65" t="s">
        <v>64</v>
      </c>
      <c r="F65" t="s">
        <v>65</v>
      </c>
      <c r="G65">
        <v>31</v>
      </c>
      <c r="H65" s="4">
        <v>38.26</v>
      </c>
      <c r="I65" s="8">
        <v>1186.06</v>
      </c>
      <c r="J65">
        <v>69.33</v>
      </c>
      <c r="K65">
        <v>341.73</v>
      </c>
      <c r="L65" t="s">
        <v>30</v>
      </c>
      <c r="M65" t="s">
        <v>23</v>
      </c>
      <c r="N65" t="s">
        <v>66</v>
      </c>
      <c r="O65" s="5">
        <f>Table14[[#This Row],[Profit]]/Table14[[#This Row],[Total_Sales]]</f>
        <v>0.28812201743588017</v>
      </c>
      <c r="P65" s="23">
        <f>DATE(YEAR(Table14[[#This Row],[Order_Date]]), MONTH(Table14[[#This Row],[Order_Date]]), 1)</f>
        <v>45748</v>
      </c>
      <c r="Q65" t="str">
        <f>_xlfn.XLOOKUP(Table14[[#This Row],[Product]],Product_Master!$B$2:$B$11,Product_Master!$D$2:$D$11)</f>
        <v>SoftWeave</v>
      </c>
      <c r="R65" t="str">
        <f>_xlfn.XLOOKUP(Table14[[#This Row],[Product]],Product_Master!$B$2:$B$11,Product_Master!$E$2:$E$11)</f>
        <v>Turkey</v>
      </c>
      <c r="S65">
        <f>_xlfn.XLOOKUP(Table14[[#This Row],[Product]],Product_Master!$B$2:$B$11,Product_Master!$F$2:$F$11)</f>
        <v>25</v>
      </c>
    </row>
    <row r="66" spans="1:19" x14ac:dyDescent="0.3">
      <c r="A66" t="s">
        <v>182</v>
      </c>
      <c r="B66" s="23" t="s">
        <v>39</v>
      </c>
      <c r="C66" t="s">
        <v>166</v>
      </c>
      <c r="D66" t="s">
        <v>123</v>
      </c>
      <c r="E66" t="s">
        <v>69</v>
      </c>
      <c r="F66" t="s">
        <v>59</v>
      </c>
      <c r="G66">
        <v>2</v>
      </c>
      <c r="H66" s="4">
        <v>23.09</v>
      </c>
      <c r="I66" s="8">
        <v>46.18</v>
      </c>
      <c r="J66">
        <v>2.52</v>
      </c>
      <c r="K66">
        <v>12.66</v>
      </c>
      <c r="L66" t="s">
        <v>30</v>
      </c>
      <c r="M66" t="s">
        <v>31</v>
      </c>
      <c r="N66" t="s">
        <v>32</v>
      </c>
      <c r="O66" s="5">
        <f>Table14[[#This Row],[Profit]]/Table14[[#This Row],[Total_Sales]]</f>
        <v>0.27414465136422694</v>
      </c>
      <c r="P66" s="23">
        <f>DATE(YEAR(Table14[[#This Row],[Order_Date]]), MONTH(Table14[[#This Row],[Order_Date]]), 1)</f>
        <v>45566</v>
      </c>
      <c r="Q66" t="str">
        <f>_xlfn.XLOOKUP(Table14[[#This Row],[Product]],Product_Master!$B$2:$B$11,Product_Master!$D$2:$D$11)</f>
        <v>Artisans Co.</v>
      </c>
      <c r="R66" t="str">
        <f>_xlfn.XLOOKUP(Table14[[#This Row],[Product]],Product_Master!$B$2:$B$11,Product_Master!$E$2:$E$11)</f>
        <v>India</v>
      </c>
      <c r="S66">
        <f>_xlfn.XLOOKUP(Table14[[#This Row],[Product]],Product_Master!$B$2:$B$11,Product_Master!$F$2:$F$11)</f>
        <v>15.5</v>
      </c>
    </row>
    <row r="67" spans="1:19" x14ac:dyDescent="0.3">
      <c r="A67" t="s">
        <v>183</v>
      </c>
      <c r="B67" s="23" t="s">
        <v>78</v>
      </c>
      <c r="C67" t="s">
        <v>57</v>
      </c>
      <c r="D67" t="s">
        <v>88</v>
      </c>
      <c r="E67" t="s">
        <v>42</v>
      </c>
      <c r="F67" t="s">
        <v>43</v>
      </c>
      <c r="G67">
        <v>40</v>
      </c>
      <c r="H67" s="4">
        <v>46.81</v>
      </c>
      <c r="I67" s="8">
        <v>1872.4</v>
      </c>
      <c r="J67">
        <v>43.01</v>
      </c>
      <c r="K67">
        <v>549.39</v>
      </c>
      <c r="L67" t="s">
        <v>22</v>
      </c>
      <c r="M67" t="s">
        <v>37</v>
      </c>
      <c r="N67" t="s">
        <v>66</v>
      </c>
      <c r="O67" s="5">
        <f>Table14[[#This Row],[Profit]]/Table14[[#This Row],[Total_Sales]]</f>
        <v>0.29341486861781668</v>
      </c>
      <c r="P67" s="23">
        <f>DATE(YEAR(Table14[[#This Row],[Order_Date]]), MONTH(Table14[[#This Row],[Order_Date]]), 1)</f>
        <v>45627</v>
      </c>
      <c r="Q67" t="str">
        <f>_xlfn.XLOOKUP(Table14[[#This Row],[Product]],Product_Master!$B$2:$B$11,Product_Master!$D$2:$D$11)</f>
        <v>AudioTech Ltd.</v>
      </c>
      <c r="R67" t="str">
        <f>_xlfn.XLOOKUP(Table14[[#This Row],[Product]],Product_Master!$B$2:$B$11,Product_Master!$E$2:$E$11)</f>
        <v>China</v>
      </c>
      <c r="S67">
        <f>_xlfn.XLOOKUP(Table14[[#This Row],[Product]],Product_Master!$B$2:$B$11,Product_Master!$F$2:$F$11)</f>
        <v>32</v>
      </c>
    </row>
    <row r="68" spans="1:19" x14ac:dyDescent="0.3">
      <c r="A68" t="s">
        <v>184</v>
      </c>
      <c r="B68" s="23" t="s">
        <v>104</v>
      </c>
      <c r="C68" t="s">
        <v>185</v>
      </c>
      <c r="D68" t="s">
        <v>63</v>
      </c>
      <c r="E68" t="s">
        <v>42</v>
      </c>
      <c r="F68" t="s">
        <v>43</v>
      </c>
      <c r="G68">
        <v>43</v>
      </c>
      <c r="H68" s="4">
        <v>57.01</v>
      </c>
      <c r="I68" s="8">
        <v>2451.4299999999998</v>
      </c>
      <c r="J68">
        <v>115.04</v>
      </c>
      <c r="K68">
        <v>960.39</v>
      </c>
      <c r="L68" t="s">
        <v>30</v>
      </c>
      <c r="M68" t="s">
        <v>23</v>
      </c>
      <c r="N68" t="s">
        <v>66</v>
      </c>
      <c r="O68" s="5">
        <f>Table14[[#This Row],[Profit]]/Table14[[#This Row],[Total_Sales]]</f>
        <v>0.39176725421488684</v>
      </c>
      <c r="P68" s="23">
        <f>DATE(YEAR(Table14[[#This Row],[Order_Date]]), MONTH(Table14[[#This Row],[Order_Date]]), 1)</f>
        <v>45717</v>
      </c>
      <c r="Q68" t="str">
        <f>_xlfn.XLOOKUP(Table14[[#This Row],[Product]],Product_Master!$B$2:$B$11,Product_Master!$D$2:$D$11)</f>
        <v>AudioTech Ltd.</v>
      </c>
      <c r="R68" t="str">
        <f>_xlfn.XLOOKUP(Table14[[#This Row],[Product]],Product_Master!$B$2:$B$11,Product_Master!$E$2:$E$11)</f>
        <v>China</v>
      </c>
      <c r="S68">
        <f>_xlfn.XLOOKUP(Table14[[#This Row],[Product]],Product_Master!$B$2:$B$11,Product_Master!$F$2:$F$11)</f>
        <v>32</v>
      </c>
    </row>
    <row r="69" spans="1:19" x14ac:dyDescent="0.3">
      <c r="A69" t="s">
        <v>186</v>
      </c>
      <c r="B69" s="23" t="s">
        <v>86</v>
      </c>
      <c r="C69" t="s">
        <v>187</v>
      </c>
      <c r="D69" t="s">
        <v>53</v>
      </c>
      <c r="E69" t="s">
        <v>73</v>
      </c>
      <c r="F69" t="s">
        <v>43</v>
      </c>
      <c r="G69">
        <v>15</v>
      </c>
      <c r="H69" s="4">
        <v>22.23</v>
      </c>
      <c r="I69" s="8">
        <v>333.45</v>
      </c>
      <c r="J69">
        <v>16.89</v>
      </c>
      <c r="K69">
        <v>125.31</v>
      </c>
      <c r="L69" t="s">
        <v>44</v>
      </c>
      <c r="M69" t="s">
        <v>31</v>
      </c>
      <c r="N69" t="s">
        <v>24</v>
      </c>
      <c r="O69" s="5">
        <f>Table14[[#This Row],[Profit]]/Table14[[#This Row],[Total_Sales]]</f>
        <v>0.37579847053531268</v>
      </c>
      <c r="P69" s="23">
        <f>DATE(YEAR(Table14[[#This Row],[Order_Date]]), MONTH(Table14[[#This Row],[Order_Date]]), 1)</f>
        <v>45352</v>
      </c>
      <c r="Q69" t="str">
        <f>_xlfn.XLOOKUP(Table14[[#This Row],[Product]],Product_Master!$B$2:$B$11,Product_Master!$D$2:$D$11)</f>
        <v>BrightHome</v>
      </c>
      <c r="R69" t="str">
        <f>_xlfn.XLOOKUP(Table14[[#This Row],[Product]],Product_Master!$B$2:$B$11,Product_Master!$E$2:$E$11)</f>
        <v>Vietnam</v>
      </c>
      <c r="S69">
        <f>_xlfn.XLOOKUP(Table14[[#This Row],[Product]],Product_Master!$B$2:$B$11,Product_Master!$F$2:$F$11)</f>
        <v>12.75</v>
      </c>
    </row>
    <row r="70" spans="1:19" x14ac:dyDescent="0.3">
      <c r="A70" t="s">
        <v>188</v>
      </c>
      <c r="B70" s="23" t="s">
        <v>71</v>
      </c>
      <c r="C70" t="s">
        <v>189</v>
      </c>
      <c r="D70" t="s">
        <v>123</v>
      </c>
      <c r="E70" t="s">
        <v>69</v>
      </c>
      <c r="F70" t="s">
        <v>59</v>
      </c>
      <c r="G70">
        <v>15</v>
      </c>
      <c r="H70" s="4">
        <v>19.23</v>
      </c>
      <c r="I70" s="8">
        <v>288.45</v>
      </c>
      <c r="J70">
        <v>20.22</v>
      </c>
      <c r="K70">
        <v>35.729999999999997</v>
      </c>
      <c r="L70" t="s">
        <v>22</v>
      </c>
      <c r="M70" t="s">
        <v>23</v>
      </c>
      <c r="N70" t="s">
        <v>32</v>
      </c>
      <c r="O70" s="5">
        <f>Table14[[#This Row],[Profit]]/Table14[[#This Row],[Total_Sales]]</f>
        <v>0.12386895475819032</v>
      </c>
      <c r="P70" s="23">
        <f>DATE(YEAR(Table14[[#This Row],[Order_Date]]), MONTH(Table14[[#This Row],[Order_Date]]), 1)</f>
        <v>45505</v>
      </c>
      <c r="Q70" t="str">
        <f>_xlfn.XLOOKUP(Table14[[#This Row],[Product]],Product_Master!$B$2:$B$11,Product_Master!$D$2:$D$11)</f>
        <v>Artisans Co.</v>
      </c>
      <c r="R70" t="str">
        <f>_xlfn.XLOOKUP(Table14[[#This Row],[Product]],Product_Master!$B$2:$B$11,Product_Master!$E$2:$E$11)</f>
        <v>India</v>
      </c>
      <c r="S70">
        <f>_xlfn.XLOOKUP(Table14[[#This Row],[Product]],Product_Master!$B$2:$B$11,Product_Master!$F$2:$F$11)</f>
        <v>15.5</v>
      </c>
    </row>
    <row r="71" spans="1:19" x14ac:dyDescent="0.3">
      <c r="A71" t="s">
        <v>190</v>
      </c>
      <c r="B71" s="23" t="s">
        <v>56</v>
      </c>
      <c r="C71" t="s">
        <v>110</v>
      </c>
      <c r="D71" t="s">
        <v>36</v>
      </c>
      <c r="E71" t="s">
        <v>98</v>
      </c>
      <c r="F71" t="s">
        <v>59</v>
      </c>
      <c r="G71">
        <v>34</v>
      </c>
      <c r="H71" s="4">
        <v>45.54</v>
      </c>
      <c r="I71" s="8">
        <v>1548.36</v>
      </c>
      <c r="J71">
        <v>36.76</v>
      </c>
      <c r="K71">
        <v>559.6</v>
      </c>
      <c r="L71" t="s">
        <v>22</v>
      </c>
      <c r="M71" t="s">
        <v>23</v>
      </c>
      <c r="N71" t="s">
        <v>32</v>
      </c>
      <c r="O71" s="5">
        <f>Table14[[#This Row],[Profit]]/Table14[[#This Row],[Total_Sales]]</f>
        <v>0.36141465808984996</v>
      </c>
      <c r="P71" s="23">
        <f>DATE(YEAR(Table14[[#This Row],[Order_Date]]), MONTH(Table14[[#This Row],[Order_Date]]), 1)</f>
        <v>45444</v>
      </c>
      <c r="Q71" t="str">
        <f>_xlfn.XLOOKUP(Table14[[#This Row],[Product]],Product_Master!$B$2:$B$11,Product_Master!$D$2:$D$11)</f>
        <v>BrightHome</v>
      </c>
      <c r="R71" t="str">
        <f>_xlfn.XLOOKUP(Table14[[#This Row],[Product]],Product_Master!$B$2:$B$11,Product_Master!$E$2:$E$11)</f>
        <v>India</v>
      </c>
      <c r="S71">
        <f>_xlfn.XLOOKUP(Table14[[#This Row],[Product]],Product_Master!$B$2:$B$11,Product_Master!$F$2:$F$11)</f>
        <v>28</v>
      </c>
    </row>
    <row r="72" spans="1:19" x14ac:dyDescent="0.3">
      <c r="A72" t="s">
        <v>191</v>
      </c>
      <c r="B72" s="23" t="s">
        <v>71</v>
      </c>
      <c r="C72" t="s">
        <v>192</v>
      </c>
      <c r="D72" t="s">
        <v>123</v>
      </c>
      <c r="E72" t="s">
        <v>49</v>
      </c>
      <c r="F72" t="s">
        <v>50</v>
      </c>
      <c r="G72">
        <v>33</v>
      </c>
      <c r="H72" s="4">
        <v>63.88</v>
      </c>
      <c r="I72" s="8">
        <v>2108.04</v>
      </c>
      <c r="J72">
        <v>111.7</v>
      </c>
      <c r="K72">
        <v>676.34</v>
      </c>
      <c r="L72" t="s">
        <v>22</v>
      </c>
      <c r="M72" t="s">
        <v>37</v>
      </c>
      <c r="N72" t="s">
        <v>32</v>
      </c>
      <c r="O72" s="5">
        <f>Table14[[#This Row],[Profit]]/Table14[[#This Row],[Total_Sales]]</f>
        <v>0.32083831426348647</v>
      </c>
      <c r="P72" s="23">
        <f>DATE(YEAR(Table14[[#This Row],[Order_Date]]), MONTH(Table14[[#This Row],[Order_Date]]), 1)</f>
        <v>45505</v>
      </c>
      <c r="Q72" t="str">
        <f>_xlfn.XLOOKUP(Table14[[#This Row],[Product]],Product_Master!$B$2:$B$11,Product_Master!$D$2:$D$11)</f>
        <v>BlueWear</v>
      </c>
      <c r="R72" t="str">
        <f>_xlfn.XLOOKUP(Table14[[#This Row],[Product]],Product_Master!$B$2:$B$11,Product_Master!$E$2:$E$11)</f>
        <v>Bangladesh</v>
      </c>
      <c r="S72">
        <f>_xlfn.XLOOKUP(Table14[[#This Row],[Product]],Product_Master!$B$2:$B$11,Product_Master!$F$2:$F$11)</f>
        <v>40</v>
      </c>
    </row>
    <row r="73" spans="1:19" x14ac:dyDescent="0.3">
      <c r="A73" t="s">
        <v>193</v>
      </c>
      <c r="B73" s="23" t="s">
        <v>56</v>
      </c>
      <c r="C73" t="s">
        <v>108</v>
      </c>
      <c r="D73" t="s">
        <v>170</v>
      </c>
      <c r="E73" t="s">
        <v>29</v>
      </c>
      <c r="F73" t="s">
        <v>21</v>
      </c>
      <c r="G73">
        <v>39</v>
      </c>
      <c r="H73" s="4">
        <v>25.38</v>
      </c>
      <c r="I73" s="8">
        <v>989.82</v>
      </c>
      <c r="J73">
        <v>50.82</v>
      </c>
      <c r="K73">
        <v>237</v>
      </c>
      <c r="L73" t="s">
        <v>30</v>
      </c>
      <c r="M73" t="s">
        <v>31</v>
      </c>
      <c r="N73" t="s">
        <v>32</v>
      </c>
      <c r="O73" s="5">
        <f>Table14[[#This Row],[Profit]]/Table14[[#This Row],[Total_Sales]]</f>
        <v>0.23943747348002667</v>
      </c>
      <c r="P73" s="23">
        <f>DATE(YEAR(Table14[[#This Row],[Order_Date]]), MONTH(Table14[[#This Row],[Order_Date]]), 1)</f>
        <v>45444</v>
      </c>
      <c r="Q73" t="str">
        <f>_xlfn.XLOOKUP(Table14[[#This Row],[Product]],Product_Master!$B$2:$B$11,Product_Master!$D$2:$D$11)</f>
        <v>CraftLine</v>
      </c>
      <c r="R73" t="str">
        <f>_xlfn.XLOOKUP(Table14[[#This Row],[Product]],Product_Master!$B$2:$B$11,Product_Master!$E$2:$E$11)</f>
        <v>Italy</v>
      </c>
      <c r="S73">
        <f>_xlfn.XLOOKUP(Table14[[#This Row],[Product]],Product_Master!$B$2:$B$11,Product_Master!$F$2:$F$11)</f>
        <v>18</v>
      </c>
    </row>
    <row r="74" spans="1:19" x14ac:dyDescent="0.3">
      <c r="A74" t="s">
        <v>194</v>
      </c>
      <c r="B74" s="23" t="s">
        <v>56</v>
      </c>
      <c r="C74" t="s">
        <v>195</v>
      </c>
      <c r="D74" t="s">
        <v>196</v>
      </c>
      <c r="E74" t="s">
        <v>64</v>
      </c>
      <c r="F74" t="s">
        <v>65</v>
      </c>
      <c r="G74">
        <v>9</v>
      </c>
      <c r="H74" s="4">
        <v>38.979999999999997</v>
      </c>
      <c r="I74" s="8">
        <v>350.82</v>
      </c>
      <c r="J74">
        <v>25.56</v>
      </c>
      <c r="K74">
        <v>100.26</v>
      </c>
      <c r="L74" t="s">
        <v>22</v>
      </c>
      <c r="M74" t="s">
        <v>23</v>
      </c>
      <c r="N74" t="s">
        <v>66</v>
      </c>
      <c r="O74" s="5">
        <f>Table14[[#This Row],[Profit]]/Table14[[#This Row],[Total_Sales]]</f>
        <v>0.28578758337609034</v>
      </c>
      <c r="P74" s="23">
        <f>DATE(YEAR(Table14[[#This Row],[Order_Date]]), MONTH(Table14[[#This Row],[Order_Date]]), 1)</f>
        <v>45444</v>
      </c>
      <c r="Q74" t="str">
        <f>_xlfn.XLOOKUP(Table14[[#This Row],[Product]],Product_Master!$B$2:$B$11,Product_Master!$D$2:$D$11)</f>
        <v>SoftWeave</v>
      </c>
      <c r="R74" t="str">
        <f>_xlfn.XLOOKUP(Table14[[#This Row],[Product]],Product_Master!$B$2:$B$11,Product_Master!$E$2:$E$11)</f>
        <v>Turkey</v>
      </c>
      <c r="S74">
        <f>_xlfn.XLOOKUP(Table14[[#This Row],[Product]],Product_Master!$B$2:$B$11,Product_Master!$F$2:$F$11)</f>
        <v>25</v>
      </c>
    </row>
    <row r="75" spans="1:19" x14ac:dyDescent="0.3">
      <c r="A75" t="s">
        <v>197</v>
      </c>
      <c r="B75" s="23" t="s">
        <v>39</v>
      </c>
      <c r="C75" t="s">
        <v>198</v>
      </c>
      <c r="D75" t="s">
        <v>101</v>
      </c>
      <c r="E75" t="s">
        <v>54</v>
      </c>
      <c r="F75" t="s">
        <v>43</v>
      </c>
      <c r="G75">
        <v>14</v>
      </c>
      <c r="H75" s="4">
        <v>35.86</v>
      </c>
      <c r="I75" s="8">
        <v>502.04</v>
      </c>
      <c r="J75">
        <v>40.130000000000003</v>
      </c>
      <c r="K75">
        <v>181.91</v>
      </c>
      <c r="L75" t="s">
        <v>44</v>
      </c>
      <c r="M75" t="s">
        <v>37</v>
      </c>
      <c r="N75" t="s">
        <v>102</v>
      </c>
      <c r="O75" s="5">
        <f>Table14[[#This Row],[Profit]]/Table14[[#This Row],[Total_Sales]]</f>
        <v>0.36234164608397734</v>
      </c>
      <c r="P75" s="23">
        <f>DATE(YEAR(Table14[[#This Row],[Order_Date]]), MONTH(Table14[[#This Row],[Order_Date]]), 1)</f>
        <v>45566</v>
      </c>
      <c r="Q75" t="str">
        <f>_xlfn.XLOOKUP(Table14[[#This Row],[Product]],Product_Master!$B$2:$B$11,Product_Master!$D$2:$D$11)</f>
        <v>ClickTech</v>
      </c>
      <c r="R75" t="str">
        <f>_xlfn.XLOOKUP(Table14[[#This Row],[Product]],Product_Master!$B$2:$B$11,Product_Master!$E$2:$E$11)</f>
        <v>China</v>
      </c>
      <c r="S75">
        <f>_xlfn.XLOOKUP(Table14[[#This Row],[Product]],Product_Master!$B$2:$B$11,Product_Master!$F$2:$F$11)</f>
        <v>20</v>
      </c>
    </row>
    <row r="76" spans="1:19" x14ac:dyDescent="0.3">
      <c r="A76" t="s">
        <v>199</v>
      </c>
      <c r="B76" s="23" t="s">
        <v>157</v>
      </c>
      <c r="C76" t="s">
        <v>200</v>
      </c>
      <c r="D76" t="s">
        <v>91</v>
      </c>
      <c r="E76" t="s">
        <v>69</v>
      </c>
      <c r="F76" t="s">
        <v>59</v>
      </c>
      <c r="G76">
        <v>49</v>
      </c>
      <c r="H76" s="4">
        <v>21.37</v>
      </c>
      <c r="I76" s="8">
        <v>1047.1300000000001</v>
      </c>
      <c r="J76">
        <v>65.98</v>
      </c>
      <c r="K76">
        <v>221.65</v>
      </c>
      <c r="L76" t="s">
        <v>44</v>
      </c>
      <c r="M76" t="s">
        <v>37</v>
      </c>
      <c r="N76" t="s">
        <v>66</v>
      </c>
      <c r="O76" s="5">
        <f>Table14[[#This Row],[Profit]]/Table14[[#This Row],[Total_Sales]]</f>
        <v>0.21167381318460934</v>
      </c>
      <c r="P76" s="23">
        <f>DATE(YEAR(Table14[[#This Row],[Order_Date]]), MONTH(Table14[[#This Row],[Order_Date]]), 1)</f>
        <v>45292</v>
      </c>
      <c r="Q76" t="str">
        <f>_xlfn.XLOOKUP(Table14[[#This Row],[Product]],Product_Master!$B$2:$B$11,Product_Master!$D$2:$D$11)</f>
        <v>Artisans Co.</v>
      </c>
      <c r="R76" t="str">
        <f>_xlfn.XLOOKUP(Table14[[#This Row],[Product]],Product_Master!$B$2:$B$11,Product_Master!$E$2:$E$11)</f>
        <v>India</v>
      </c>
      <c r="S76">
        <f>_xlfn.XLOOKUP(Table14[[#This Row],[Product]],Product_Master!$B$2:$B$11,Product_Master!$F$2:$F$11)</f>
        <v>15.5</v>
      </c>
    </row>
    <row r="77" spans="1:19" x14ac:dyDescent="0.3">
      <c r="A77" t="s">
        <v>201</v>
      </c>
      <c r="B77" s="23" t="s">
        <v>104</v>
      </c>
      <c r="C77" t="s">
        <v>202</v>
      </c>
      <c r="D77" t="s">
        <v>53</v>
      </c>
      <c r="E77" t="s">
        <v>29</v>
      </c>
      <c r="F77" t="s">
        <v>21</v>
      </c>
      <c r="G77">
        <v>42</v>
      </c>
      <c r="H77">
        <v>24.57</v>
      </c>
      <c r="I77">
        <v>1031.94</v>
      </c>
      <c r="J77">
        <v>56.45</v>
      </c>
      <c r="K77">
        <v>219.49</v>
      </c>
      <c r="L77" t="s">
        <v>30</v>
      </c>
      <c r="M77" t="s">
        <v>23</v>
      </c>
      <c r="N77" t="s">
        <v>24</v>
      </c>
      <c r="O77" s="5">
        <f>Table14[[#This Row],[Profit]]/Table14[[#This Row],[Total_Sales]]</f>
        <v>0.2126964746012365</v>
      </c>
      <c r="P77" s="23">
        <f>DATE(YEAR(Table14[[#This Row],[Order_Date]]), MONTH(Table14[[#This Row],[Order_Date]]), 1)</f>
        <v>45717</v>
      </c>
      <c r="Q77" t="str">
        <f>_xlfn.XLOOKUP(Table14[[#This Row],[Product]],Product_Master!$B$2:$B$11,Product_Master!$D$2:$D$11)</f>
        <v>CraftLine</v>
      </c>
      <c r="R77" t="str">
        <f>_xlfn.XLOOKUP(Table14[[#This Row],[Product]],Product_Master!$B$2:$B$11,Product_Master!$E$2:$E$11)</f>
        <v>Italy</v>
      </c>
      <c r="S77">
        <f>_xlfn.XLOOKUP(Table14[[#This Row],[Product]],Product_Master!$B$2:$B$11,Product_Master!$F$2:$F$11)</f>
        <v>18</v>
      </c>
    </row>
    <row r="78" spans="1:19" x14ac:dyDescent="0.3">
      <c r="A78" t="s">
        <v>203</v>
      </c>
      <c r="B78" s="23" t="s">
        <v>132</v>
      </c>
      <c r="C78" t="s">
        <v>202</v>
      </c>
      <c r="D78" t="s">
        <v>81</v>
      </c>
      <c r="E78" t="s">
        <v>29</v>
      </c>
      <c r="F78" t="s">
        <v>21</v>
      </c>
      <c r="G78">
        <v>42</v>
      </c>
      <c r="H78" s="4">
        <v>26.39</v>
      </c>
      <c r="I78" s="8">
        <v>1108.3800000000001</v>
      </c>
      <c r="J78">
        <v>44.56</v>
      </c>
      <c r="K78">
        <v>307.82</v>
      </c>
      <c r="L78" t="s">
        <v>30</v>
      </c>
      <c r="M78" t="s">
        <v>23</v>
      </c>
      <c r="N78" t="s">
        <v>66</v>
      </c>
      <c r="O78" s="5">
        <f>Table14[[#This Row],[Profit]]/Table14[[#This Row],[Total_Sales]]</f>
        <v>0.27772063732654861</v>
      </c>
      <c r="P78" s="23">
        <f>DATE(YEAR(Table14[[#This Row],[Order_Date]]), MONTH(Table14[[#This Row],[Order_Date]]), 1)</f>
        <v>45597</v>
      </c>
      <c r="Q78" t="str">
        <f>_xlfn.XLOOKUP(Table14[[#This Row],[Product]],Product_Master!$B$2:$B$11,Product_Master!$D$2:$D$11)</f>
        <v>CraftLine</v>
      </c>
      <c r="R78" t="str">
        <f>_xlfn.XLOOKUP(Table14[[#This Row],[Product]],Product_Master!$B$2:$B$11,Product_Master!$E$2:$E$11)</f>
        <v>Italy</v>
      </c>
      <c r="S78">
        <f>_xlfn.XLOOKUP(Table14[[#This Row],[Product]],Product_Master!$B$2:$B$11,Product_Master!$F$2:$F$11)</f>
        <v>18</v>
      </c>
    </row>
    <row r="79" spans="1:19" x14ac:dyDescent="0.3">
      <c r="A79" t="s">
        <v>204</v>
      </c>
      <c r="B79" s="23" t="s">
        <v>132</v>
      </c>
      <c r="C79" t="s">
        <v>200</v>
      </c>
      <c r="D79" t="s">
        <v>48</v>
      </c>
      <c r="E79" t="s">
        <v>54</v>
      </c>
      <c r="F79" t="s">
        <v>43</v>
      </c>
      <c r="G79">
        <v>50</v>
      </c>
      <c r="H79" s="4">
        <v>29.73</v>
      </c>
      <c r="I79" s="8">
        <v>1486.5</v>
      </c>
      <c r="J79">
        <v>96.77</v>
      </c>
      <c r="K79">
        <v>389.73</v>
      </c>
      <c r="L79" t="s">
        <v>44</v>
      </c>
      <c r="M79" t="s">
        <v>23</v>
      </c>
      <c r="N79" t="s">
        <v>24</v>
      </c>
      <c r="O79" s="5">
        <f>Table14[[#This Row],[Profit]]/Table14[[#This Row],[Total_Sales]]</f>
        <v>0.26217961654894045</v>
      </c>
      <c r="P79" s="23">
        <f>DATE(YEAR(Table14[[#This Row],[Order_Date]]), MONTH(Table14[[#This Row],[Order_Date]]), 1)</f>
        <v>45597</v>
      </c>
      <c r="Q79" t="str">
        <f>_xlfn.XLOOKUP(Table14[[#This Row],[Product]],Product_Master!$B$2:$B$11,Product_Master!$D$2:$D$11)</f>
        <v>ClickTech</v>
      </c>
      <c r="R79" t="str">
        <f>_xlfn.XLOOKUP(Table14[[#This Row],[Product]],Product_Master!$B$2:$B$11,Product_Master!$E$2:$E$11)</f>
        <v>China</v>
      </c>
      <c r="S79">
        <f>_xlfn.XLOOKUP(Table14[[#This Row],[Product]],Product_Master!$B$2:$B$11,Product_Master!$F$2:$F$11)</f>
        <v>20</v>
      </c>
    </row>
    <row r="80" spans="1:19" x14ac:dyDescent="0.3">
      <c r="A80" t="s">
        <v>205</v>
      </c>
      <c r="B80" s="23" t="s">
        <v>104</v>
      </c>
      <c r="C80" t="s">
        <v>198</v>
      </c>
      <c r="D80" t="s">
        <v>63</v>
      </c>
      <c r="E80" t="s">
        <v>69</v>
      </c>
      <c r="F80" t="s">
        <v>59</v>
      </c>
      <c r="G80">
        <v>39</v>
      </c>
      <c r="H80" s="4">
        <v>20.56</v>
      </c>
      <c r="I80" s="8">
        <v>801.84</v>
      </c>
      <c r="J80">
        <v>43.55</v>
      </c>
      <c r="K80">
        <v>153.79</v>
      </c>
      <c r="L80" t="s">
        <v>22</v>
      </c>
      <c r="M80" t="s">
        <v>23</v>
      </c>
      <c r="N80" t="s">
        <v>66</v>
      </c>
      <c r="O80" s="5">
        <f>Table14[[#This Row],[Profit]]/Table14[[#This Row],[Total_Sales]]</f>
        <v>0.19179636835278857</v>
      </c>
      <c r="P80" s="23">
        <f>DATE(YEAR(Table14[[#This Row],[Order_Date]]), MONTH(Table14[[#This Row],[Order_Date]]), 1)</f>
        <v>45717</v>
      </c>
      <c r="Q80" t="str">
        <f>_xlfn.XLOOKUP(Table14[[#This Row],[Product]],Product_Master!$B$2:$B$11,Product_Master!$D$2:$D$11)</f>
        <v>Artisans Co.</v>
      </c>
      <c r="R80" t="str">
        <f>_xlfn.XLOOKUP(Table14[[#This Row],[Product]],Product_Master!$B$2:$B$11,Product_Master!$E$2:$E$11)</f>
        <v>India</v>
      </c>
      <c r="S80">
        <f>_xlfn.XLOOKUP(Table14[[#This Row],[Product]],Product_Master!$B$2:$B$11,Product_Master!$F$2:$F$11)</f>
        <v>15.5</v>
      </c>
    </row>
    <row r="81" spans="1:19" x14ac:dyDescent="0.3">
      <c r="A81" t="s">
        <v>206</v>
      </c>
      <c r="B81" s="23" t="s">
        <v>157</v>
      </c>
      <c r="C81" t="s">
        <v>27</v>
      </c>
      <c r="D81" t="s">
        <v>63</v>
      </c>
      <c r="E81" t="s">
        <v>69</v>
      </c>
      <c r="F81" t="s">
        <v>59</v>
      </c>
      <c r="G81">
        <v>48</v>
      </c>
      <c r="H81" s="4">
        <v>24.36</v>
      </c>
      <c r="I81" s="8">
        <v>1169.28</v>
      </c>
      <c r="J81">
        <v>81.599999999999994</v>
      </c>
      <c r="K81">
        <v>343.68</v>
      </c>
      <c r="L81" t="s">
        <v>44</v>
      </c>
      <c r="M81" t="s">
        <v>37</v>
      </c>
      <c r="N81" t="s">
        <v>66</v>
      </c>
      <c r="O81" s="5">
        <f>Table14[[#This Row],[Profit]]/Table14[[#This Row],[Total_Sales]]</f>
        <v>0.29392446633825947</v>
      </c>
      <c r="P81" s="23">
        <f>DATE(YEAR(Table14[[#This Row],[Order_Date]]), MONTH(Table14[[#This Row],[Order_Date]]), 1)</f>
        <v>45292</v>
      </c>
      <c r="Q81" t="str">
        <f>_xlfn.XLOOKUP(Table14[[#This Row],[Product]],Product_Master!$B$2:$B$11,Product_Master!$D$2:$D$11)</f>
        <v>Artisans Co.</v>
      </c>
      <c r="R81" t="str">
        <f>_xlfn.XLOOKUP(Table14[[#This Row],[Product]],Product_Master!$B$2:$B$11,Product_Master!$E$2:$E$11)</f>
        <v>India</v>
      </c>
      <c r="S81">
        <f>_xlfn.XLOOKUP(Table14[[#This Row],[Product]],Product_Master!$B$2:$B$11,Product_Master!$F$2:$F$11)</f>
        <v>15.5</v>
      </c>
    </row>
    <row r="82" spans="1:19" x14ac:dyDescent="0.3">
      <c r="A82" t="s">
        <v>207</v>
      </c>
      <c r="B82" s="23" t="s">
        <v>68</v>
      </c>
      <c r="C82" t="s">
        <v>208</v>
      </c>
      <c r="D82" t="s">
        <v>170</v>
      </c>
      <c r="E82" t="s">
        <v>58</v>
      </c>
      <c r="F82" t="s">
        <v>59</v>
      </c>
      <c r="G82">
        <v>40</v>
      </c>
      <c r="H82" s="4">
        <v>27.95</v>
      </c>
      <c r="I82" s="8">
        <v>1118</v>
      </c>
      <c r="J82">
        <v>37.590000000000003</v>
      </c>
      <c r="K82">
        <v>180.41</v>
      </c>
      <c r="L82" t="s">
        <v>44</v>
      </c>
      <c r="M82" t="s">
        <v>37</v>
      </c>
      <c r="N82" t="s">
        <v>32</v>
      </c>
      <c r="O82" s="5">
        <f>Table14[[#This Row],[Profit]]/Table14[[#This Row],[Total_Sales]]</f>
        <v>0.16136851520572451</v>
      </c>
      <c r="P82" s="23">
        <f>DATE(YEAR(Table14[[#This Row],[Order_Date]]), MONTH(Table14[[#This Row],[Order_Date]]), 1)</f>
        <v>45536</v>
      </c>
      <c r="Q82" t="str">
        <f>_xlfn.XLOOKUP(Table14[[#This Row],[Product]],Product_Master!$B$2:$B$11,Product_Master!$D$2:$D$11)</f>
        <v>ClearCraft</v>
      </c>
      <c r="R82" t="str">
        <f>_xlfn.XLOOKUP(Table14[[#This Row],[Product]],Product_Master!$B$2:$B$11,Product_Master!$E$2:$E$11)</f>
        <v>India</v>
      </c>
      <c r="S82">
        <f>_xlfn.XLOOKUP(Table14[[#This Row],[Product]],Product_Master!$B$2:$B$11,Product_Master!$F$2:$F$11)</f>
        <v>22.5</v>
      </c>
    </row>
    <row r="83" spans="1:19" x14ac:dyDescent="0.3">
      <c r="A83" t="s">
        <v>209</v>
      </c>
      <c r="B83" s="23" t="s">
        <v>26</v>
      </c>
      <c r="C83" t="s">
        <v>137</v>
      </c>
      <c r="D83" t="s">
        <v>196</v>
      </c>
      <c r="E83" t="s">
        <v>98</v>
      </c>
      <c r="F83" t="s">
        <v>59</v>
      </c>
      <c r="G83">
        <v>21</v>
      </c>
      <c r="H83" s="4">
        <v>40.19</v>
      </c>
      <c r="I83" s="8">
        <v>843.99</v>
      </c>
      <c r="J83">
        <v>32.4</v>
      </c>
      <c r="K83">
        <v>223.59</v>
      </c>
      <c r="L83" t="s">
        <v>30</v>
      </c>
      <c r="M83" t="s">
        <v>31</v>
      </c>
      <c r="N83" t="s">
        <v>66</v>
      </c>
      <c r="O83" s="5">
        <f>Table14[[#This Row],[Profit]]/Table14[[#This Row],[Total_Sales]]</f>
        <v>0.26492020047630899</v>
      </c>
      <c r="P83" s="23">
        <f>DATE(YEAR(Table14[[#This Row],[Order_Date]]), MONTH(Table14[[#This Row],[Order_Date]]), 1)</f>
        <v>45689</v>
      </c>
      <c r="Q83" t="str">
        <f>_xlfn.XLOOKUP(Table14[[#This Row],[Product]],Product_Master!$B$2:$B$11,Product_Master!$D$2:$D$11)</f>
        <v>BrightHome</v>
      </c>
      <c r="R83" t="str">
        <f>_xlfn.XLOOKUP(Table14[[#This Row],[Product]],Product_Master!$B$2:$B$11,Product_Master!$E$2:$E$11)</f>
        <v>India</v>
      </c>
      <c r="S83">
        <f>_xlfn.XLOOKUP(Table14[[#This Row],[Product]],Product_Master!$B$2:$B$11,Product_Master!$F$2:$F$11)</f>
        <v>28</v>
      </c>
    </row>
    <row r="84" spans="1:19" x14ac:dyDescent="0.3">
      <c r="A84" t="s">
        <v>210</v>
      </c>
      <c r="B84" s="23" t="s">
        <v>56</v>
      </c>
      <c r="C84" t="s">
        <v>105</v>
      </c>
      <c r="D84" t="s">
        <v>81</v>
      </c>
      <c r="E84" t="s">
        <v>73</v>
      </c>
      <c r="F84" t="s">
        <v>43</v>
      </c>
      <c r="G84">
        <v>26</v>
      </c>
      <c r="H84" s="4">
        <v>16.670000000000002</v>
      </c>
      <c r="I84" s="8">
        <v>433.42</v>
      </c>
      <c r="J84">
        <v>32.79</v>
      </c>
      <c r="K84">
        <v>69.13</v>
      </c>
      <c r="L84" t="s">
        <v>44</v>
      </c>
      <c r="M84" t="s">
        <v>31</v>
      </c>
      <c r="N84" t="s">
        <v>66</v>
      </c>
      <c r="O84" s="5">
        <f>Table14[[#This Row],[Profit]]/Table14[[#This Row],[Total_Sales]]</f>
        <v>0.15949886945687783</v>
      </c>
      <c r="P84" s="23">
        <f>DATE(YEAR(Table14[[#This Row],[Order_Date]]), MONTH(Table14[[#This Row],[Order_Date]]), 1)</f>
        <v>45444</v>
      </c>
      <c r="Q84" t="str">
        <f>_xlfn.XLOOKUP(Table14[[#This Row],[Product]],Product_Master!$B$2:$B$11,Product_Master!$D$2:$D$11)</f>
        <v>BrightHome</v>
      </c>
      <c r="R84" t="str">
        <f>_xlfn.XLOOKUP(Table14[[#This Row],[Product]],Product_Master!$B$2:$B$11,Product_Master!$E$2:$E$11)</f>
        <v>Vietnam</v>
      </c>
      <c r="S84">
        <f>_xlfn.XLOOKUP(Table14[[#This Row],[Product]],Product_Master!$B$2:$B$11,Product_Master!$F$2:$F$11)</f>
        <v>12.75</v>
      </c>
    </row>
    <row r="85" spans="1:19" x14ac:dyDescent="0.3">
      <c r="A85" t="s">
        <v>211</v>
      </c>
      <c r="B85" s="23" t="s">
        <v>132</v>
      </c>
      <c r="C85" t="s">
        <v>212</v>
      </c>
      <c r="D85" t="s">
        <v>41</v>
      </c>
      <c r="E85" t="s">
        <v>42</v>
      </c>
      <c r="F85" t="s">
        <v>43</v>
      </c>
      <c r="G85">
        <v>28</v>
      </c>
      <c r="H85" s="4">
        <v>39.85</v>
      </c>
      <c r="I85" s="8">
        <v>1115.8</v>
      </c>
      <c r="J85">
        <v>43.87</v>
      </c>
      <c r="K85">
        <v>175.93</v>
      </c>
      <c r="L85" t="s">
        <v>44</v>
      </c>
      <c r="M85" t="s">
        <v>23</v>
      </c>
      <c r="N85" t="s">
        <v>45</v>
      </c>
      <c r="O85" s="5">
        <f>Table14[[#This Row],[Profit]]/Table14[[#This Row],[Total_Sales]]</f>
        <v>0.15767162573937982</v>
      </c>
      <c r="P85" s="23">
        <f>DATE(YEAR(Table14[[#This Row],[Order_Date]]), MONTH(Table14[[#This Row],[Order_Date]]), 1)</f>
        <v>45597</v>
      </c>
      <c r="Q85" t="str">
        <f>_xlfn.XLOOKUP(Table14[[#This Row],[Product]],Product_Master!$B$2:$B$11,Product_Master!$D$2:$D$11)</f>
        <v>AudioTech Ltd.</v>
      </c>
      <c r="R85" t="str">
        <f>_xlfn.XLOOKUP(Table14[[#This Row],[Product]],Product_Master!$B$2:$B$11,Product_Master!$E$2:$E$11)</f>
        <v>China</v>
      </c>
      <c r="S85">
        <f>_xlfn.XLOOKUP(Table14[[#This Row],[Product]],Product_Master!$B$2:$B$11,Product_Master!$F$2:$F$11)</f>
        <v>32</v>
      </c>
    </row>
    <row r="86" spans="1:19" x14ac:dyDescent="0.3">
      <c r="A86" t="s">
        <v>213</v>
      </c>
      <c r="B86" s="23" t="s">
        <v>132</v>
      </c>
      <c r="C86" t="s">
        <v>212</v>
      </c>
      <c r="D86" t="s">
        <v>53</v>
      </c>
      <c r="E86" t="s">
        <v>73</v>
      </c>
      <c r="F86" t="s">
        <v>43</v>
      </c>
      <c r="G86">
        <v>47</v>
      </c>
      <c r="H86" s="4">
        <v>15.97</v>
      </c>
      <c r="I86" s="8">
        <v>750.59</v>
      </c>
      <c r="J86">
        <v>48.55</v>
      </c>
      <c r="K86">
        <v>102.79</v>
      </c>
      <c r="L86" t="s">
        <v>44</v>
      </c>
      <c r="M86" t="s">
        <v>37</v>
      </c>
      <c r="N86" t="s">
        <v>24</v>
      </c>
      <c r="O86" s="5">
        <f>Table14[[#This Row],[Profit]]/Table14[[#This Row],[Total_Sales]]</f>
        <v>0.13694560279246992</v>
      </c>
      <c r="P86" s="23">
        <f>DATE(YEAR(Table14[[#This Row],[Order_Date]]), MONTH(Table14[[#This Row],[Order_Date]]), 1)</f>
        <v>45597</v>
      </c>
      <c r="Q86" t="str">
        <f>_xlfn.XLOOKUP(Table14[[#This Row],[Product]],Product_Master!$B$2:$B$11,Product_Master!$D$2:$D$11)</f>
        <v>BrightHome</v>
      </c>
      <c r="R86" t="str">
        <f>_xlfn.XLOOKUP(Table14[[#This Row],[Product]],Product_Master!$B$2:$B$11,Product_Master!$E$2:$E$11)</f>
        <v>Vietnam</v>
      </c>
      <c r="S86">
        <f>_xlfn.XLOOKUP(Table14[[#This Row],[Product]],Product_Master!$B$2:$B$11,Product_Master!$F$2:$F$11)</f>
        <v>12.75</v>
      </c>
    </row>
    <row r="87" spans="1:19" x14ac:dyDescent="0.3">
      <c r="A87" t="s">
        <v>214</v>
      </c>
      <c r="B87" s="23" t="s">
        <v>132</v>
      </c>
      <c r="C87" t="s">
        <v>153</v>
      </c>
      <c r="D87" t="s">
        <v>63</v>
      </c>
      <c r="E87" t="s">
        <v>49</v>
      </c>
      <c r="F87" t="s">
        <v>50</v>
      </c>
      <c r="G87">
        <v>28</v>
      </c>
      <c r="H87" s="4">
        <v>53.6</v>
      </c>
      <c r="I87" s="8">
        <v>1500.8</v>
      </c>
      <c r="J87">
        <v>68.55</v>
      </c>
      <c r="K87">
        <v>312.25</v>
      </c>
      <c r="L87" t="s">
        <v>30</v>
      </c>
      <c r="M87" t="s">
        <v>31</v>
      </c>
      <c r="N87" t="s">
        <v>66</v>
      </c>
      <c r="O87" s="5">
        <f>Table14[[#This Row],[Profit]]/Table14[[#This Row],[Total_Sales]]</f>
        <v>0.20805570362473347</v>
      </c>
      <c r="P87" s="23">
        <f>DATE(YEAR(Table14[[#This Row],[Order_Date]]), MONTH(Table14[[#This Row],[Order_Date]]), 1)</f>
        <v>45597</v>
      </c>
      <c r="Q87" t="str">
        <f>_xlfn.XLOOKUP(Table14[[#This Row],[Product]],Product_Master!$B$2:$B$11,Product_Master!$D$2:$D$11)</f>
        <v>BlueWear</v>
      </c>
      <c r="R87" t="str">
        <f>_xlfn.XLOOKUP(Table14[[#This Row],[Product]],Product_Master!$B$2:$B$11,Product_Master!$E$2:$E$11)</f>
        <v>Bangladesh</v>
      </c>
      <c r="S87">
        <f>_xlfn.XLOOKUP(Table14[[#This Row],[Product]],Product_Master!$B$2:$B$11,Product_Master!$F$2:$F$11)</f>
        <v>40</v>
      </c>
    </row>
    <row r="88" spans="1:19" x14ac:dyDescent="0.3">
      <c r="A88" t="s">
        <v>215</v>
      </c>
      <c r="B88" s="23" t="s">
        <v>78</v>
      </c>
      <c r="C88" t="s">
        <v>125</v>
      </c>
      <c r="D88" t="s">
        <v>196</v>
      </c>
      <c r="E88" t="s">
        <v>98</v>
      </c>
      <c r="F88" t="s">
        <v>59</v>
      </c>
      <c r="G88">
        <v>37</v>
      </c>
      <c r="H88" s="4">
        <v>40.049999999999997</v>
      </c>
      <c r="I88" s="8">
        <v>1481.85</v>
      </c>
      <c r="J88">
        <v>45.6</v>
      </c>
      <c r="K88">
        <v>400.25</v>
      </c>
      <c r="L88" t="s">
        <v>22</v>
      </c>
      <c r="M88" t="s">
        <v>37</v>
      </c>
      <c r="N88" t="s">
        <v>66</v>
      </c>
      <c r="O88" s="5">
        <f>Table14[[#This Row],[Profit]]/Table14[[#This Row],[Total_Sales]]</f>
        <v>0.2701015622363937</v>
      </c>
      <c r="P88" s="23">
        <f>DATE(YEAR(Table14[[#This Row],[Order_Date]]), MONTH(Table14[[#This Row],[Order_Date]]), 1)</f>
        <v>45627</v>
      </c>
      <c r="Q88" t="str">
        <f>_xlfn.XLOOKUP(Table14[[#This Row],[Product]],Product_Master!$B$2:$B$11,Product_Master!$D$2:$D$11)</f>
        <v>BrightHome</v>
      </c>
      <c r="R88" t="str">
        <f>_xlfn.XLOOKUP(Table14[[#This Row],[Product]],Product_Master!$B$2:$B$11,Product_Master!$E$2:$E$11)</f>
        <v>India</v>
      </c>
      <c r="S88">
        <f>_xlfn.XLOOKUP(Table14[[#This Row],[Product]],Product_Master!$B$2:$B$11,Product_Master!$F$2:$F$11)</f>
        <v>28</v>
      </c>
    </row>
    <row r="89" spans="1:19" x14ac:dyDescent="0.3">
      <c r="A89" t="s">
        <v>216</v>
      </c>
      <c r="B89" s="23" t="s">
        <v>26</v>
      </c>
      <c r="C89" t="s">
        <v>158</v>
      </c>
      <c r="D89" t="s">
        <v>36</v>
      </c>
      <c r="E89" t="s">
        <v>20</v>
      </c>
      <c r="F89" t="s">
        <v>21</v>
      </c>
      <c r="G89">
        <v>45</v>
      </c>
      <c r="H89" s="4">
        <v>43.74</v>
      </c>
      <c r="I89" s="8">
        <v>1968.3</v>
      </c>
      <c r="J89">
        <v>80.55</v>
      </c>
      <c r="K89">
        <v>312.75</v>
      </c>
      <c r="L89" t="s">
        <v>30</v>
      </c>
      <c r="M89" t="s">
        <v>37</v>
      </c>
      <c r="N89" t="s">
        <v>32</v>
      </c>
      <c r="O89" s="5">
        <f>Table14[[#This Row],[Profit]]/Table14[[#This Row],[Total_Sales]]</f>
        <v>0.15889346136259716</v>
      </c>
      <c r="P89" s="23">
        <f>DATE(YEAR(Table14[[#This Row],[Order_Date]]), MONTH(Table14[[#This Row],[Order_Date]]), 1)</f>
        <v>45689</v>
      </c>
      <c r="Q89" t="str">
        <f>_xlfn.XLOOKUP(Table14[[#This Row],[Product]],Product_Master!$B$2:$B$11,Product_Master!$D$2:$D$11)</f>
        <v>CarryPro</v>
      </c>
      <c r="R89" t="str">
        <f>_xlfn.XLOOKUP(Table14[[#This Row],[Product]],Product_Master!$B$2:$B$11,Product_Master!$E$2:$E$11)</f>
        <v>Vietnam</v>
      </c>
      <c r="S89">
        <f>_xlfn.XLOOKUP(Table14[[#This Row],[Product]],Product_Master!$B$2:$B$11,Product_Master!$F$2:$F$11)</f>
        <v>35</v>
      </c>
    </row>
    <row r="90" spans="1:19" x14ac:dyDescent="0.3">
      <c r="A90" t="s">
        <v>217</v>
      </c>
      <c r="B90" s="23" t="s">
        <v>104</v>
      </c>
      <c r="C90" t="s">
        <v>218</v>
      </c>
      <c r="D90" t="s">
        <v>28</v>
      </c>
      <c r="E90" t="s">
        <v>69</v>
      </c>
      <c r="F90" t="s">
        <v>59</v>
      </c>
      <c r="G90">
        <v>9</v>
      </c>
      <c r="H90" s="4">
        <v>24.63</v>
      </c>
      <c r="I90" s="8">
        <v>221.67</v>
      </c>
      <c r="J90">
        <v>13.53</v>
      </c>
      <c r="K90">
        <v>68.64</v>
      </c>
      <c r="L90" t="s">
        <v>30</v>
      </c>
      <c r="M90" t="s">
        <v>37</v>
      </c>
      <c r="N90" t="s">
        <v>32</v>
      </c>
      <c r="O90" s="5">
        <f>Table14[[#This Row],[Profit]]/Table14[[#This Row],[Total_Sales]]</f>
        <v>0.30964947895520373</v>
      </c>
      <c r="P90" s="23">
        <f>DATE(YEAR(Table14[[#This Row],[Order_Date]]), MONTH(Table14[[#This Row],[Order_Date]]), 1)</f>
        <v>45717</v>
      </c>
      <c r="Q90" t="str">
        <f>_xlfn.XLOOKUP(Table14[[#This Row],[Product]],Product_Master!$B$2:$B$11,Product_Master!$D$2:$D$11)</f>
        <v>Artisans Co.</v>
      </c>
      <c r="R90" t="str">
        <f>_xlfn.XLOOKUP(Table14[[#This Row],[Product]],Product_Master!$B$2:$B$11,Product_Master!$E$2:$E$11)</f>
        <v>India</v>
      </c>
      <c r="S90">
        <f>_xlfn.XLOOKUP(Table14[[#This Row],[Product]],Product_Master!$B$2:$B$11,Product_Master!$F$2:$F$11)</f>
        <v>15.5</v>
      </c>
    </row>
    <row r="91" spans="1:19" x14ac:dyDescent="0.3">
      <c r="A91" t="s">
        <v>219</v>
      </c>
      <c r="B91" s="23" t="s">
        <v>104</v>
      </c>
      <c r="C91" t="s">
        <v>47</v>
      </c>
      <c r="D91" t="s">
        <v>101</v>
      </c>
      <c r="E91" t="s">
        <v>69</v>
      </c>
      <c r="F91" t="s">
        <v>59</v>
      </c>
      <c r="G91">
        <v>6</v>
      </c>
      <c r="H91" s="4">
        <v>21.79</v>
      </c>
      <c r="I91" s="8">
        <v>130.74</v>
      </c>
      <c r="J91">
        <v>7.75</v>
      </c>
      <c r="K91">
        <v>29.99</v>
      </c>
      <c r="L91" t="s">
        <v>30</v>
      </c>
      <c r="M91" t="s">
        <v>37</v>
      </c>
      <c r="N91" t="s">
        <v>102</v>
      </c>
      <c r="O91" s="5">
        <f>Table14[[#This Row],[Profit]]/Table14[[#This Row],[Total_Sales]]</f>
        <v>0.22938656876242922</v>
      </c>
      <c r="P91" s="23">
        <f>DATE(YEAR(Table14[[#This Row],[Order_Date]]), MONTH(Table14[[#This Row],[Order_Date]]), 1)</f>
        <v>45717</v>
      </c>
      <c r="Q91" t="str">
        <f>_xlfn.XLOOKUP(Table14[[#This Row],[Product]],Product_Master!$B$2:$B$11,Product_Master!$D$2:$D$11)</f>
        <v>Artisans Co.</v>
      </c>
      <c r="R91" t="str">
        <f>_xlfn.XLOOKUP(Table14[[#This Row],[Product]],Product_Master!$B$2:$B$11,Product_Master!$E$2:$E$11)</f>
        <v>India</v>
      </c>
      <c r="S91">
        <f>_xlfn.XLOOKUP(Table14[[#This Row],[Product]],Product_Master!$B$2:$B$11,Product_Master!$F$2:$F$11)</f>
        <v>15.5</v>
      </c>
    </row>
    <row r="92" spans="1:19" x14ac:dyDescent="0.3">
      <c r="A92" t="s">
        <v>220</v>
      </c>
      <c r="B92" s="23" t="s">
        <v>95</v>
      </c>
      <c r="C92" t="s">
        <v>221</v>
      </c>
      <c r="D92" t="s">
        <v>123</v>
      </c>
      <c r="E92" t="s">
        <v>20</v>
      </c>
      <c r="F92" t="s">
        <v>21</v>
      </c>
      <c r="G92">
        <v>23</v>
      </c>
      <c r="H92" s="4">
        <v>58.43</v>
      </c>
      <c r="I92" s="8">
        <v>1343.89</v>
      </c>
      <c r="J92">
        <v>38.729999999999997</v>
      </c>
      <c r="K92">
        <v>500.16</v>
      </c>
      <c r="L92" t="s">
        <v>30</v>
      </c>
      <c r="M92" t="s">
        <v>23</v>
      </c>
      <c r="N92" t="s">
        <v>32</v>
      </c>
      <c r="O92" s="5">
        <f>Table14[[#This Row],[Profit]]/Table14[[#This Row],[Total_Sales]]</f>
        <v>0.37217331775666163</v>
      </c>
      <c r="P92" s="23">
        <f>DATE(YEAR(Table14[[#This Row],[Order_Date]]), MONTH(Table14[[#This Row],[Order_Date]]), 1)</f>
        <v>45474</v>
      </c>
      <c r="Q92" t="str">
        <f>_xlfn.XLOOKUP(Table14[[#This Row],[Product]],Product_Master!$B$2:$B$11,Product_Master!$D$2:$D$11)</f>
        <v>CarryPro</v>
      </c>
      <c r="R92" t="str">
        <f>_xlfn.XLOOKUP(Table14[[#This Row],[Product]],Product_Master!$B$2:$B$11,Product_Master!$E$2:$E$11)</f>
        <v>Vietnam</v>
      </c>
      <c r="S92">
        <f>_xlfn.XLOOKUP(Table14[[#This Row],[Product]],Product_Master!$B$2:$B$11,Product_Master!$F$2:$F$11)</f>
        <v>35</v>
      </c>
    </row>
    <row r="93" spans="1:19" x14ac:dyDescent="0.3">
      <c r="A93" t="s">
        <v>222</v>
      </c>
      <c r="B93" s="23" t="s">
        <v>68</v>
      </c>
      <c r="C93" t="s">
        <v>223</v>
      </c>
      <c r="D93" t="s">
        <v>81</v>
      </c>
      <c r="E93" t="s">
        <v>49</v>
      </c>
      <c r="F93" t="s">
        <v>50</v>
      </c>
      <c r="G93">
        <v>19</v>
      </c>
      <c r="H93" s="4">
        <v>67.06</v>
      </c>
      <c r="I93" s="8">
        <v>1274.1400000000001</v>
      </c>
      <c r="J93">
        <v>85.73</v>
      </c>
      <c r="K93">
        <v>428.41</v>
      </c>
      <c r="L93" t="s">
        <v>22</v>
      </c>
      <c r="M93" t="s">
        <v>31</v>
      </c>
      <c r="N93" t="s">
        <v>66</v>
      </c>
      <c r="O93" s="5">
        <f>Table14[[#This Row],[Profit]]/Table14[[#This Row],[Total_Sales]]</f>
        <v>0.33623463669612441</v>
      </c>
      <c r="P93" s="23">
        <f>DATE(YEAR(Table14[[#This Row],[Order_Date]]), MONTH(Table14[[#This Row],[Order_Date]]), 1)</f>
        <v>45536</v>
      </c>
      <c r="Q93" t="str">
        <f>_xlfn.XLOOKUP(Table14[[#This Row],[Product]],Product_Master!$B$2:$B$11,Product_Master!$D$2:$D$11)</f>
        <v>BlueWear</v>
      </c>
      <c r="R93" t="str">
        <f>_xlfn.XLOOKUP(Table14[[#This Row],[Product]],Product_Master!$B$2:$B$11,Product_Master!$E$2:$E$11)</f>
        <v>Bangladesh</v>
      </c>
      <c r="S93">
        <f>_xlfn.XLOOKUP(Table14[[#This Row],[Product]],Product_Master!$B$2:$B$11,Product_Master!$F$2:$F$11)</f>
        <v>40</v>
      </c>
    </row>
    <row r="94" spans="1:19" x14ac:dyDescent="0.3">
      <c r="A94" t="s">
        <v>224</v>
      </c>
      <c r="B94" s="23" t="s">
        <v>95</v>
      </c>
      <c r="C94" t="s">
        <v>218</v>
      </c>
      <c r="D94" t="s">
        <v>36</v>
      </c>
      <c r="E94" t="s">
        <v>29</v>
      </c>
      <c r="F94" t="s">
        <v>21</v>
      </c>
      <c r="G94">
        <v>4</v>
      </c>
      <c r="H94" s="4">
        <v>25.13</v>
      </c>
      <c r="I94" s="8">
        <v>100.52</v>
      </c>
      <c r="J94">
        <v>5.6</v>
      </c>
      <c r="K94">
        <v>22.92</v>
      </c>
      <c r="L94" t="s">
        <v>30</v>
      </c>
      <c r="M94" t="s">
        <v>37</v>
      </c>
      <c r="N94" t="s">
        <v>32</v>
      </c>
      <c r="O94" s="5">
        <f>Table14[[#This Row],[Profit]]/Table14[[#This Row],[Total_Sales]]</f>
        <v>0.22801432550736175</v>
      </c>
      <c r="P94" s="23">
        <f>DATE(YEAR(Table14[[#This Row],[Order_Date]]), MONTH(Table14[[#This Row],[Order_Date]]), 1)</f>
        <v>45474</v>
      </c>
      <c r="Q94" t="str">
        <f>_xlfn.XLOOKUP(Table14[[#This Row],[Product]],Product_Master!$B$2:$B$11,Product_Master!$D$2:$D$11)</f>
        <v>CraftLine</v>
      </c>
      <c r="R94" t="str">
        <f>_xlfn.XLOOKUP(Table14[[#This Row],[Product]],Product_Master!$B$2:$B$11,Product_Master!$E$2:$E$11)</f>
        <v>Italy</v>
      </c>
      <c r="S94">
        <f>_xlfn.XLOOKUP(Table14[[#This Row],[Product]],Product_Master!$B$2:$B$11,Product_Master!$F$2:$F$11)</f>
        <v>18</v>
      </c>
    </row>
    <row r="95" spans="1:19" x14ac:dyDescent="0.3">
      <c r="A95" t="s">
        <v>225</v>
      </c>
      <c r="B95" s="23" t="s">
        <v>75</v>
      </c>
      <c r="C95" t="s">
        <v>226</v>
      </c>
      <c r="D95" t="s">
        <v>36</v>
      </c>
      <c r="E95" t="s">
        <v>69</v>
      </c>
      <c r="F95" t="s">
        <v>59</v>
      </c>
      <c r="G95">
        <v>26</v>
      </c>
      <c r="H95" s="4">
        <v>19.34</v>
      </c>
      <c r="I95" s="8">
        <v>502.84</v>
      </c>
      <c r="J95">
        <v>26.51</v>
      </c>
      <c r="K95">
        <v>73.33</v>
      </c>
      <c r="L95" t="s">
        <v>30</v>
      </c>
      <c r="M95" t="s">
        <v>23</v>
      </c>
      <c r="N95" t="s">
        <v>32</v>
      </c>
      <c r="O95" s="5">
        <f>Table14[[#This Row],[Profit]]/Table14[[#This Row],[Total_Sales]]</f>
        <v>0.14583167607986636</v>
      </c>
      <c r="P95" s="23">
        <f>DATE(YEAR(Table14[[#This Row],[Order_Date]]), MONTH(Table14[[#This Row],[Order_Date]]), 1)</f>
        <v>45748</v>
      </c>
      <c r="Q95" t="str">
        <f>_xlfn.XLOOKUP(Table14[[#This Row],[Product]],Product_Master!$B$2:$B$11,Product_Master!$D$2:$D$11)</f>
        <v>Artisans Co.</v>
      </c>
      <c r="R95" t="str">
        <f>_xlfn.XLOOKUP(Table14[[#This Row],[Product]],Product_Master!$B$2:$B$11,Product_Master!$E$2:$E$11)</f>
        <v>India</v>
      </c>
      <c r="S95">
        <f>_xlfn.XLOOKUP(Table14[[#This Row],[Product]],Product_Master!$B$2:$B$11,Product_Master!$F$2:$F$11)</f>
        <v>15.5</v>
      </c>
    </row>
    <row r="96" spans="1:19" x14ac:dyDescent="0.3">
      <c r="A96" t="s">
        <v>227</v>
      </c>
      <c r="B96" s="23" t="s">
        <v>68</v>
      </c>
      <c r="C96" t="s">
        <v>228</v>
      </c>
      <c r="D96" t="s">
        <v>101</v>
      </c>
      <c r="E96" t="s">
        <v>54</v>
      </c>
      <c r="F96" t="s">
        <v>43</v>
      </c>
      <c r="G96">
        <v>26</v>
      </c>
      <c r="H96" s="4">
        <v>35.81</v>
      </c>
      <c r="I96" s="8">
        <v>931.06</v>
      </c>
      <c r="J96">
        <v>61.06</v>
      </c>
      <c r="K96">
        <v>350</v>
      </c>
      <c r="L96" t="s">
        <v>22</v>
      </c>
      <c r="M96" t="s">
        <v>23</v>
      </c>
      <c r="N96" t="s">
        <v>102</v>
      </c>
      <c r="O96" s="5">
        <f>Table14[[#This Row],[Profit]]/Table14[[#This Row],[Total_Sales]]</f>
        <v>0.37591562305329412</v>
      </c>
      <c r="P96" s="23">
        <f>DATE(YEAR(Table14[[#This Row],[Order_Date]]), MONTH(Table14[[#This Row],[Order_Date]]), 1)</f>
        <v>45536</v>
      </c>
      <c r="Q96" t="str">
        <f>_xlfn.XLOOKUP(Table14[[#This Row],[Product]],Product_Master!$B$2:$B$11,Product_Master!$D$2:$D$11)</f>
        <v>ClickTech</v>
      </c>
      <c r="R96" t="str">
        <f>_xlfn.XLOOKUP(Table14[[#This Row],[Product]],Product_Master!$B$2:$B$11,Product_Master!$E$2:$E$11)</f>
        <v>China</v>
      </c>
      <c r="S96">
        <f>_xlfn.XLOOKUP(Table14[[#This Row],[Product]],Product_Master!$B$2:$B$11,Product_Master!$F$2:$F$11)</f>
        <v>20</v>
      </c>
    </row>
    <row r="97" spans="1:19" x14ac:dyDescent="0.3">
      <c r="A97" t="s">
        <v>229</v>
      </c>
      <c r="B97" s="23" t="s">
        <v>104</v>
      </c>
      <c r="C97" t="s">
        <v>230</v>
      </c>
      <c r="D97" t="s">
        <v>81</v>
      </c>
      <c r="E97" t="s">
        <v>58</v>
      </c>
      <c r="F97" t="s">
        <v>59</v>
      </c>
      <c r="G97">
        <v>42</v>
      </c>
      <c r="H97" s="4">
        <v>39.950000000000003</v>
      </c>
      <c r="I97" s="8">
        <v>1677.9</v>
      </c>
      <c r="J97">
        <v>93.95</v>
      </c>
      <c r="K97">
        <v>638.95000000000005</v>
      </c>
      <c r="L97" t="s">
        <v>30</v>
      </c>
      <c r="M97" t="s">
        <v>31</v>
      </c>
      <c r="N97" t="s">
        <v>66</v>
      </c>
      <c r="O97" s="5">
        <f>Table14[[#This Row],[Profit]]/Table14[[#This Row],[Total_Sales]]</f>
        <v>0.38080338518386081</v>
      </c>
      <c r="P97" s="23">
        <f>DATE(YEAR(Table14[[#This Row],[Order_Date]]), MONTH(Table14[[#This Row],[Order_Date]]), 1)</f>
        <v>45717</v>
      </c>
      <c r="Q97" t="str">
        <f>_xlfn.XLOOKUP(Table14[[#This Row],[Product]],Product_Master!$B$2:$B$11,Product_Master!$D$2:$D$11)</f>
        <v>ClearCraft</v>
      </c>
      <c r="R97" t="str">
        <f>_xlfn.XLOOKUP(Table14[[#This Row],[Product]],Product_Master!$B$2:$B$11,Product_Master!$E$2:$E$11)</f>
        <v>India</v>
      </c>
      <c r="S97">
        <f>_xlfn.XLOOKUP(Table14[[#This Row],[Product]],Product_Master!$B$2:$B$11,Product_Master!$F$2:$F$11)</f>
        <v>22.5</v>
      </c>
    </row>
    <row r="98" spans="1:19" x14ac:dyDescent="0.3">
      <c r="A98" t="s">
        <v>231</v>
      </c>
      <c r="B98" s="23" t="s">
        <v>95</v>
      </c>
      <c r="C98" t="s">
        <v>105</v>
      </c>
      <c r="D98" t="s">
        <v>88</v>
      </c>
      <c r="E98" t="s">
        <v>20</v>
      </c>
      <c r="F98" t="s">
        <v>21</v>
      </c>
      <c r="G98">
        <v>38</v>
      </c>
      <c r="H98" s="4">
        <v>49.98</v>
      </c>
      <c r="I98" s="8">
        <v>1899.24</v>
      </c>
      <c r="J98">
        <v>112.91</v>
      </c>
      <c r="K98">
        <v>456.33</v>
      </c>
      <c r="L98" t="s">
        <v>44</v>
      </c>
      <c r="M98" t="s">
        <v>37</v>
      </c>
      <c r="N98" t="s">
        <v>66</v>
      </c>
      <c r="O98" s="5">
        <f>Table14[[#This Row],[Profit]]/Table14[[#This Row],[Total_Sales]]</f>
        <v>0.24026979212737726</v>
      </c>
      <c r="P98" s="23">
        <f>DATE(YEAR(Table14[[#This Row],[Order_Date]]), MONTH(Table14[[#This Row],[Order_Date]]), 1)</f>
        <v>45474</v>
      </c>
      <c r="Q98" t="str">
        <f>_xlfn.XLOOKUP(Table14[[#This Row],[Product]],Product_Master!$B$2:$B$11,Product_Master!$D$2:$D$11)</f>
        <v>CarryPro</v>
      </c>
      <c r="R98" t="str">
        <f>_xlfn.XLOOKUP(Table14[[#This Row],[Product]],Product_Master!$B$2:$B$11,Product_Master!$E$2:$E$11)</f>
        <v>Vietnam</v>
      </c>
      <c r="S98">
        <f>_xlfn.XLOOKUP(Table14[[#This Row],[Product]],Product_Master!$B$2:$B$11,Product_Master!$F$2:$F$11)</f>
        <v>35</v>
      </c>
    </row>
    <row r="99" spans="1:19" x14ac:dyDescent="0.3">
      <c r="A99" t="s">
        <v>232</v>
      </c>
      <c r="B99" s="23" t="s">
        <v>71</v>
      </c>
      <c r="C99" t="s">
        <v>137</v>
      </c>
      <c r="D99" t="s">
        <v>91</v>
      </c>
      <c r="E99" t="s">
        <v>98</v>
      </c>
      <c r="F99" t="s">
        <v>59</v>
      </c>
      <c r="G99">
        <v>1</v>
      </c>
      <c r="H99" s="4">
        <v>45.84</v>
      </c>
      <c r="I99" s="8">
        <v>45.84</v>
      </c>
      <c r="J99">
        <v>1.26</v>
      </c>
      <c r="K99">
        <v>16.579999999999998</v>
      </c>
      <c r="L99" t="s">
        <v>44</v>
      </c>
      <c r="M99" t="s">
        <v>23</v>
      </c>
      <c r="N99" t="s">
        <v>66</v>
      </c>
      <c r="O99" s="5">
        <f>Table14[[#This Row],[Profit]]/Table14[[#This Row],[Total_Sales]]</f>
        <v>0.3616928446771378</v>
      </c>
      <c r="P99" s="23">
        <f>DATE(YEAR(Table14[[#This Row],[Order_Date]]), MONTH(Table14[[#This Row],[Order_Date]]), 1)</f>
        <v>45505</v>
      </c>
      <c r="Q99" t="str">
        <f>_xlfn.XLOOKUP(Table14[[#This Row],[Product]],Product_Master!$B$2:$B$11,Product_Master!$D$2:$D$11)</f>
        <v>BrightHome</v>
      </c>
      <c r="R99" t="str">
        <f>_xlfn.XLOOKUP(Table14[[#This Row],[Product]],Product_Master!$B$2:$B$11,Product_Master!$E$2:$E$11)</f>
        <v>India</v>
      </c>
      <c r="S99">
        <f>_xlfn.XLOOKUP(Table14[[#This Row],[Product]],Product_Master!$B$2:$B$11,Product_Master!$F$2:$F$11)</f>
        <v>28</v>
      </c>
    </row>
    <row r="100" spans="1:19" x14ac:dyDescent="0.3">
      <c r="A100" t="s">
        <v>233</v>
      </c>
      <c r="B100" s="23" t="s">
        <v>75</v>
      </c>
      <c r="C100" t="s">
        <v>208</v>
      </c>
      <c r="D100" t="s">
        <v>147</v>
      </c>
      <c r="E100" t="s">
        <v>29</v>
      </c>
      <c r="F100" t="s">
        <v>21</v>
      </c>
      <c r="G100">
        <v>38</v>
      </c>
      <c r="H100" s="4">
        <v>26.34</v>
      </c>
      <c r="I100" s="8">
        <v>1000.92</v>
      </c>
      <c r="J100">
        <v>47.88</v>
      </c>
      <c r="K100">
        <v>269.04000000000002</v>
      </c>
      <c r="L100" t="s">
        <v>22</v>
      </c>
      <c r="M100" t="s">
        <v>31</v>
      </c>
      <c r="N100" t="s">
        <v>148</v>
      </c>
      <c r="O100" s="5">
        <f>Table14[[#This Row],[Profit]]/Table14[[#This Row],[Total_Sales]]</f>
        <v>0.26879271070615035</v>
      </c>
      <c r="P100" s="23">
        <f>DATE(YEAR(Table14[[#This Row],[Order_Date]]), MONTH(Table14[[#This Row],[Order_Date]]), 1)</f>
        <v>45748</v>
      </c>
      <c r="Q100" t="str">
        <f>_xlfn.XLOOKUP(Table14[[#This Row],[Product]],Product_Master!$B$2:$B$11,Product_Master!$D$2:$D$11)</f>
        <v>CraftLine</v>
      </c>
      <c r="R100" t="str">
        <f>_xlfn.XLOOKUP(Table14[[#This Row],[Product]],Product_Master!$B$2:$B$11,Product_Master!$E$2:$E$11)</f>
        <v>Italy</v>
      </c>
      <c r="S100">
        <f>_xlfn.XLOOKUP(Table14[[#This Row],[Product]],Product_Master!$B$2:$B$11,Product_Master!$F$2:$F$11)</f>
        <v>18</v>
      </c>
    </row>
    <row r="101" spans="1:19" x14ac:dyDescent="0.3">
      <c r="A101" t="s">
        <v>234</v>
      </c>
      <c r="B101" s="23" t="s">
        <v>39</v>
      </c>
      <c r="C101" t="s">
        <v>187</v>
      </c>
      <c r="D101" t="s">
        <v>123</v>
      </c>
      <c r="E101" t="s">
        <v>64</v>
      </c>
      <c r="F101" t="s">
        <v>65</v>
      </c>
      <c r="G101">
        <v>30</v>
      </c>
      <c r="H101" s="4">
        <v>36.43</v>
      </c>
      <c r="I101" s="8">
        <v>1092.9000000000001</v>
      </c>
      <c r="J101">
        <v>61.97</v>
      </c>
      <c r="K101">
        <v>280.93</v>
      </c>
      <c r="L101" t="s">
        <v>44</v>
      </c>
      <c r="M101" t="s">
        <v>31</v>
      </c>
      <c r="N101" t="s">
        <v>32</v>
      </c>
      <c r="O101" s="5">
        <f>Table14[[#This Row],[Profit]]/Table14[[#This Row],[Total_Sales]]</f>
        <v>0.25705005032482386</v>
      </c>
      <c r="P101" s="23">
        <f>DATE(YEAR(Table14[[#This Row],[Order_Date]]), MONTH(Table14[[#This Row],[Order_Date]]), 1)</f>
        <v>45566</v>
      </c>
      <c r="Q101" t="str">
        <f>_xlfn.XLOOKUP(Table14[[#This Row],[Product]],Product_Master!$B$2:$B$11,Product_Master!$D$2:$D$11)</f>
        <v>SoftWeave</v>
      </c>
      <c r="R101" t="str">
        <f>_xlfn.XLOOKUP(Table14[[#This Row],[Product]],Product_Master!$B$2:$B$11,Product_Master!$E$2:$E$11)</f>
        <v>Turkey</v>
      </c>
      <c r="S101">
        <f>_xlfn.XLOOKUP(Table14[[#This Row],[Product]],Product_Master!$B$2:$B$11,Product_Master!$F$2:$F$11)</f>
        <v>25</v>
      </c>
    </row>
    <row r="102" spans="1:19" x14ac:dyDescent="0.3">
      <c r="A102" t="s">
        <v>235</v>
      </c>
      <c r="B102" s="23" t="s">
        <v>56</v>
      </c>
      <c r="C102" t="s">
        <v>212</v>
      </c>
      <c r="D102" t="s">
        <v>36</v>
      </c>
      <c r="E102" t="s">
        <v>73</v>
      </c>
      <c r="F102" t="s">
        <v>43</v>
      </c>
      <c r="G102">
        <v>9</v>
      </c>
      <c r="H102" s="4">
        <v>22.27</v>
      </c>
      <c r="I102" s="8">
        <v>200.43</v>
      </c>
      <c r="J102">
        <v>13.21</v>
      </c>
      <c r="K102">
        <v>72.47</v>
      </c>
      <c r="L102" t="s">
        <v>30</v>
      </c>
      <c r="M102" t="s">
        <v>31</v>
      </c>
      <c r="N102" t="s">
        <v>32</v>
      </c>
      <c r="O102" s="5">
        <f>Table14[[#This Row],[Profit]]/Table14[[#This Row],[Total_Sales]]</f>
        <v>0.36157261886943071</v>
      </c>
      <c r="P102" s="23">
        <f>DATE(YEAR(Table14[[#This Row],[Order_Date]]), MONTH(Table14[[#This Row],[Order_Date]]), 1)</f>
        <v>45444</v>
      </c>
      <c r="Q102" t="str">
        <f>_xlfn.XLOOKUP(Table14[[#This Row],[Product]],Product_Master!$B$2:$B$11,Product_Master!$D$2:$D$11)</f>
        <v>BrightHome</v>
      </c>
      <c r="R102" t="str">
        <f>_xlfn.XLOOKUP(Table14[[#This Row],[Product]],Product_Master!$B$2:$B$11,Product_Master!$E$2:$E$11)</f>
        <v>Vietnam</v>
      </c>
      <c r="S102">
        <f>_xlfn.XLOOKUP(Table14[[#This Row],[Product]],Product_Master!$B$2:$B$11,Product_Master!$F$2:$F$11)</f>
        <v>12.75</v>
      </c>
    </row>
    <row r="103" spans="1:19" x14ac:dyDescent="0.3">
      <c r="A103" t="s">
        <v>236</v>
      </c>
      <c r="B103" s="23" t="s">
        <v>68</v>
      </c>
      <c r="C103" t="s">
        <v>117</v>
      </c>
      <c r="D103" t="s">
        <v>147</v>
      </c>
      <c r="E103" t="s">
        <v>69</v>
      </c>
      <c r="F103" t="s">
        <v>59</v>
      </c>
      <c r="G103">
        <v>26</v>
      </c>
      <c r="H103" s="4">
        <v>27.65</v>
      </c>
      <c r="I103" s="8">
        <v>718.9</v>
      </c>
      <c r="J103">
        <v>46.25</v>
      </c>
      <c r="K103">
        <v>269.64999999999998</v>
      </c>
      <c r="L103" t="s">
        <v>30</v>
      </c>
      <c r="M103" t="s">
        <v>37</v>
      </c>
      <c r="N103" t="s">
        <v>148</v>
      </c>
      <c r="O103" s="5">
        <f>Table14[[#This Row],[Profit]]/Table14[[#This Row],[Total_Sales]]</f>
        <v>0.37508693837807761</v>
      </c>
      <c r="P103" s="23">
        <f>DATE(YEAR(Table14[[#This Row],[Order_Date]]), MONTH(Table14[[#This Row],[Order_Date]]), 1)</f>
        <v>45536</v>
      </c>
      <c r="Q103" t="str">
        <f>_xlfn.XLOOKUP(Table14[[#This Row],[Product]],Product_Master!$B$2:$B$11,Product_Master!$D$2:$D$11)</f>
        <v>Artisans Co.</v>
      </c>
      <c r="R103" t="str">
        <f>_xlfn.XLOOKUP(Table14[[#This Row],[Product]],Product_Master!$B$2:$B$11,Product_Master!$E$2:$E$11)</f>
        <v>India</v>
      </c>
      <c r="S103">
        <f>_xlfn.XLOOKUP(Table14[[#This Row],[Product]],Product_Master!$B$2:$B$11,Product_Master!$F$2:$F$11)</f>
        <v>15.5</v>
      </c>
    </row>
    <row r="104" spans="1:19" x14ac:dyDescent="0.3">
      <c r="A104" t="s">
        <v>237</v>
      </c>
      <c r="B104" s="23" t="s">
        <v>95</v>
      </c>
      <c r="C104" t="s">
        <v>208</v>
      </c>
      <c r="D104" t="s">
        <v>28</v>
      </c>
      <c r="E104" t="s">
        <v>69</v>
      </c>
      <c r="F104" t="s">
        <v>59</v>
      </c>
      <c r="G104">
        <v>23</v>
      </c>
      <c r="H104" s="4">
        <v>22.45</v>
      </c>
      <c r="I104" s="8">
        <v>516.35</v>
      </c>
      <c r="J104">
        <v>15.68</v>
      </c>
      <c r="K104">
        <v>144.16999999999999</v>
      </c>
      <c r="L104" t="s">
        <v>44</v>
      </c>
      <c r="M104" t="s">
        <v>37</v>
      </c>
      <c r="N104" t="s">
        <v>32</v>
      </c>
      <c r="O104" s="5">
        <f>Table14[[#This Row],[Profit]]/Table14[[#This Row],[Total_Sales]]</f>
        <v>0.2792098382879829</v>
      </c>
      <c r="P104" s="23">
        <f>DATE(YEAR(Table14[[#This Row],[Order_Date]]), MONTH(Table14[[#This Row],[Order_Date]]), 1)</f>
        <v>45474</v>
      </c>
      <c r="Q104" t="str">
        <f>_xlfn.XLOOKUP(Table14[[#This Row],[Product]],Product_Master!$B$2:$B$11,Product_Master!$D$2:$D$11)</f>
        <v>Artisans Co.</v>
      </c>
      <c r="R104" t="str">
        <f>_xlfn.XLOOKUP(Table14[[#This Row],[Product]],Product_Master!$B$2:$B$11,Product_Master!$E$2:$E$11)</f>
        <v>India</v>
      </c>
      <c r="S104">
        <f>_xlfn.XLOOKUP(Table14[[#This Row],[Product]],Product_Master!$B$2:$B$11,Product_Master!$F$2:$F$11)</f>
        <v>15.5</v>
      </c>
    </row>
    <row r="105" spans="1:19" x14ac:dyDescent="0.3">
      <c r="A105" t="s">
        <v>238</v>
      </c>
      <c r="B105" s="23" t="s">
        <v>71</v>
      </c>
      <c r="C105" t="s">
        <v>141</v>
      </c>
      <c r="D105" t="s">
        <v>28</v>
      </c>
      <c r="E105" t="s">
        <v>69</v>
      </c>
      <c r="F105" t="s">
        <v>59</v>
      </c>
      <c r="G105">
        <v>30</v>
      </c>
      <c r="H105" s="4">
        <v>21.93</v>
      </c>
      <c r="I105" s="8">
        <v>657.9</v>
      </c>
      <c r="J105">
        <v>24.66</v>
      </c>
      <c r="K105">
        <v>168.24</v>
      </c>
      <c r="L105" t="s">
        <v>30</v>
      </c>
      <c r="M105" t="s">
        <v>23</v>
      </c>
      <c r="N105" t="s">
        <v>32</v>
      </c>
      <c r="O105" s="5">
        <f>Table14[[#This Row],[Profit]]/Table14[[#This Row],[Total_Sales]]</f>
        <v>0.25572275421796625</v>
      </c>
      <c r="P105" s="23">
        <f>DATE(YEAR(Table14[[#This Row],[Order_Date]]), MONTH(Table14[[#This Row],[Order_Date]]), 1)</f>
        <v>45505</v>
      </c>
      <c r="Q105" t="str">
        <f>_xlfn.XLOOKUP(Table14[[#This Row],[Product]],Product_Master!$B$2:$B$11,Product_Master!$D$2:$D$11)</f>
        <v>Artisans Co.</v>
      </c>
      <c r="R105" t="str">
        <f>_xlfn.XLOOKUP(Table14[[#This Row],[Product]],Product_Master!$B$2:$B$11,Product_Master!$E$2:$E$11)</f>
        <v>India</v>
      </c>
      <c r="S105">
        <f>_xlfn.XLOOKUP(Table14[[#This Row],[Product]],Product_Master!$B$2:$B$11,Product_Master!$F$2:$F$11)</f>
        <v>15.5</v>
      </c>
    </row>
    <row r="106" spans="1:19" x14ac:dyDescent="0.3">
      <c r="A106" t="s">
        <v>239</v>
      </c>
      <c r="B106" s="23" t="s">
        <v>68</v>
      </c>
      <c r="C106" t="s">
        <v>240</v>
      </c>
      <c r="D106" t="s">
        <v>81</v>
      </c>
      <c r="E106" t="s">
        <v>73</v>
      </c>
      <c r="F106" t="s">
        <v>43</v>
      </c>
      <c r="G106">
        <v>43</v>
      </c>
      <c r="H106" s="4">
        <v>21.92</v>
      </c>
      <c r="I106" s="8">
        <v>942.56</v>
      </c>
      <c r="J106">
        <v>51.15</v>
      </c>
      <c r="K106">
        <v>343.16</v>
      </c>
      <c r="L106" t="s">
        <v>22</v>
      </c>
      <c r="M106" t="s">
        <v>37</v>
      </c>
      <c r="N106" t="s">
        <v>66</v>
      </c>
      <c r="O106" s="5">
        <f>Table14[[#This Row],[Profit]]/Table14[[#This Row],[Total_Sales]]</f>
        <v>0.36407231369886273</v>
      </c>
      <c r="P106" s="23">
        <f>DATE(YEAR(Table14[[#This Row],[Order_Date]]), MONTH(Table14[[#This Row],[Order_Date]]), 1)</f>
        <v>45536</v>
      </c>
      <c r="Q106" t="str">
        <f>_xlfn.XLOOKUP(Table14[[#This Row],[Product]],Product_Master!$B$2:$B$11,Product_Master!$D$2:$D$11)</f>
        <v>BrightHome</v>
      </c>
      <c r="R106" t="str">
        <f>_xlfn.XLOOKUP(Table14[[#This Row],[Product]],Product_Master!$B$2:$B$11,Product_Master!$E$2:$E$11)</f>
        <v>Vietnam</v>
      </c>
      <c r="S106">
        <f>_xlfn.XLOOKUP(Table14[[#This Row],[Product]],Product_Master!$B$2:$B$11,Product_Master!$F$2:$F$11)</f>
        <v>12.75</v>
      </c>
    </row>
    <row r="107" spans="1:19" x14ac:dyDescent="0.3">
      <c r="A107" t="s">
        <v>241</v>
      </c>
      <c r="B107" s="23" t="s">
        <v>26</v>
      </c>
      <c r="C107" t="s">
        <v>72</v>
      </c>
      <c r="D107" t="s">
        <v>41</v>
      </c>
      <c r="E107" t="s">
        <v>49</v>
      </c>
      <c r="F107" t="s">
        <v>50</v>
      </c>
      <c r="G107">
        <v>3</v>
      </c>
      <c r="H107" s="4">
        <v>56.21</v>
      </c>
      <c r="I107" s="8">
        <v>168.63</v>
      </c>
      <c r="J107">
        <v>7.56</v>
      </c>
      <c r="K107">
        <v>41.07</v>
      </c>
      <c r="L107" t="s">
        <v>44</v>
      </c>
      <c r="M107" t="s">
        <v>23</v>
      </c>
      <c r="N107" t="s">
        <v>45</v>
      </c>
      <c r="O107" s="5">
        <f>Table14[[#This Row],[Profit]]/Table14[[#This Row],[Total_Sales]]</f>
        <v>0.24355096957836686</v>
      </c>
      <c r="P107" s="23">
        <f>DATE(YEAR(Table14[[#This Row],[Order_Date]]), MONTH(Table14[[#This Row],[Order_Date]]), 1)</f>
        <v>45689</v>
      </c>
      <c r="Q107" t="str">
        <f>_xlfn.XLOOKUP(Table14[[#This Row],[Product]],Product_Master!$B$2:$B$11,Product_Master!$D$2:$D$11)</f>
        <v>BlueWear</v>
      </c>
      <c r="R107" t="str">
        <f>_xlfn.XLOOKUP(Table14[[#This Row],[Product]],Product_Master!$B$2:$B$11,Product_Master!$E$2:$E$11)</f>
        <v>Bangladesh</v>
      </c>
      <c r="S107">
        <f>_xlfn.XLOOKUP(Table14[[#This Row],[Product]],Product_Master!$B$2:$B$11,Product_Master!$F$2:$F$11)</f>
        <v>40</v>
      </c>
    </row>
    <row r="108" spans="1:19" x14ac:dyDescent="0.3">
      <c r="A108" t="s">
        <v>242</v>
      </c>
      <c r="B108" s="23" t="s">
        <v>34</v>
      </c>
      <c r="C108" t="s">
        <v>18</v>
      </c>
      <c r="D108" t="s">
        <v>36</v>
      </c>
      <c r="E108" t="s">
        <v>73</v>
      </c>
      <c r="F108" t="s">
        <v>43</v>
      </c>
      <c r="G108">
        <v>33</v>
      </c>
      <c r="H108" s="4">
        <v>15.44</v>
      </c>
      <c r="I108" s="8">
        <v>509.52</v>
      </c>
      <c r="J108">
        <v>19.7</v>
      </c>
      <c r="K108">
        <v>69.069999999999993</v>
      </c>
      <c r="L108" t="s">
        <v>22</v>
      </c>
      <c r="M108" t="s">
        <v>37</v>
      </c>
      <c r="N108" t="s">
        <v>32</v>
      </c>
      <c r="O108" s="5">
        <f>Table14[[#This Row],[Profit]]/Table14[[#This Row],[Total_Sales]]</f>
        <v>0.13555895745014915</v>
      </c>
      <c r="P108" s="23">
        <f>DATE(YEAR(Table14[[#This Row],[Order_Date]]), MONTH(Table14[[#This Row],[Order_Date]]), 1)</f>
        <v>45383</v>
      </c>
      <c r="Q108" t="str">
        <f>_xlfn.XLOOKUP(Table14[[#This Row],[Product]],Product_Master!$B$2:$B$11,Product_Master!$D$2:$D$11)</f>
        <v>BrightHome</v>
      </c>
      <c r="R108" t="str">
        <f>_xlfn.XLOOKUP(Table14[[#This Row],[Product]],Product_Master!$B$2:$B$11,Product_Master!$E$2:$E$11)</f>
        <v>Vietnam</v>
      </c>
      <c r="S108">
        <f>_xlfn.XLOOKUP(Table14[[#This Row],[Product]],Product_Master!$B$2:$B$11,Product_Master!$F$2:$F$11)</f>
        <v>12.75</v>
      </c>
    </row>
    <row r="109" spans="1:19" x14ac:dyDescent="0.3">
      <c r="A109" t="s">
        <v>243</v>
      </c>
      <c r="B109" s="23" t="s">
        <v>68</v>
      </c>
      <c r="C109" t="s">
        <v>110</v>
      </c>
      <c r="D109" t="s">
        <v>101</v>
      </c>
      <c r="E109" t="s">
        <v>69</v>
      </c>
      <c r="F109" t="s">
        <v>59</v>
      </c>
      <c r="G109">
        <v>50</v>
      </c>
      <c r="H109" s="4">
        <v>23.02</v>
      </c>
      <c r="I109" s="8">
        <v>1151</v>
      </c>
      <c r="J109">
        <v>69.3</v>
      </c>
      <c r="K109">
        <v>306.7</v>
      </c>
      <c r="L109" t="s">
        <v>30</v>
      </c>
      <c r="M109" t="s">
        <v>31</v>
      </c>
      <c r="N109" t="s">
        <v>102</v>
      </c>
      <c r="O109" s="5">
        <f>Table14[[#This Row],[Profit]]/Table14[[#This Row],[Total_Sales]]</f>
        <v>0.26646394439617721</v>
      </c>
      <c r="P109" s="23">
        <f>DATE(YEAR(Table14[[#This Row],[Order_Date]]), MONTH(Table14[[#This Row],[Order_Date]]), 1)</f>
        <v>45536</v>
      </c>
      <c r="Q109" t="str">
        <f>_xlfn.XLOOKUP(Table14[[#This Row],[Product]],Product_Master!$B$2:$B$11,Product_Master!$D$2:$D$11)</f>
        <v>Artisans Co.</v>
      </c>
      <c r="R109" t="str">
        <f>_xlfn.XLOOKUP(Table14[[#This Row],[Product]],Product_Master!$B$2:$B$11,Product_Master!$E$2:$E$11)</f>
        <v>India</v>
      </c>
      <c r="S109">
        <f>_xlfn.XLOOKUP(Table14[[#This Row],[Product]],Product_Master!$B$2:$B$11,Product_Master!$F$2:$F$11)</f>
        <v>15.5</v>
      </c>
    </row>
    <row r="110" spans="1:19" x14ac:dyDescent="0.3">
      <c r="A110" t="s">
        <v>244</v>
      </c>
      <c r="B110" s="23" t="s">
        <v>86</v>
      </c>
      <c r="C110" t="s">
        <v>245</v>
      </c>
      <c r="D110" t="s">
        <v>41</v>
      </c>
      <c r="E110" t="s">
        <v>73</v>
      </c>
      <c r="F110" t="s">
        <v>43</v>
      </c>
      <c r="G110">
        <v>8</v>
      </c>
      <c r="H110" s="4">
        <v>17.010000000000002</v>
      </c>
      <c r="I110" s="8">
        <v>136.08000000000001</v>
      </c>
      <c r="J110">
        <v>8.84</v>
      </c>
      <c r="K110">
        <v>25.24</v>
      </c>
      <c r="L110" t="s">
        <v>22</v>
      </c>
      <c r="M110" t="s">
        <v>37</v>
      </c>
      <c r="N110" t="s">
        <v>45</v>
      </c>
      <c r="O110" s="5">
        <f>Table14[[#This Row],[Profit]]/Table14[[#This Row],[Total_Sales]]</f>
        <v>0.18547912992357435</v>
      </c>
      <c r="P110" s="23">
        <f>DATE(YEAR(Table14[[#This Row],[Order_Date]]), MONTH(Table14[[#This Row],[Order_Date]]), 1)</f>
        <v>45352</v>
      </c>
      <c r="Q110" t="str">
        <f>_xlfn.XLOOKUP(Table14[[#This Row],[Product]],Product_Master!$B$2:$B$11,Product_Master!$D$2:$D$11)</f>
        <v>BrightHome</v>
      </c>
      <c r="R110" t="str">
        <f>_xlfn.XLOOKUP(Table14[[#This Row],[Product]],Product_Master!$B$2:$B$11,Product_Master!$E$2:$E$11)</f>
        <v>Vietnam</v>
      </c>
      <c r="S110">
        <f>_xlfn.XLOOKUP(Table14[[#This Row],[Product]],Product_Master!$B$2:$B$11,Product_Master!$F$2:$F$11)</f>
        <v>12.75</v>
      </c>
    </row>
    <row r="111" spans="1:19" x14ac:dyDescent="0.3">
      <c r="A111" t="s">
        <v>246</v>
      </c>
      <c r="B111" s="23" t="s">
        <v>39</v>
      </c>
      <c r="C111" t="s">
        <v>208</v>
      </c>
      <c r="D111" t="s">
        <v>123</v>
      </c>
      <c r="E111" t="s">
        <v>29</v>
      </c>
      <c r="F111" t="s">
        <v>21</v>
      </c>
      <c r="G111">
        <v>16</v>
      </c>
      <c r="H111" s="4">
        <v>26.47</v>
      </c>
      <c r="I111" s="8">
        <v>423.52</v>
      </c>
      <c r="J111">
        <v>15.87</v>
      </c>
      <c r="K111">
        <v>119.65</v>
      </c>
      <c r="L111" t="s">
        <v>30</v>
      </c>
      <c r="M111" t="s">
        <v>23</v>
      </c>
      <c r="N111" t="s">
        <v>32</v>
      </c>
      <c r="O111" s="5">
        <f>Table14[[#This Row],[Profit]]/Table14[[#This Row],[Total_Sales]]</f>
        <v>0.28251322251605593</v>
      </c>
      <c r="P111" s="23">
        <f>DATE(YEAR(Table14[[#This Row],[Order_Date]]), MONTH(Table14[[#This Row],[Order_Date]]), 1)</f>
        <v>45566</v>
      </c>
      <c r="Q111" t="str">
        <f>_xlfn.XLOOKUP(Table14[[#This Row],[Product]],Product_Master!$B$2:$B$11,Product_Master!$D$2:$D$11)</f>
        <v>CraftLine</v>
      </c>
      <c r="R111" t="str">
        <f>_xlfn.XLOOKUP(Table14[[#This Row],[Product]],Product_Master!$B$2:$B$11,Product_Master!$E$2:$E$11)</f>
        <v>Italy</v>
      </c>
      <c r="S111">
        <f>_xlfn.XLOOKUP(Table14[[#This Row],[Product]],Product_Master!$B$2:$B$11,Product_Master!$F$2:$F$11)</f>
        <v>18</v>
      </c>
    </row>
    <row r="112" spans="1:19" x14ac:dyDescent="0.3">
      <c r="A112" t="s">
        <v>247</v>
      </c>
      <c r="B112" s="23" t="s">
        <v>68</v>
      </c>
      <c r="C112" t="s">
        <v>189</v>
      </c>
      <c r="D112" t="s">
        <v>41</v>
      </c>
      <c r="E112" t="s">
        <v>42</v>
      </c>
      <c r="F112" t="s">
        <v>43</v>
      </c>
      <c r="G112">
        <v>32</v>
      </c>
      <c r="H112" s="4">
        <v>43.18</v>
      </c>
      <c r="I112" s="8">
        <v>1381.76</v>
      </c>
      <c r="J112">
        <v>88.54</v>
      </c>
      <c r="K112">
        <v>269.22000000000003</v>
      </c>
      <c r="L112" t="s">
        <v>30</v>
      </c>
      <c r="M112" t="s">
        <v>37</v>
      </c>
      <c r="N112" t="s">
        <v>45</v>
      </c>
      <c r="O112" s="5">
        <f>Table14[[#This Row],[Profit]]/Table14[[#This Row],[Total_Sales]]</f>
        <v>0.19483846688281614</v>
      </c>
      <c r="P112" s="23">
        <f>DATE(YEAR(Table14[[#This Row],[Order_Date]]), MONTH(Table14[[#This Row],[Order_Date]]), 1)</f>
        <v>45536</v>
      </c>
      <c r="Q112" t="str">
        <f>_xlfn.XLOOKUP(Table14[[#This Row],[Product]],Product_Master!$B$2:$B$11,Product_Master!$D$2:$D$11)</f>
        <v>AudioTech Ltd.</v>
      </c>
      <c r="R112" t="str">
        <f>_xlfn.XLOOKUP(Table14[[#This Row],[Product]],Product_Master!$B$2:$B$11,Product_Master!$E$2:$E$11)</f>
        <v>China</v>
      </c>
      <c r="S112">
        <f>_xlfn.XLOOKUP(Table14[[#This Row],[Product]],Product_Master!$B$2:$B$11,Product_Master!$F$2:$F$11)</f>
        <v>32</v>
      </c>
    </row>
    <row r="113" spans="1:19" x14ac:dyDescent="0.3">
      <c r="A113" t="s">
        <v>248</v>
      </c>
      <c r="B113" s="23" t="s">
        <v>56</v>
      </c>
      <c r="C113" t="s">
        <v>127</v>
      </c>
      <c r="D113" t="s">
        <v>147</v>
      </c>
      <c r="E113" t="s">
        <v>69</v>
      </c>
      <c r="F113" t="s">
        <v>59</v>
      </c>
      <c r="G113">
        <v>29</v>
      </c>
      <c r="H113" s="4">
        <v>18.850000000000001</v>
      </c>
      <c r="I113" s="8">
        <v>546.65</v>
      </c>
      <c r="J113">
        <v>13.22</v>
      </c>
      <c r="K113">
        <v>83.93</v>
      </c>
      <c r="L113" t="s">
        <v>22</v>
      </c>
      <c r="M113" t="s">
        <v>37</v>
      </c>
      <c r="N113" t="s">
        <v>148</v>
      </c>
      <c r="O113" s="5">
        <f>Table14[[#This Row],[Profit]]/Table14[[#This Row],[Total_Sales]]</f>
        <v>0.153535168755145</v>
      </c>
      <c r="P113" s="23">
        <f>DATE(YEAR(Table14[[#This Row],[Order_Date]]), MONTH(Table14[[#This Row],[Order_Date]]), 1)</f>
        <v>45444</v>
      </c>
      <c r="Q113" t="str">
        <f>_xlfn.XLOOKUP(Table14[[#This Row],[Product]],Product_Master!$B$2:$B$11,Product_Master!$D$2:$D$11)</f>
        <v>Artisans Co.</v>
      </c>
      <c r="R113" t="str">
        <f>_xlfn.XLOOKUP(Table14[[#This Row],[Product]],Product_Master!$B$2:$B$11,Product_Master!$E$2:$E$11)</f>
        <v>India</v>
      </c>
      <c r="S113">
        <f>_xlfn.XLOOKUP(Table14[[#This Row],[Product]],Product_Master!$B$2:$B$11,Product_Master!$F$2:$F$11)</f>
        <v>15.5</v>
      </c>
    </row>
    <row r="114" spans="1:19" x14ac:dyDescent="0.3">
      <c r="A114" t="s">
        <v>249</v>
      </c>
      <c r="B114" s="23" t="s">
        <v>17</v>
      </c>
      <c r="C114" t="s">
        <v>250</v>
      </c>
      <c r="D114" t="s">
        <v>123</v>
      </c>
      <c r="E114" t="s">
        <v>49</v>
      </c>
      <c r="F114" t="s">
        <v>50</v>
      </c>
      <c r="G114">
        <v>16</v>
      </c>
      <c r="H114" s="4">
        <v>64.400000000000006</v>
      </c>
      <c r="I114" s="8">
        <v>1030.4000000000001</v>
      </c>
      <c r="J114">
        <v>61.72</v>
      </c>
      <c r="K114">
        <v>328.68</v>
      </c>
      <c r="L114" t="s">
        <v>30</v>
      </c>
      <c r="M114" t="s">
        <v>31</v>
      </c>
      <c r="N114" t="s">
        <v>32</v>
      </c>
      <c r="O114" s="5">
        <f>Table14[[#This Row],[Profit]]/Table14[[#This Row],[Total_Sales]]</f>
        <v>0.31898291925465838</v>
      </c>
      <c r="P114" s="23">
        <f>DATE(YEAR(Table14[[#This Row],[Order_Date]]), MONTH(Table14[[#This Row],[Order_Date]]), 1)</f>
        <v>45658</v>
      </c>
      <c r="Q114" t="str">
        <f>_xlfn.XLOOKUP(Table14[[#This Row],[Product]],Product_Master!$B$2:$B$11,Product_Master!$D$2:$D$11)</f>
        <v>BlueWear</v>
      </c>
      <c r="R114" t="str">
        <f>_xlfn.XLOOKUP(Table14[[#This Row],[Product]],Product_Master!$B$2:$B$11,Product_Master!$E$2:$E$11)</f>
        <v>Bangladesh</v>
      </c>
      <c r="S114">
        <f>_xlfn.XLOOKUP(Table14[[#This Row],[Product]],Product_Master!$B$2:$B$11,Product_Master!$F$2:$F$11)</f>
        <v>40</v>
      </c>
    </row>
    <row r="115" spans="1:19" x14ac:dyDescent="0.3">
      <c r="A115" t="s">
        <v>251</v>
      </c>
      <c r="B115" s="23" t="s">
        <v>132</v>
      </c>
      <c r="C115" t="s">
        <v>252</v>
      </c>
      <c r="D115" t="s">
        <v>81</v>
      </c>
      <c r="E115" t="s">
        <v>69</v>
      </c>
      <c r="F115" t="s">
        <v>59</v>
      </c>
      <c r="G115">
        <v>15</v>
      </c>
      <c r="H115" s="4">
        <v>19.53</v>
      </c>
      <c r="I115" s="8">
        <v>292.95</v>
      </c>
      <c r="J115">
        <v>7.15</v>
      </c>
      <c r="K115">
        <v>53.3</v>
      </c>
      <c r="L115" t="s">
        <v>44</v>
      </c>
      <c r="M115" t="s">
        <v>31</v>
      </c>
      <c r="N115" t="s">
        <v>66</v>
      </c>
      <c r="O115" s="5">
        <f>Table14[[#This Row],[Profit]]/Table14[[#This Row],[Total_Sales]]</f>
        <v>0.18194231097456903</v>
      </c>
      <c r="P115" s="23">
        <f>DATE(YEAR(Table14[[#This Row],[Order_Date]]), MONTH(Table14[[#This Row],[Order_Date]]), 1)</f>
        <v>45597</v>
      </c>
      <c r="Q115" t="str">
        <f>_xlfn.XLOOKUP(Table14[[#This Row],[Product]],Product_Master!$B$2:$B$11,Product_Master!$D$2:$D$11)</f>
        <v>Artisans Co.</v>
      </c>
      <c r="R115" t="str">
        <f>_xlfn.XLOOKUP(Table14[[#This Row],[Product]],Product_Master!$B$2:$B$11,Product_Master!$E$2:$E$11)</f>
        <v>India</v>
      </c>
      <c r="S115">
        <f>_xlfn.XLOOKUP(Table14[[#This Row],[Product]],Product_Master!$B$2:$B$11,Product_Master!$F$2:$F$11)</f>
        <v>15.5</v>
      </c>
    </row>
    <row r="116" spans="1:19" x14ac:dyDescent="0.3">
      <c r="A116" t="s">
        <v>253</v>
      </c>
      <c r="B116" s="23" t="s">
        <v>95</v>
      </c>
      <c r="C116" t="s">
        <v>130</v>
      </c>
      <c r="D116" t="s">
        <v>170</v>
      </c>
      <c r="E116" t="s">
        <v>54</v>
      </c>
      <c r="F116" t="s">
        <v>43</v>
      </c>
      <c r="G116">
        <v>36</v>
      </c>
      <c r="H116" s="4">
        <v>26.05</v>
      </c>
      <c r="I116" s="8">
        <v>937.8</v>
      </c>
      <c r="J116">
        <v>32.799999999999997</v>
      </c>
      <c r="K116">
        <v>185</v>
      </c>
      <c r="L116" t="s">
        <v>22</v>
      </c>
      <c r="M116" t="s">
        <v>37</v>
      </c>
      <c r="N116" t="s">
        <v>32</v>
      </c>
      <c r="O116" s="5">
        <f>Table14[[#This Row],[Profit]]/Table14[[#This Row],[Total_Sales]]</f>
        <v>0.19727020686713587</v>
      </c>
      <c r="P116" s="23">
        <f>DATE(YEAR(Table14[[#This Row],[Order_Date]]), MONTH(Table14[[#This Row],[Order_Date]]), 1)</f>
        <v>45474</v>
      </c>
      <c r="Q116" t="str">
        <f>_xlfn.XLOOKUP(Table14[[#This Row],[Product]],Product_Master!$B$2:$B$11,Product_Master!$D$2:$D$11)</f>
        <v>ClickTech</v>
      </c>
      <c r="R116" t="str">
        <f>_xlfn.XLOOKUP(Table14[[#This Row],[Product]],Product_Master!$B$2:$B$11,Product_Master!$E$2:$E$11)</f>
        <v>China</v>
      </c>
      <c r="S116">
        <f>_xlfn.XLOOKUP(Table14[[#This Row],[Product]],Product_Master!$B$2:$B$11,Product_Master!$F$2:$F$11)</f>
        <v>20</v>
      </c>
    </row>
    <row r="117" spans="1:19" x14ac:dyDescent="0.3">
      <c r="A117" t="s">
        <v>254</v>
      </c>
      <c r="B117" s="23" t="s">
        <v>83</v>
      </c>
      <c r="C117" t="s">
        <v>62</v>
      </c>
      <c r="D117" t="s">
        <v>101</v>
      </c>
      <c r="E117" t="s">
        <v>42</v>
      </c>
      <c r="F117" t="s">
        <v>43</v>
      </c>
      <c r="G117">
        <v>26</v>
      </c>
      <c r="H117" s="4">
        <v>47.52</v>
      </c>
      <c r="I117" s="8">
        <v>1235.52</v>
      </c>
      <c r="J117">
        <v>31.41</v>
      </c>
      <c r="K117">
        <v>372.11</v>
      </c>
      <c r="L117" t="s">
        <v>30</v>
      </c>
      <c r="M117" t="s">
        <v>23</v>
      </c>
      <c r="N117" t="s">
        <v>102</v>
      </c>
      <c r="O117" s="5">
        <f>Table14[[#This Row],[Profit]]/Table14[[#This Row],[Total_Sales]]</f>
        <v>0.30117683242683246</v>
      </c>
      <c r="P117" s="23">
        <f>DATE(YEAR(Table14[[#This Row],[Order_Date]]), MONTH(Table14[[#This Row],[Order_Date]]), 1)</f>
        <v>45323</v>
      </c>
      <c r="Q117" t="str">
        <f>_xlfn.XLOOKUP(Table14[[#This Row],[Product]],Product_Master!$B$2:$B$11,Product_Master!$D$2:$D$11)</f>
        <v>AudioTech Ltd.</v>
      </c>
      <c r="R117" t="str">
        <f>_xlfn.XLOOKUP(Table14[[#This Row],[Product]],Product_Master!$B$2:$B$11,Product_Master!$E$2:$E$11)</f>
        <v>China</v>
      </c>
      <c r="S117">
        <f>_xlfn.XLOOKUP(Table14[[#This Row],[Product]],Product_Master!$B$2:$B$11,Product_Master!$F$2:$F$11)</f>
        <v>32</v>
      </c>
    </row>
    <row r="118" spans="1:19" x14ac:dyDescent="0.3">
      <c r="A118" t="s">
        <v>255</v>
      </c>
      <c r="B118" s="23" t="s">
        <v>68</v>
      </c>
      <c r="C118" t="s">
        <v>230</v>
      </c>
      <c r="D118" t="s">
        <v>123</v>
      </c>
      <c r="E118" t="s">
        <v>29</v>
      </c>
      <c r="F118" t="s">
        <v>21</v>
      </c>
      <c r="G118">
        <v>38</v>
      </c>
      <c r="H118" s="4">
        <v>26.38</v>
      </c>
      <c r="I118" s="8">
        <v>1002.44</v>
      </c>
      <c r="J118">
        <v>33.049999999999997</v>
      </c>
      <c r="K118">
        <v>285.39</v>
      </c>
      <c r="L118" t="s">
        <v>30</v>
      </c>
      <c r="M118" t="s">
        <v>23</v>
      </c>
      <c r="N118" t="s">
        <v>32</v>
      </c>
      <c r="O118" s="5">
        <f>Table14[[#This Row],[Profit]]/Table14[[#This Row],[Total_Sales]]</f>
        <v>0.28469534336219621</v>
      </c>
      <c r="P118" s="23">
        <f>DATE(YEAR(Table14[[#This Row],[Order_Date]]), MONTH(Table14[[#This Row],[Order_Date]]), 1)</f>
        <v>45536</v>
      </c>
      <c r="Q118" t="str">
        <f>_xlfn.XLOOKUP(Table14[[#This Row],[Product]],Product_Master!$B$2:$B$11,Product_Master!$D$2:$D$11)</f>
        <v>CraftLine</v>
      </c>
      <c r="R118" t="str">
        <f>_xlfn.XLOOKUP(Table14[[#This Row],[Product]],Product_Master!$B$2:$B$11,Product_Master!$E$2:$E$11)</f>
        <v>Italy</v>
      </c>
      <c r="S118">
        <f>_xlfn.XLOOKUP(Table14[[#This Row],[Product]],Product_Master!$B$2:$B$11,Product_Master!$F$2:$F$11)</f>
        <v>18</v>
      </c>
    </row>
    <row r="119" spans="1:19" x14ac:dyDescent="0.3">
      <c r="A119" t="s">
        <v>256</v>
      </c>
      <c r="B119" s="23" t="s">
        <v>75</v>
      </c>
      <c r="C119" t="s">
        <v>158</v>
      </c>
      <c r="D119" t="s">
        <v>91</v>
      </c>
      <c r="E119" t="s">
        <v>73</v>
      </c>
      <c r="F119" t="s">
        <v>43</v>
      </c>
      <c r="G119">
        <v>7</v>
      </c>
      <c r="H119" s="4">
        <v>17.66</v>
      </c>
      <c r="I119" s="8">
        <v>123.62</v>
      </c>
      <c r="J119">
        <v>6.95</v>
      </c>
      <c r="K119">
        <v>27.42</v>
      </c>
      <c r="L119" t="s">
        <v>22</v>
      </c>
      <c r="M119" t="s">
        <v>23</v>
      </c>
      <c r="N119" t="s">
        <v>66</v>
      </c>
      <c r="O119" s="5">
        <f>Table14[[#This Row],[Profit]]/Table14[[#This Row],[Total_Sales]]</f>
        <v>0.22180876880763631</v>
      </c>
      <c r="P119" s="23">
        <f>DATE(YEAR(Table14[[#This Row],[Order_Date]]), MONTH(Table14[[#This Row],[Order_Date]]), 1)</f>
        <v>45748</v>
      </c>
      <c r="Q119" t="str">
        <f>_xlfn.XLOOKUP(Table14[[#This Row],[Product]],Product_Master!$B$2:$B$11,Product_Master!$D$2:$D$11)</f>
        <v>BrightHome</v>
      </c>
      <c r="R119" t="str">
        <f>_xlfn.XLOOKUP(Table14[[#This Row],[Product]],Product_Master!$B$2:$B$11,Product_Master!$E$2:$E$11)</f>
        <v>Vietnam</v>
      </c>
      <c r="S119">
        <f>_xlfn.XLOOKUP(Table14[[#This Row],[Product]],Product_Master!$B$2:$B$11,Product_Master!$F$2:$F$11)</f>
        <v>12.75</v>
      </c>
    </row>
    <row r="120" spans="1:19" x14ac:dyDescent="0.3">
      <c r="A120" t="s">
        <v>257</v>
      </c>
      <c r="B120" s="23" t="s">
        <v>132</v>
      </c>
      <c r="C120" t="s">
        <v>161</v>
      </c>
      <c r="D120" t="s">
        <v>147</v>
      </c>
      <c r="E120" t="s">
        <v>20</v>
      </c>
      <c r="F120" t="s">
        <v>21</v>
      </c>
      <c r="G120">
        <v>26</v>
      </c>
      <c r="H120" s="4">
        <v>51.5</v>
      </c>
      <c r="I120" s="8">
        <v>1339</v>
      </c>
      <c r="J120">
        <v>92.09</v>
      </c>
      <c r="K120">
        <v>336.91</v>
      </c>
      <c r="L120" t="s">
        <v>30</v>
      </c>
      <c r="M120" t="s">
        <v>31</v>
      </c>
      <c r="N120" t="s">
        <v>148</v>
      </c>
      <c r="O120" s="5">
        <f>Table14[[#This Row],[Profit]]/Table14[[#This Row],[Total_Sales]]</f>
        <v>0.25161314413741598</v>
      </c>
      <c r="P120" s="23">
        <f>DATE(YEAR(Table14[[#This Row],[Order_Date]]), MONTH(Table14[[#This Row],[Order_Date]]), 1)</f>
        <v>45597</v>
      </c>
      <c r="Q120" t="str">
        <f>_xlfn.XLOOKUP(Table14[[#This Row],[Product]],Product_Master!$B$2:$B$11,Product_Master!$D$2:$D$11)</f>
        <v>CarryPro</v>
      </c>
      <c r="R120" t="str">
        <f>_xlfn.XLOOKUP(Table14[[#This Row],[Product]],Product_Master!$B$2:$B$11,Product_Master!$E$2:$E$11)</f>
        <v>Vietnam</v>
      </c>
      <c r="S120">
        <f>_xlfn.XLOOKUP(Table14[[#This Row],[Product]],Product_Master!$B$2:$B$11,Product_Master!$F$2:$F$11)</f>
        <v>35</v>
      </c>
    </row>
    <row r="121" spans="1:19" x14ac:dyDescent="0.3">
      <c r="A121" t="s">
        <v>258</v>
      </c>
      <c r="B121" s="23" t="s">
        <v>75</v>
      </c>
      <c r="C121" t="s">
        <v>259</v>
      </c>
      <c r="D121" t="s">
        <v>19</v>
      </c>
      <c r="E121" t="s">
        <v>69</v>
      </c>
      <c r="F121" t="s">
        <v>59</v>
      </c>
      <c r="G121">
        <v>27</v>
      </c>
      <c r="H121" s="4">
        <v>25</v>
      </c>
      <c r="I121" s="8">
        <v>675</v>
      </c>
      <c r="J121">
        <v>15.49</v>
      </c>
      <c r="K121">
        <v>241.01</v>
      </c>
      <c r="L121" t="s">
        <v>30</v>
      </c>
      <c r="M121" t="s">
        <v>31</v>
      </c>
      <c r="N121" t="s">
        <v>24</v>
      </c>
      <c r="O121" s="5">
        <f>Table14[[#This Row],[Profit]]/Table14[[#This Row],[Total_Sales]]</f>
        <v>0.35705185185185184</v>
      </c>
      <c r="P121" s="23">
        <f>DATE(YEAR(Table14[[#This Row],[Order_Date]]), MONTH(Table14[[#This Row],[Order_Date]]), 1)</f>
        <v>45748</v>
      </c>
      <c r="Q121" t="str">
        <f>_xlfn.XLOOKUP(Table14[[#This Row],[Product]],Product_Master!$B$2:$B$11,Product_Master!$D$2:$D$11)</f>
        <v>Artisans Co.</v>
      </c>
      <c r="R121" t="str">
        <f>_xlfn.XLOOKUP(Table14[[#This Row],[Product]],Product_Master!$B$2:$B$11,Product_Master!$E$2:$E$11)</f>
        <v>India</v>
      </c>
      <c r="S121">
        <f>_xlfn.XLOOKUP(Table14[[#This Row],[Product]],Product_Master!$B$2:$B$11,Product_Master!$F$2:$F$11)</f>
        <v>15.5</v>
      </c>
    </row>
    <row r="122" spans="1:19" x14ac:dyDescent="0.3">
      <c r="A122" t="s">
        <v>260</v>
      </c>
      <c r="B122" s="23" t="s">
        <v>95</v>
      </c>
      <c r="C122" t="s">
        <v>52</v>
      </c>
      <c r="D122" t="s">
        <v>101</v>
      </c>
      <c r="E122" t="s">
        <v>73</v>
      </c>
      <c r="F122" t="s">
        <v>43</v>
      </c>
      <c r="G122">
        <v>4</v>
      </c>
      <c r="H122" s="4">
        <v>19</v>
      </c>
      <c r="I122" s="8">
        <v>76</v>
      </c>
      <c r="J122">
        <v>3.78</v>
      </c>
      <c r="K122">
        <v>21.22</v>
      </c>
      <c r="L122" t="s">
        <v>30</v>
      </c>
      <c r="M122" t="s">
        <v>37</v>
      </c>
      <c r="N122" t="s">
        <v>102</v>
      </c>
      <c r="O122" s="5">
        <f>Table14[[#This Row],[Profit]]/Table14[[#This Row],[Total_Sales]]</f>
        <v>0.27921052631578946</v>
      </c>
      <c r="P122" s="23">
        <f>DATE(YEAR(Table14[[#This Row],[Order_Date]]), MONTH(Table14[[#This Row],[Order_Date]]), 1)</f>
        <v>45474</v>
      </c>
      <c r="Q122" t="str">
        <f>_xlfn.XLOOKUP(Table14[[#This Row],[Product]],Product_Master!$B$2:$B$11,Product_Master!$D$2:$D$11)</f>
        <v>BrightHome</v>
      </c>
      <c r="R122" t="str">
        <f>_xlfn.XLOOKUP(Table14[[#This Row],[Product]],Product_Master!$B$2:$B$11,Product_Master!$E$2:$E$11)</f>
        <v>Vietnam</v>
      </c>
      <c r="S122">
        <f>_xlfn.XLOOKUP(Table14[[#This Row],[Product]],Product_Master!$B$2:$B$11,Product_Master!$F$2:$F$11)</f>
        <v>12.75</v>
      </c>
    </row>
    <row r="123" spans="1:19" x14ac:dyDescent="0.3">
      <c r="A123" t="s">
        <v>261</v>
      </c>
      <c r="B123" s="23" t="s">
        <v>107</v>
      </c>
      <c r="C123" t="s">
        <v>212</v>
      </c>
      <c r="D123" t="s">
        <v>48</v>
      </c>
      <c r="E123" t="s">
        <v>69</v>
      </c>
      <c r="F123" t="s">
        <v>59</v>
      </c>
      <c r="G123">
        <v>24</v>
      </c>
      <c r="H123" s="4">
        <v>26.63</v>
      </c>
      <c r="I123" s="8">
        <v>639.12</v>
      </c>
      <c r="J123">
        <v>31.92</v>
      </c>
      <c r="K123">
        <v>235.2</v>
      </c>
      <c r="L123" t="s">
        <v>44</v>
      </c>
      <c r="M123" t="s">
        <v>37</v>
      </c>
      <c r="N123" t="s">
        <v>24</v>
      </c>
      <c r="O123" s="5">
        <f>Table14[[#This Row],[Profit]]/Table14[[#This Row],[Total_Sales]]</f>
        <v>0.36800600826135937</v>
      </c>
      <c r="P123" s="23">
        <f>DATE(YEAR(Table14[[#This Row],[Order_Date]]), MONTH(Table14[[#This Row],[Order_Date]]), 1)</f>
        <v>45413</v>
      </c>
      <c r="Q123" t="str">
        <f>_xlfn.XLOOKUP(Table14[[#This Row],[Product]],Product_Master!$B$2:$B$11,Product_Master!$D$2:$D$11)</f>
        <v>Artisans Co.</v>
      </c>
      <c r="R123" t="str">
        <f>_xlfn.XLOOKUP(Table14[[#This Row],[Product]],Product_Master!$B$2:$B$11,Product_Master!$E$2:$E$11)</f>
        <v>India</v>
      </c>
      <c r="S123">
        <f>_xlfn.XLOOKUP(Table14[[#This Row],[Product]],Product_Master!$B$2:$B$11,Product_Master!$F$2:$F$11)</f>
        <v>15.5</v>
      </c>
    </row>
    <row r="124" spans="1:19" x14ac:dyDescent="0.3">
      <c r="A124" t="s">
        <v>262</v>
      </c>
      <c r="B124" s="23" t="s">
        <v>17</v>
      </c>
      <c r="C124" t="s">
        <v>96</v>
      </c>
      <c r="D124" t="s">
        <v>81</v>
      </c>
      <c r="E124" t="s">
        <v>64</v>
      </c>
      <c r="F124" t="s">
        <v>65</v>
      </c>
      <c r="G124">
        <v>26</v>
      </c>
      <c r="H124" s="4">
        <v>43.14</v>
      </c>
      <c r="I124" s="8">
        <v>1121.6400000000001</v>
      </c>
      <c r="J124">
        <v>48.08</v>
      </c>
      <c r="K124">
        <v>423.56</v>
      </c>
      <c r="L124" t="s">
        <v>22</v>
      </c>
      <c r="M124" t="s">
        <v>31</v>
      </c>
      <c r="N124" t="s">
        <v>66</v>
      </c>
      <c r="O124" s="5">
        <f>Table14[[#This Row],[Profit]]/Table14[[#This Row],[Total_Sales]]</f>
        <v>0.37762561962840124</v>
      </c>
      <c r="P124" s="23">
        <f>DATE(YEAR(Table14[[#This Row],[Order_Date]]), MONTH(Table14[[#This Row],[Order_Date]]), 1)</f>
        <v>45658</v>
      </c>
      <c r="Q124" t="str">
        <f>_xlfn.XLOOKUP(Table14[[#This Row],[Product]],Product_Master!$B$2:$B$11,Product_Master!$D$2:$D$11)</f>
        <v>SoftWeave</v>
      </c>
      <c r="R124" t="str">
        <f>_xlfn.XLOOKUP(Table14[[#This Row],[Product]],Product_Master!$B$2:$B$11,Product_Master!$E$2:$E$11)</f>
        <v>Turkey</v>
      </c>
      <c r="S124">
        <f>_xlfn.XLOOKUP(Table14[[#This Row],[Product]],Product_Master!$B$2:$B$11,Product_Master!$F$2:$F$11)</f>
        <v>25</v>
      </c>
    </row>
    <row r="125" spans="1:19" x14ac:dyDescent="0.3">
      <c r="A125" t="s">
        <v>263</v>
      </c>
      <c r="B125" s="23" t="s">
        <v>78</v>
      </c>
      <c r="C125" t="s">
        <v>218</v>
      </c>
      <c r="D125" t="s">
        <v>48</v>
      </c>
      <c r="E125" t="s">
        <v>64</v>
      </c>
      <c r="F125" t="s">
        <v>65</v>
      </c>
      <c r="G125">
        <v>39</v>
      </c>
      <c r="H125" s="4">
        <v>30.01</v>
      </c>
      <c r="I125" s="8">
        <v>1170.3900000000001</v>
      </c>
      <c r="J125">
        <v>60.43</v>
      </c>
      <c r="K125">
        <v>134.96</v>
      </c>
      <c r="L125" t="s">
        <v>30</v>
      </c>
      <c r="M125" t="s">
        <v>23</v>
      </c>
      <c r="N125" t="s">
        <v>24</v>
      </c>
      <c r="O125" s="5">
        <f>Table14[[#This Row],[Profit]]/Table14[[#This Row],[Total_Sales]]</f>
        <v>0.11531199002042054</v>
      </c>
      <c r="P125" s="23">
        <f>DATE(YEAR(Table14[[#This Row],[Order_Date]]), MONTH(Table14[[#This Row],[Order_Date]]), 1)</f>
        <v>45627</v>
      </c>
      <c r="Q125" t="str">
        <f>_xlfn.XLOOKUP(Table14[[#This Row],[Product]],Product_Master!$B$2:$B$11,Product_Master!$D$2:$D$11)</f>
        <v>SoftWeave</v>
      </c>
      <c r="R125" t="str">
        <f>_xlfn.XLOOKUP(Table14[[#This Row],[Product]],Product_Master!$B$2:$B$11,Product_Master!$E$2:$E$11)</f>
        <v>Turkey</v>
      </c>
      <c r="S125">
        <f>_xlfn.XLOOKUP(Table14[[#This Row],[Product]],Product_Master!$B$2:$B$11,Product_Master!$F$2:$F$11)</f>
        <v>25</v>
      </c>
    </row>
    <row r="126" spans="1:19" x14ac:dyDescent="0.3">
      <c r="A126" t="s">
        <v>264</v>
      </c>
      <c r="B126" s="23" t="s">
        <v>78</v>
      </c>
      <c r="C126" t="s">
        <v>265</v>
      </c>
      <c r="D126" t="s">
        <v>170</v>
      </c>
      <c r="E126" t="s">
        <v>58</v>
      </c>
      <c r="F126" t="s">
        <v>59</v>
      </c>
      <c r="G126">
        <v>5</v>
      </c>
      <c r="H126" s="4">
        <v>31.31</v>
      </c>
      <c r="I126" s="8">
        <v>156.55000000000001</v>
      </c>
      <c r="J126">
        <v>4.04</v>
      </c>
      <c r="K126">
        <v>40.01</v>
      </c>
      <c r="L126" t="s">
        <v>44</v>
      </c>
      <c r="M126" t="s">
        <v>37</v>
      </c>
      <c r="N126" t="s">
        <v>32</v>
      </c>
      <c r="O126" s="5">
        <f>Table14[[#This Row],[Profit]]/Table14[[#This Row],[Total_Sales]]</f>
        <v>0.25557329926541039</v>
      </c>
      <c r="P126" s="23">
        <f>DATE(YEAR(Table14[[#This Row],[Order_Date]]), MONTH(Table14[[#This Row],[Order_Date]]), 1)</f>
        <v>45627</v>
      </c>
      <c r="Q126" t="str">
        <f>_xlfn.XLOOKUP(Table14[[#This Row],[Product]],Product_Master!$B$2:$B$11,Product_Master!$D$2:$D$11)</f>
        <v>ClearCraft</v>
      </c>
      <c r="R126" t="str">
        <f>_xlfn.XLOOKUP(Table14[[#This Row],[Product]],Product_Master!$B$2:$B$11,Product_Master!$E$2:$E$11)</f>
        <v>India</v>
      </c>
      <c r="S126">
        <f>_xlfn.XLOOKUP(Table14[[#This Row],[Product]],Product_Master!$B$2:$B$11,Product_Master!$F$2:$F$11)</f>
        <v>22.5</v>
      </c>
    </row>
    <row r="127" spans="1:19" x14ac:dyDescent="0.3">
      <c r="A127" t="s">
        <v>266</v>
      </c>
      <c r="B127" s="23" t="s">
        <v>71</v>
      </c>
      <c r="C127" t="s">
        <v>202</v>
      </c>
      <c r="D127" t="s">
        <v>19</v>
      </c>
      <c r="E127" t="s">
        <v>98</v>
      </c>
      <c r="F127" t="s">
        <v>59</v>
      </c>
      <c r="G127">
        <v>42</v>
      </c>
      <c r="H127" s="4">
        <v>36.950000000000003</v>
      </c>
      <c r="I127" s="8">
        <v>1551.9</v>
      </c>
      <c r="J127">
        <v>74.260000000000005</v>
      </c>
      <c r="K127">
        <v>301.64</v>
      </c>
      <c r="L127" t="s">
        <v>30</v>
      </c>
      <c r="M127" t="s">
        <v>31</v>
      </c>
      <c r="N127" t="s">
        <v>24</v>
      </c>
      <c r="O127" s="5">
        <f>Table14[[#This Row],[Profit]]/Table14[[#This Row],[Total_Sales]]</f>
        <v>0.19436819382692183</v>
      </c>
      <c r="P127" s="23">
        <f>DATE(YEAR(Table14[[#This Row],[Order_Date]]), MONTH(Table14[[#This Row],[Order_Date]]), 1)</f>
        <v>45505</v>
      </c>
      <c r="Q127" t="str">
        <f>_xlfn.XLOOKUP(Table14[[#This Row],[Product]],Product_Master!$B$2:$B$11,Product_Master!$D$2:$D$11)</f>
        <v>BrightHome</v>
      </c>
      <c r="R127" t="str">
        <f>_xlfn.XLOOKUP(Table14[[#This Row],[Product]],Product_Master!$B$2:$B$11,Product_Master!$E$2:$E$11)</f>
        <v>India</v>
      </c>
      <c r="S127">
        <f>_xlfn.XLOOKUP(Table14[[#This Row],[Product]],Product_Master!$B$2:$B$11,Product_Master!$F$2:$F$11)</f>
        <v>28</v>
      </c>
    </row>
    <row r="128" spans="1:19" x14ac:dyDescent="0.3">
      <c r="A128" t="s">
        <v>267</v>
      </c>
      <c r="B128" s="23" t="s">
        <v>17</v>
      </c>
      <c r="C128" t="s">
        <v>268</v>
      </c>
      <c r="D128" t="s">
        <v>81</v>
      </c>
      <c r="E128" t="s">
        <v>49</v>
      </c>
      <c r="F128" t="s">
        <v>50</v>
      </c>
      <c r="G128">
        <v>36</v>
      </c>
      <c r="H128" s="4">
        <v>57.37</v>
      </c>
      <c r="I128" s="8">
        <v>2065.3200000000002</v>
      </c>
      <c r="J128">
        <v>94.34</v>
      </c>
      <c r="K128">
        <v>530.98</v>
      </c>
      <c r="L128" t="s">
        <v>44</v>
      </c>
      <c r="M128" t="s">
        <v>23</v>
      </c>
      <c r="N128" t="s">
        <v>66</v>
      </c>
      <c r="O128" s="5">
        <f>Table14[[#This Row],[Profit]]/Table14[[#This Row],[Total_Sales]]</f>
        <v>0.25709333178393662</v>
      </c>
      <c r="P128" s="23">
        <f>DATE(YEAR(Table14[[#This Row],[Order_Date]]), MONTH(Table14[[#This Row],[Order_Date]]), 1)</f>
        <v>45658</v>
      </c>
      <c r="Q128" t="str">
        <f>_xlfn.XLOOKUP(Table14[[#This Row],[Product]],Product_Master!$B$2:$B$11,Product_Master!$D$2:$D$11)</f>
        <v>BlueWear</v>
      </c>
      <c r="R128" t="str">
        <f>_xlfn.XLOOKUP(Table14[[#This Row],[Product]],Product_Master!$B$2:$B$11,Product_Master!$E$2:$E$11)</f>
        <v>Bangladesh</v>
      </c>
      <c r="S128">
        <f>_xlfn.XLOOKUP(Table14[[#This Row],[Product]],Product_Master!$B$2:$B$11,Product_Master!$F$2:$F$11)</f>
        <v>40</v>
      </c>
    </row>
    <row r="129" spans="1:19" x14ac:dyDescent="0.3">
      <c r="A129" t="s">
        <v>269</v>
      </c>
      <c r="B129" s="23" t="s">
        <v>132</v>
      </c>
      <c r="C129" t="s">
        <v>40</v>
      </c>
      <c r="D129" t="s">
        <v>88</v>
      </c>
      <c r="E129" t="s">
        <v>98</v>
      </c>
      <c r="F129" t="s">
        <v>59</v>
      </c>
      <c r="G129">
        <v>13</v>
      </c>
      <c r="H129" s="4">
        <v>40.18</v>
      </c>
      <c r="I129" s="8">
        <v>522.34</v>
      </c>
      <c r="J129">
        <v>37.369999999999997</v>
      </c>
      <c r="K129">
        <v>120.97</v>
      </c>
      <c r="L129" t="s">
        <v>30</v>
      </c>
      <c r="M129" t="s">
        <v>37</v>
      </c>
      <c r="N129" t="s">
        <v>66</v>
      </c>
      <c r="O129" s="5">
        <f>Table14[[#This Row],[Profit]]/Table14[[#This Row],[Total_Sales]]</f>
        <v>0.23159244936248419</v>
      </c>
      <c r="P129" s="23">
        <f>DATE(YEAR(Table14[[#This Row],[Order_Date]]), MONTH(Table14[[#This Row],[Order_Date]]), 1)</f>
        <v>45597</v>
      </c>
      <c r="Q129" t="str">
        <f>_xlfn.XLOOKUP(Table14[[#This Row],[Product]],Product_Master!$B$2:$B$11,Product_Master!$D$2:$D$11)</f>
        <v>BrightHome</v>
      </c>
      <c r="R129" t="str">
        <f>_xlfn.XLOOKUP(Table14[[#This Row],[Product]],Product_Master!$B$2:$B$11,Product_Master!$E$2:$E$11)</f>
        <v>India</v>
      </c>
      <c r="S129">
        <f>_xlfn.XLOOKUP(Table14[[#This Row],[Product]],Product_Master!$B$2:$B$11,Product_Master!$F$2:$F$11)</f>
        <v>28</v>
      </c>
    </row>
    <row r="130" spans="1:19" x14ac:dyDescent="0.3">
      <c r="A130" t="s">
        <v>270</v>
      </c>
      <c r="B130" s="23" t="s">
        <v>75</v>
      </c>
      <c r="C130" t="s">
        <v>226</v>
      </c>
      <c r="D130" t="s">
        <v>91</v>
      </c>
      <c r="E130" t="s">
        <v>42</v>
      </c>
      <c r="F130" t="s">
        <v>43</v>
      </c>
      <c r="G130">
        <v>37</v>
      </c>
      <c r="H130" s="4">
        <v>39.299999999999997</v>
      </c>
      <c r="I130" s="8">
        <v>1454.1</v>
      </c>
      <c r="J130">
        <v>67.08</v>
      </c>
      <c r="K130">
        <v>203.02</v>
      </c>
      <c r="L130" t="s">
        <v>44</v>
      </c>
      <c r="M130" t="s">
        <v>23</v>
      </c>
      <c r="N130" t="s">
        <v>66</v>
      </c>
      <c r="O130" s="5">
        <f>Table14[[#This Row],[Profit]]/Table14[[#This Row],[Total_Sales]]</f>
        <v>0.13961900832129842</v>
      </c>
      <c r="P130" s="23">
        <f>DATE(YEAR(Table14[[#This Row],[Order_Date]]), MONTH(Table14[[#This Row],[Order_Date]]), 1)</f>
        <v>45748</v>
      </c>
      <c r="Q130" t="str">
        <f>_xlfn.XLOOKUP(Table14[[#This Row],[Product]],Product_Master!$B$2:$B$11,Product_Master!$D$2:$D$11)</f>
        <v>AudioTech Ltd.</v>
      </c>
      <c r="R130" t="str">
        <f>_xlfn.XLOOKUP(Table14[[#This Row],[Product]],Product_Master!$B$2:$B$11,Product_Master!$E$2:$E$11)</f>
        <v>China</v>
      </c>
      <c r="S130">
        <f>_xlfn.XLOOKUP(Table14[[#This Row],[Product]],Product_Master!$B$2:$B$11,Product_Master!$F$2:$F$11)</f>
        <v>32</v>
      </c>
    </row>
    <row r="131" spans="1:19" x14ac:dyDescent="0.3">
      <c r="A131" t="s">
        <v>271</v>
      </c>
      <c r="B131" s="23" t="s">
        <v>75</v>
      </c>
      <c r="C131" t="s">
        <v>212</v>
      </c>
      <c r="D131" t="s">
        <v>48</v>
      </c>
      <c r="E131" t="s">
        <v>42</v>
      </c>
      <c r="F131" t="s">
        <v>43</v>
      </c>
      <c r="G131">
        <v>17</v>
      </c>
      <c r="H131" s="4">
        <v>43.28</v>
      </c>
      <c r="I131" s="8">
        <v>735.76</v>
      </c>
      <c r="J131">
        <v>50.96</v>
      </c>
      <c r="K131">
        <v>140.80000000000001</v>
      </c>
      <c r="L131" t="s">
        <v>30</v>
      </c>
      <c r="M131" t="s">
        <v>31</v>
      </c>
      <c r="N131" t="s">
        <v>24</v>
      </c>
      <c r="O131" s="5">
        <f>Table14[[#This Row],[Profit]]/Table14[[#This Row],[Total_Sales]]</f>
        <v>0.19136675002718279</v>
      </c>
      <c r="P131" s="23">
        <f>DATE(YEAR(Table14[[#This Row],[Order_Date]]), MONTH(Table14[[#This Row],[Order_Date]]), 1)</f>
        <v>45748</v>
      </c>
      <c r="Q131" t="str">
        <f>_xlfn.XLOOKUP(Table14[[#This Row],[Product]],Product_Master!$B$2:$B$11,Product_Master!$D$2:$D$11)</f>
        <v>AudioTech Ltd.</v>
      </c>
      <c r="R131" t="str">
        <f>_xlfn.XLOOKUP(Table14[[#This Row],[Product]],Product_Master!$B$2:$B$11,Product_Master!$E$2:$E$11)</f>
        <v>China</v>
      </c>
      <c r="S131">
        <f>_xlfn.XLOOKUP(Table14[[#This Row],[Product]],Product_Master!$B$2:$B$11,Product_Master!$F$2:$F$11)</f>
        <v>32</v>
      </c>
    </row>
    <row r="132" spans="1:19" x14ac:dyDescent="0.3">
      <c r="A132" t="s">
        <v>272</v>
      </c>
      <c r="B132" s="23" t="s">
        <v>39</v>
      </c>
      <c r="C132" t="s">
        <v>18</v>
      </c>
      <c r="D132" t="s">
        <v>88</v>
      </c>
      <c r="E132" t="s">
        <v>20</v>
      </c>
      <c r="F132" t="s">
        <v>21</v>
      </c>
      <c r="G132">
        <v>22</v>
      </c>
      <c r="H132" s="4">
        <v>62.79</v>
      </c>
      <c r="I132" s="8">
        <v>1381.38</v>
      </c>
      <c r="J132">
        <v>75.84</v>
      </c>
      <c r="K132">
        <v>535.54</v>
      </c>
      <c r="L132" t="s">
        <v>44</v>
      </c>
      <c r="M132" t="s">
        <v>37</v>
      </c>
      <c r="N132" t="s">
        <v>66</v>
      </c>
      <c r="O132" s="5">
        <f>Table14[[#This Row],[Profit]]/Table14[[#This Row],[Total_Sales]]</f>
        <v>0.38768477898912673</v>
      </c>
      <c r="P132" s="23">
        <f>DATE(YEAR(Table14[[#This Row],[Order_Date]]), MONTH(Table14[[#This Row],[Order_Date]]), 1)</f>
        <v>45566</v>
      </c>
      <c r="Q132" t="str">
        <f>_xlfn.XLOOKUP(Table14[[#This Row],[Product]],Product_Master!$B$2:$B$11,Product_Master!$D$2:$D$11)</f>
        <v>CarryPro</v>
      </c>
      <c r="R132" t="str">
        <f>_xlfn.XLOOKUP(Table14[[#This Row],[Product]],Product_Master!$B$2:$B$11,Product_Master!$E$2:$E$11)</f>
        <v>Vietnam</v>
      </c>
      <c r="S132">
        <f>_xlfn.XLOOKUP(Table14[[#This Row],[Product]],Product_Master!$B$2:$B$11,Product_Master!$F$2:$F$11)</f>
        <v>35</v>
      </c>
    </row>
    <row r="133" spans="1:19" x14ac:dyDescent="0.3">
      <c r="A133" t="s">
        <v>273</v>
      </c>
      <c r="B133" s="23" t="s">
        <v>75</v>
      </c>
      <c r="C133" t="s">
        <v>175</v>
      </c>
      <c r="D133" t="s">
        <v>170</v>
      </c>
      <c r="E133" t="s">
        <v>49</v>
      </c>
      <c r="F133" t="s">
        <v>50</v>
      </c>
      <c r="G133">
        <v>23</v>
      </c>
      <c r="H133" s="4">
        <v>56.76</v>
      </c>
      <c r="I133" s="8">
        <v>1305.48</v>
      </c>
      <c r="J133">
        <v>62.93</v>
      </c>
      <c r="K133">
        <v>322.55</v>
      </c>
      <c r="L133" t="s">
        <v>44</v>
      </c>
      <c r="M133" t="s">
        <v>37</v>
      </c>
      <c r="N133" t="s">
        <v>32</v>
      </c>
      <c r="O133" s="5">
        <f>Table14[[#This Row],[Profit]]/Table14[[#This Row],[Total_Sales]]</f>
        <v>0.24707387321138585</v>
      </c>
      <c r="P133" s="23">
        <f>DATE(YEAR(Table14[[#This Row],[Order_Date]]), MONTH(Table14[[#This Row],[Order_Date]]), 1)</f>
        <v>45748</v>
      </c>
      <c r="Q133" t="str">
        <f>_xlfn.XLOOKUP(Table14[[#This Row],[Product]],Product_Master!$B$2:$B$11,Product_Master!$D$2:$D$11)</f>
        <v>BlueWear</v>
      </c>
      <c r="R133" t="str">
        <f>_xlfn.XLOOKUP(Table14[[#This Row],[Product]],Product_Master!$B$2:$B$11,Product_Master!$E$2:$E$11)</f>
        <v>Bangladesh</v>
      </c>
      <c r="S133">
        <f>_xlfn.XLOOKUP(Table14[[#This Row],[Product]],Product_Master!$B$2:$B$11,Product_Master!$F$2:$F$11)</f>
        <v>40</v>
      </c>
    </row>
    <row r="134" spans="1:19" x14ac:dyDescent="0.3">
      <c r="A134" t="s">
        <v>274</v>
      </c>
      <c r="B134" s="23" t="s">
        <v>95</v>
      </c>
      <c r="C134" t="s">
        <v>35</v>
      </c>
      <c r="D134" t="s">
        <v>28</v>
      </c>
      <c r="E134" t="s">
        <v>49</v>
      </c>
      <c r="F134" t="s">
        <v>50</v>
      </c>
      <c r="G134">
        <v>22</v>
      </c>
      <c r="H134" s="4">
        <v>60.13</v>
      </c>
      <c r="I134" s="8">
        <v>1322.86</v>
      </c>
      <c r="J134">
        <v>54.06</v>
      </c>
      <c r="K134">
        <v>388.8</v>
      </c>
      <c r="L134" t="s">
        <v>44</v>
      </c>
      <c r="M134" t="s">
        <v>31</v>
      </c>
      <c r="N134" t="s">
        <v>32</v>
      </c>
      <c r="O134" s="5">
        <f>Table14[[#This Row],[Profit]]/Table14[[#This Row],[Total_Sales]]</f>
        <v>0.2939086524651135</v>
      </c>
      <c r="P134" s="23">
        <f>DATE(YEAR(Table14[[#This Row],[Order_Date]]), MONTH(Table14[[#This Row],[Order_Date]]), 1)</f>
        <v>45474</v>
      </c>
      <c r="Q134" t="str">
        <f>_xlfn.XLOOKUP(Table14[[#This Row],[Product]],Product_Master!$B$2:$B$11,Product_Master!$D$2:$D$11)</f>
        <v>BlueWear</v>
      </c>
      <c r="R134" t="str">
        <f>_xlfn.XLOOKUP(Table14[[#This Row],[Product]],Product_Master!$B$2:$B$11,Product_Master!$E$2:$E$11)</f>
        <v>Bangladesh</v>
      </c>
      <c r="S134">
        <f>_xlfn.XLOOKUP(Table14[[#This Row],[Product]],Product_Master!$B$2:$B$11,Product_Master!$F$2:$F$11)</f>
        <v>40</v>
      </c>
    </row>
    <row r="135" spans="1:19" x14ac:dyDescent="0.3">
      <c r="A135" t="s">
        <v>275</v>
      </c>
      <c r="B135" s="23" t="s">
        <v>17</v>
      </c>
      <c r="C135" t="s">
        <v>276</v>
      </c>
      <c r="D135" t="s">
        <v>81</v>
      </c>
      <c r="E135" t="s">
        <v>64</v>
      </c>
      <c r="F135" t="s">
        <v>65</v>
      </c>
      <c r="G135">
        <v>21</v>
      </c>
      <c r="H135" s="4">
        <v>40.98</v>
      </c>
      <c r="I135" s="8">
        <v>860.58</v>
      </c>
      <c r="J135">
        <v>37.01</v>
      </c>
      <c r="K135">
        <v>298.57</v>
      </c>
      <c r="L135" t="s">
        <v>22</v>
      </c>
      <c r="M135" t="s">
        <v>37</v>
      </c>
      <c r="N135" t="s">
        <v>66</v>
      </c>
      <c r="O135" s="5">
        <f>Table14[[#This Row],[Profit]]/Table14[[#This Row],[Total_Sales]]</f>
        <v>0.34694043552023052</v>
      </c>
      <c r="P135" s="23">
        <f>DATE(YEAR(Table14[[#This Row],[Order_Date]]), MONTH(Table14[[#This Row],[Order_Date]]), 1)</f>
        <v>45658</v>
      </c>
      <c r="Q135" t="str">
        <f>_xlfn.XLOOKUP(Table14[[#This Row],[Product]],Product_Master!$B$2:$B$11,Product_Master!$D$2:$D$11)</f>
        <v>SoftWeave</v>
      </c>
      <c r="R135" t="str">
        <f>_xlfn.XLOOKUP(Table14[[#This Row],[Product]],Product_Master!$B$2:$B$11,Product_Master!$E$2:$E$11)</f>
        <v>Turkey</v>
      </c>
      <c r="S135">
        <f>_xlfn.XLOOKUP(Table14[[#This Row],[Product]],Product_Master!$B$2:$B$11,Product_Master!$F$2:$F$11)</f>
        <v>25</v>
      </c>
    </row>
    <row r="136" spans="1:19" x14ac:dyDescent="0.3">
      <c r="A136" t="s">
        <v>277</v>
      </c>
      <c r="B136" s="23" t="s">
        <v>78</v>
      </c>
      <c r="C136" t="s">
        <v>135</v>
      </c>
      <c r="D136" t="s">
        <v>41</v>
      </c>
      <c r="E136" t="s">
        <v>49</v>
      </c>
      <c r="F136" t="s">
        <v>50</v>
      </c>
      <c r="G136">
        <v>36</v>
      </c>
      <c r="H136" s="4">
        <v>54.6</v>
      </c>
      <c r="I136" s="8">
        <v>1965.6</v>
      </c>
      <c r="J136">
        <v>150.34</v>
      </c>
      <c r="K136">
        <v>375.26</v>
      </c>
      <c r="L136" t="s">
        <v>30</v>
      </c>
      <c r="M136" t="s">
        <v>23</v>
      </c>
      <c r="N136" t="s">
        <v>45</v>
      </c>
      <c r="O136" s="5">
        <f>Table14[[#This Row],[Profit]]/Table14[[#This Row],[Total_Sales]]</f>
        <v>0.19091371591371592</v>
      </c>
      <c r="P136" s="23">
        <f>DATE(YEAR(Table14[[#This Row],[Order_Date]]), MONTH(Table14[[#This Row],[Order_Date]]), 1)</f>
        <v>45627</v>
      </c>
      <c r="Q136" t="str">
        <f>_xlfn.XLOOKUP(Table14[[#This Row],[Product]],Product_Master!$B$2:$B$11,Product_Master!$D$2:$D$11)</f>
        <v>BlueWear</v>
      </c>
      <c r="R136" t="str">
        <f>_xlfn.XLOOKUP(Table14[[#This Row],[Product]],Product_Master!$B$2:$B$11,Product_Master!$E$2:$E$11)</f>
        <v>Bangladesh</v>
      </c>
      <c r="S136">
        <f>_xlfn.XLOOKUP(Table14[[#This Row],[Product]],Product_Master!$B$2:$B$11,Product_Master!$F$2:$F$11)</f>
        <v>40</v>
      </c>
    </row>
    <row r="137" spans="1:19" x14ac:dyDescent="0.3">
      <c r="A137" t="s">
        <v>278</v>
      </c>
      <c r="B137" s="23" t="s">
        <v>95</v>
      </c>
      <c r="C137" t="s">
        <v>245</v>
      </c>
      <c r="D137" t="s">
        <v>36</v>
      </c>
      <c r="E137" t="s">
        <v>69</v>
      </c>
      <c r="F137" t="s">
        <v>59</v>
      </c>
      <c r="G137">
        <v>1</v>
      </c>
      <c r="H137" s="4">
        <v>27.49</v>
      </c>
      <c r="I137" s="8">
        <v>27.49</v>
      </c>
      <c r="J137">
        <v>0.63</v>
      </c>
      <c r="K137">
        <v>11.36</v>
      </c>
      <c r="L137" t="s">
        <v>30</v>
      </c>
      <c r="M137" t="s">
        <v>37</v>
      </c>
      <c r="N137" t="s">
        <v>32</v>
      </c>
      <c r="O137" s="5">
        <f>Table14[[#This Row],[Profit]]/Table14[[#This Row],[Total_Sales]]</f>
        <v>0.41324117861040377</v>
      </c>
      <c r="P137" s="23">
        <f>DATE(YEAR(Table14[[#This Row],[Order_Date]]), MONTH(Table14[[#This Row],[Order_Date]]), 1)</f>
        <v>45474</v>
      </c>
      <c r="Q137" t="str">
        <f>_xlfn.XLOOKUP(Table14[[#This Row],[Product]],Product_Master!$B$2:$B$11,Product_Master!$D$2:$D$11)</f>
        <v>Artisans Co.</v>
      </c>
      <c r="R137" t="str">
        <f>_xlfn.XLOOKUP(Table14[[#This Row],[Product]],Product_Master!$B$2:$B$11,Product_Master!$E$2:$E$11)</f>
        <v>India</v>
      </c>
      <c r="S137">
        <f>_xlfn.XLOOKUP(Table14[[#This Row],[Product]],Product_Master!$B$2:$B$11,Product_Master!$F$2:$F$11)</f>
        <v>15.5</v>
      </c>
    </row>
    <row r="138" spans="1:19" x14ac:dyDescent="0.3">
      <c r="A138" t="s">
        <v>279</v>
      </c>
      <c r="B138" s="23" t="s">
        <v>157</v>
      </c>
      <c r="C138" t="s">
        <v>280</v>
      </c>
      <c r="D138" t="s">
        <v>81</v>
      </c>
      <c r="E138" t="s">
        <v>42</v>
      </c>
      <c r="F138" t="s">
        <v>43</v>
      </c>
      <c r="G138">
        <v>50</v>
      </c>
      <c r="H138" s="4">
        <v>41.11</v>
      </c>
      <c r="I138" s="8">
        <v>2055.5</v>
      </c>
      <c r="J138">
        <v>95.61</v>
      </c>
      <c r="K138">
        <v>359.89</v>
      </c>
      <c r="L138" t="s">
        <v>44</v>
      </c>
      <c r="M138" t="s">
        <v>31</v>
      </c>
      <c r="N138" t="s">
        <v>66</v>
      </c>
      <c r="O138" s="5">
        <f>Table14[[#This Row],[Profit]]/Table14[[#This Row],[Total_Sales]]</f>
        <v>0.17508635368523473</v>
      </c>
      <c r="P138" s="23">
        <f>DATE(YEAR(Table14[[#This Row],[Order_Date]]), MONTH(Table14[[#This Row],[Order_Date]]), 1)</f>
        <v>45292</v>
      </c>
      <c r="Q138" t="str">
        <f>_xlfn.XLOOKUP(Table14[[#This Row],[Product]],Product_Master!$B$2:$B$11,Product_Master!$D$2:$D$11)</f>
        <v>AudioTech Ltd.</v>
      </c>
      <c r="R138" t="str">
        <f>_xlfn.XLOOKUP(Table14[[#This Row],[Product]],Product_Master!$B$2:$B$11,Product_Master!$E$2:$E$11)</f>
        <v>China</v>
      </c>
      <c r="S138">
        <f>_xlfn.XLOOKUP(Table14[[#This Row],[Product]],Product_Master!$B$2:$B$11,Product_Master!$F$2:$F$11)</f>
        <v>32</v>
      </c>
    </row>
    <row r="139" spans="1:19" x14ac:dyDescent="0.3">
      <c r="A139" t="s">
        <v>281</v>
      </c>
      <c r="B139" s="23" t="s">
        <v>78</v>
      </c>
      <c r="C139" t="s">
        <v>137</v>
      </c>
      <c r="D139" t="s">
        <v>63</v>
      </c>
      <c r="E139" t="s">
        <v>69</v>
      </c>
      <c r="F139" t="s">
        <v>59</v>
      </c>
      <c r="G139">
        <v>18</v>
      </c>
      <c r="H139" s="4">
        <v>25.54</v>
      </c>
      <c r="I139" s="8">
        <v>459.72</v>
      </c>
      <c r="J139">
        <v>27.02</v>
      </c>
      <c r="K139">
        <v>153.69999999999999</v>
      </c>
      <c r="L139" t="s">
        <v>30</v>
      </c>
      <c r="M139" t="s">
        <v>23</v>
      </c>
      <c r="N139" t="s">
        <v>66</v>
      </c>
      <c r="O139" s="5">
        <f>Table14[[#This Row],[Profit]]/Table14[[#This Row],[Total_Sales]]</f>
        <v>0.33433394239972153</v>
      </c>
      <c r="P139" s="23">
        <f>DATE(YEAR(Table14[[#This Row],[Order_Date]]), MONTH(Table14[[#This Row],[Order_Date]]), 1)</f>
        <v>45627</v>
      </c>
      <c r="Q139" t="str">
        <f>_xlfn.XLOOKUP(Table14[[#This Row],[Product]],Product_Master!$B$2:$B$11,Product_Master!$D$2:$D$11)</f>
        <v>Artisans Co.</v>
      </c>
      <c r="R139" t="str">
        <f>_xlfn.XLOOKUP(Table14[[#This Row],[Product]],Product_Master!$B$2:$B$11,Product_Master!$E$2:$E$11)</f>
        <v>India</v>
      </c>
      <c r="S139">
        <f>_xlfn.XLOOKUP(Table14[[#This Row],[Product]],Product_Master!$B$2:$B$11,Product_Master!$F$2:$F$11)</f>
        <v>15.5</v>
      </c>
    </row>
    <row r="140" spans="1:19" x14ac:dyDescent="0.3">
      <c r="A140" t="s">
        <v>282</v>
      </c>
      <c r="B140" s="23" t="s">
        <v>17</v>
      </c>
      <c r="C140" t="s">
        <v>250</v>
      </c>
      <c r="D140" t="s">
        <v>91</v>
      </c>
      <c r="E140" t="s">
        <v>98</v>
      </c>
      <c r="F140" t="s">
        <v>59</v>
      </c>
      <c r="G140">
        <v>4</v>
      </c>
      <c r="H140" s="4">
        <v>47.52</v>
      </c>
      <c r="I140" s="8">
        <v>190.08</v>
      </c>
      <c r="J140">
        <v>10.23</v>
      </c>
      <c r="K140">
        <v>67.849999999999994</v>
      </c>
      <c r="L140" t="s">
        <v>22</v>
      </c>
      <c r="M140" t="s">
        <v>23</v>
      </c>
      <c r="N140" t="s">
        <v>66</v>
      </c>
      <c r="O140" s="5">
        <f>Table14[[#This Row],[Profit]]/Table14[[#This Row],[Total_Sales]]</f>
        <v>0.35695496632996626</v>
      </c>
      <c r="P140" s="23">
        <f>DATE(YEAR(Table14[[#This Row],[Order_Date]]), MONTH(Table14[[#This Row],[Order_Date]]), 1)</f>
        <v>45658</v>
      </c>
      <c r="Q140" t="str">
        <f>_xlfn.XLOOKUP(Table14[[#This Row],[Product]],Product_Master!$B$2:$B$11,Product_Master!$D$2:$D$11)</f>
        <v>BrightHome</v>
      </c>
      <c r="R140" t="str">
        <f>_xlfn.XLOOKUP(Table14[[#This Row],[Product]],Product_Master!$B$2:$B$11,Product_Master!$E$2:$E$11)</f>
        <v>India</v>
      </c>
      <c r="S140">
        <f>_xlfn.XLOOKUP(Table14[[#This Row],[Product]],Product_Master!$B$2:$B$11,Product_Master!$F$2:$F$11)</f>
        <v>28</v>
      </c>
    </row>
    <row r="141" spans="1:19" x14ac:dyDescent="0.3">
      <c r="A141" t="s">
        <v>283</v>
      </c>
      <c r="B141" s="23" t="s">
        <v>71</v>
      </c>
      <c r="C141" t="s">
        <v>189</v>
      </c>
      <c r="D141" t="s">
        <v>36</v>
      </c>
      <c r="E141" t="s">
        <v>64</v>
      </c>
      <c r="F141" t="s">
        <v>65</v>
      </c>
      <c r="G141">
        <v>29</v>
      </c>
      <c r="H141" s="4">
        <v>30.48</v>
      </c>
      <c r="I141" s="8">
        <v>883.92</v>
      </c>
      <c r="J141">
        <v>33.15</v>
      </c>
      <c r="K141">
        <v>125.77</v>
      </c>
      <c r="L141" t="s">
        <v>44</v>
      </c>
      <c r="M141" t="s">
        <v>23</v>
      </c>
      <c r="N141" t="s">
        <v>32</v>
      </c>
      <c r="O141" s="5">
        <f>Table14[[#This Row],[Profit]]/Table14[[#This Row],[Total_Sales]]</f>
        <v>0.14228663227441399</v>
      </c>
      <c r="P141" s="23">
        <f>DATE(YEAR(Table14[[#This Row],[Order_Date]]), MONTH(Table14[[#This Row],[Order_Date]]), 1)</f>
        <v>45505</v>
      </c>
      <c r="Q141" t="str">
        <f>_xlfn.XLOOKUP(Table14[[#This Row],[Product]],Product_Master!$B$2:$B$11,Product_Master!$D$2:$D$11)</f>
        <v>SoftWeave</v>
      </c>
      <c r="R141" t="str">
        <f>_xlfn.XLOOKUP(Table14[[#This Row],[Product]],Product_Master!$B$2:$B$11,Product_Master!$E$2:$E$11)</f>
        <v>Turkey</v>
      </c>
      <c r="S141">
        <f>_xlfn.XLOOKUP(Table14[[#This Row],[Product]],Product_Master!$B$2:$B$11,Product_Master!$F$2:$F$11)</f>
        <v>25</v>
      </c>
    </row>
    <row r="142" spans="1:19" x14ac:dyDescent="0.3">
      <c r="A142" t="s">
        <v>284</v>
      </c>
      <c r="B142" s="23" t="s">
        <v>86</v>
      </c>
      <c r="C142" t="s">
        <v>187</v>
      </c>
      <c r="D142" t="s">
        <v>101</v>
      </c>
      <c r="E142" t="s">
        <v>49</v>
      </c>
      <c r="F142" t="s">
        <v>50</v>
      </c>
      <c r="G142">
        <v>27</v>
      </c>
      <c r="H142" s="4">
        <v>50.39</v>
      </c>
      <c r="I142" s="8">
        <v>1360.53</v>
      </c>
      <c r="J142">
        <v>106.4</v>
      </c>
      <c r="K142">
        <v>174.13</v>
      </c>
      <c r="L142" t="s">
        <v>30</v>
      </c>
      <c r="M142" t="s">
        <v>31</v>
      </c>
      <c r="N142" t="s">
        <v>102</v>
      </c>
      <c r="O142" s="5">
        <f>Table14[[#This Row],[Profit]]/Table14[[#This Row],[Total_Sales]]</f>
        <v>0.12798688746297399</v>
      </c>
      <c r="P142" s="23">
        <f>DATE(YEAR(Table14[[#This Row],[Order_Date]]), MONTH(Table14[[#This Row],[Order_Date]]), 1)</f>
        <v>45352</v>
      </c>
      <c r="Q142" t="str">
        <f>_xlfn.XLOOKUP(Table14[[#This Row],[Product]],Product_Master!$B$2:$B$11,Product_Master!$D$2:$D$11)</f>
        <v>BlueWear</v>
      </c>
      <c r="R142" t="str">
        <f>_xlfn.XLOOKUP(Table14[[#This Row],[Product]],Product_Master!$B$2:$B$11,Product_Master!$E$2:$E$11)</f>
        <v>Bangladesh</v>
      </c>
      <c r="S142">
        <f>_xlfn.XLOOKUP(Table14[[#This Row],[Product]],Product_Master!$B$2:$B$11,Product_Master!$F$2:$F$11)</f>
        <v>40</v>
      </c>
    </row>
    <row r="143" spans="1:19" x14ac:dyDescent="0.3">
      <c r="A143" t="s">
        <v>285</v>
      </c>
      <c r="B143" s="23" t="s">
        <v>17</v>
      </c>
      <c r="C143" t="s">
        <v>164</v>
      </c>
      <c r="D143" t="s">
        <v>170</v>
      </c>
      <c r="E143" t="s">
        <v>64</v>
      </c>
      <c r="F143" t="s">
        <v>65</v>
      </c>
      <c r="G143">
        <v>34</v>
      </c>
      <c r="H143" s="4">
        <v>37.68</v>
      </c>
      <c r="I143" s="8">
        <v>1281.1199999999999</v>
      </c>
      <c r="J143">
        <v>54.86</v>
      </c>
      <c r="K143">
        <v>376.26</v>
      </c>
      <c r="L143" t="s">
        <v>44</v>
      </c>
      <c r="M143" t="s">
        <v>23</v>
      </c>
      <c r="N143" t="s">
        <v>32</v>
      </c>
      <c r="O143" s="5">
        <f>Table14[[#This Row],[Profit]]/Table14[[#This Row],[Total_Sales]]</f>
        <v>0.2936961408767329</v>
      </c>
      <c r="P143" s="23">
        <f>DATE(YEAR(Table14[[#This Row],[Order_Date]]), MONTH(Table14[[#This Row],[Order_Date]]), 1)</f>
        <v>45658</v>
      </c>
      <c r="Q143" t="str">
        <f>_xlfn.XLOOKUP(Table14[[#This Row],[Product]],Product_Master!$B$2:$B$11,Product_Master!$D$2:$D$11)</f>
        <v>SoftWeave</v>
      </c>
      <c r="R143" t="str">
        <f>_xlfn.XLOOKUP(Table14[[#This Row],[Product]],Product_Master!$B$2:$B$11,Product_Master!$E$2:$E$11)</f>
        <v>Turkey</v>
      </c>
      <c r="S143">
        <f>_xlfn.XLOOKUP(Table14[[#This Row],[Product]],Product_Master!$B$2:$B$11,Product_Master!$F$2:$F$11)</f>
        <v>25</v>
      </c>
    </row>
    <row r="144" spans="1:19" x14ac:dyDescent="0.3">
      <c r="A144" t="s">
        <v>286</v>
      </c>
      <c r="B144" s="23" t="s">
        <v>75</v>
      </c>
      <c r="C144" t="s">
        <v>287</v>
      </c>
      <c r="D144" t="s">
        <v>91</v>
      </c>
      <c r="E144" t="s">
        <v>64</v>
      </c>
      <c r="F144" t="s">
        <v>65</v>
      </c>
      <c r="G144">
        <v>3</v>
      </c>
      <c r="H144" s="4">
        <v>39.32</v>
      </c>
      <c r="I144" s="8">
        <v>117.96</v>
      </c>
      <c r="J144">
        <v>6.97</v>
      </c>
      <c r="K144">
        <v>35.99</v>
      </c>
      <c r="L144" t="s">
        <v>30</v>
      </c>
      <c r="M144" t="s">
        <v>31</v>
      </c>
      <c r="N144" t="s">
        <v>66</v>
      </c>
      <c r="O144" s="5">
        <f>Table14[[#This Row],[Profit]]/Table14[[#This Row],[Total_Sales]]</f>
        <v>0.3051034248897932</v>
      </c>
      <c r="P144" s="23">
        <f>DATE(YEAR(Table14[[#This Row],[Order_Date]]), MONTH(Table14[[#This Row],[Order_Date]]), 1)</f>
        <v>45748</v>
      </c>
      <c r="Q144" t="str">
        <f>_xlfn.XLOOKUP(Table14[[#This Row],[Product]],Product_Master!$B$2:$B$11,Product_Master!$D$2:$D$11)</f>
        <v>SoftWeave</v>
      </c>
      <c r="R144" t="str">
        <f>_xlfn.XLOOKUP(Table14[[#This Row],[Product]],Product_Master!$B$2:$B$11,Product_Master!$E$2:$E$11)</f>
        <v>Turkey</v>
      </c>
      <c r="S144">
        <f>_xlfn.XLOOKUP(Table14[[#This Row],[Product]],Product_Master!$B$2:$B$11,Product_Master!$F$2:$F$11)</f>
        <v>25</v>
      </c>
    </row>
    <row r="145" spans="1:19" x14ac:dyDescent="0.3">
      <c r="A145" t="s">
        <v>288</v>
      </c>
      <c r="B145" s="23" t="s">
        <v>78</v>
      </c>
      <c r="C145" t="s">
        <v>252</v>
      </c>
      <c r="D145" t="s">
        <v>48</v>
      </c>
      <c r="E145" t="s">
        <v>73</v>
      </c>
      <c r="F145" t="s">
        <v>43</v>
      </c>
      <c r="G145">
        <v>24</v>
      </c>
      <c r="H145" s="4">
        <v>18</v>
      </c>
      <c r="I145" s="8">
        <v>432</v>
      </c>
      <c r="J145">
        <v>22.68</v>
      </c>
      <c r="K145">
        <v>103.32</v>
      </c>
      <c r="L145" t="s">
        <v>22</v>
      </c>
      <c r="M145" t="s">
        <v>37</v>
      </c>
      <c r="N145" t="s">
        <v>24</v>
      </c>
      <c r="O145" s="5">
        <f>Table14[[#This Row],[Profit]]/Table14[[#This Row],[Total_Sales]]</f>
        <v>0.23916666666666664</v>
      </c>
      <c r="P145" s="23">
        <f>DATE(YEAR(Table14[[#This Row],[Order_Date]]), MONTH(Table14[[#This Row],[Order_Date]]), 1)</f>
        <v>45627</v>
      </c>
      <c r="Q145" t="str">
        <f>_xlfn.XLOOKUP(Table14[[#This Row],[Product]],Product_Master!$B$2:$B$11,Product_Master!$D$2:$D$11)</f>
        <v>BrightHome</v>
      </c>
      <c r="R145" t="str">
        <f>_xlfn.XLOOKUP(Table14[[#This Row],[Product]],Product_Master!$B$2:$B$11,Product_Master!$E$2:$E$11)</f>
        <v>Vietnam</v>
      </c>
      <c r="S145">
        <f>_xlfn.XLOOKUP(Table14[[#This Row],[Product]],Product_Master!$B$2:$B$11,Product_Master!$F$2:$F$11)</f>
        <v>12.75</v>
      </c>
    </row>
    <row r="146" spans="1:19" x14ac:dyDescent="0.3">
      <c r="A146" t="s">
        <v>289</v>
      </c>
      <c r="B146" s="23" t="s">
        <v>78</v>
      </c>
      <c r="C146" t="s">
        <v>117</v>
      </c>
      <c r="D146" t="s">
        <v>28</v>
      </c>
      <c r="E146" t="s">
        <v>58</v>
      </c>
      <c r="F146" t="s">
        <v>59</v>
      </c>
      <c r="G146">
        <v>5</v>
      </c>
      <c r="H146" s="4">
        <v>36.43</v>
      </c>
      <c r="I146" s="8">
        <v>182.15</v>
      </c>
      <c r="J146">
        <v>7.82</v>
      </c>
      <c r="K146">
        <v>61.83</v>
      </c>
      <c r="L146" t="s">
        <v>22</v>
      </c>
      <c r="M146" t="s">
        <v>37</v>
      </c>
      <c r="N146" t="s">
        <v>32</v>
      </c>
      <c r="O146" s="5">
        <f>Table14[[#This Row],[Profit]]/Table14[[#This Row],[Total_Sales]]</f>
        <v>0.33944551194070821</v>
      </c>
      <c r="P146" s="23">
        <f>DATE(YEAR(Table14[[#This Row],[Order_Date]]), MONTH(Table14[[#This Row],[Order_Date]]), 1)</f>
        <v>45627</v>
      </c>
      <c r="Q146" t="str">
        <f>_xlfn.XLOOKUP(Table14[[#This Row],[Product]],Product_Master!$B$2:$B$11,Product_Master!$D$2:$D$11)</f>
        <v>ClearCraft</v>
      </c>
      <c r="R146" t="str">
        <f>_xlfn.XLOOKUP(Table14[[#This Row],[Product]],Product_Master!$B$2:$B$11,Product_Master!$E$2:$E$11)</f>
        <v>India</v>
      </c>
      <c r="S146">
        <f>_xlfn.XLOOKUP(Table14[[#This Row],[Product]],Product_Master!$B$2:$B$11,Product_Master!$F$2:$F$11)</f>
        <v>22.5</v>
      </c>
    </row>
    <row r="147" spans="1:19" x14ac:dyDescent="0.3">
      <c r="A147" t="s">
        <v>290</v>
      </c>
      <c r="B147" s="23" t="s">
        <v>95</v>
      </c>
      <c r="C147" t="s">
        <v>122</v>
      </c>
      <c r="D147" t="s">
        <v>63</v>
      </c>
      <c r="E147" t="s">
        <v>58</v>
      </c>
      <c r="F147" t="s">
        <v>59</v>
      </c>
      <c r="G147">
        <v>27</v>
      </c>
      <c r="H147" s="4">
        <v>38.39</v>
      </c>
      <c r="I147" s="8">
        <v>1036.53</v>
      </c>
      <c r="J147">
        <v>28.6</v>
      </c>
      <c r="K147">
        <v>400.43</v>
      </c>
      <c r="L147" t="s">
        <v>30</v>
      </c>
      <c r="M147" t="s">
        <v>23</v>
      </c>
      <c r="N147" t="s">
        <v>66</v>
      </c>
      <c r="O147" s="5">
        <f>Table14[[#This Row],[Profit]]/Table14[[#This Row],[Total_Sales]]</f>
        <v>0.38631781038657831</v>
      </c>
      <c r="P147" s="23">
        <f>DATE(YEAR(Table14[[#This Row],[Order_Date]]), MONTH(Table14[[#This Row],[Order_Date]]), 1)</f>
        <v>45474</v>
      </c>
      <c r="Q147" t="str">
        <f>_xlfn.XLOOKUP(Table14[[#This Row],[Product]],Product_Master!$B$2:$B$11,Product_Master!$D$2:$D$11)</f>
        <v>ClearCraft</v>
      </c>
      <c r="R147" t="str">
        <f>_xlfn.XLOOKUP(Table14[[#This Row],[Product]],Product_Master!$B$2:$B$11,Product_Master!$E$2:$E$11)</f>
        <v>India</v>
      </c>
      <c r="S147">
        <f>_xlfn.XLOOKUP(Table14[[#This Row],[Product]],Product_Master!$B$2:$B$11,Product_Master!$F$2:$F$11)</f>
        <v>22.5</v>
      </c>
    </row>
    <row r="148" spans="1:19" x14ac:dyDescent="0.3">
      <c r="A148" t="s">
        <v>291</v>
      </c>
      <c r="B148" s="23" t="s">
        <v>107</v>
      </c>
      <c r="C148" t="s">
        <v>155</v>
      </c>
      <c r="D148" t="s">
        <v>41</v>
      </c>
      <c r="E148" t="s">
        <v>98</v>
      </c>
      <c r="F148" t="s">
        <v>59</v>
      </c>
      <c r="G148">
        <v>10</v>
      </c>
      <c r="H148" s="4">
        <v>47.5</v>
      </c>
      <c r="I148" s="8">
        <v>475</v>
      </c>
      <c r="J148">
        <v>15.95</v>
      </c>
      <c r="K148">
        <v>179.05</v>
      </c>
      <c r="L148" t="s">
        <v>22</v>
      </c>
      <c r="M148" t="s">
        <v>23</v>
      </c>
      <c r="N148" t="s">
        <v>45</v>
      </c>
      <c r="O148" s="5">
        <f>Table14[[#This Row],[Profit]]/Table14[[#This Row],[Total_Sales]]</f>
        <v>0.37694736842105264</v>
      </c>
      <c r="P148" s="23">
        <f>DATE(YEAR(Table14[[#This Row],[Order_Date]]), MONTH(Table14[[#This Row],[Order_Date]]), 1)</f>
        <v>45413</v>
      </c>
      <c r="Q148" t="str">
        <f>_xlfn.XLOOKUP(Table14[[#This Row],[Product]],Product_Master!$B$2:$B$11,Product_Master!$D$2:$D$11)</f>
        <v>BrightHome</v>
      </c>
      <c r="R148" t="str">
        <f>_xlfn.XLOOKUP(Table14[[#This Row],[Product]],Product_Master!$B$2:$B$11,Product_Master!$E$2:$E$11)</f>
        <v>India</v>
      </c>
      <c r="S148">
        <f>_xlfn.XLOOKUP(Table14[[#This Row],[Product]],Product_Master!$B$2:$B$11,Product_Master!$F$2:$F$11)</f>
        <v>28</v>
      </c>
    </row>
    <row r="149" spans="1:19" x14ac:dyDescent="0.3">
      <c r="A149" t="s">
        <v>292</v>
      </c>
      <c r="B149" s="23" t="s">
        <v>56</v>
      </c>
      <c r="C149" t="s">
        <v>293</v>
      </c>
      <c r="D149" t="s">
        <v>88</v>
      </c>
      <c r="E149" t="s">
        <v>42</v>
      </c>
      <c r="F149" t="s">
        <v>43</v>
      </c>
      <c r="G149">
        <v>47</v>
      </c>
      <c r="H149" s="4">
        <v>50.13</v>
      </c>
      <c r="I149" s="8">
        <v>2356.11</v>
      </c>
      <c r="J149">
        <v>166.22</v>
      </c>
      <c r="K149">
        <v>685.89</v>
      </c>
      <c r="L149" t="s">
        <v>22</v>
      </c>
      <c r="M149" t="s">
        <v>23</v>
      </c>
      <c r="N149" t="s">
        <v>66</v>
      </c>
      <c r="O149" s="5">
        <f>Table14[[#This Row],[Profit]]/Table14[[#This Row],[Total_Sales]]</f>
        <v>0.29111119599679131</v>
      </c>
      <c r="P149" s="23">
        <f>DATE(YEAR(Table14[[#This Row],[Order_Date]]), MONTH(Table14[[#This Row],[Order_Date]]), 1)</f>
        <v>45444</v>
      </c>
      <c r="Q149" t="str">
        <f>_xlfn.XLOOKUP(Table14[[#This Row],[Product]],Product_Master!$B$2:$B$11,Product_Master!$D$2:$D$11)</f>
        <v>AudioTech Ltd.</v>
      </c>
      <c r="R149" t="str">
        <f>_xlfn.XLOOKUP(Table14[[#This Row],[Product]],Product_Master!$B$2:$B$11,Product_Master!$E$2:$E$11)</f>
        <v>China</v>
      </c>
      <c r="S149">
        <f>_xlfn.XLOOKUP(Table14[[#This Row],[Product]],Product_Master!$B$2:$B$11,Product_Master!$F$2:$F$11)</f>
        <v>32</v>
      </c>
    </row>
    <row r="150" spans="1:19" x14ac:dyDescent="0.3">
      <c r="A150" t="s">
        <v>294</v>
      </c>
      <c r="B150" s="23" t="s">
        <v>39</v>
      </c>
      <c r="C150" t="s">
        <v>295</v>
      </c>
      <c r="D150" t="s">
        <v>53</v>
      </c>
      <c r="E150" t="s">
        <v>98</v>
      </c>
      <c r="F150" t="s">
        <v>59</v>
      </c>
      <c r="G150">
        <v>47</v>
      </c>
      <c r="H150" s="4">
        <v>42.25</v>
      </c>
      <c r="I150" s="8">
        <v>1985.75</v>
      </c>
      <c r="J150">
        <v>116.75</v>
      </c>
      <c r="K150">
        <v>553</v>
      </c>
      <c r="L150" t="s">
        <v>30</v>
      </c>
      <c r="M150" t="s">
        <v>23</v>
      </c>
      <c r="N150" t="s">
        <v>24</v>
      </c>
      <c r="O150" s="5">
        <f>Table14[[#This Row],[Profit]]/Table14[[#This Row],[Total_Sales]]</f>
        <v>0.27848419992446177</v>
      </c>
      <c r="P150" s="23">
        <f>DATE(YEAR(Table14[[#This Row],[Order_Date]]), MONTH(Table14[[#This Row],[Order_Date]]), 1)</f>
        <v>45566</v>
      </c>
      <c r="Q150" t="str">
        <f>_xlfn.XLOOKUP(Table14[[#This Row],[Product]],Product_Master!$B$2:$B$11,Product_Master!$D$2:$D$11)</f>
        <v>BrightHome</v>
      </c>
      <c r="R150" t="str">
        <f>_xlfn.XLOOKUP(Table14[[#This Row],[Product]],Product_Master!$B$2:$B$11,Product_Master!$E$2:$E$11)</f>
        <v>India</v>
      </c>
      <c r="S150">
        <f>_xlfn.XLOOKUP(Table14[[#This Row],[Product]],Product_Master!$B$2:$B$11,Product_Master!$F$2:$F$11)</f>
        <v>28</v>
      </c>
    </row>
    <row r="151" spans="1:19" x14ac:dyDescent="0.3">
      <c r="A151" t="s">
        <v>296</v>
      </c>
      <c r="B151" s="23" t="s">
        <v>86</v>
      </c>
      <c r="C151" t="s">
        <v>297</v>
      </c>
      <c r="D151" t="s">
        <v>63</v>
      </c>
      <c r="E151" t="s">
        <v>64</v>
      </c>
      <c r="F151" t="s">
        <v>65</v>
      </c>
      <c r="G151">
        <v>18</v>
      </c>
      <c r="H151" s="4">
        <v>38.26</v>
      </c>
      <c r="I151" s="8">
        <v>688.68</v>
      </c>
      <c r="J151">
        <v>18.78</v>
      </c>
      <c r="K151">
        <v>219.9</v>
      </c>
      <c r="L151" t="s">
        <v>30</v>
      </c>
      <c r="M151" t="s">
        <v>23</v>
      </c>
      <c r="N151" t="s">
        <v>66</v>
      </c>
      <c r="O151" s="5">
        <f>Table14[[#This Row],[Profit]]/Table14[[#This Row],[Total_Sales]]</f>
        <v>0.31930649939013767</v>
      </c>
      <c r="P151" s="23">
        <f>DATE(YEAR(Table14[[#This Row],[Order_Date]]), MONTH(Table14[[#This Row],[Order_Date]]), 1)</f>
        <v>45352</v>
      </c>
      <c r="Q151" t="str">
        <f>_xlfn.XLOOKUP(Table14[[#This Row],[Product]],Product_Master!$B$2:$B$11,Product_Master!$D$2:$D$11)</f>
        <v>SoftWeave</v>
      </c>
      <c r="R151" t="str">
        <f>_xlfn.XLOOKUP(Table14[[#This Row],[Product]],Product_Master!$B$2:$B$11,Product_Master!$E$2:$E$11)</f>
        <v>Turkey</v>
      </c>
      <c r="S151">
        <f>_xlfn.XLOOKUP(Table14[[#This Row],[Product]],Product_Master!$B$2:$B$11,Product_Master!$F$2:$F$11)</f>
        <v>25</v>
      </c>
    </row>
    <row r="152" spans="1:19" x14ac:dyDescent="0.3">
      <c r="A152" t="s">
        <v>298</v>
      </c>
      <c r="B152" s="23" t="s">
        <v>83</v>
      </c>
      <c r="C152" t="s">
        <v>100</v>
      </c>
      <c r="D152" t="s">
        <v>81</v>
      </c>
      <c r="E152" t="s">
        <v>98</v>
      </c>
      <c r="F152" t="s">
        <v>59</v>
      </c>
      <c r="G152">
        <v>31</v>
      </c>
      <c r="H152" s="4">
        <v>46.66</v>
      </c>
      <c r="I152" s="8">
        <v>1446.46</v>
      </c>
      <c r="J152">
        <v>109.24</v>
      </c>
      <c r="K152">
        <v>469.22</v>
      </c>
      <c r="L152" t="s">
        <v>22</v>
      </c>
      <c r="M152" t="s">
        <v>37</v>
      </c>
      <c r="N152" t="s">
        <v>66</v>
      </c>
      <c r="O152" s="5">
        <f>Table14[[#This Row],[Profit]]/Table14[[#This Row],[Total_Sales]]</f>
        <v>0.32439196382893409</v>
      </c>
      <c r="P152" s="23">
        <f>DATE(YEAR(Table14[[#This Row],[Order_Date]]), MONTH(Table14[[#This Row],[Order_Date]]), 1)</f>
        <v>45323</v>
      </c>
      <c r="Q152" t="str">
        <f>_xlfn.XLOOKUP(Table14[[#This Row],[Product]],Product_Master!$B$2:$B$11,Product_Master!$D$2:$D$11)</f>
        <v>BrightHome</v>
      </c>
      <c r="R152" t="str">
        <f>_xlfn.XLOOKUP(Table14[[#This Row],[Product]],Product_Master!$B$2:$B$11,Product_Master!$E$2:$E$11)</f>
        <v>India</v>
      </c>
      <c r="S152">
        <f>_xlfn.XLOOKUP(Table14[[#This Row],[Product]],Product_Master!$B$2:$B$11,Product_Master!$F$2:$F$11)</f>
        <v>28</v>
      </c>
    </row>
    <row r="153" spans="1:19" x14ac:dyDescent="0.3">
      <c r="A153" t="s">
        <v>299</v>
      </c>
      <c r="B153" s="23" t="s">
        <v>86</v>
      </c>
      <c r="C153" t="s">
        <v>300</v>
      </c>
      <c r="D153" t="s">
        <v>101</v>
      </c>
      <c r="E153" t="s">
        <v>42</v>
      </c>
      <c r="F153" t="s">
        <v>43</v>
      </c>
      <c r="G153">
        <v>41</v>
      </c>
      <c r="H153" s="4">
        <v>52.65</v>
      </c>
      <c r="I153" s="8">
        <v>2158.65</v>
      </c>
      <c r="J153">
        <v>110.1</v>
      </c>
      <c r="K153">
        <v>736.55</v>
      </c>
      <c r="L153" t="s">
        <v>30</v>
      </c>
      <c r="M153" t="s">
        <v>37</v>
      </c>
      <c r="N153" t="s">
        <v>102</v>
      </c>
      <c r="O153" s="5">
        <f>Table14[[#This Row],[Profit]]/Table14[[#This Row],[Total_Sales]]</f>
        <v>0.34120862576147126</v>
      </c>
      <c r="P153" s="23">
        <f>DATE(YEAR(Table14[[#This Row],[Order_Date]]), MONTH(Table14[[#This Row],[Order_Date]]), 1)</f>
        <v>45352</v>
      </c>
      <c r="Q153" t="str">
        <f>_xlfn.XLOOKUP(Table14[[#This Row],[Product]],Product_Master!$B$2:$B$11,Product_Master!$D$2:$D$11)</f>
        <v>AudioTech Ltd.</v>
      </c>
      <c r="R153" t="str">
        <f>_xlfn.XLOOKUP(Table14[[#This Row],[Product]],Product_Master!$B$2:$B$11,Product_Master!$E$2:$E$11)</f>
        <v>China</v>
      </c>
      <c r="S153">
        <f>_xlfn.XLOOKUP(Table14[[#This Row],[Product]],Product_Master!$B$2:$B$11,Product_Master!$F$2:$F$11)</f>
        <v>32</v>
      </c>
    </row>
    <row r="154" spans="1:19" x14ac:dyDescent="0.3">
      <c r="A154" t="s">
        <v>301</v>
      </c>
      <c r="B154" s="23" t="s">
        <v>86</v>
      </c>
      <c r="C154" t="s">
        <v>133</v>
      </c>
      <c r="D154" t="s">
        <v>91</v>
      </c>
      <c r="E154" t="s">
        <v>29</v>
      </c>
      <c r="F154" t="s">
        <v>21</v>
      </c>
      <c r="G154">
        <v>28</v>
      </c>
      <c r="H154" s="4">
        <v>22.66</v>
      </c>
      <c r="I154" s="8">
        <v>634.48</v>
      </c>
      <c r="J154">
        <v>15.55</v>
      </c>
      <c r="K154">
        <v>114.93</v>
      </c>
      <c r="L154" t="s">
        <v>44</v>
      </c>
      <c r="M154" t="s">
        <v>23</v>
      </c>
      <c r="N154" t="s">
        <v>66</v>
      </c>
      <c r="O154" s="5">
        <f>Table14[[#This Row],[Profit]]/Table14[[#This Row],[Total_Sales]]</f>
        <v>0.1811404614802673</v>
      </c>
      <c r="P154" s="23">
        <f>DATE(YEAR(Table14[[#This Row],[Order_Date]]), MONTH(Table14[[#This Row],[Order_Date]]), 1)</f>
        <v>45352</v>
      </c>
      <c r="Q154" t="str">
        <f>_xlfn.XLOOKUP(Table14[[#This Row],[Product]],Product_Master!$B$2:$B$11,Product_Master!$D$2:$D$11)</f>
        <v>CraftLine</v>
      </c>
      <c r="R154" t="str">
        <f>_xlfn.XLOOKUP(Table14[[#This Row],[Product]],Product_Master!$B$2:$B$11,Product_Master!$E$2:$E$11)</f>
        <v>Italy</v>
      </c>
      <c r="S154">
        <f>_xlfn.XLOOKUP(Table14[[#This Row],[Product]],Product_Master!$B$2:$B$11,Product_Master!$F$2:$F$11)</f>
        <v>18</v>
      </c>
    </row>
    <row r="155" spans="1:19" x14ac:dyDescent="0.3">
      <c r="A155" t="s">
        <v>302</v>
      </c>
      <c r="B155" s="23" t="s">
        <v>26</v>
      </c>
      <c r="C155" t="s">
        <v>287</v>
      </c>
      <c r="D155" t="s">
        <v>53</v>
      </c>
      <c r="E155" t="s">
        <v>69</v>
      </c>
      <c r="F155" t="s">
        <v>59</v>
      </c>
      <c r="G155">
        <v>48</v>
      </c>
      <c r="H155" s="4">
        <v>25.07</v>
      </c>
      <c r="I155" s="8">
        <v>1203.3599999999999</v>
      </c>
      <c r="J155">
        <v>29.93</v>
      </c>
      <c r="K155">
        <v>429.43</v>
      </c>
      <c r="L155" t="s">
        <v>30</v>
      </c>
      <c r="M155" t="s">
        <v>31</v>
      </c>
      <c r="N155" t="s">
        <v>24</v>
      </c>
      <c r="O155" s="5">
        <f>Table14[[#This Row],[Profit]]/Table14[[#This Row],[Total_Sales]]</f>
        <v>0.35685912777556178</v>
      </c>
      <c r="P155" s="23">
        <f>DATE(YEAR(Table14[[#This Row],[Order_Date]]), MONTH(Table14[[#This Row],[Order_Date]]), 1)</f>
        <v>45689</v>
      </c>
      <c r="Q155" t="str">
        <f>_xlfn.XLOOKUP(Table14[[#This Row],[Product]],Product_Master!$B$2:$B$11,Product_Master!$D$2:$D$11)</f>
        <v>Artisans Co.</v>
      </c>
      <c r="R155" t="str">
        <f>_xlfn.XLOOKUP(Table14[[#This Row],[Product]],Product_Master!$B$2:$B$11,Product_Master!$E$2:$E$11)</f>
        <v>India</v>
      </c>
      <c r="S155">
        <f>_xlfn.XLOOKUP(Table14[[#This Row],[Product]],Product_Master!$B$2:$B$11,Product_Master!$F$2:$F$11)</f>
        <v>15.5</v>
      </c>
    </row>
    <row r="156" spans="1:19" x14ac:dyDescent="0.3">
      <c r="A156" t="s">
        <v>303</v>
      </c>
      <c r="B156" s="23" t="s">
        <v>107</v>
      </c>
      <c r="C156" t="s">
        <v>40</v>
      </c>
      <c r="D156" t="s">
        <v>41</v>
      </c>
      <c r="E156" t="s">
        <v>29</v>
      </c>
      <c r="F156" t="s">
        <v>21</v>
      </c>
      <c r="G156">
        <v>31</v>
      </c>
      <c r="H156" s="4">
        <v>30.53</v>
      </c>
      <c r="I156" s="8">
        <v>946.43</v>
      </c>
      <c r="J156">
        <v>72.150000000000006</v>
      </c>
      <c r="K156">
        <v>316.27999999999997</v>
      </c>
      <c r="L156" t="s">
        <v>44</v>
      </c>
      <c r="M156" t="s">
        <v>31</v>
      </c>
      <c r="N156" t="s">
        <v>45</v>
      </c>
      <c r="O156" s="5">
        <f>Table14[[#This Row],[Profit]]/Table14[[#This Row],[Total_Sales]]</f>
        <v>0.33418213708356664</v>
      </c>
      <c r="P156" s="23">
        <f>DATE(YEAR(Table14[[#This Row],[Order_Date]]), MONTH(Table14[[#This Row],[Order_Date]]), 1)</f>
        <v>45413</v>
      </c>
      <c r="Q156" t="str">
        <f>_xlfn.XLOOKUP(Table14[[#This Row],[Product]],Product_Master!$B$2:$B$11,Product_Master!$D$2:$D$11)</f>
        <v>CraftLine</v>
      </c>
      <c r="R156" t="str">
        <f>_xlfn.XLOOKUP(Table14[[#This Row],[Product]],Product_Master!$B$2:$B$11,Product_Master!$E$2:$E$11)</f>
        <v>Italy</v>
      </c>
      <c r="S156">
        <f>_xlfn.XLOOKUP(Table14[[#This Row],[Product]],Product_Master!$B$2:$B$11,Product_Master!$F$2:$F$11)</f>
        <v>18</v>
      </c>
    </row>
    <row r="157" spans="1:19" x14ac:dyDescent="0.3">
      <c r="A157" t="s">
        <v>304</v>
      </c>
      <c r="B157" s="23" t="s">
        <v>78</v>
      </c>
      <c r="C157" t="s">
        <v>305</v>
      </c>
      <c r="D157" t="s">
        <v>101</v>
      </c>
      <c r="E157" t="s">
        <v>58</v>
      </c>
      <c r="F157" t="s">
        <v>59</v>
      </c>
      <c r="G157">
        <v>33</v>
      </c>
      <c r="H157" s="4">
        <v>31</v>
      </c>
      <c r="I157" s="8">
        <v>1023</v>
      </c>
      <c r="J157">
        <v>63.94</v>
      </c>
      <c r="K157">
        <v>216.56</v>
      </c>
      <c r="L157" t="s">
        <v>30</v>
      </c>
      <c r="M157" t="s">
        <v>23</v>
      </c>
      <c r="N157" t="s">
        <v>102</v>
      </c>
      <c r="O157" s="5">
        <f>Table14[[#This Row],[Profit]]/Table14[[#This Row],[Total_Sales]]</f>
        <v>0.21169110459433041</v>
      </c>
      <c r="P157" s="23">
        <f>DATE(YEAR(Table14[[#This Row],[Order_Date]]), MONTH(Table14[[#This Row],[Order_Date]]), 1)</f>
        <v>45627</v>
      </c>
      <c r="Q157" t="str">
        <f>_xlfn.XLOOKUP(Table14[[#This Row],[Product]],Product_Master!$B$2:$B$11,Product_Master!$D$2:$D$11)</f>
        <v>ClearCraft</v>
      </c>
      <c r="R157" t="str">
        <f>_xlfn.XLOOKUP(Table14[[#This Row],[Product]],Product_Master!$B$2:$B$11,Product_Master!$E$2:$E$11)</f>
        <v>India</v>
      </c>
      <c r="S157">
        <f>_xlfn.XLOOKUP(Table14[[#This Row],[Product]],Product_Master!$B$2:$B$11,Product_Master!$F$2:$F$11)</f>
        <v>22.5</v>
      </c>
    </row>
    <row r="158" spans="1:19" x14ac:dyDescent="0.3">
      <c r="A158" t="s">
        <v>306</v>
      </c>
      <c r="B158" s="23" t="s">
        <v>39</v>
      </c>
      <c r="C158" t="s">
        <v>137</v>
      </c>
      <c r="D158" t="s">
        <v>28</v>
      </c>
      <c r="E158" t="s">
        <v>69</v>
      </c>
      <c r="F158" t="s">
        <v>59</v>
      </c>
      <c r="G158">
        <v>32</v>
      </c>
      <c r="H158" s="4">
        <v>20.86</v>
      </c>
      <c r="I158" s="8">
        <v>667.52</v>
      </c>
      <c r="J158">
        <v>21.62</v>
      </c>
      <c r="K158">
        <v>149.9</v>
      </c>
      <c r="L158" t="s">
        <v>44</v>
      </c>
      <c r="M158" t="s">
        <v>37</v>
      </c>
      <c r="N158" t="s">
        <v>32</v>
      </c>
      <c r="O158" s="5">
        <f>Table14[[#This Row],[Profit]]/Table14[[#This Row],[Total_Sales]]</f>
        <v>0.22456255992329818</v>
      </c>
      <c r="P158" s="23">
        <f>DATE(YEAR(Table14[[#This Row],[Order_Date]]), MONTH(Table14[[#This Row],[Order_Date]]), 1)</f>
        <v>45566</v>
      </c>
      <c r="Q158" t="str">
        <f>_xlfn.XLOOKUP(Table14[[#This Row],[Product]],Product_Master!$B$2:$B$11,Product_Master!$D$2:$D$11)</f>
        <v>Artisans Co.</v>
      </c>
      <c r="R158" t="str">
        <f>_xlfn.XLOOKUP(Table14[[#This Row],[Product]],Product_Master!$B$2:$B$11,Product_Master!$E$2:$E$11)</f>
        <v>India</v>
      </c>
      <c r="S158">
        <f>_xlfn.XLOOKUP(Table14[[#This Row],[Product]],Product_Master!$B$2:$B$11,Product_Master!$F$2:$F$11)</f>
        <v>15.5</v>
      </c>
    </row>
    <row r="159" spans="1:19" x14ac:dyDescent="0.3">
      <c r="A159" t="s">
        <v>307</v>
      </c>
      <c r="B159" s="23" t="s">
        <v>68</v>
      </c>
      <c r="C159" t="s">
        <v>158</v>
      </c>
      <c r="D159" t="s">
        <v>170</v>
      </c>
      <c r="E159" t="s">
        <v>54</v>
      </c>
      <c r="F159" t="s">
        <v>43</v>
      </c>
      <c r="G159">
        <v>18</v>
      </c>
      <c r="H159" s="4">
        <v>24.61</v>
      </c>
      <c r="I159" s="8">
        <v>442.98</v>
      </c>
      <c r="J159">
        <v>26.99</v>
      </c>
      <c r="K159">
        <v>55.99</v>
      </c>
      <c r="L159" t="s">
        <v>44</v>
      </c>
      <c r="M159" t="s">
        <v>23</v>
      </c>
      <c r="N159" t="s">
        <v>32</v>
      </c>
      <c r="O159" s="5">
        <f>Table14[[#This Row],[Profit]]/Table14[[#This Row],[Total_Sales]]</f>
        <v>0.12639396812497178</v>
      </c>
      <c r="P159" s="23">
        <f>DATE(YEAR(Table14[[#This Row],[Order_Date]]), MONTH(Table14[[#This Row],[Order_Date]]), 1)</f>
        <v>45536</v>
      </c>
      <c r="Q159" t="str">
        <f>_xlfn.XLOOKUP(Table14[[#This Row],[Product]],Product_Master!$B$2:$B$11,Product_Master!$D$2:$D$11)</f>
        <v>ClickTech</v>
      </c>
      <c r="R159" t="str">
        <f>_xlfn.XLOOKUP(Table14[[#This Row],[Product]],Product_Master!$B$2:$B$11,Product_Master!$E$2:$E$11)</f>
        <v>China</v>
      </c>
      <c r="S159">
        <f>_xlfn.XLOOKUP(Table14[[#This Row],[Product]],Product_Master!$B$2:$B$11,Product_Master!$F$2:$F$11)</f>
        <v>20</v>
      </c>
    </row>
    <row r="160" spans="1:19" x14ac:dyDescent="0.3">
      <c r="A160" t="s">
        <v>308</v>
      </c>
      <c r="B160" s="23" t="s">
        <v>39</v>
      </c>
      <c r="C160" t="s">
        <v>112</v>
      </c>
      <c r="D160" t="s">
        <v>81</v>
      </c>
      <c r="E160" t="s">
        <v>49</v>
      </c>
      <c r="F160" t="s">
        <v>50</v>
      </c>
      <c r="G160">
        <v>18</v>
      </c>
      <c r="H160" s="4">
        <v>64.83</v>
      </c>
      <c r="I160" s="8">
        <v>1166.94</v>
      </c>
      <c r="J160">
        <v>34.28</v>
      </c>
      <c r="K160">
        <v>412.66</v>
      </c>
      <c r="L160" t="s">
        <v>44</v>
      </c>
      <c r="M160" t="s">
        <v>23</v>
      </c>
      <c r="N160" t="s">
        <v>66</v>
      </c>
      <c r="O160" s="5">
        <f>Table14[[#This Row],[Profit]]/Table14[[#This Row],[Total_Sales]]</f>
        <v>0.35362572197370901</v>
      </c>
      <c r="P160" s="23">
        <f>DATE(YEAR(Table14[[#This Row],[Order_Date]]), MONTH(Table14[[#This Row],[Order_Date]]), 1)</f>
        <v>45566</v>
      </c>
      <c r="Q160" t="str">
        <f>_xlfn.XLOOKUP(Table14[[#This Row],[Product]],Product_Master!$B$2:$B$11,Product_Master!$D$2:$D$11)</f>
        <v>BlueWear</v>
      </c>
      <c r="R160" t="str">
        <f>_xlfn.XLOOKUP(Table14[[#This Row],[Product]],Product_Master!$B$2:$B$11,Product_Master!$E$2:$E$11)</f>
        <v>Bangladesh</v>
      </c>
      <c r="S160">
        <f>_xlfn.XLOOKUP(Table14[[#This Row],[Product]],Product_Master!$B$2:$B$11,Product_Master!$F$2:$F$11)</f>
        <v>40</v>
      </c>
    </row>
    <row r="161" spans="1:19" x14ac:dyDescent="0.3">
      <c r="A161" t="s">
        <v>309</v>
      </c>
      <c r="B161" s="23" t="s">
        <v>95</v>
      </c>
      <c r="C161" t="s">
        <v>310</v>
      </c>
      <c r="D161" t="s">
        <v>53</v>
      </c>
      <c r="E161" t="s">
        <v>54</v>
      </c>
      <c r="F161" t="s">
        <v>43</v>
      </c>
      <c r="G161">
        <v>49</v>
      </c>
      <c r="H161" s="4">
        <v>29.52</v>
      </c>
      <c r="I161" s="8">
        <v>1446.48</v>
      </c>
      <c r="J161">
        <v>104.7</v>
      </c>
      <c r="K161">
        <v>361.78</v>
      </c>
      <c r="L161" t="s">
        <v>44</v>
      </c>
      <c r="M161" t="s">
        <v>37</v>
      </c>
      <c r="N161" t="s">
        <v>24</v>
      </c>
      <c r="O161" s="5">
        <f>Table14[[#This Row],[Profit]]/Table14[[#This Row],[Total_Sales]]</f>
        <v>0.25011061335103146</v>
      </c>
      <c r="P161" s="23">
        <f>DATE(YEAR(Table14[[#This Row],[Order_Date]]), MONTH(Table14[[#This Row],[Order_Date]]), 1)</f>
        <v>45474</v>
      </c>
      <c r="Q161" t="str">
        <f>_xlfn.XLOOKUP(Table14[[#This Row],[Product]],Product_Master!$B$2:$B$11,Product_Master!$D$2:$D$11)</f>
        <v>ClickTech</v>
      </c>
      <c r="R161" t="str">
        <f>_xlfn.XLOOKUP(Table14[[#This Row],[Product]],Product_Master!$B$2:$B$11,Product_Master!$E$2:$E$11)</f>
        <v>China</v>
      </c>
      <c r="S161">
        <f>_xlfn.XLOOKUP(Table14[[#This Row],[Product]],Product_Master!$B$2:$B$11,Product_Master!$F$2:$F$11)</f>
        <v>20</v>
      </c>
    </row>
    <row r="162" spans="1:19" x14ac:dyDescent="0.3">
      <c r="A162" t="s">
        <v>311</v>
      </c>
      <c r="B162" s="23" t="s">
        <v>95</v>
      </c>
      <c r="C162" t="s">
        <v>312</v>
      </c>
      <c r="D162" t="s">
        <v>101</v>
      </c>
      <c r="E162" t="s">
        <v>54</v>
      </c>
      <c r="F162" t="s">
        <v>43</v>
      </c>
      <c r="G162">
        <v>10</v>
      </c>
      <c r="H162" s="4">
        <v>26.73</v>
      </c>
      <c r="I162" s="8">
        <v>267.3</v>
      </c>
      <c r="J162">
        <v>10.210000000000001</v>
      </c>
      <c r="K162">
        <v>57.09</v>
      </c>
      <c r="L162" t="s">
        <v>44</v>
      </c>
      <c r="M162" t="s">
        <v>37</v>
      </c>
      <c r="N162" t="s">
        <v>102</v>
      </c>
      <c r="O162" s="5">
        <f>Table14[[#This Row],[Profit]]/Table14[[#This Row],[Total_Sales]]</f>
        <v>0.21358024691358024</v>
      </c>
      <c r="P162" s="23">
        <f>DATE(YEAR(Table14[[#This Row],[Order_Date]]), MONTH(Table14[[#This Row],[Order_Date]]), 1)</f>
        <v>45474</v>
      </c>
      <c r="Q162" t="str">
        <f>_xlfn.XLOOKUP(Table14[[#This Row],[Product]],Product_Master!$B$2:$B$11,Product_Master!$D$2:$D$11)</f>
        <v>ClickTech</v>
      </c>
      <c r="R162" t="str">
        <f>_xlfn.XLOOKUP(Table14[[#This Row],[Product]],Product_Master!$B$2:$B$11,Product_Master!$E$2:$E$11)</f>
        <v>China</v>
      </c>
      <c r="S162">
        <f>_xlfn.XLOOKUP(Table14[[#This Row],[Product]],Product_Master!$B$2:$B$11,Product_Master!$F$2:$F$11)</f>
        <v>20</v>
      </c>
    </row>
    <row r="163" spans="1:19" x14ac:dyDescent="0.3">
      <c r="A163" t="s">
        <v>313</v>
      </c>
      <c r="B163" s="23" t="s">
        <v>83</v>
      </c>
      <c r="C163" t="s">
        <v>72</v>
      </c>
      <c r="D163" t="s">
        <v>28</v>
      </c>
      <c r="E163" t="s">
        <v>42</v>
      </c>
      <c r="F163" t="s">
        <v>43</v>
      </c>
      <c r="G163">
        <v>10</v>
      </c>
      <c r="H163" s="4">
        <v>54.45</v>
      </c>
      <c r="I163" s="8">
        <v>544.5</v>
      </c>
      <c r="J163">
        <v>16.59</v>
      </c>
      <c r="K163">
        <v>207.91</v>
      </c>
      <c r="L163" t="s">
        <v>22</v>
      </c>
      <c r="M163" t="s">
        <v>23</v>
      </c>
      <c r="N163" t="s">
        <v>32</v>
      </c>
      <c r="O163" s="5">
        <f>Table14[[#This Row],[Profit]]/Table14[[#This Row],[Total_Sales]]</f>
        <v>0.38183654729109273</v>
      </c>
      <c r="P163" s="23">
        <f>DATE(YEAR(Table14[[#This Row],[Order_Date]]), MONTH(Table14[[#This Row],[Order_Date]]), 1)</f>
        <v>45323</v>
      </c>
      <c r="Q163" t="str">
        <f>_xlfn.XLOOKUP(Table14[[#This Row],[Product]],Product_Master!$B$2:$B$11,Product_Master!$D$2:$D$11)</f>
        <v>AudioTech Ltd.</v>
      </c>
      <c r="R163" t="str">
        <f>_xlfn.XLOOKUP(Table14[[#This Row],[Product]],Product_Master!$B$2:$B$11,Product_Master!$E$2:$E$11)</f>
        <v>China</v>
      </c>
      <c r="S163">
        <f>_xlfn.XLOOKUP(Table14[[#This Row],[Product]],Product_Master!$B$2:$B$11,Product_Master!$F$2:$F$11)</f>
        <v>32</v>
      </c>
    </row>
    <row r="164" spans="1:19" x14ac:dyDescent="0.3">
      <c r="A164" t="s">
        <v>314</v>
      </c>
      <c r="B164" s="23" t="s">
        <v>56</v>
      </c>
      <c r="C164" t="s">
        <v>72</v>
      </c>
      <c r="D164" t="s">
        <v>196</v>
      </c>
      <c r="E164" t="s">
        <v>29</v>
      </c>
      <c r="F164" t="s">
        <v>21</v>
      </c>
      <c r="G164">
        <v>46</v>
      </c>
      <c r="H164" s="4">
        <v>30.06</v>
      </c>
      <c r="I164" s="8">
        <v>1382.76</v>
      </c>
      <c r="J164">
        <v>77.17</v>
      </c>
      <c r="K164">
        <v>477.59</v>
      </c>
      <c r="L164" t="s">
        <v>30</v>
      </c>
      <c r="M164" t="s">
        <v>31</v>
      </c>
      <c r="N164" t="s">
        <v>66</v>
      </c>
      <c r="O164" s="5">
        <f>Table14[[#This Row],[Profit]]/Table14[[#This Row],[Total_Sales]]</f>
        <v>0.34538893228036677</v>
      </c>
      <c r="P164" s="23">
        <f>DATE(YEAR(Table14[[#This Row],[Order_Date]]), MONTH(Table14[[#This Row],[Order_Date]]), 1)</f>
        <v>45444</v>
      </c>
      <c r="Q164" t="str">
        <f>_xlfn.XLOOKUP(Table14[[#This Row],[Product]],Product_Master!$B$2:$B$11,Product_Master!$D$2:$D$11)</f>
        <v>CraftLine</v>
      </c>
      <c r="R164" t="str">
        <f>_xlfn.XLOOKUP(Table14[[#This Row],[Product]],Product_Master!$B$2:$B$11,Product_Master!$E$2:$E$11)</f>
        <v>Italy</v>
      </c>
      <c r="S164">
        <f>_xlfn.XLOOKUP(Table14[[#This Row],[Product]],Product_Master!$B$2:$B$11,Product_Master!$F$2:$F$11)</f>
        <v>18</v>
      </c>
    </row>
    <row r="165" spans="1:19" x14ac:dyDescent="0.3">
      <c r="A165" t="s">
        <v>315</v>
      </c>
      <c r="B165" s="23" t="s">
        <v>83</v>
      </c>
      <c r="C165" t="s">
        <v>316</v>
      </c>
      <c r="D165" t="s">
        <v>53</v>
      </c>
      <c r="E165" t="s">
        <v>69</v>
      </c>
      <c r="F165" t="s">
        <v>59</v>
      </c>
      <c r="G165">
        <v>25</v>
      </c>
      <c r="H165" s="4">
        <v>21.52</v>
      </c>
      <c r="I165" s="8">
        <v>538</v>
      </c>
      <c r="J165">
        <v>26.73</v>
      </c>
      <c r="K165">
        <v>123.77</v>
      </c>
      <c r="L165" t="s">
        <v>30</v>
      </c>
      <c r="M165" t="s">
        <v>23</v>
      </c>
      <c r="N165" t="s">
        <v>24</v>
      </c>
      <c r="O165" s="5">
        <f>Table14[[#This Row],[Profit]]/Table14[[#This Row],[Total_Sales]]</f>
        <v>0.23005576208178438</v>
      </c>
      <c r="P165" s="23">
        <f>DATE(YEAR(Table14[[#This Row],[Order_Date]]), MONTH(Table14[[#This Row],[Order_Date]]), 1)</f>
        <v>45323</v>
      </c>
      <c r="Q165" t="str">
        <f>_xlfn.XLOOKUP(Table14[[#This Row],[Product]],Product_Master!$B$2:$B$11,Product_Master!$D$2:$D$11)</f>
        <v>Artisans Co.</v>
      </c>
      <c r="R165" t="str">
        <f>_xlfn.XLOOKUP(Table14[[#This Row],[Product]],Product_Master!$B$2:$B$11,Product_Master!$E$2:$E$11)</f>
        <v>India</v>
      </c>
      <c r="S165">
        <f>_xlfn.XLOOKUP(Table14[[#This Row],[Product]],Product_Master!$B$2:$B$11,Product_Master!$F$2:$F$11)</f>
        <v>15.5</v>
      </c>
    </row>
    <row r="166" spans="1:19" x14ac:dyDescent="0.3">
      <c r="A166" t="s">
        <v>317</v>
      </c>
      <c r="B166" s="23" t="s">
        <v>83</v>
      </c>
      <c r="C166" t="s">
        <v>230</v>
      </c>
      <c r="D166" t="s">
        <v>196</v>
      </c>
      <c r="E166" t="s">
        <v>29</v>
      </c>
      <c r="F166" t="s">
        <v>21</v>
      </c>
      <c r="G166">
        <v>5</v>
      </c>
      <c r="H166" s="4">
        <v>26.25</v>
      </c>
      <c r="I166" s="8">
        <v>131.25</v>
      </c>
      <c r="J166">
        <v>3.35</v>
      </c>
      <c r="K166">
        <v>37.9</v>
      </c>
      <c r="L166" t="s">
        <v>30</v>
      </c>
      <c r="M166" t="s">
        <v>31</v>
      </c>
      <c r="N166" t="s">
        <v>66</v>
      </c>
      <c r="O166" s="5">
        <f>Table14[[#This Row],[Profit]]/Table14[[#This Row],[Total_Sales]]</f>
        <v>0.28876190476190478</v>
      </c>
      <c r="P166" s="23">
        <f>DATE(YEAR(Table14[[#This Row],[Order_Date]]), MONTH(Table14[[#This Row],[Order_Date]]), 1)</f>
        <v>45323</v>
      </c>
      <c r="Q166" t="str">
        <f>_xlfn.XLOOKUP(Table14[[#This Row],[Product]],Product_Master!$B$2:$B$11,Product_Master!$D$2:$D$11)</f>
        <v>CraftLine</v>
      </c>
      <c r="R166" t="str">
        <f>_xlfn.XLOOKUP(Table14[[#This Row],[Product]],Product_Master!$B$2:$B$11,Product_Master!$E$2:$E$11)</f>
        <v>Italy</v>
      </c>
      <c r="S166">
        <f>_xlfn.XLOOKUP(Table14[[#This Row],[Product]],Product_Master!$B$2:$B$11,Product_Master!$F$2:$F$11)</f>
        <v>18</v>
      </c>
    </row>
    <row r="167" spans="1:19" x14ac:dyDescent="0.3">
      <c r="A167" t="s">
        <v>318</v>
      </c>
      <c r="B167" s="23" t="s">
        <v>56</v>
      </c>
      <c r="C167" t="s">
        <v>319</v>
      </c>
      <c r="D167" t="s">
        <v>28</v>
      </c>
      <c r="E167" t="s">
        <v>64</v>
      </c>
      <c r="F167" t="s">
        <v>65</v>
      </c>
      <c r="G167">
        <v>10</v>
      </c>
      <c r="H167" s="4">
        <v>31.48</v>
      </c>
      <c r="I167" s="8">
        <v>314.8</v>
      </c>
      <c r="J167">
        <v>10.23</v>
      </c>
      <c r="K167">
        <v>54.57</v>
      </c>
      <c r="L167" t="s">
        <v>44</v>
      </c>
      <c r="M167" t="s">
        <v>37</v>
      </c>
      <c r="N167" t="s">
        <v>32</v>
      </c>
      <c r="O167" s="5">
        <f>Table14[[#This Row],[Profit]]/Table14[[#This Row],[Total_Sales]]</f>
        <v>0.17334815756035576</v>
      </c>
      <c r="P167" s="23">
        <f>DATE(YEAR(Table14[[#This Row],[Order_Date]]), MONTH(Table14[[#This Row],[Order_Date]]), 1)</f>
        <v>45444</v>
      </c>
      <c r="Q167" t="str">
        <f>_xlfn.XLOOKUP(Table14[[#This Row],[Product]],Product_Master!$B$2:$B$11,Product_Master!$D$2:$D$11)</f>
        <v>SoftWeave</v>
      </c>
      <c r="R167" t="str">
        <f>_xlfn.XLOOKUP(Table14[[#This Row],[Product]],Product_Master!$B$2:$B$11,Product_Master!$E$2:$E$11)</f>
        <v>Turkey</v>
      </c>
      <c r="S167">
        <f>_xlfn.XLOOKUP(Table14[[#This Row],[Product]],Product_Master!$B$2:$B$11,Product_Master!$F$2:$F$11)</f>
        <v>25</v>
      </c>
    </row>
    <row r="168" spans="1:19" x14ac:dyDescent="0.3">
      <c r="A168" t="s">
        <v>320</v>
      </c>
      <c r="B168" s="23" t="s">
        <v>71</v>
      </c>
      <c r="C168" t="s">
        <v>127</v>
      </c>
      <c r="D168" t="s">
        <v>41</v>
      </c>
      <c r="E168" t="s">
        <v>54</v>
      </c>
      <c r="F168" t="s">
        <v>43</v>
      </c>
      <c r="G168">
        <v>21</v>
      </c>
      <c r="H168" s="4">
        <v>30.91</v>
      </c>
      <c r="I168" s="8">
        <v>649.11</v>
      </c>
      <c r="J168">
        <v>38.42</v>
      </c>
      <c r="K168">
        <v>190.69</v>
      </c>
      <c r="L168" t="s">
        <v>30</v>
      </c>
      <c r="M168" t="s">
        <v>37</v>
      </c>
      <c r="N168" t="s">
        <v>45</v>
      </c>
      <c r="O168" s="5">
        <f>Table14[[#This Row],[Profit]]/Table14[[#This Row],[Total_Sales]]</f>
        <v>0.29377147170741474</v>
      </c>
      <c r="P168" s="23">
        <f>DATE(YEAR(Table14[[#This Row],[Order_Date]]), MONTH(Table14[[#This Row],[Order_Date]]), 1)</f>
        <v>45505</v>
      </c>
      <c r="Q168" t="str">
        <f>_xlfn.XLOOKUP(Table14[[#This Row],[Product]],Product_Master!$B$2:$B$11,Product_Master!$D$2:$D$11)</f>
        <v>ClickTech</v>
      </c>
      <c r="R168" t="str">
        <f>_xlfn.XLOOKUP(Table14[[#This Row],[Product]],Product_Master!$B$2:$B$11,Product_Master!$E$2:$E$11)</f>
        <v>China</v>
      </c>
      <c r="S168">
        <f>_xlfn.XLOOKUP(Table14[[#This Row],[Product]],Product_Master!$B$2:$B$11,Product_Master!$F$2:$F$11)</f>
        <v>20</v>
      </c>
    </row>
    <row r="169" spans="1:19" x14ac:dyDescent="0.3">
      <c r="A169" t="s">
        <v>321</v>
      </c>
      <c r="B169" s="23" t="s">
        <v>61</v>
      </c>
      <c r="C169" t="s">
        <v>322</v>
      </c>
      <c r="D169" t="s">
        <v>81</v>
      </c>
      <c r="E169" t="s">
        <v>73</v>
      </c>
      <c r="F169" t="s">
        <v>43</v>
      </c>
      <c r="G169">
        <v>29</v>
      </c>
      <c r="H169" s="4">
        <v>18.47</v>
      </c>
      <c r="I169" s="8">
        <v>535.63</v>
      </c>
      <c r="J169">
        <v>13.21</v>
      </c>
      <c r="K169">
        <v>152.66999999999999</v>
      </c>
      <c r="L169" t="s">
        <v>22</v>
      </c>
      <c r="M169" t="s">
        <v>23</v>
      </c>
      <c r="N169" t="s">
        <v>66</v>
      </c>
      <c r="O169" s="5">
        <f>Table14[[#This Row],[Profit]]/Table14[[#This Row],[Total_Sales]]</f>
        <v>0.28502884453820732</v>
      </c>
      <c r="P169" s="23">
        <f>DATE(YEAR(Table14[[#This Row],[Order_Date]]), MONTH(Table14[[#This Row],[Order_Date]]), 1)</f>
        <v>45778</v>
      </c>
      <c r="Q169" t="str">
        <f>_xlfn.XLOOKUP(Table14[[#This Row],[Product]],Product_Master!$B$2:$B$11,Product_Master!$D$2:$D$11)</f>
        <v>BrightHome</v>
      </c>
      <c r="R169" t="str">
        <f>_xlfn.XLOOKUP(Table14[[#This Row],[Product]],Product_Master!$B$2:$B$11,Product_Master!$E$2:$E$11)</f>
        <v>Vietnam</v>
      </c>
      <c r="S169">
        <f>_xlfn.XLOOKUP(Table14[[#This Row],[Product]],Product_Master!$B$2:$B$11,Product_Master!$F$2:$F$11)</f>
        <v>12.75</v>
      </c>
    </row>
    <row r="170" spans="1:19" x14ac:dyDescent="0.3">
      <c r="A170" t="s">
        <v>323</v>
      </c>
      <c r="B170" s="23" t="s">
        <v>132</v>
      </c>
      <c r="C170" t="s">
        <v>133</v>
      </c>
      <c r="D170" t="s">
        <v>53</v>
      </c>
      <c r="E170" t="s">
        <v>20</v>
      </c>
      <c r="F170" t="s">
        <v>21</v>
      </c>
      <c r="G170">
        <v>36</v>
      </c>
      <c r="H170">
        <v>44.79</v>
      </c>
      <c r="I170">
        <v>1612.44</v>
      </c>
      <c r="J170">
        <v>68.599999999999994</v>
      </c>
      <c r="K170">
        <v>283.83999999999997</v>
      </c>
      <c r="L170" t="s">
        <v>44</v>
      </c>
      <c r="M170" t="s">
        <v>31</v>
      </c>
      <c r="N170" t="s">
        <v>24</v>
      </c>
      <c r="O170" s="5">
        <f>Table14[[#This Row],[Profit]]/Table14[[#This Row],[Total_Sales]]</f>
        <v>0.1760313562055022</v>
      </c>
      <c r="P170" s="23">
        <f>DATE(YEAR(Table14[[#This Row],[Order_Date]]), MONTH(Table14[[#This Row],[Order_Date]]), 1)</f>
        <v>45597</v>
      </c>
      <c r="Q170" t="str">
        <f>_xlfn.XLOOKUP(Table14[[#This Row],[Product]],Product_Master!$B$2:$B$11,Product_Master!$D$2:$D$11)</f>
        <v>CarryPro</v>
      </c>
      <c r="R170" t="str">
        <f>_xlfn.XLOOKUP(Table14[[#This Row],[Product]],Product_Master!$B$2:$B$11,Product_Master!$E$2:$E$11)</f>
        <v>Vietnam</v>
      </c>
      <c r="S170">
        <f>_xlfn.XLOOKUP(Table14[[#This Row],[Product]],Product_Master!$B$2:$B$11,Product_Master!$F$2:$F$11)</f>
        <v>35</v>
      </c>
    </row>
    <row r="171" spans="1:19" x14ac:dyDescent="0.3">
      <c r="A171" t="s">
        <v>324</v>
      </c>
      <c r="B171" s="23" t="s">
        <v>34</v>
      </c>
      <c r="C171" t="s">
        <v>325</v>
      </c>
      <c r="D171" t="s">
        <v>41</v>
      </c>
      <c r="E171" t="s">
        <v>69</v>
      </c>
      <c r="F171" t="s">
        <v>59</v>
      </c>
      <c r="G171">
        <v>3</v>
      </c>
      <c r="H171" s="4">
        <v>18.86</v>
      </c>
      <c r="I171" s="8">
        <v>56.58</v>
      </c>
      <c r="J171">
        <v>2.61</v>
      </c>
      <c r="K171">
        <v>7.47</v>
      </c>
      <c r="L171" t="s">
        <v>30</v>
      </c>
      <c r="M171" t="s">
        <v>37</v>
      </c>
      <c r="N171" t="s">
        <v>45</v>
      </c>
      <c r="O171" s="5">
        <f>Table14[[#This Row],[Profit]]/Table14[[#This Row],[Total_Sales]]</f>
        <v>0.1320254506892895</v>
      </c>
      <c r="P171" s="23">
        <f>DATE(YEAR(Table14[[#This Row],[Order_Date]]), MONTH(Table14[[#This Row],[Order_Date]]), 1)</f>
        <v>45383</v>
      </c>
      <c r="Q171" t="str">
        <f>_xlfn.XLOOKUP(Table14[[#This Row],[Product]],Product_Master!$B$2:$B$11,Product_Master!$D$2:$D$11)</f>
        <v>Artisans Co.</v>
      </c>
      <c r="R171" t="str">
        <f>_xlfn.XLOOKUP(Table14[[#This Row],[Product]],Product_Master!$B$2:$B$11,Product_Master!$E$2:$E$11)</f>
        <v>India</v>
      </c>
      <c r="S171">
        <f>_xlfn.XLOOKUP(Table14[[#This Row],[Product]],Product_Master!$B$2:$B$11,Product_Master!$F$2:$F$11)</f>
        <v>15.5</v>
      </c>
    </row>
    <row r="172" spans="1:19" x14ac:dyDescent="0.3">
      <c r="A172" t="s">
        <v>326</v>
      </c>
      <c r="B172" s="23" t="s">
        <v>132</v>
      </c>
      <c r="C172" t="s">
        <v>57</v>
      </c>
      <c r="D172" t="s">
        <v>63</v>
      </c>
      <c r="E172" t="s">
        <v>98</v>
      </c>
      <c r="F172" t="s">
        <v>59</v>
      </c>
      <c r="G172">
        <v>10</v>
      </c>
      <c r="H172" s="4">
        <v>45.86</v>
      </c>
      <c r="I172" s="8">
        <v>458.6</v>
      </c>
      <c r="J172">
        <v>14.4</v>
      </c>
      <c r="K172">
        <v>164.2</v>
      </c>
      <c r="L172" t="s">
        <v>44</v>
      </c>
      <c r="M172" t="s">
        <v>23</v>
      </c>
      <c r="N172" t="s">
        <v>66</v>
      </c>
      <c r="O172" s="5">
        <f>Table14[[#This Row],[Profit]]/Table14[[#This Row],[Total_Sales]]</f>
        <v>0.35804622764936761</v>
      </c>
      <c r="P172" s="23">
        <f>DATE(YEAR(Table14[[#This Row],[Order_Date]]), MONTH(Table14[[#This Row],[Order_Date]]), 1)</f>
        <v>45597</v>
      </c>
      <c r="Q172" t="str">
        <f>_xlfn.XLOOKUP(Table14[[#This Row],[Product]],Product_Master!$B$2:$B$11,Product_Master!$D$2:$D$11)</f>
        <v>BrightHome</v>
      </c>
      <c r="R172" t="str">
        <f>_xlfn.XLOOKUP(Table14[[#This Row],[Product]],Product_Master!$B$2:$B$11,Product_Master!$E$2:$E$11)</f>
        <v>India</v>
      </c>
      <c r="S172">
        <f>_xlfn.XLOOKUP(Table14[[#This Row],[Product]],Product_Master!$B$2:$B$11,Product_Master!$F$2:$F$11)</f>
        <v>28</v>
      </c>
    </row>
    <row r="173" spans="1:19" x14ac:dyDescent="0.3">
      <c r="A173" t="s">
        <v>327</v>
      </c>
      <c r="B173" s="23" t="s">
        <v>83</v>
      </c>
      <c r="C173" t="s">
        <v>325</v>
      </c>
      <c r="D173" t="s">
        <v>36</v>
      </c>
      <c r="E173" t="s">
        <v>29</v>
      </c>
      <c r="F173" t="s">
        <v>21</v>
      </c>
      <c r="G173">
        <v>1</v>
      </c>
      <c r="H173" s="4">
        <v>24.64</v>
      </c>
      <c r="I173" s="8">
        <v>24.64</v>
      </c>
      <c r="J173">
        <v>0.65</v>
      </c>
      <c r="K173">
        <v>5.99</v>
      </c>
      <c r="L173" t="s">
        <v>44</v>
      </c>
      <c r="M173" t="s">
        <v>31</v>
      </c>
      <c r="N173" t="s">
        <v>32</v>
      </c>
      <c r="O173" s="5">
        <f>Table14[[#This Row],[Profit]]/Table14[[#This Row],[Total_Sales]]</f>
        <v>0.24310064935064934</v>
      </c>
      <c r="P173" s="23">
        <f>DATE(YEAR(Table14[[#This Row],[Order_Date]]), MONTH(Table14[[#This Row],[Order_Date]]), 1)</f>
        <v>45323</v>
      </c>
      <c r="Q173" t="str">
        <f>_xlfn.XLOOKUP(Table14[[#This Row],[Product]],Product_Master!$B$2:$B$11,Product_Master!$D$2:$D$11)</f>
        <v>CraftLine</v>
      </c>
      <c r="R173" t="str">
        <f>_xlfn.XLOOKUP(Table14[[#This Row],[Product]],Product_Master!$B$2:$B$11,Product_Master!$E$2:$E$11)</f>
        <v>Italy</v>
      </c>
      <c r="S173">
        <f>_xlfn.XLOOKUP(Table14[[#This Row],[Product]],Product_Master!$B$2:$B$11,Product_Master!$F$2:$F$11)</f>
        <v>18</v>
      </c>
    </row>
    <row r="174" spans="1:19" x14ac:dyDescent="0.3">
      <c r="A174" t="s">
        <v>328</v>
      </c>
      <c r="B174" s="23" t="s">
        <v>95</v>
      </c>
      <c r="C174" t="s">
        <v>173</v>
      </c>
      <c r="D174" t="s">
        <v>36</v>
      </c>
      <c r="E174" t="s">
        <v>69</v>
      </c>
      <c r="F174" t="s">
        <v>59</v>
      </c>
      <c r="G174">
        <v>49</v>
      </c>
      <c r="H174" s="4">
        <v>22.8</v>
      </c>
      <c r="I174" s="8">
        <v>1117.2</v>
      </c>
      <c r="J174">
        <v>51.06</v>
      </c>
      <c r="K174">
        <v>306.64</v>
      </c>
      <c r="L174" t="s">
        <v>22</v>
      </c>
      <c r="M174" t="s">
        <v>31</v>
      </c>
      <c r="N174" t="s">
        <v>32</v>
      </c>
      <c r="O174" s="5">
        <f>Table14[[#This Row],[Profit]]/Table14[[#This Row],[Total_Sales]]</f>
        <v>0.27447189402076616</v>
      </c>
      <c r="P174" s="23">
        <f>DATE(YEAR(Table14[[#This Row],[Order_Date]]), MONTH(Table14[[#This Row],[Order_Date]]), 1)</f>
        <v>45474</v>
      </c>
      <c r="Q174" t="str">
        <f>_xlfn.XLOOKUP(Table14[[#This Row],[Product]],Product_Master!$B$2:$B$11,Product_Master!$D$2:$D$11)</f>
        <v>Artisans Co.</v>
      </c>
      <c r="R174" t="str">
        <f>_xlfn.XLOOKUP(Table14[[#This Row],[Product]],Product_Master!$B$2:$B$11,Product_Master!$E$2:$E$11)</f>
        <v>India</v>
      </c>
      <c r="S174">
        <f>_xlfn.XLOOKUP(Table14[[#This Row],[Product]],Product_Master!$B$2:$B$11,Product_Master!$F$2:$F$11)</f>
        <v>15.5</v>
      </c>
    </row>
    <row r="175" spans="1:19" x14ac:dyDescent="0.3">
      <c r="A175" t="s">
        <v>329</v>
      </c>
      <c r="B175" s="23" t="s">
        <v>39</v>
      </c>
      <c r="C175" t="s">
        <v>212</v>
      </c>
      <c r="D175" t="s">
        <v>53</v>
      </c>
      <c r="E175" t="s">
        <v>20</v>
      </c>
      <c r="F175" t="s">
        <v>21</v>
      </c>
      <c r="G175">
        <v>32</v>
      </c>
      <c r="H175">
        <v>44.5</v>
      </c>
      <c r="I175">
        <v>1424</v>
      </c>
      <c r="J175">
        <v>43.92</v>
      </c>
      <c r="K175">
        <v>260.08</v>
      </c>
      <c r="L175" t="s">
        <v>44</v>
      </c>
      <c r="M175" t="s">
        <v>31</v>
      </c>
      <c r="N175" t="s">
        <v>24</v>
      </c>
      <c r="O175" s="5">
        <f>Table14[[#This Row],[Profit]]/Table14[[#This Row],[Total_Sales]]</f>
        <v>0.18264044943820223</v>
      </c>
      <c r="P175" s="23">
        <f>DATE(YEAR(Table14[[#This Row],[Order_Date]]), MONTH(Table14[[#This Row],[Order_Date]]), 1)</f>
        <v>45566</v>
      </c>
      <c r="Q175" t="str">
        <f>_xlfn.XLOOKUP(Table14[[#This Row],[Product]],Product_Master!$B$2:$B$11,Product_Master!$D$2:$D$11)</f>
        <v>CarryPro</v>
      </c>
      <c r="R175" t="str">
        <f>_xlfn.XLOOKUP(Table14[[#This Row],[Product]],Product_Master!$B$2:$B$11,Product_Master!$E$2:$E$11)</f>
        <v>Vietnam</v>
      </c>
      <c r="S175">
        <f>_xlfn.XLOOKUP(Table14[[#This Row],[Product]],Product_Master!$B$2:$B$11,Product_Master!$F$2:$F$11)</f>
        <v>35</v>
      </c>
    </row>
    <row r="176" spans="1:19" x14ac:dyDescent="0.3">
      <c r="A176" t="s">
        <v>330</v>
      </c>
      <c r="B176" s="23" t="s">
        <v>71</v>
      </c>
      <c r="C176" t="s">
        <v>228</v>
      </c>
      <c r="D176" t="s">
        <v>41</v>
      </c>
      <c r="E176" t="s">
        <v>20</v>
      </c>
      <c r="F176" t="s">
        <v>21</v>
      </c>
      <c r="G176">
        <v>43</v>
      </c>
      <c r="H176" s="4">
        <v>55.74</v>
      </c>
      <c r="I176" s="8">
        <v>2396.8200000000002</v>
      </c>
      <c r="J176">
        <v>63.85</v>
      </c>
      <c r="K176">
        <v>827.97</v>
      </c>
      <c r="L176" t="s">
        <v>30</v>
      </c>
      <c r="M176" t="s">
        <v>37</v>
      </c>
      <c r="N176" t="s">
        <v>45</v>
      </c>
      <c r="O176" s="5">
        <f>Table14[[#This Row],[Profit]]/Table14[[#This Row],[Total_Sales]]</f>
        <v>0.34544521490975544</v>
      </c>
      <c r="P176" s="23">
        <f>DATE(YEAR(Table14[[#This Row],[Order_Date]]), MONTH(Table14[[#This Row],[Order_Date]]), 1)</f>
        <v>45505</v>
      </c>
      <c r="Q176" t="str">
        <f>_xlfn.XLOOKUP(Table14[[#This Row],[Product]],Product_Master!$B$2:$B$11,Product_Master!$D$2:$D$11)</f>
        <v>CarryPro</v>
      </c>
      <c r="R176" t="str">
        <f>_xlfn.XLOOKUP(Table14[[#This Row],[Product]],Product_Master!$B$2:$B$11,Product_Master!$E$2:$E$11)</f>
        <v>Vietnam</v>
      </c>
      <c r="S176">
        <f>_xlfn.XLOOKUP(Table14[[#This Row],[Product]],Product_Master!$B$2:$B$11,Product_Master!$F$2:$F$11)</f>
        <v>35</v>
      </c>
    </row>
    <row r="177" spans="1:19" x14ac:dyDescent="0.3">
      <c r="A177" t="s">
        <v>331</v>
      </c>
      <c r="B177" s="23" t="s">
        <v>39</v>
      </c>
      <c r="C177" t="s">
        <v>122</v>
      </c>
      <c r="D177" t="s">
        <v>81</v>
      </c>
      <c r="E177" t="s">
        <v>69</v>
      </c>
      <c r="F177" t="s">
        <v>59</v>
      </c>
      <c r="G177">
        <v>19</v>
      </c>
      <c r="H177" s="4">
        <v>25.78</v>
      </c>
      <c r="I177" s="8">
        <v>489.82</v>
      </c>
      <c r="J177">
        <v>28.4</v>
      </c>
      <c r="K177">
        <v>166.92</v>
      </c>
      <c r="L177" t="s">
        <v>44</v>
      </c>
      <c r="M177" t="s">
        <v>31</v>
      </c>
      <c r="N177" t="s">
        <v>66</v>
      </c>
      <c r="O177" s="5">
        <f>Table14[[#This Row],[Profit]]/Table14[[#This Row],[Total_Sales]]</f>
        <v>0.3407782450696174</v>
      </c>
      <c r="P177" s="23">
        <f>DATE(YEAR(Table14[[#This Row],[Order_Date]]), MONTH(Table14[[#This Row],[Order_Date]]), 1)</f>
        <v>45566</v>
      </c>
      <c r="Q177" t="str">
        <f>_xlfn.XLOOKUP(Table14[[#This Row],[Product]],Product_Master!$B$2:$B$11,Product_Master!$D$2:$D$11)</f>
        <v>Artisans Co.</v>
      </c>
      <c r="R177" t="str">
        <f>_xlfn.XLOOKUP(Table14[[#This Row],[Product]],Product_Master!$B$2:$B$11,Product_Master!$E$2:$E$11)</f>
        <v>India</v>
      </c>
      <c r="S177">
        <f>_xlfn.XLOOKUP(Table14[[#This Row],[Product]],Product_Master!$B$2:$B$11,Product_Master!$F$2:$F$11)</f>
        <v>15.5</v>
      </c>
    </row>
    <row r="178" spans="1:19" x14ac:dyDescent="0.3">
      <c r="A178" t="s">
        <v>332</v>
      </c>
      <c r="B178" s="23" t="s">
        <v>83</v>
      </c>
      <c r="C178" t="s">
        <v>265</v>
      </c>
      <c r="D178" t="s">
        <v>53</v>
      </c>
      <c r="E178" t="s">
        <v>29</v>
      </c>
      <c r="F178" t="s">
        <v>21</v>
      </c>
      <c r="G178">
        <v>43</v>
      </c>
      <c r="H178">
        <v>30.43</v>
      </c>
      <c r="I178">
        <v>1308.49</v>
      </c>
      <c r="J178">
        <v>35.340000000000003</v>
      </c>
      <c r="K178">
        <v>499.15</v>
      </c>
      <c r="L178" t="s">
        <v>30</v>
      </c>
      <c r="M178" t="s">
        <v>31</v>
      </c>
      <c r="N178" t="s">
        <v>24</v>
      </c>
      <c r="O178" s="5">
        <f>Table14[[#This Row],[Profit]]/Table14[[#This Row],[Total_Sales]]</f>
        <v>0.38147024432743082</v>
      </c>
      <c r="P178" s="23">
        <f>DATE(YEAR(Table14[[#This Row],[Order_Date]]), MONTH(Table14[[#This Row],[Order_Date]]), 1)</f>
        <v>45323</v>
      </c>
      <c r="Q178" t="str">
        <f>_xlfn.XLOOKUP(Table14[[#This Row],[Product]],Product_Master!$B$2:$B$11,Product_Master!$D$2:$D$11)</f>
        <v>CraftLine</v>
      </c>
      <c r="R178" t="str">
        <f>_xlfn.XLOOKUP(Table14[[#This Row],[Product]],Product_Master!$B$2:$B$11,Product_Master!$E$2:$E$11)</f>
        <v>Italy</v>
      </c>
      <c r="S178">
        <f>_xlfn.XLOOKUP(Table14[[#This Row],[Product]],Product_Master!$B$2:$B$11,Product_Master!$F$2:$F$11)</f>
        <v>18</v>
      </c>
    </row>
    <row r="179" spans="1:19" x14ac:dyDescent="0.3">
      <c r="A179" t="s">
        <v>333</v>
      </c>
      <c r="B179" s="23" t="s">
        <v>78</v>
      </c>
      <c r="C179" t="s">
        <v>334</v>
      </c>
      <c r="D179" t="s">
        <v>123</v>
      </c>
      <c r="E179" t="s">
        <v>69</v>
      </c>
      <c r="F179" t="s">
        <v>59</v>
      </c>
      <c r="G179">
        <v>17</v>
      </c>
      <c r="H179" s="4">
        <v>18.71</v>
      </c>
      <c r="I179" s="8">
        <v>318.07</v>
      </c>
      <c r="J179">
        <v>22.03</v>
      </c>
      <c r="K179">
        <v>32.54</v>
      </c>
      <c r="L179" t="s">
        <v>44</v>
      </c>
      <c r="M179" t="s">
        <v>23</v>
      </c>
      <c r="N179" t="s">
        <v>32</v>
      </c>
      <c r="O179" s="5">
        <f>Table14[[#This Row],[Profit]]/Table14[[#This Row],[Total_Sales]]</f>
        <v>0.10230452416134814</v>
      </c>
      <c r="P179" s="23">
        <f>DATE(YEAR(Table14[[#This Row],[Order_Date]]), MONTH(Table14[[#This Row],[Order_Date]]), 1)</f>
        <v>45627</v>
      </c>
      <c r="Q179" t="str">
        <f>_xlfn.XLOOKUP(Table14[[#This Row],[Product]],Product_Master!$B$2:$B$11,Product_Master!$D$2:$D$11)</f>
        <v>Artisans Co.</v>
      </c>
      <c r="R179" t="str">
        <f>_xlfn.XLOOKUP(Table14[[#This Row],[Product]],Product_Master!$B$2:$B$11,Product_Master!$E$2:$E$11)</f>
        <v>India</v>
      </c>
      <c r="S179">
        <f>_xlfn.XLOOKUP(Table14[[#This Row],[Product]],Product_Master!$B$2:$B$11,Product_Master!$F$2:$F$11)</f>
        <v>15.5</v>
      </c>
    </row>
    <row r="180" spans="1:19" x14ac:dyDescent="0.3">
      <c r="A180" t="s">
        <v>335</v>
      </c>
      <c r="B180" s="23" t="s">
        <v>86</v>
      </c>
      <c r="C180" t="s">
        <v>47</v>
      </c>
      <c r="D180" t="s">
        <v>63</v>
      </c>
      <c r="E180" t="s">
        <v>69</v>
      </c>
      <c r="F180" t="s">
        <v>59</v>
      </c>
      <c r="G180">
        <v>44</v>
      </c>
      <c r="H180" s="4">
        <v>23.87</v>
      </c>
      <c r="I180" s="8">
        <v>1050.28</v>
      </c>
      <c r="J180">
        <v>33.51</v>
      </c>
      <c r="K180">
        <v>334.77</v>
      </c>
      <c r="L180" t="s">
        <v>22</v>
      </c>
      <c r="M180" t="s">
        <v>31</v>
      </c>
      <c r="N180" t="s">
        <v>66</v>
      </c>
      <c r="O180" s="5">
        <f>Table14[[#This Row],[Profit]]/Table14[[#This Row],[Total_Sales]]</f>
        <v>0.31874357314240009</v>
      </c>
      <c r="P180" s="23">
        <f>DATE(YEAR(Table14[[#This Row],[Order_Date]]), MONTH(Table14[[#This Row],[Order_Date]]), 1)</f>
        <v>45352</v>
      </c>
      <c r="Q180" t="str">
        <f>_xlfn.XLOOKUP(Table14[[#This Row],[Product]],Product_Master!$B$2:$B$11,Product_Master!$D$2:$D$11)</f>
        <v>Artisans Co.</v>
      </c>
      <c r="R180" t="str">
        <f>_xlfn.XLOOKUP(Table14[[#This Row],[Product]],Product_Master!$B$2:$B$11,Product_Master!$E$2:$E$11)</f>
        <v>India</v>
      </c>
      <c r="S180">
        <f>_xlfn.XLOOKUP(Table14[[#This Row],[Product]],Product_Master!$B$2:$B$11,Product_Master!$F$2:$F$11)</f>
        <v>15.5</v>
      </c>
    </row>
    <row r="181" spans="1:19" x14ac:dyDescent="0.3">
      <c r="A181" t="s">
        <v>336</v>
      </c>
      <c r="B181" s="23" t="s">
        <v>68</v>
      </c>
      <c r="C181" t="s">
        <v>139</v>
      </c>
      <c r="D181" t="s">
        <v>147</v>
      </c>
      <c r="E181" t="s">
        <v>42</v>
      </c>
      <c r="F181" t="s">
        <v>43</v>
      </c>
      <c r="G181">
        <v>12</v>
      </c>
      <c r="H181" s="4">
        <v>42.91</v>
      </c>
      <c r="I181" s="8">
        <v>514.91999999999996</v>
      </c>
      <c r="J181">
        <v>15.18</v>
      </c>
      <c r="K181">
        <v>115.74</v>
      </c>
      <c r="L181" t="s">
        <v>44</v>
      </c>
      <c r="M181" t="s">
        <v>37</v>
      </c>
      <c r="N181" t="s">
        <v>148</v>
      </c>
      <c r="O181" s="5">
        <f>Table14[[#This Row],[Profit]]/Table14[[#This Row],[Total_Sales]]</f>
        <v>0.22477278023770683</v>
      </c>
      <c r="P181" s="23">
        <f>DATE(YEAR(Table14[[#This Row],[Order_Date]]), MONTH(Table14[[#This Row],[Order_Date]]), 1)</f>
        <v>45536</v>
      </c>
      <c r="Q181" t="str">
        <f>_xlfn.XLOOKUP(Table14[[#This Row],[Product]],Product_Master!$B$2:$B$11,Product_Master!$D$2:$D$11)</f>
        <v>AudioTech Ltd.</v>
      </c>
      <c r="R181" t="str">
        <f>_xlfn.XLOOKUP(Table14[[#This Row],[Product]],Product_Master!$B$2:$B$11,Product_Master!$E$2:$E$11)</f>
        <v>China</v>
      </c>
      <c r="S181">
        <f>_xlfn.XLOOKUP(Table14[[#This Row],[Product]],Product_Master!$B$2:$B$11,Product_Master!$F$2:$F$11)</f>
        <v>32</v>
      </c>
    </row>
    <row r="182" spans="1:19" x14ac:dyDescent="0.3">
      <c r="A182" t="s">
        <v>337</v>
      </c>
      <c r="B182" s="23" t="s">
        <v>132</v>
      </c>
      <c r="C182" t="s">
        <v>338</v>
      </c>
      <c r="D182" t="s">
        <v>196</v>
      </c>
      <c r="E182" t="s">
        <v>49</v>
      </c>
      <c r="F182" t="s">
        <v>50</v>
      </c>
      <c r="G182">
        <v>21</v>
      </c>
      <c r="H182" s="4">
        <v>50.49</v>
      </c>
      <c r="I182" s="8">
        <v>1060.29</v>
      </c>
      <c r="J182">
        <v>32.340000000000003</v>
      </c>
      <c r="K182">
        <v>187.95</v>
      </c>
      <c r="L182" t="s">
        <v>44</v>
      </c>
      <c r="M182" t="s">
        <v>23</v>
      </c>
      <c r="N182" t="s">
        <v>66</v>
      </c>
      <c r="O182" s="5">
        <f>Table14[[#This Row],[Profit]]/Table14[[#This Row],[Total_Sales]]</f>
        <v>0.17726282432164783</v>
      </c>
      <c r="P182" s="23">
        <f>DATE(YEAR(Table14[[#This Row],[Order_Date]]), MONTH(Table14[[#This Row],[Order_Date]]), 1)</f>
        <v>45597</v>
      </c>
      <c r="Q182" t="str">
        <f>_xlfn.XLOOKUP(Table14[[#This Row],[Product]],Product_Master!$B$2:$B$11,Product_Master!$D$2:$D$11)</f>
        <v>BlueWear</v>
      </c>
      <c r="R182" t="str">
        <f>_xlfn.XLOOKUP(Table14[[#This Row],[Product]],Product_Master!$B$2:$B$11,Product_Master!$E$2:$E$11)</f>
        <v>Bangladesh</v>
      </c>
      <c r="S182">
        <f>_xlfn.XLOOKUP(Table14[[#This Row],[Product]],Product_Master!$B$2:$B$11,Product_Master!$F$2:$F$11)</f>
        <v>40</v>
      </c>
    </row>
    <row r="183" spans="1:19" x14ac:dyDescent="0.3">
      <c r="A183" t="s">
        <v>339</v>
      </c>
      <c r="B183" s="23" t="s">
        <v>78</v>
      </c>
      <c r="C183" t="s">
        <v>212</v>
      </c>
      <c r="D183" t="s">
        <v>36</v>
      </c>
      <c r="E183" t="s">
        <v>20</v>
      </c>
      <c r="F183" t="s">
        <v>21</v>
      </c>
      <c r="G183">
        <v>41</v>
      </c>
      <c r="H183" s="4">
        <v>43.18</v>
      </c>
      <c r="I183" s="8">
        <v>1770.38</v>
      </c>
      <c r="J183">
        <v>128.4</v>
      </c>
      <c r="K183">
        <v>206.98</v>
      </c>
      <c r="L183" t="s">
        <v>30</v>
      </c>
      <c r="M183" t="s">
        <v>37</v>
      </c>
      <c r="N183" t="s">
        <v>32</v>
      </c>
      <c r="O183" s="5">
        <f>Table14[[#This Row],[Profit]]/Table14[[#This Row],[Total_Sales]]</f>
        <v>0.11691275319422947</v>
      </c>
      <c r="P183" s="23">
        <f>DATE(YEAR(Table14[[#This Row],[Order_Date]]), MONTH(Table14[[#This Row],[Order_Date]]), 1)</f>
        <v>45627</v>
      </c>
      <c r="Q183" t="str">
        <f>_xlfn.XLOOKUP(Table14[[#This Row],[Product]],Product_Master!$B$2:$B$11,Product_Master!$D$2:$D$11)</f>
        <v>CarryPro</v>
      </c>
      <c r="R183" t="str">
        <f>_xlfn.XLOOKUP(Table14[[#This Row],[Product]],Product_Master!$B$2:$B$11,Product_Master!$E$2:$E$11)</f>
        <v>Vietnam</v>
      </c>
      <c r="S183">
        <f>_xlfn.XLOOKUP(Table14[[#This Row],[Product]],Product_Master!$B$2:$B$11,Product_Master!$F$2:$F$11)</f>
        <v>35</v>
      </c>
    </row>
    <row r="184" spans="1:19" x14ac:dyDescent="0.3">
      <c r="A184" t="s">
        <v>340</v>
      </c>
      <c r="B184" s="23" t="s">
        <v>86</v>
      </c>
      <c r="C184" t="s">
        <v>117</v>
      </c>
      <c r="D184" t="s">
        <v>147</v>
      </c>
      <c r="E184" t="s">
        <v>73</v>
      </c>
      <c r="F184" t="s">
        <v>43</v>
      </c>
      <c r="G184">
        <v>37</v>
      </c>
      <c r="H184" s="4">
        <v>19.8</v>
      </c>
      <c r="I184" s="8">
        <v>732.6</v>
      </c>
      <c r="J184">
        <v>54.68</v>
      </c>
      <c r="K184">
        <v>206.17</v>
      </c>
      <c r="L184" t="s">
        <v>22</v>
      </c>
      <c r="M184" t="s">
        <v>31</v>
      </c>
      <c r="N184" t="s">
        <v>148</v>
      </c>
      <c r="O184" s="5">
        <f>Table14[[#This Row],[Profit]]/Table14[[#This Row],[Total_Sales]]</f>
        <v>0.28142233142233142</v>
      </c>
      <c r="P184" s="23">
        <f>DATE(YEAR(Table14[[#This Row],[Order_Date]]), MONTH(Table14[[#This Row],[Order_Date]]), 1)</f>
        <v>45352</v>
      </c>
      <c r="Q184" t="str">
        <f>_xlfn.XLOOKUP(Table14[[#This Row],[Product]],Product_Master!$B$2:$B$11,Product_Master!$D$2:$D$11)</f>
        <v>BrightHome</v>
      </c>
      <c r="R184" t="str">
        <f>_xlfn.XLOOKUP(Table14[[#This Row],[Product]],Product_Master!$B$2:$B$11,Product_Master!$E$2:$E$11)</f>
        <v>Vietnam</v>
      </c>
      <c r="S184">
        <f>_xlfn.XLOOKUP(Table14[[#This Row],[Product]],Product_Master!$B$2:$B$11,Product_Master!$F$2:$F$11)</f>
        <v>12.75</v>
      </c>
    </row>
    <row r="185" spans="1:19" x14ac:dyDescent="0.3">
      <c r="A185" t="s">
        <v>341</v>
      </c>
      <c r="B185" s="23" t="s">
        <v>86</v>
      </c>
      <c r="C185" t="s">
        <v>342</v>
      </c>
      <c r="D185" t="s">
        <v>53</v>
      </c>
      <c r="E185" t="s">
        <v>73</v>
      </c>
      <c r="F185" t="s">
        <v>43</v>
      </c>
      <c r="G185">
        <v>4</v>
      </c>
      <c r="H185" s="4">
        <v>18.059999999999999</v>
      </c>
      <c r="I185" s="8">
        <v>72.239999999999995</v>
      </c>
      <c r="J185">
        <v>4.66</v>
      </c>
      <c r="K185">
        <v>16.579999999999998</v>
      </c>
      <c r="L185" t="s">
        <v>22</v>
      </c>
      <c r="M185" t="s">
        <v>23</v>
      </c>
      <c r="N185" t="s">
        <v>24</v>
      </c>
      <c r="O185" s="5">
        <f>Table14[[#This Row],[Profit]]/Table14[[#This Row],[Total_Sales]]</f>
        <v>0.22951273532668881</v>
      </c>
      <c r="P185" s="23">
        <f>DATE(YEAR(Table14[[#This Row],[Order_Date]]), MONTH(Table14[[#This Row],[Order_Date]]), 1)</f>
        <v>45352</v>
      </c>
      <c r="Q185" t="str">
        <f>_xlfn.XLOOKUP(Table14[[#This Row],[Product]],Product_Master!$B$2:$B$11,Product_Master!$D$2:$D$11)</f>
        <v>BrightHome</v>
      </c>
      <c r="R185" t="str">
        <f>_xlfn.XLOOKUP(Table14[[#This Row],[Product]],Product_Master!$B$2:$B$11,Product_Master!$E$2:$E$11)</f>
        <v>Vietnam</v>
      </c>
      <c r="S185">
        <f>_xlfn.XLOOKUP(Table14[[#This Row],[Product]],Product_Master!$B$2:$B$11,Product_Master!$F$2:$F$11)</f>
        <v>12.75</v>
      </c>
    </row>
    <row r="186" spans="1:19" x14ac:dyDescent="0.3">
      <c r="A186" t="s">
        <v>343</v>
      </c>
      <c r="B186" s="23" t="s">
        <v>78</v>
      </c>
      <c r="C186" t="s">
        <v>265</v>
      </c>
      <c r="D186" t="s">
        <v>19</v>
      </c>
      <c r="E186" t="s">
        <v>20</v>
      </c>
      <c r="F186" t="s">
        <v>21</v>
      </c>
      <c r="G186">
        <v>40</v>
      </c>
      <c r="H186">
        <v>55.59</v>
      </c>
      <c r="I186">
        <v>2223.6</v>
      </c>
      <c r="J186">
        <v>74.569999999999993</v>
      </c>
      <c r="K186">
        <v>749.03</v>
      </c>
      <c r="L186" t="s">
        <v>22</v>
      </c>
      <c r="M186" t="s">
        <v>23</v>
      </c>
      <c r="N186" t="s">
        <v>24</v>
      </c>
      <c r="O186" s="5">
        <f>Table14[[#This Row],[Profit]]/Table14[[#This Row],[Total_Sales]]</f>
        <v>0.3368546501169275</v>
      </c>
      <c r="P186" s="23">
        <f>DATE(YEAR(Table14[[#This Row],[Order_Date]]), MONTH(Table14[[#This Row],[Order_Date]]), 1)</f>
        <v>45627</v>
      </c>
      <c r="Q186" t="str">
        <f>_xlfn.XLOOKUP(Table14[[#This Row],[Product]],Product_Master!$B$2:$B$11,Product_Master!$D$2:$D$11)</f>
        <v>CarryPro</v>
      </c>
      <c r="R186" t="str">
        <f>_xlfn.XLOOKUP(Table14[[#This Row],[Product]],Product_Master!$B$2:$B$11,Product_Master!$E$2:$E$11)</f>
        <v>Vietnam</v>
      </c>
      <c r="S186">
        <f>_xlfn.XLOOKUP(Table14[[#This Row],[Product]],Product_Master!$B$2:$B$11,Product_Master!$F$2:$F$11)</f>
        <v>35</v>
      </c>
    </row>
    <row r="187" spans="1:19" x14ac:dyDescent="0.3">
      <c r="A187" t="s">
        <v>344</v>
      </c>
      <c r="B187" s="23" t="s">
        <v>75</v>
      </c>
      <c r="C187" t="s">
        <v>18</v>
      </c>
      <c r="D187" t="s">
        <v>91</v>
      </c>
      <c r="E187" t="s">
        <v>64</v>
      </c>
      <c r="F187" t="s">
        <v>65</v>
      </c>
      <c r="G187">
        <v>5</v>
      </c>
      <c r="H187" s="4">
        <v>31.58</v>
      </c>
      <c r="I187" s="8">
        <v>157.9</v>
      </c>
      <c r="J187">
        <v>3.73</v>
      </c>
      <c r="K187">
        <v>29.17</v>
      </c>
      <c r="L187" t="s">
        <v>22</v>
      </c>
      <c r="M187" t="s">
        <v>31</v>
      </c>
      <c r="N187" t="s">
        <v>66</v>
      </c>
      <c r="O187" s="5">
        <f>Table14[[#This Row],[Profit]]/Table14[[#This Row],[Total_Sales]]</f>
        <v>0.18473717542748574</v>
      </c>
      <c r="P187" s="23">
        <f>DATE(YEAR(Table14[[#This Row],[Order_Date]]), MONTH(Table14[[#This Row],[Order_Date]]), 1)</f>
        <v>45748</v>
      </c>
      <c r="Q187" t="str">
        <f>_xlfn.XLOOKUP(Table14[[#This Row],[Product]],Product_Master!$B$2:$B$11,Product_Master!$D$2:$D$11)</f>
        <v>SoftWeave</v>
      </c>
      <c r="R187" t="str">
        <f>_xlfn.XLOOKUP(Table14[[#This Row],[Product]],Product_Master!$B$2:$B$11,Product_Master!$E$2:$E$11)</f>
        <v>Turkey</v>
      </c>
      <c r="S187">
        <f>_xlfn.XLOOKUP(Table14[[#This Row],[Product]],Product_Master!$B$2:$B$11,Product_Master!$F$2:$F$11)</f>
        <v>25</v>
      </c>
    </row>
    <row r="188" spans="1:19" x14ac:dyDescent="0.3">
      <c r="A188" t="s">
        <v>345</v>
      </c>
      <c r="B188" s="23" t="s">
        <v>34</v>
      </c>
      <c r="C188" t="s">
        <v>135</v>
      </c>
      <c r="D188" t="s">
        <v>48</v>
      </c>
      <c r="E188" t="s">
        <v>29</v>
      </c>
      <c r="F188" t="s">
        <v>21</v>
      </c>
      <c r="G188">
        <v>50</v>
      </c>
      <c r="H188">
        <v>26.67</v>
      </c>
      <c r="I188">
        <v>1333.5</v>
      </c>
      <c r="J188">
        <v>80.150000000000006</v>
      </c>
      <c r="K188">
        <v>353.35</v>
      </c>
      <c r="L188" t="s">
        <v>44</v>
      </c>
      <c r="M188" t="s">
        <v>23</v>
      </c>
      <c r="N188" t="s">
        <v>24</v>
      </c>
      <c r="O188" s="5">
        <f>Table14[[#This Row],[Profit]]/Table14[[#This Row],[Total_Sales]]</f>
        <v>0.26497937757780277</v>
      </c>
      <c r="P188" s="23">
        <f>DATE(YEAR(Table14[[#This Row],[Order_Date]]), MONTH(Table14[[#This Row],[Order_Date]]), 1)</f>
        <v>45383</v>
      </c>
      <c r="Q188" t="str">
        <f>_xlfn.XLOOKUP(Table14[[#This Row],[Product]],Product_Master!$B$2:$B$11,Product_Master!$D$2:$D$11)</f>
        <v>CraftLine</v>
      </c>
      <c r="R188" t="str">
        <f>_xlfn.XLOOKUP(Table14[[#This Row],[Product]],Product_Master!$B$2:$B$11,Product_Master!$E$2:$E$11)</f>
        <v>Italy</v>
      </c>
      <c r="S188">
        <f>_xlfn.XLOOKUP(Table14[[#This Row],[Product]],Product_Master!$B$2:$B$11,Product_Master!$F$2:$F$11)</f>
        <v>18</v>
      </c>
    </row>
    <row r="189" spans="1:19" x14ac:dyDescent="0.3">
      <c r="A189" t="s">
        <v>346</v>
      </c>
      <c r="B189" s="23" t="s">
        <v>86</v>
      </c>
      <c r="C189" t="s">
        <v>240</v>
      </c>
      <c r="D189" t="s">
        <v>81</v>
      </c>
      <c r="E189" t="s">
        <v>69</v>
      </c>
      <c r="F189" t="s">
        <v>59</v>
      </c>
      <c r="G189">
        <v>17</v>
      </c>
      <c r="H189" s="4">
        <v>20.68</v>
      </c>
      <c r="I189" s="8">
        <v>351.56</v>
      </c>
      <c r="J189">
        <v>18.47</v>
      </c>
      <c r="K189">
        <v>69.59</v>
      </c>
      <c r="L189" t="s">
        <v>44</v>
      </c>
      <c r="M189" t="s">
        <v>31</v>
      </c>
      <c r="N189" t="s">
        <v>66</v>
      </c>
      <c r="O189" s="5">
        <f>Table14[[#This Row],[Profit]]/Table14[[#This Row],[Total_Sales]]</f>
        <v>0.19794629650699738</v>
      </c>
      <c r="P189" s="23">
        <f>DATE(YEAR(Table14[[#This Row],[Order_Date]]), MONTH(Table14[[#This Row],[Order_Date]]), 1)</f>
        <v>45352</v>
      </c>
      <c r="Q189" t="str">
        <f>_xlfn.XLOOKUP(Table14[[#This Row],[Product]],Product_Master!$B$2:$B$11,Product_Master!$D$2:$D$11)</f>
        <v>Artisans Co.</v>
      </c>
      <c r="R189" t="str">
        <f>_xlfn.XLOOKUP(Table14[[#This Row],[Product]],Product_Master!$B$2:$B$11,Product_Master!$E$2:$E$11)</f>
        <v>India</v>
      </c>
      <c r="S189">
        <f>_xlfn.XLOOKUP(Table14[[#This Row],[Product]],Product_Master!$B$2:$B$11,Product_Master!$F$2:$F$11)</f>
        <v>15.5</v>
      </c>
    </row>
    <row r="190" spans="1:19" x14ac:dyDescent="0.3">
      <c r="A190" t="s">
        <v>347</v>
      </c>
      <c r="B190" s="23" t="s">
        <v>75</v>
      </c>
      <c r="C190" t="s">
        <v>295</v>
      </c>
      <c r="D190" t="s">
        <v>101</v>
      </c>
      <c r="E190" t="s">
        <v>20</v>
      </c>
      <c r="F190" t="s">
        <v>21</v>
      </c>
      <c r="G190">
        <v>29</v>
      </c>
      <c r="H190" s="4">
        <v>55.19</v>
      </c>
      <c r="I190" s="8">
        <v>1600.51</v>
      </c>
      <c r="J190">
        <v>103.06</v>
      </c>
      <c r="K190">
        <v>482.45</v>
      </c>
      <c r="L190" t="s">
        <v>22</v>
      </c>
      <c r="M190" t="s">
        <v>37</v>
      </c>
      <c r="N190" t="s">
        <v>102</v>
      </c>
      <c r="O190" s="5">
        <f>Table14[[#This Row],[Profit]]/Table14[[#This Row],[Total_Sales]]</f>
        <v>0.30143516754034649</v>
      </c>
      <c r="P190" s="23">
        <f>DATE(YEAR(Table14[[#This Row],[Order_Date]]), MONTH(Table14[[#This Row],[Order_Date]]), 1)</f>
        <v>45748</v>
      </c>
      <c r="Q190" t="str">
        <f>_xlfn.XLOOKUP(Table14[[#This Row],[Product]],Product_Master!$B$2:$B$11,Product_Master!$D$2:$D$11)</f>
        <v>CarryPro</v>
      </c>
      <c r="R190" t="str">
        <f>_xlfn.XLOOKUP(Table14[[#This Row],[Product]],Product_Master!$B$2:$B$11,Product_Master!$E$2:$E$11)</f>
        <v>Vietnam</v>
      </c>
      <c r="S190">
        <f>_xlfn.XLOOKUP(Table14[[#This Row],[Product]],Product_Master!$B$2:$B$11,Product_Master!$F$2:$F$11)</f>
        <v>35</v>
      </c>
    </row>
    <row r="191" spans="1:19" x14ac:dyDescent="0.3">
      <c r="A191" t="s">
        <v>348</v>
      </c>
      <c r="B191" s="23" t="s">
        <v>34</v>
      </c>
      <c r="C191" t="s">
        <v>349</v>
      </c>
      <c r="D191" t="s">
        <v>81</v>
      </c>
      <c r="E191" t="s">
        <v>20</v>
      </c>
      <c r="F191" t="s">
        <v>21</v>
      </c>
      <c r="G191">
        <v>34</v>
      </c>
      <c r="H191" s="4">
        <v>61.62</v>
      </c>
      <c r="I191" s="8">
        <v>2095.08</v>
      </c>
      <c r="J191">
        <v>80.13</v>
      </c>
      <c r="K191">
        <v>824.95</v>
      </c>
      <c r="L191" t="s">
        <v>30</v>
      </c>
      <c r="M191" t="s">
        <v>23</v>
      </c>
      <c r="N191" t="s">
        <v>66</v>
      </c>
      <c r="O191" s="5">
        <f>Table14[[#This Row],[Profit]]/Table14[[#This Row],[Total_Sales]]</f>
        <v>0.39375584703209426</v>
      </c>
      <c r="P191" s="23">
        <f>DATE(YEAR(Table14[[#This Row],[Order_Date]]), MONTH(Table14[[#This Row],[Order_Date]]), 1)</f>
        <v>45383</v>
      </c>
      <c r="Q191" t="str">
        <f>_xlfn.XLOOKUP(Table14[[#This Row],[Product]],Product_Master!$B$2:$B$11,Product_Master!$D$2:$D$11)</f>
        <v>CarryPro</v>
      </c>
      <c r="R191" t="str">
        <f>_xlfn.XLOOKUP(Table14[[#This Row],[Product]],Product_Master!$B$2:$B$11,Product_Master!$E$2:$E$11)</f>
        <v>Vietnam</v>
      </c>
      <c r="S191">
        <f>_xlfn.XLOOKUP(Table14[[#This Row],[Product]],Product_Master!$B$2:$B$11,Product_Master!$F$2:$F$11)</f>
        <v>35</v>
      </c>
    </row>
    <row r="192" spans="1:19" x14ac:dyDescent="0.3">
      <c r="A192" t="s">
        <v>350</v>
      </c>
      <c r="B192" s="23" t="s">
        <v>132</v>
      </c>
      <c r="C192" t="s">
        <v>192</v>
      </c>
      <c r="D192" t="s">
        <v>53</v>
      </c>
      <c r="E192" t="s">
        <v>58</v>
      </c>
      <c r="F192" t="s">
        <v>59</v>
      </c>
      <c r="G192">
        <v>10</v>
      </c>
      <c r="H192" s="4">
        <v>40.03</v>
      </c>
      <c r="I192" s="8">
        <v>400.3</v>
      </c>
      <c r="J192">
        <v>25.8</v>
      </c>
      <c r="K192">
        <v>149.5</v>
      </c>
      <c r="L192" t="s">
        <v>44</v>
      </c>
      <c r="M192" t="s">
        <v>23</v>
      </c>
      <c r="N192" t="s">
        <v>24</v>
      </c>
      <c r="O192" s="5">
        <f>Table14[[#This Row],[Profit]]/Table14[[#This Row],[Total_Sales]]</f>
        <v>0.37346989757681737</v>
      </c>
      <c r="P192" s="23">
        <f>DATE(YEAR(Table14[[#This Row],[Order_Date]]), MONTH(Table14[[#This Row],[Order_Date]]), 1)</f>
        <v>45597</v>
      </c>
      <c r="Q192" t="str">
        <f>_xlfn.XLOOKUP(Table14[[#This Row],[Product]],Product_Master!$B$2:$B$11,Product_Master!$D$2:$D$11)</f>
        <v>ClearCraft</v>
      </c>
      <c r="R192" t="str">
        <f>_xlfn.XLOOKUP(Table14[[#This Row],[Product]],Product_Master!$B$2:$B$11,Product_Master!$E$2:$E$11)</f>
        <v>India</v>
      </c>
      <c r="S192">
        <f>_xlfn.XLOOKUP(Table14[[#This Row],[Product]],Product_Master!$B$2:$B$11,Product_Master!$F$2:$F$11)</f>
        <v>22.5</v>
      </c>
    </row>
    <row r="193" spans="1:19" x14ac:dyDescent="0.3">
      <c r="A193" t="s">
        <v>351</v>
      </c>
      <c r="B193" s="23" t="s">
        <v>104</v>
      </c>
      <c r="C193" t="s">
        <v>96</v>
      </c>
      <c r="D193" t="s">
        <v>88</v>
      </c>
      <c r="E193" t="s">
        <v>54</v>
      </c>
      <c r="F193" t="s">
        <v>43</v>
      </c>
      <c r="G193">
        <v>23</v>
      </c>
      <c r="H193" s="4">
        <v>31.3</v>
      </c>
      <c r="I193" s="8">
        <v>719.9</v>
      </c>
      <c r="J193">
        <v>47.88</v>
      </c>
      <c r="K193">
        <v>212.02</v>
      </c>
      <c r="L193" t="s">
        <v>30</v>
      </c>
      <c r="M193" t="s">
        <v>31</v>
      </c>
      <c r="N193" t="s">
        <v>66</v>
      </c>
      <c r="O193" s="5">
        <f>Table14[[#This Row],[Profit]]/Table14[[#This Row],[Total_Sales]]</f>
        <v>0.29451312682316994</v>
      </c>
      <c r="P193" s="23">
        <f>DATE(YEAR(Table14[[#This Row],[Order_Date]]), MONTH(Table14[[#This Row],[Order_Date]]), 1)</f>
        <v>45717</v>
      </c>
      <c r="Q193" t="str">
        <f>_xlfn.XLOOKUP(Table14[[#This Row],[Product]],Product_Master!$B$2:$B$11,Product_Master!$D$2:$D$11)</f>
        <v>ClickTech</v>
      </c>
      <c r="R193" t="str">
        <f>_xlfn.XLOOKUP(Table14[[#This Row],[Product]],Product_Master!$B$2:$B$11,Product_Master!$E$2:$E$11)</f>
        <v>China</v>
      </c>
      <c r="S193">
        <f>_xlfn.XLOOKUP(Table14[[#This Row],[Product]],Product_Master!$B$2:$B$11,Product_Master!$F$2:$F$11)</f>
        <v>20</v>
      </c>
    </row>
    <row r="194" spans="1:19" x14ac:dyDescent="0.3">
      <c r="A194" t="s">
        <v>352</v>
      </c>
      <c r="B194" s="23" t="s">
        <v>61</v>
      </c>
      <c r="C194" t="s">
        <v>108</v>
      </c>
      <c r="D194" t="s">
        <v>53</v>
      </c>
      <c r="E194" t="s">
        <v>20</v>
      </c>
      <c r="F194" t="s">
        <v>21</v>
      </c>
      <c r="G194">
        <v>37</v>
      </c>
      <c r="H194">
        <v>50.39</v>
      </c>
      <c r="I194">
        <v>1864.43</v>
      </c>
      <c r="J194">
        <v>60.06</v>
      </c>
      <c r="K194">
        <v>509.37</v>
      </c>
      <c r="L194" t="s">
        <v>30</v>
      </c>
      <c r="M194" t="s">
        <v>31</v>
      </c>
      <c r="N194" t="s">
        <v>24</v>
      </c>
      <c r="O194" s="5">
        <f>Table14[[#This Row],[Profit]]/Table14[[#This Row],[Total_Sales]]</f>
        <v>0.27320414282113031</v>
      </c>
      <c r="P194" s="23">
        <f>DATE(YEAR(Table14[[#This Row],[Order_Date]]), MONTH(Table14[[#This Row],[Order_Date]]), 1)</f>
        <v>45778</v>
      </c>
      <c r="Q194" t="str">
        <f>_xlfn.XLOOKUP(Table14[[#This Row],[Product]],Product_Master!$B$2:$B$11,Product_Master!$D$2:$D$11)</f>
        <v>CarryPro</v>
      </c>
      <c r="R194" t="str">
        <f>_xlfn.XLOOKUP(Table14[[#This Row],[Product]],Product_Master!$B$2:$B$11,Product_Master!$E$2:$E$11)</f>
        <v>Vietnam</v>
      </c>
      <c r="S194">
        <f>_xlfn.XLOOKUP(Table14[[#This Row],[Product]],Product_Master!$B$2:$B$11,Product_Master!$F$2:$F$11)</f>
        <v>35</v>
      </c>
    </row>
    <row r="195" spans="1:19" x14ac:dyDescent="0.3">
      <c r="A195" t="s">
        <v>353</v>
      </c>
      <c r="B195" s="23" t="s">
        <v>78</v>
      </c>
      <c r="C195" t="s">
        <v>297</v>
      </c>
      <c r="D195" t="s">
        <v>19</v>
      </c>
      <c r="E195" t="s">
        <v>73</v>
      </c>
      <c r="F195" t="s">
        <v>43</v>
      </c>
      <c r="G195">
        <v>38</v>
      </c>
      <c r="H195" s="4">
        <v>16.97</v>
      </c>
      <c r="I195" s="8">
        <v>644.86</v>
      </c>
      <c r="J195">
        <v>40</v>
      </c>
      <c r="K195">
        <v>120.36</v>
      </c>
      <c r="L195" t="s">
        <v>44</v>
      </c>
      <c r="M195" t="s">
        <v>23</v>
      </c>
      <c r="N195" t="s">
        <v>24</v>
      </c>
      <c r="O195" s="5">
        <f>Table14[[#This Row],[Profit]]/Table14[[#This Row],[Total_Sales]]</f>
        <v>0.18664516329125702</v>
      </c>
      <c r="P195" s="23">
        <f>DATE(YEAR(Table14[[#This Row],[Order_Date]]), MONTH(Table14[[#This Row],[Order_Date]]), 1)</f>
        <v>45627</v>
      </c>
      <c r="Q195" t="str">
        <f>_xlfn.XLOOKUP(Table14[[#This Row],[Product]],Product_Master!$B$2:$B$11,Product_Master!$D$2:$D$11)</f>
        <v>BrightHome</v>
      </c>
      <c r="R195" t="str">
        <f>_xlfn.XLOOKUP(Table14[[#This Row],[Product]],Product_Master!$B$2:$B$11,Product_Master!$E$2:$E$11)</f>
        <v>Vietnam</v>
      </c>
      <c r="S195">
        <f>_xlfn.XLOOKUP(Table14[[#This Row],[Product]],Product_Master!$B$2:$B$11,Product_Master!$F$2:$F$11)</f>
        <v>12.75</v>
      </c>
    </row>
    <row r="196" spans="1:19" x14ac:dyDescent="0.3">
      <c r="A196" t="s">
        <v>354</v>
      </c>
      <c r="B196" s="23" t="s">
        <v>95</v>
      </c>
      <c r="C196" t="s">
        <v>226</v>
      </c>
      <c r="D196" t="s">
        <v>101</v>
      </c>
      <c r="E196" t="s">
        <v>54</v>
      </c>
      <c r="F196" t="s">
        <v>43</v>
      </c>
      <c r="G196">
        <v>2</v>
      </c>
      <c r="H196" s="4">
        <v>35.92</v>
      </c>
      <c r="I196" s="8">
        <v>71.84</v>
      </c>
      <c r="J196">
        <v>2.34</v>
      </c>
      <c r="K196">
        <v>29.5</v>
      </c>
      <c r="L196" t="s">
        <v>44</v>
      </c>
      <c r="M196" t="s">
        <v>31</v>
      </c>
      <c r="N196" t="s">
        <v>102</v>
      </c>
      <c r="O196" s="5">
        <f>Table14[[#This Row],[Profit]]/Table14[[#This Row],[Total_Sales]]</f>
        <v>0.41063474387527837</v>
      </c>
      <c r="P196" s="23">
        <f>DATE(YEAR(Table14[[#This Row],[Order_Date]]), MONTH(Table14[[#This Row],[Order_Date]]), 1)</f>
        <v>45474</v>
      </c>
      <c r="Q196" t="str">
        <f>_xlfn.XLOOKUP(Table14[[#This Row],[Product]],Product_Master!$B$2:$B$11,Product_Master!$D$2:$D$11)</f>
        <v>ClickTech</v>
      </c>
      <c r="R196" t="str">
        <f>_xlfn.XLOOKUP(Table14[[#This Row],[Product]],Product_Master!$B$2:$B$11,Product_Master!$E$2:$E$11)</f>
        <v>China</v>
      </c>
      <c r="S196">
        <f>_xlfn.XLOOKUP(Table14[[#This Row],[Product]],Product_Master!$B$2:$B$11,Product_Master!$F$2:$F$11)</f>
        <v>20</v>
      </c>
    </row>
    <row r="197" spans="1:19" x14ac:dyDescent="0.3">
      <c r="A197" t="s">
        <v>355</v>
      </c>
      <c r="B197" s="23" t="s">
        <v>107</v>
      </c>
      <c r="C197" t="s">
        <v>72</v>
      </c>
      <c r="D197" t="s">
        <v>41</v>
      </c>
      <c r="E197" t="s">
        <v>54</v>
      </c>
      <c r="F197" t="s">
        <v>43</v>
      </c>
      <c r="G197">
        <v>48</v>
      </c>
      <c r="H197" s="4">
        <v>31.87</v>
      </c>
      <c r="I197" s="8">
        <v>1529.76</v>
      </c>
      <c r="J197">
        <v>89.85</v>
      </c>
      <c r="K197">
        <v>479.91</v>
      </c>
      <c r="L197" t="s">
        <v>44</v>
      </c>
      <c r="M197" t="s">
        <v>23</v>
      </c>
      <c r="N197" t="s">
        <v>45</v>
      </c>
      <c r="O197" s="5">
        <f>Table14[[#This Row],[Profit]]/Table14[[#This Row],[Total_Sales]]</f>
        <v>0.31371587700031378</v>
      </c>
      <c r="P197" s="23">
        <f>DATE(YEAR(Table14[[#This Row],[Order_Date]]), MONTH(Table14[[#This Row],[Order_Date]]), 1)</f>
        <v>45413</v>
      </c>
      <c r="Q197" t="str">
        <f>_xlfn.XLOOKUP(Table14[[#This Row],[Product]],Product_Master!$B$2:$B$11,Product_Master!$D$2:$D$11)</f>
        <v>ClickTech</v>
      </c>
      <c r="R197" t="str">
        <f>_xlfn.XLOOKUP(Table14[[#This Row],[Product]],Product_Master!$B$2:$B$11,Product_Master!$E$2:$E$11)</f>
        <v>China</v>
      </c>
      <c r="S197">
        <f>_xlfn.XLOOKUP(Table14[[#This Row],[Product]],Product_Master!$B$2:$B$11,Product_Master!$F$2:$F$11)</f>
        <v>20</v>
      </c>
    </row>
    <row r="198" spans="1:19" x14ac:dyDescent="0.3">
      <c r="A198" t="s">
        <v>356</v>
      </c>
      <c r="B198" s="23" t="s">
        <v>78</v>
      </c>
      <c r="C198" t="s">
        <v>240</v>
      </c>
      <c r="D198" t="s">
        <v>147</v>
      </c>
      <c r="E198" t="s">
        <v>49</v>
      </c>
      <c r="F198" t="s">
        <v>50</v>
      </c>
      <c r="G198">
        <v>46</v>
      </c>
      <c r="H198" s="4">
        <v>70</v>
      </c>
      <c r="I198" s="8">
        <v>3220</v>
      </c>
      <c r="J198">
        <v>160.11000000000001</v>
      </c>
      <c r="K198">
        <v>1219.8900000000001</v>
      </c>
      <c r="L198" t="s">
        <v>30</v>
      </c>
      <c r="M198" t="s">
        <v>31</v>
      </c>
      <c r="N198" t="s">
        <v>148</v>
      </c>
      <c r="O198" s="5">
        <f>Table14[[#This Row],[Profit]]/Table14[[#This Row],[Total_Sales]]</f>
        <v>0.37884782608695655</v>
      </c>
      <c r="P198" s="23">
        <f>DATE(YEAR(Table14[[#This Row],[Order_Date]]), MONTH(Table14[[#This Row],[Order_Date]]), 1)</f>
        <v>45627</v>
      </c>
      <c r="Q198" t="str">
        <f>_xlfn.XLOOKUP(Table14[[#This Row],[Product]],Product_Master!$B$2:$B$11,Product_Master!$D$2:$D$11)</f>
        <v>BlueWear</v>
      </c>
      <c r="R198" t="str">
        <f>_xlfn.XLOOKUP(Table14[[#This Row],[Product]],Product_Master!$B$2:$B$11,Product_Master!$E$2:$E$11)</f>
        <v>Bangladesh</v>
      </c>
      <c r="S198">
        <f>_xlfn.XLOOKUP(Table14[[#This Row],[Product]],Product_Master!$B$2:$B$11,Product_Master!$F$2:$F$11)</f>
        <v>40</v>
      </c>
    </row>
    <row r="199" spans="1:19" x14ac:dyDescent="0.3">
      <c r="A199" t="s">
        <v>357</v>
      </c>
      <c r="B199" s="23" t="s">
        <v>75</v>
      </c>
      <c r="C199" t="s">
        <v>322</v>
      </c>
      <c r="D199" t="s">
        <v>81</v>
      </c>
      <c r="E199" t="s">
        <v>20</v>
      </c>
      <c r="F199" t="s">
        <v>21</v>
      </c>
      <c r="G199">
        <v>45</v>
      </c>
      <c r="H199" s="4">
        <v>57.7</v>
      </c>
      <c r="I199" s="8">
        <v>2596.5</v>
      </c>
      <c r="J199">
        <v>102.52</v>
      </c>
      <c r="K199">
        <v>918.98</v>
      </c>
      <c r="L199" t="s">
        <v>30</v>
      </c>
      <c r="M199" t="s">
        <v>23</v>
      </c>
      <c r="N199" t="s">
        <v>66</v>
      </c>
      <c r="O199" s="5">
        <f>Table14[[#This Row],[Profit]]/Table14[[#This Row],[Total_Sales]]</f>
        <v>0.35393029077604471</v>
      </c>
      <c r="P199" s="23">
        <f>DATE(YEAR(Table14[[#This Row],[Order_Date]]), MONTH(Table14[[#This Row],[Order_Date]]), 1)</f>
        <v>45748</v>
      </c>
      <c r="Q199" t="str">
        <f>_xlfn.XLOOKUP(Table14[[#This Row],[Product]],Product_Master!$B$2:$B$11,Product_Master!$D$2:$D$11)</f>
        <v>CarryPro</v>
      </c>
      <c r="R199" t="str">
        <f>_xlfn.XLOOKUP(Table14[[#This Row],[Product]],Product_Master!$B$2:$B$11,Product_Master!$E$2:$E$11)</f>
        <v>Vietnam</v>
      </c>
      <c r="S199">
        <f>_xlfn.XLOOKUP(Table14[[#This Row],[Product]],Product_Master!$B$2:$B$11,Product_Master!$F$2:$F$11)</f>
        <v>35</v>
      </c>
    </row>
    <row r="200" spans="1:19" x14ac:dyDescent="0.3">
      <c r="A200" t="s">
        <v>358</v>
      </c>
      <c r="B200" s="23" t="s">
        <v>61</v>
      </c>
      <c r="C200" t="s">
        <v>137</v>
      </c>
      <c r="D200" t="s">
        <v>91</v>
      </c>
      <c r="E200" t="s">
        <v>73</v>
      </c>
      <c r="F200" t="s">
        <v>43</v>
      </c>
      <c r="G200">
        <v>23</v>
      </c>
      <c r="H200" s="4">
        <v>20.23</v>
      </c>
      <c r="I200" s="8">
        <v>465.29</v>
      </c>
      <c r="J200">
        <v>17.29</v>
      </c>
      <c r="K200">
        <v>154.75</v>
      </c>
      <c r="L200" t="s">
        <v>44</v>
      </c>
      <c r="M200" t="s">
        <v>23</v>
      </c>
      <c r="N200" t="s">
        <v>66</v>
      </c>
      <c r="O200" s="5">
        <f>Table14[[#This Row],[Profit]]/Table14[[#This Row],[Total_Sales]]</f>
        <v>0.33258827827806314</v>
      </c>
      <c r="P200" s="23">
        <f>DATE(YEAR(Table14[[#This Row],[Order_Date]]), MONTH(Table14[[#This Row],[Order_Date]]), 1)</f>
        <v>45778</v>
      </c>
      <c r="Q200" t="str">
        <f>_xlfn.XLOOKUP(Table14[[#This Row],[Product]],Product_Master!$B$2:$B$11,Product_Master!$D$2:$D$11)</f>
        <v>BrightHome</v>
      </c>
      <c r="R200" t="str">
        <f>_xlfn.XLOOKUP(Table14[[#This Row],[Product]],Product_Master!$B$2:$B$11,Product_Master!$E$2:$E$11)</f>
        <v>Vietnam</v>
      </c>
      <c r="S200">
        <f>_xlfn.XLOOKUP(Table14[[#This Row],[Product]],Product_Master!$B$2:$B$11,Product_Master!$F$2:$F$11)</f>
        <v>12.75</v>
      </c>
    </row>
    <row r="201" spans="1:19" x14ac:dyDescent="0.3">
      <c r="A201" t="s">
        <v>359</v>
      </c>
      <c r="B201" s="23" t="s">
        <v>75</v>
      </c>
      <c r="C201" t="s">
        <v>139</v>
      </c>
      <c r="D201" t="s">
        <v>36</v>
      </c>
      <c r="E201" t="s">
        <v>29</v>
      </c>
      <c r="F201" t="s">
        <v>21</v>
      </c>
      <c r="G201">
        <v>10</v>
      </c>
      <c r="H201" s="4">
        <v>22.96</v>
      </c>
      <c r="I201" s="8">
        <v>229.6</v>
      </c>
      <c r="J201">
        <v>18.260000000000002</v>
      </c>
      <c r="K201">
        <v>31.34</v>
      </c>
      <c r="L201" t="s">
        <v>22</v>
      </c>
      <c r="M201" t="s">
        <v>37</v>
      </c>
      <c r="N201" t="s">
        <v>32</v>
      </c>
      <c r="O201" s="5">
        <f>Table14[[#This Row],[Profit]]/Table14[[#This Row],[Total_Sales]]</f>
        <v>0.13649825783972125</v>
      </c>
      <c r="P201" s="23">
        <f>DATE(YEAR(Table14[[#This Row],[Order_Date]]), MONTH(Table14[[#This Row],[Order_Date]]), 1)</f>
        <v>45748</v>
      </c>
      <c r="Q201" t="str">
        <f>_xlfn.XLOOKUP(Table14[[#This Row],[Product]],Product_Master!$B$2:$B$11,Product_Master!$D$2:$D$11)</f>
        <v>CraftLine</v>
      </c>
      <c r="R201" t="str">
        <f>_xlfn.XLOOKUP(Table14[[#This Row],[Product]],Product_Master!$B$2:$B$11,Product_Master!$E$2:$E$11)</f>
        <v>Italy</v>
      </c>
      <c r="S201">
        <f>_xlfn.XLOOKUP(Table14[[#This Row],[Product]],Product_Master!$B$2:$B$11,Product_Master!$F$2:$F$11)</f>
        <v>18</v>
      </c>
    </row>
    <row r="202" spans="1:19" x14ac:dyDescent="0.3">
      <c r="A202" t="s">
        <v>360</v>
      </c>
      <c r="B202" s="23" t="s">
        <v>71</v>
      </c>
      <c r="C202" t="s">
        <v>361</v>
      </c>
      <c r="D202" t="s">
        <v>41</v>
      </c>
      <c r="E202" t="s">
        <v>20</v>
      </c>
      <c r="F202" t="s">
        <v>21</v>
      </c>
      <c r="G202">
        <v>40</v>
      </c>
      <c r="H202" s="4">
        <v>54.84</v>
      </c>
      <c r="I202" s="8">
        <v>2193.6</v>
      </c>
      <c r="J202">
        <v>89.26</v>
      </c>
      <c r="K202">
        <v>704.34</v>
      </c>
      <c r="L202" t="s">
        <v>30</v>
      </c>
      <c r="M202" t="s">
        <v>23</v>
      </c>
      <c r="N202" t="s">
        <v>45</v>
      </c>
      <c r="O202" s="5">
        <f>Table14[[#This Row],[Profit]]/Table14[[#This Row],[Total_Sales]]</f>
        <v>0.32108862144420136</v>
      </c>
      <c r="P202" s="23">
        <f>DATE(YEAR(Table14[[#This Row],[Order_Date]]), MONTH(Table14[[#This Row],[Order_Date]]), 1)</f>
        <v>45505</v>
      </c>
      <c r="Q202" t="str">
        <f>_xlfn.XLOOKUP(Table14[[#This Row],[Product]],Product_Master!$B$2:$B$11,Product_Master!$D$2:$D$11)</f>
        <v>CarryPro</v>
      </c>
      <c r="R202" t="str">
        <f>_xlfn.XLOOKUP(Table14[[#This Row],[Product]],Product_Master!$B$2:$B$11,Product_Master!$E$2:$E$11)</f>
        <v>Vietnam</v>
      </c>
      <c r="S202">
        <f>_xlfn.XLOOKUP(Table14[[#This Row],[Product]],Product_Master!$B$2:$B$11,Product_Master!$F$2:$F$11)</f>
        <v>35</v>
      </c>
    </row>
    <row r="203" spans="1:19" x14ac:dyDescent="0.3">
      <c r="A203" t="s">
        <v>362</v>
      </c>
      <c r="B203" s="23" t="s">
        <v>34</v>
      </c>
      <c r="C203" t="s">
        <v>185</v>
      </c>
      <c r="D203" t="s">
        <v>81</v>
      </c>
      <c r="E203" t="s">
        <v>64</v>
      </c>
      <c r="F203" t="s">
        <v>65</v>
      </c>
      <c r="G203">
        <v>7</v>
      </c>
      <c r="H203" s="4">
        <v>36.43</v>
      </c>
      <c r="I203" s="8">
        <v>255.01</v>
      </c>
      <c r="J203">
        <v>6.3</v>
      </c>
      <c r="K203">
        <v>73.709999999999994</v>
      </c>
      <c r="L203" t="s">
        <v>22</v>
      </c>
      <c r="M203" t="s">
        <v>31</v>
      </c>
      <c r="N203" t="s">
        <v>66</v>
      </c>
      <c r="O203" s="5">
        <f>Table14[[#This Row],[Profit]]/Table14[[#This Row],[Total_Sales]]</f>
        <v>0.28904748833379079</v>
      </c>
      <c r="P203" s="23">
        <f>DATE(YEAR(Table14[[#This Row],[Order_Date]]), MONTH(Table14[[#This Row],[Order_Date]]), 1)</f>
        <v>45383</v>
      </c>
      <c r="Q203" t="str">
        <f>_xlfn.XLOOKUP(Table14[[#This Row],[Product]],Product_Master!$B$2:$B$11,Product_Master!$D$2:$D$11)</f>
        <v>SoftWeave</v>
      </c>
      <c r="R203" t="str">
        <f>_xlfn.XLOOKUP(Table14[[#This Row],[Product]],Product_Master!$B$2:$B$11,Product_Master!$E$2:$E$11)</f>
        <v>Turkey</v>
      </c>
      <c r="S203">
        <f>_xlfn.XLOOKUP(Table14[[#This Row],[Product]],Product_Master!$B$2:$B$11,Product_Master!$F$2:$F$11)</f>
        <v>25</v>
      </c>
    </row>
    <row r="204" spans="1:19" x14ac:dyDescent="0.3">
      <c r="A204" t="s">
        <v>363</v>
      </c>
      <c r="B204" s="23" t="s">
        <v>104</v>
      </c>
      <c r="C204" t="s">
        <v>226</v>
      </c>
      <c r="D204" t="s">
        <v>53</v>
      </c>
      <c r="E204" t="s">
        <v>73</v>
      </c>
      <c r="F204" t="s">
        <v>43</v>
      </c>
      <c r="G204">
        <v>39</v>
      </c>
      <c r="H204" s="4">
        <v>19.48</v>
      </c>
      <c r="I204" s="8">
        <v>759.72</v>
      </c>
      <c r="J204">
        <v>40.090000000000003</v>
      </c>
      <c r="K204">
        <v>222.38</v>
      </c>
      <c r="L204" t="s">
        <v>44</v>
      </c>
      <c r="M204" t="s">
        <v>31</v>
      </c>
      <c r="N204" t="s">
        <v>24</v>
      </c>
      <c r="O204" s="5">
        <f>Table14[[#This Row],[Profit]]/Table14[[#This Row],[Total_Sales]]</f>
        <v>0.29271310482809454</v>
      </c>
      <c r="P204" s="23">
        <f>DATE(YEAR(Table14[[#This Row],[Order_Date]]), MONTH(Table14[[#This Row],[Order_Date]]), 1)</f>
        <v>45717</v>
      </c>
      <c r="Q204" t="str">
        <f>_xlfn.XLOOKUP(Table14[[#This Row],[Product]],Product_Master!$B$2:$B$11,Product_Master!$D$2:$D$11)</f>
        <v>BrightHome</v>
      </c>
      <c r="R204" t="str">
        <f>_xlfn.XLOOKUP(Table14[[#This Row],[Product]],Product_Master!$B$2:$B$11,Product_Master!$E$2:$E$11)</f>
        <v>Vietnam</v>
      </c>
      <c r="S204">
        <f>_xlfn.XLOOKUP(Table14[[#This Row],[Product]],Product_Master!$B$2:$B$11,Product_Master!$F$2:$F$11)</f>
        <v>12.75</v>
      </c>
    </row>
    <row r="205" spans="1:19" x14ac:dyDescent="0.3">
      <c r="A205" t="s">
        <v>364</v>
      </c>
      <c r="B205" s="23" t="s">
        <v>83</v>
      </c>
      <c r="C205" t="s">
        <v>287</v>
      </c>
      <c r="D205" t="s">
        <v>101</v>
      </c>
      <c r="E205" t="s">
        <v>58</v>
      </c>
      <c r="F205" t="s">
        <v>59</v>
      </c>
      <c r="G205">
        <v>35</v>
      </c>
      <c r="H205" s="4">
        <v>38.83</v>
      </c>
      <c r="I205" s="8">
        <v>1359.05</v>
      </c>
      <c r="J205">
        <v>93.92</v>
      </c>
      <c r="K205">
        <v>477.63</v>
      </c>
      <c r="L205" t="s">
        <v>44</v>
      </c>
      <c r="M205" t="s">
        <v>31</v>
      </c>
      <c r="N205" t="s">
        <v>102</v>
      </c>
      <c r="O205" s="5">
        <f>Table14[[#This Row],[Profit]]/Table14[[#This Row],[Total_Sales]]</f>
        <v>0.35144402339869762</v>
      </c>
      <c r="P205" s="23">
        <f>DATE(YEAR(Table14[[#This Row],[Order_Date]]), MONTH(Table14[[#This Row],[Order_Date]]), 1)</f>
        <v>45323</v>
      </c>
      <c r="Q205" t="str">
        <f>_xlfn.XLOOKUP(Table14[[#This Row],[Product]],Product_Master!$B$2:$B$11,Product_Master!$D$2:$D$11)</f>
        <v>ClearCraft</v>
      </c>
      <c r="R205" t="str">
        <f>_xlfn.XLOOKUP(Table14[[#This Row],[Product]],Product_Master!$B$2:$B$11,Product_Master!$E$2:$E$11)</f>
        <v>India</v>
      </c>
      <c r="S205">
        <f>_xlfn.XLOOKUP(Table14[[#This Row],[Product]],Product_Master!$B$2:$B$11,Product_Master!$F$2:$F$11)</f>
        <v>22.5</v>
      </c>
    </row>
    <row r="206" spans="1:19" x14ac:dyDescent="0.3">
      <c r="A206" t="s">
        <v>365</v>
      </c>
      <c r="B206" s="23" t="s">
        <v>39</v>
      </c>
      <c r="C206" t="s">
        <v>164</v>
      </c>
      <c r="D206" t="s">
        <v>63</v>
      </c>
      <c r="E206" t="s">
        <v>54</v>
      </c>
      <c r="F206" t="s">
        <v>43</v>
      </c>
      <c r="G206">
        <v>39</v>
      </c>
      <c r="H206" s="4">
        <v>32.76</v>
      </c>
      <c r="I206" s="8">
        <v>1277.6400000000001</v>
      </c>
      <c r="J206">
        <v>35.81</v>
      </c>
      <c r="K206">
        <v>461.83</v>
      </c>
      <c r="L206" t="s">
        <v>30</v>
      </c>
      <c r="M206" t="s">
        <v>37</v>
      </c>
      <c r="N206" t="s">
        <v>66</v>
      </c>
      <c r="O206" s="5">
        <f>Table14[[#This Row],[Profit]]/Table14[[#This Row],[Total_Sales]]</f>
        <v>0.36147114993268836</v>
      </c>
      <c r="P206" s="23">
        <f>DATE(YEAR(Table14[[#This Row],[Order_Date]]), MONTH(Table14[[#This Row],[Order_Date]]), 1)</f>
        <v>45566</v>
      </c>
      <c r="Q206" t="str">
        <f>_xlfn.XLOOKUP(Table14[[#This Row],[Product]],Product_Master!$B$2:$B$11,Product_Master!$D$2:$D$11)</f>
        <v>ClickTech</v>
      </c>
      <c r="R206" t="str">
        <f>_xlfn.XLOOKUP(Table14[[#This Row],[Product]],Product_Master!$B$2:$B$11,Product_Master!$E$2:$E$11)</f>
        <v>China</v>
      </c>
      <c r="S206">
        <f>_xlfn.XLOOKUP(Table14[[#This Row],[Product]],Product_Master!$B$2:$B$11,Product_Master!$F$2:$F$11)</f>
        <v>20</v>
      </c>
    </row>
    <row r="207" spans="1:19" x14ac:dyDescent="0.3">
      <c r="A207" t="s">
        <v>366</v>
      </c>
      <c r="B207" s="23" t="s">
        <v>17</v>
      </c>
      <c r="C207" t="s">
        <v>208</v>
      </c>
      <c r="D207" t="s">
        <v>19</v>
      </c>
      <c r="E207" t="s">
        <v>42</v>
      </c>
      <c r="F207" t="s">
        <v>43</v>
      </c>
      <c r="G207">
        <v>8</v>
      </c>
      <c r="H207" s="4">
        <v>39.869999999999997</v>
      </c>
      <c r="I207" s="8">
        <v>318.95999999999998</v>
      </c>
      <c r="J207">
        <v>15.95</v>
      </c>
      <c r="K207">
        <v>47.01</v>
      </c>
      <c r="L207" t="s">
        <v>44</v>
      </c>
      <c r="M207" t="s">
        <v>37</v>
      </c>
      <c r="N207" t="s">
        <v>24</v>
      </c>
      <c r="O207" s="5">
        <f>Table14[[#This Row],[Profit]]/Table14[[#This Row],[Total_Sales]]</f>
        <v>0.14738525206922498</v>
      </c>
      <c r="P207" s="23">
        <f>DATE(YEAR(Table14[[#This Row],[Order_Date]]), MONTH(Table14[[#This Row],[Order_Date]]), 1)</f>
        <v>45658</v>
      </c>
      <c r="Q207" t="str">
        <f>_xlfn.XLOOKUP(Table14[[#This Row],[Product]],Product_Master!$B$2:$B$11,Product_Master!$D$2:$D$11)</f>
        <v>AudioTech Ltd.</v>
      </c>
      <c r="R207" t="str">
        <f>_xlfn.XLOOKUP(Table14[[#This Row],[Product]],Product_Master!$B$2:$B$11,Product_Master!$E$2:$E$11)</f>
        <v>China</v>
      </c>
      <c r="S207">
        <f>_xlfn.XLOOKUP(Table14[[#This Row],[Product]],Product_Master!$B$2:$B$11,Product_Master!$F$2:$F$11)</f>
        <v>32</v>
      </c>
    </row>
    <row r="208" spans="1:19" x14ac:dyDescent="0.3">
      <c r="A208" t="s">
        <v>367</v>
      </c>
      <c r="B208" s="23" t="s">
        <v>75</v>
      </c>
      <c r="C208" t="s">
        <v>280</v>
      </c>
      <c r="D208" t="s">
        <v>88</v>
      </c>
      <c r="E208" t="s">
        <v>49</v>
      </c>
      <c r="F208" t="s">
        <v>50</v>
      </c>
      <c r="G208">
        <v>10</v>
      </c>
      <c r="H208" s="4">
        <v>63.1</v>
      </c>
      <c r="I208" s="8">
        <v>631</v>
      </c>
      <c r="J208">
        <v>26.93</v>
      </c>
      <c r="K208">
        <v>204.07</v>
      </c>
      <c r="L208" t="s">
        <v>30</v>
      </c>
      <c r="M208" t="s">
        <v>31</v>
      </c>
      <c r="N208" t="s">
        <v>66</v>
      </c>
      <c r="O208" s="5">
        <f>Table14[[#This Row],[Profit]]/Table14[[#This Row],[Total_Sales]]</f>
        <v>0.32340729001584784</v>
      </c>
      <c r="P208" s="23">
        <f>DATE(YEAR(Table14[[#This Row],[Order_Date]]), MONTH(Table14[[#This Row],[Order_Date]]), 1)</f>
        <v>45748</v>
      </c>
      <c r="Q208" t="str">
        <f>_xlfn.XLOOKUP(Table14[[#This Row],[Product]],Product_Master!$B$2:$B$11,Product_Master!$D$2:$D$11)</f>
        <v>BlueWear</v>
      </c>
      <c r="R208" t="str">
        <f>_xlfn.XLOOKUP(Table14[[#This Row],[Product]],Product_Master!$B$2:$B$11,Product_Master!$E$2:$E$11)</f>
        <v>Bangladesh</v>
      </c>
      <c r="S208">
        <f>_xlfn.XLOOKUP(Table14[[#This Row],[Product]],Product_Master!$B$2:$B$11,Product_Master!$F$2:$F$11)</f>
        <v>40</v>
      </c>
    </row>
    <row r="209" spans="1:19" x14ac:dyDescent="0.3">
      <c r="A209" t="s">
        <v>368</v>
      </c>
      <c r="B209" s="23" t="s">
        <v>107</v>
      </c>
      <c r="C209" t="s">
        <v>117</v>
      </c>
      <c r="D209" t="s">
        <v>170</v>
      </c>
      <c r="E209" t="s">
        <v>42</v>
      </c>
      <c r="F209" t="s">
        <v>43</v>
      </c>
      <c r="G209">
        <v>3</v>
      </c>
      <c r="H209" s="4">
        <v>55.1</v>
      </c>
      <c r="I209" s="8">
        <v>165.3</v>
      </c>
      <c r="J209">
        <v>9.17</v>
      </c>
      <c r="K209">
        <v>60.13</v>
      </c>
      <c r="L209" t="s">
        <v>22</v>
      </c>
      <c r="M209" t="s">
        <v>23</v>
      </c>
      <c r="N209" t="s">
        <v>32</v>
      </c>
      <c r="O209" s="5">
        <f>Table14[[#This Row],[Profit]]/Table14[[#This Row],[Total_Sales]]</f>
        <v>0.36376285541439807</v>
      </c>
      <c r="P209" s="23">
        <f>DATE(YEAR(Table14[[#This Row],[Order_Date]]), MONTH(Table14[[#This Row],[Order_Date]]), 1)</f>
        <v>45413</v>
      </c>
      <c r="Q209" t="str">
        <f>_xlfn.XLOOKUP(Table14[[#This Row],[Product]],Product_Master!$B$2:$B$11,Product_Master!$D$2:$D$11)</f>
        <v>AudioTech Ltd.</v>
      </c>
      <c r="R209" t="str">
        <f>_xlfn.XLOOKUP(Table14[[#This Row],[Product]],Product_Master!$B$2:$B$11,Product_Master!$E$2:$E$11)</f>
        <v>China</v>
      </c>
      <c r="S209">
        <f>_xlfn.XLOOKUP(Table14[[#This Row],[Product]],Product_Master!$B$2:$B$11,Product_Master!$F$2:$F$11)</f>
        <v>32</v>
      </c>
    </row>
    <row r="210" spans="1:19" x14ac:dyDescent="0.3">
      <c r="A210" t="s">
        <v>369</v>
      </c>
      <c r="B210" s="23" t="s">
        <v>83</v>
      </c>
      <c r="C210" t="s">
        <v>84</v>
      </c>
      <c r="D210" t="s">
        <v>196</v>
      </c>
      <c r="E210" t="s">
        <v>69</v>
      </c>
      <c r="F210" t="s">
        <v>59</v>
      </c>
      <c r="G210">
        <v>26</v>
      </c>
      <c r="H210" s="4">
        <v>19.809999999999999</v>
      </c>
      <c r="I210" s="8">
        <v>515.05999999999995</v>
      </c>
      <c r="J210">
        <v>10.3</v>
      </c>
      <c r="K210">
        <v>101.76</v>
      </c>
      <c r="L210" t="s">
        <v>44</v>
      </c>
      <c r="M210" t="s">
        <v>31</v>
      </c>
      <c r="N210" t="s">
        <v>66</v>
      </c>
      <c r="O210" s="5">
        <f>Table14[[#This Row],[Profit]]/Table14[[#This Row],[Total_Sales]]</f>
        <v>0.19756921523705978</v>
      </c>
      <c r="P210" s="23">
        <f>DATE(YEAR(Table14[[#This Row],[Order_Date]]), MONTH(Table14[[#This Row],[Order_Date]]), 1)</f>
        <v>45323</v>
      </c>
      <c r="Q210" t="str">
        <f>_xlfn.XLOOKUP(Table14[[#This Row],[Product]],Product_Master!$B$2:$B$11,Product_Master!$D$2:$D$11)</f>
        <v>Artisans Co.</v>
      </c>
      <c r="R210" t="str">
        <f>_xlfn.XLOOKUP(Table14[[#This Row],[Product]],Product_Master!$B$2:$B$11,Product_Master!$E$2:$E$11)</f>
        <v>India</v>
      </c>
      <c r="S210">
        <f>_xlfn.XLOOKUP(Table14[[#This Row],[Product]],Product_Master!$B$2:$B$11,Product_Master!$F$2:$F$11)</f>
        <v>15.5</v>
      </c>
    </row>
    <row r="211" spans="1:19" x14ac:dyDescent="0.3">
      <c r="A211" t="s">
        <v>370</v>
      </c>
      <c r="B211" s="23" t="s">
        <v>75</v>
      </c>
      <c r="C211" t="s">
        <v>125</v>
      </c>
      <c r="D211" t="s">
        <v>88</v>
      </c>
      <c r="E211" t="s">
        <v>49</v>
      </c>
      <c r="F211" t="s">
        <v>50</v>
      </c>
      <c r="G211">
        <v>17</v>
      </c>
      <c r="H211" s="4">
        <v>53.34</v>
      </c>
      <c r="I211" s="8">
        <v>906.78</v>
      </c>
      <c r="J211">
        <v>30.6</v>
      </c>
      <c r="K211">
        <v>196.18</v>
      </c>
      <c r="L211" t="s">
        <v>22</v>
      </c>
      <c r="M211" t="s">
        <v>31</v>
      </c>
      <c r="N211" t="s">
        <v>66</v>
      </c>
      <c r="O211" s="5">
        <f>Table14[[#This Row],[Profit]]/Table14[[#This Row],[Total_Sales]]</f>
        <v>0.21634795650543684</v>
      </c>
      <c r="P211" s="23">
        <f>DATE(YEAR(Table14[[#This Row],[Order_Date]]), MONTH(Table14[[#This Row],[Order_Date]]), 1)</f>
        <v>45748</v>
      </c>
      <c r="Q211" t="str">
        <f>_xlfn.XLOOKUP(Table14[[#This Row],[Product]],Product_Master!$B$2:$B$11,Product_Master!$D$2:$D$11)</f>
        <v>BlueWear</v>
      </c>
      <c r="R211" t="str">
        <f>_xlfn.XLOOKUP(Table14[[#This Row],[Product]],Product_Master!$B$2:$B$11,Product_Master!$E$2:$E$11)</f>
        <v>Bangladesh</v>
      </c>
      <c r="S211">
        <f>_xlfn.XLOOKUP(Table14[[#This Row],[Product]],Product_Master!$B$2:$B$11,Product_Master!$F$2:$F$11)</f>
        <v>40</v>
      </c>
    </row>
    <row r="212" spans="1:19" x14ac:dyDescent="0.3">
      <c r="A212" t="s">
        <v>371</v>
      </c>
      <c r="B212" s="23" t="s">
        <v>95</v>
      </c>
      <c r="C212" t="s">
        <v>110</v>
      </c>
      <c r="D212" t="s">
        <v>63</v>
      </c>
      <c r="E212" t="s">
        <v>54</v>
      </c>
      <c r="F212" t="s">
        <v>43</v>
      </c>
      <c r="G212">
        <v>17</v>
      </c>
      <c r="H212" s="4">
        <v>28.23</v>
      </c>
      <c r="I212" s="8">
        <v>479.91</v>
      </c>
      <c r="J212">
        <v>31.88</v>
      </c>
      <c r="K212">
        <v>108.03</v>
      </c>
      <c r="L212" t="s">
        <v>30</v>
      </c>
      <c r="M212" t="s">
        <v>23</v>
      </c>
      <c r="N212" t="s">
        <v>66</v>
      </c>
      <c r="O212" s="5">
        <f>Table14[[#This Row],[Profit]]/Table14[[#This Row],[Total_Sales]]</f>
        <v>0.22510470713258734</v>
      </c>
      <c r="P212" s="23">
        <f>DATE(YEAR(Table14[[#This Row],[Order_Date]]), MONTH(Table14[[#This Row],[Order_Date]]), 1)</f>
        <v>45474</v>
      </c>
      <c r="Q212" t="str">
        <f>_xlfn.XLOOKUP(Table14[[#This Row],[Product]],Product_Master!$B$2:$B$11,Product_Master!$D$2:$D$11)</f>
        <v>ClickTech</v>
      </c>
      <c r="R212" t="str">
        <f>_xlfn.XLOOKUP(Table14[[#This Row],[Product]],Product_Master!$B$2:$B$11,Product_Master!$E$2:$E$11)</f>
        <v>China</v>
      </c>
      <c r="S212">
        <f>_xlfn.XLOOKUP(Table14[[#This Row],[Product]],Product_Master!$B$2:$B$11,Product_Master!$F$2:$F$11)</f>
        <v>20</v>
      </c>
    </row>
    <row r="213" spans="1:19" x14ac:dyDescent="0.3">
      <c r="A213" t="s">
        <v>372</v>
      </c>
      <c r="B213" s="23" t="s">
        <v>86</v>
      </c>
      <c r="C213" t="s">
        <v>373</v>
      </c>
      <c r="D213" t="s">
        <v>170</v>
      </c>
      <c r="E213" t="s">
        <v>29</v>
      </c>
      <c r="F213" t="s">
        <v>21</v>
      </c>
      <c r="G213">
        <v>42</v>
      </c>
      <c r="H213" s="4">
        <v>25.26</v>
      </c>
      <c r="I213" s="8">
        <v>1060.92</v>
      </c>
      <c r="J213">
        <v>77.05</v>
      </c>
      <c r="K213">
        <v>227.87</v>
      </c>
      <c r="L213" t="s">
        <v>22</v>
      </c>
      <c r="M213" t="s">
        <v>37</v>
      </c>
      <c r="N213" t="s">
        <v>32</v>
      </c>
      <c r="O213" s="5">
        <f>Table14[[#This Row],[Profit]]/Table14[[#This Row],[Total_Sales]]</f>
        <v>0.21478528069976999</v>
      </c>
      <c r="P213" s="23">
        <f>DATE(YEAR(Table14[[#This Row],[Order_Date]]), MONTH(Table14[[#This Row],[Order_Date]]), 1)</f>
        <v>45352</v>
      </c>
      <c r="Q213" t="str">
        <f>_xlfn.XLOOKUP(Table14[[#This Row],[Product]],Product_Master!$B$2:$B$11,Product_Master!$D$2:$D$11)</f>
        <v>CraftLine</v>
      </c>
      <c r="R213" t="str">
        <f>_xlfn.XLOOKUP(Table14[[#This Row],[Product]],Product_Master!$B$2:$B$11,Product_Master!$E$2:$E$11)</f>
        <v>Italy</v>
      </c>
      <c r="S213">
        <f>_xlfn.XLOOKUP(Table14[[#This Row],[Product]],Product_Master!$B$2:$B$11,Product_Master!$F$2:$F$11)</f>
        <v>18</v>
      </c>
    </row>
    <row r="214" spans="1:19" x14ac:dyDescent="0.3">
      <c r="A214" t="s">
        <v>374</v>
      </c>
      <c r="B214" s="23" t="s">
        <v>68</v>
      </c>
      <c r="C214" t="s">
        <v>168</v>
      </c>
      <c r="D214" t="s">
        <v>196</v>
      </c>
      <c r="E214" t="s">
        <v>29</v>
      </c>
      <c r="F214" t="s">
        <v>21</v>
      </c>
      <c r="G214">
        <v>2</v>
      </c>
      <c r="H214" s="4">
        <v>27.27</v>
      </c>
      <c r="I214" s="8">
        <v>54.54</v>
      </c>
      <c r="J214">
        <v>1.45</v>
      </c>
      <c r="K214">
        <v>17.09</v>
      </c>
      <c r="L214" t="s">
        <v>22</v>
      </c>
      <c r="M214" t="s">
        <v>37</v>
      </c>
      <c r="N214" t="s">
        <v>66</v>
      </c>
      <c r="O214" s="5">
        <f>Table14[[#This Row],[Profit]]/Table14[[#This Row],[Total_Sales]]</f>
        <v>0.31334800146681335</v>
      </c>
      <c r="P214" s="23">
        <f>DATE(YEAR(Table14[[#This Row],[Order_Date]]), MONTH(Table14[[#This Row],[Order_Date]]), 1)</f>
        <v>45536</v>
      </c>
      <c r="Q214" t="str">
        <f>_xlfn.XLOOKUP(Table14[[#This Row],[Product]],Product_Master!$B$2:$B$11,Product_Master!$D$2:$D$11)</f>
        <v>CraftLine</v>
      </c>
      <c r="R214" t="str">
        <f>_xlfn.XLOOKUP(Table14[[#This Row],[Product]],Product_Master!$B$2:$B$11,Product_Master!$E$2:$E$11)</f>
        <v>Italy</v>
      </c>
      <c r="S214">
        <f>_xlfn.XLOOKUP(Table14[[#This Row],[Product]],Product_Master!$B$2:$B$11,Product_Master!$F$2:$F$11)</f>
        <v>18</v>
      </c>
    </row>
    <row r="215" spans="1:19" x14ac:dyDescent="0.3">
      <c r="A215" t="s">
        <v>375</v>
      </c>
      <c r="B215" s="23" t="s">
        <v>132</v>
      </c>
      <c r="C215" t="s">
        <v>250</v>
      </c>
      <c r="D215" t="s">
        <v>88</v>
      </c>
      <c r="E215" t="s">
        <v>98</v>
      </c>
      <c r="F215" t="s">
        <v>59</v>
      </c>
      <c r="G215">
        <v>48</v>
      </c>
      <c r="H215" s="4">
        <v>44.95</v>
      </c>
      <c r="I215" s="8">
        <v>2157.6</v>
      </c>
      <c r="J215">
        <v>148.41</v>
      </c>
      <c r="K215">
        <v>665.19</v>
      </c>
      <c r="L215" t="s">
        <v>22</v>
      </c>
      <c r="M215" t="s">
        <v>23</v>
      </c>
      <c r="N215" t="s">
        <v>66</v>
      </c>
      <c r="O215" s="5">
        <f>Table14[[#This Row],[Profit]]/Table14[[#This Row],[Total_Sales]]</f>
        <v>0.30830088987764187</v>
      </c>
      <c r="P215" s="23">
        <f>DATE(YEAR(Table14[[#This Row],[Order_Date]]), MONTH(Table14[[#This Row],[Order_Date]]), 1)</f>
        <v>45597</v>
      </c>
      <c r="Q215" t="str">
        <f>_xlfn.XLOOKUP(Table14[[#This Row],[Product]],Product_Master!$B$2:$B$11,Product_Master!$D$2:$D$11)</f>
        <v>BrightHome</v>
      </c>
      <c r="R215" t="str">
        <f>_xlfn.XLOOKUP(Table14[[#This Row],[Product]],Product_Master!$B$2:$B$11,Product_Master!$E$2:$E$11)</f>
        <v>India</v>
      </c>
      <c r="S215">
        <f>_xlfn.XLOOKUP(Table14[[#This Row],[Product]],Product_Master!$B$2:$B$11,Product_Master!$F$2:$F$11)</f>
        <v>28</v>
      </c>
    </row>
    <row r="216" spans="1:19" x14ac:dyDescent="0.3">
      <c r="A216" t="s">
        <v>376</v>
      </c>
      <c r="B216" s="23" t="s">
        <v>75</v>
      </c>
      <c r="C216" t="s">
        <v>373</v>
      </c>
      <c r="D216" t="s">
        <v>81</v>
      </c>
      <c r="E216" t="s">
        <v>54</v>
      </c>
      <c r="F216" t="s">
        <v>43</v>
      </c>
      <c r="G216">
        <v>23</v>
      </c>
      <c r="H216" s="4">
        <v>28.6</v>
      </c>
      <c r="I216" s="8">
        <v>657.8</v>
      </c>
      <c r="J216">
        <v>13.36</v>
      </c>
      <c r="K216">
        <v>184.44</v>
      </c>
      <c r="L216" t="s">
        <v>22</v>
      </c>
      <c r="M216" t="s">
        <v>37</v>
      </c>
      <c r="N216" t="s">
        <v>66</v>
      </c>
      <c r="O216" s="5">
        <f>Table14[[#This Row],[Profit]]/Table14[[#This Row],[Total_Sales]]</f>
        <v>0.28038917604135</v>
      </c>
      <c r="P216" s="23">
        <f>DATE(YEAR(Table14[[#This Row],[Order_Date]]), MONTH(Table14[[#This Row],[Order_Date]]), 1)</f>
        <v>45748</v>
      </c>
      <c r="Q216" t="str">
        <f>_xlfn.XLOOKUP(Table14[[#This Row],[Product]],Product_Master!$B$2:$B$11,Product_Master!$D$2:$D$11)</f>
        <v>ClickTech</v>
      </c>
      <c r="R216" t="str">
        <f>_xlfn.XLOOKUP(Table14[[#This Row],[Product]],Product_Master!$B$2:$B$11,Product_Master!$E$2:$E$11)</f>
        <v>China</v>
      </c>
      <c r="S216">
        <f>_xlfn.XLOOKUP(Table14[[#This Row],[Product]],Product_Master!$B$2:$B$11,Product_Master!$F$2:$F$11)</f>
        <v>20</v>
      </c>
    </row>
    <row r="217" spans="1:19" x14ac:dyDescent="0.3">
      <c r="A217" t="s">
        <v>377</v>
      </c>
      <c r="B217" s="23" t="s">
        <v>132</v>
      </c>
      <c r="C217" t="s">
        <v>125</v>
      </c>
      <c r="D217" t="s">
        <v>123</v>
      </c>
      <c r="E217" t="s">
        <v>69</v>
      </c>
      <c r="F217" t="s">
        <v>59</v>
      </c>
      <c r="G217">
        <v>18</v>
      </c>
      <c r="H217" s="4">
        <v>26.1</v>
      </c>
      <c r="I217" s="8">
        <v>469.8</v>
      </c>
      <c r="J217">
        <v>19.52</v>
      </c>
      <c r="K217">
        <v>171.28</v>
      </c>
      <c r="L217" t="s">
        <v>44</v>
      </c>
      <c r="M217" t="s">
        <v>23</v>
      </c>
      <c r="N217" t="s">
        <v>32</v>
      </c>
      <c r="O217" s="5">
        <f>Table14[[#This Row],[Profit]]/Table14[[#This Row],[Total_Sales]]</f>
        <v>0.36458067262664962</v>
      </c>
      <c r="P217" s="23">
        <f>DATE(YEAR(Table14[[#This Row],[Order_Date]]), MONTH(Table14[[#This Row],[Order_Date]]), 1)</f>
        <v>45597</v>
      </c>
      <c r="Q217" t="str">
        <f>_xlfn.XLOOKUP(Table14[[#This Row],[Product]],Product_Master!$B$2:$B$11,Product_Master!$D$2:$D$11)</f>
        <v>Artisans Co.</v>
      </c>
      <c r="R217" t="str">
        <f>_xlfn.XLOOKUP(Table14[[#This Row],[Product]],Product_Master!$B$2:$B$11,Product_Master!$E$2:$E$11)</f>
        <v>India</v>
      </c>
      <c r="S217">
        <f>_xlfn.XLOOKUP(Table14[[#This Row],[Product]],Product_Master!$B$2:$B$11,Product_Master!$F$2:$F$11)</f>
        <v>15.5</v>
      </c>
    </row>
    <row r="218" spans="1:19" x14ac:dyDescent="0.3">
      <c r="A218" t="s">
        <v>378</v>
      </c>
      <c r="B218" s="23" t="s">
        <v>39</v>
      </c>
      <c r="C218" t="s">
        <v>379</v>
      </c>
      <c r="D218" t="s">
        <v>53</v>
      </c>
      <c r="E218" t="s">
        <v>98</v>
      </c>
      <c r="F218" t="s">
        <v>59</v>
      </c>
      <c r="G218">
        <v>21</v>
      </c>
      <c r="H218" s="4">
        <v>37.450000000000003</v>
      </c>
      <c r="I218" s="8">
        <v>786.45</v>
      </c>
      <c r="J218">
        <v>62.4</v>
      </c>
      <c r="K218">
        <v>136.05000000000001</v>
      </c>
      <c r="L218" t="s">
        <v>22</v>
      </c>
      <c r="M218" t="s">
        <v>37</v>
      </c>
      <c r="N218" t="s">
        <v>24</v>
      </c>
      <c r="O218" s="5">
        <f>Table14[[#This Row],[Profit]]/Table14[[#This Row],[Total_Sales]]</f>
        <v>0.17299256151058554</v>
      </c>
      <c r="P218" s="23">
        <f>DATE(YEAR(Table14[[#This Row],[Order_Date]]), MONTH(Table14[[#This Row],[Order_Date]]), 1)</f>
        <v>45566</v>
      </c>
      <c r="Q218" t="str">
        <f>_xlfn.XLOOKUP(Table14[[#This Row],[Product]],Product_Master!$B$2:$B$11,Product_Master!$D$2:$D$11)</f>
        <v>BrightHome</v>
      </c>
      <c r="R218" t="str">
        <f>_xlfn.XLOOKUP(Table14[[#This Row],[Product]],Product_Master!$B$2:$B$11,Product_Master!$E$2:$E$11)</f>
        <v>India</v>
      </c>
      <c r="S218">
        <f>_xlfn.XLOOKUP(Table14[[#This Row],[Product]],Product_Master!$B$2:$B$11,Product_Master!$F$2:$F$11)</f>
        <v>28</v>
      </c>
    </row>
    <row r="219" spans="1:19" x14ac:dyDescent="0.3">
      <c r="A219" t="s">
        <v>380</v>
      </c>
      <c r="B219" s="23" t="s">
        <v>78</v>
      </c>
      <c r="C219" t="s">
        <v>342</v>
      </c>
      <c r="D219" t="s">
        <v>81</v>
      </c>
      <c r="E219" t="s">
        <v>54</v>
      </c>
      <c r="F219" t="s">
        <v>43</v>
      </c>
      <c r="G219">
        <v>25</v>
      </c>
      <c r="H219" s="4">
        <v>28.54</v>
      </c>
      <c r="I219" s="8">
        <v>713.5</v>
      </c>
      <c r="J219">
        <v>50.38</v>
      </c>
      <c r="K219">
        <v>163.12</v>
      </c>
      <c r="L219" t="s">
        <v>22</v>
      </c>
      <c r="M219" t="s">
        <v>23</v>
      </c>
      <c r="N219" t="s">
        <v>66</v>
      </c>
      <c r="O219" s="5">
        <f>Table14[[#This Row],[Profit]]/Table14[[#This Row],[Total_Sales]]</f>
        <v>0.22861948142957253</v>
      </c>
      <c r="P219" s="23">
        <f>DATE(YEAR(Table14[[#This Row],[Order_Date]]), MONTH(Table14[[#This Row],[Order_Date]]), 1)</f>
        <v>45627</v>
      </c>
      <c r="Q219" t="str">
        <f>_xlfn.XLOOKUP(Table14[[#This Row],[Product]],Product_Master!$B$2:$B$11,Product_Master!$D$2:$D$11)</f>
        <v>ClickTech</v>
      </c>
      <c r="R219" t="str">
        <f>_xlfn.XLOOKUP(Table14[[#This Row],[Product]],Product_Master!$B$2:$B$11,Product_Master!$E$2:$E$11)</f>
        <v>China</v>
      </c>
      <c r="S219">
        <f>_xlfn.XLOOKUP(Table14[[#This Row],[Product]],Product_Master!$B$2:$B$11,Product_Master!$F$2:$F$11)</f>
        <v>20</v>
      </c>
    </row>
    <row r="220" spans="1:19" x14ac:dyDescent="0.3">
      <c r="A220" t="s">
        <v>381</v>
      </c>
      <c r="B220" s="23" t="s">
        <v>26</v>
      </c>
      <c r="C220" t="s">
        <v>130</v>
      </c>
      <c r="D220" t="s">
        <v>19</v>
      </c>
      <c r="E220" t="s">
        <v>64</v>
      </c>
      <c r="F220" t="s">
        <v>65</v>
      </c>
      <c r="G220">
        <v>11</v>
      </c>
      <c r="H220" s="4">
        <v>38.07</v>
      </c>
      <c r="I220" s="8">
        <v>418.77</v>
      </c>
      <c r="J220">
        <v>29.02</v>
      </c>
      <c r="K220">
        <v>114.75</v>
      </c>
      <c r="L220" t="s">
        <v>30</v>
      </c>
      <c r="M220" t="s">
        <v>23</v>
      </c>
      <c r="N220" t="s">
        <v>24</v>
      </c>
      <c r="O220" s="5">
        <f>Table14[[#This Row],[Profit]]/Table14[[#This Row],[Total_Sales]]</f>
        <v>0.27401676337846553</v>
      </c>
      <c r="P220" s="23">
        <f>DATE(YEAR(Table14[[#This Row],[Order_Date]]), MONTH(Table14[[#This Row],[Order_Date]]), 1)</f>
        <v>45689</v>
      </c>
      <c r="Q220" t="str">
        <f>_xlfn.XLOOKUP(Table14[[#This Row],[Product]],Product_Master!$B$2:$B$11,Product_Master!$D$2:$D$11)</f>
        <v>SoftWeave</v>
      </c>
      <c r="R220" t="str">
        <f>_xlfn.XLOOKUP(Table14[[#This Row],[Product]],Product_Master!$B$2:$B$11,Product_Master!$E$2:$E$11)</f>
        <v>Turkey</v>
      </c>
      <c r="S220">
        <f>_xlfn.XLOOKUP(Table14[[#This Row],[Product]],Product_Master!$B$2:$B$11,Product_Master!$F$2:$F$11)</f>
        <v>25</v>
      </c>
    </row>
    <row r="221" spans="1:19" x14ac:dyDescent="0.3">
      <c r="A221" t="s">
        <v>382</v>
      </c>
      <c r="B221" s="23" t="s">
        <v>39</v>
      </c>
      <c r="C221" t="s">
        <v>383</v>
      </c>
      <c r="D221" t="s">
        <v>48</v>
      </c>
      <c r="E221" t="s">
        <v>69</v>
      </c>
      <c r="F221" t="s">
        <v>59</v>
      </c>
      <c r="G221">
        <v>18</v>
      </c>
      <c r="H221" s="4">
        <v>19.32</v>
      </c>
      <c r="I221" s="8">
        <v>347.76</v>
      </c>
      <c r="J221">
        <v>21.34</v>
      </c>
      <c r="K221">
        <v>47.42</v>
      </c>
      <c r="L221" t="s">
        <v>30</v>
      </c>
      <c r="M221" t="s">
        <v>23</v>
      </c>
      <c r="N221" t="s">
        <v>24</v>
      </c>
      <c r="O221" s="5">
        <f>Table14[[#This Row],[Profit]]/Table14[[#This Row],[Total_Sales]]</f>
        <v>0.13635840809753855</v>
      </c>
      <c r="P221" s="23">
        <f>DATE(YEAR(Table14[[#This Row],[Order_Date]]), MONTH(Table14[[#This Row],[Order_Date]]), 1)</f>
        <v>45566</v>
      </c>
      <c r="Q221" t="str">
        <f>_xlfn.XLOOKUP(Table14[[#This Row],[Product]],Product_Master!$B$2:$B$11,Product_Master!$D$2:$D$11)</f>
        <v>Artisans Co.</v>
      </c>
      <c r="R221" t="str">
        <f>_xlfn.XLOOKUP(Table14[[#This Row],[Product]],Product_Master!$B$2:$B$11,Product_Master!$E$2:$E$11)</f>
        <v>India</v>
      </c>
      <c r="S221">
        <f>_xlfn.XLOOKUP(Table14[[#This Row],[Product]],Product_Master!$B$2:$B$11,Product_Master!$F$2:$F$11)</f>
        <v>15.5</v>
      </c>
    </row>
    <row r="222" spans="1:19" x14ac:dyDescent="0.3">
      <c r="A222" t="s">
        <v>384</v>
      </c>
      <c r="B222" s="23" t="s">
        <v>56</v>
      </c>
      <c r="C222" t="s">
        <v>76</v>
      </c>
      <c r="D222" t="s">
        <v>28</v>
      </c>
      <c r="E222" t="s">
        <v>98</v>
      </c>
      <c r="F222" t="s">
        <v>59</v>
      </c>
      <c r="G222">
        <v>42</v>
      </c>
      <c r="H222" s="4">
        <v>50.02</v>
      </c>
      <c r="I222" s="8">
        <v>2100.84</v>
      </c>
      <c r="J222">
        <v>89.65</v>
      </c>
      <c r="K222">
        <v>835.19</v>
      </c>
      <c r="L222" t="s">
        <v>30</v>
      </c>
      <c r="M222" t="s">
        <v>31</v>
      </c>
      <c r="N222" t="s">
        <v>32</v>
      </c>
      <c r="O222" s="5">
        <f>Table14[[#This Row],[Profit]]/Table14[[#This Row],[Total_Sales]]</f>
        <v>0.39755050360808059</v>
      </c>
      <c r="P222" s="23">
        <f>DATE(YEAR(Table14[[#This Row],[Order_Date]]), MONTH(Table14[[#This Row],[Order_Date]]), 1)</f>
        <v>45444</v>
      </c>
      <c r="Q222" t="str">
        <f>_xlfn.XLOOKUP(Table14[[#This Row],[Product]],Product_Master!$B$2:$B$11,Product_Master!$D$2:$D$11)</f>
        <v>BrightHome</v>
      </c>
      <c r="R222" t="str">
        <f>_xlfn.XLOOKUP(Table14[[#This Row],[Product]],Product_Master!$B$2:$B$11,Product_Master!$E$2:$E$11)</f>
        <v>India</v>
      </c>
      <c r="S222">
        <f>_xlfn.XLOOKUP(Table14[[#This Row],[Product]],Product_Master!$B$2:$B$11,Product_Master!$F$2:$F$11)</f>
        <v>28</v>
      </c>
    </row>
    <row r="223" spans="1:19" x14ac:dyDescent="0.3">
      <c r="A223" t="s">
        <v>385</v>
      </c>
      <c r="B223" s="23" t="s">
        <v>17</v>
      </c>
      <c r="C223" t="s">
        <v>276</v>
      </c>
      <c r="D223" t="s">
        <v>147</v>
      </c>
      <c r="E223" t="s">
        <v>98</v>
      </c>
      <c r="F223" t="s">
        <v>59</v>
      </c>
      <c r="G223">
        <v>13</v>
      </c>
      <c r="H223" s="4">
        <v>49.39</v>
      </c>
      <c r="I223" s="8">
        <v>642.07000000000005</v>
      </c>
      <c r="J223">
        <v>38.32</v>
      </c>
      <c r="K223">
        <v>239.75</v>
      </c>
      <c r="L223" t="s">
        <v>30</v>
      </c>
      <c r="M223" t="s">
        <v>23</v>
      </c>
      <c r="N223" t="s">
        <v>148</v>
      </c>
      <c r="O223" s="5">
        <f>Table14[[#This Row],[Profit]]/Table14[[#This Row],[Total_Sales]]</f>
        <v>0.37340165402526199</v>
      </c>
      <c r="P223" s="23">
        <f>DATE(YEAR(Table14[[#This Row],[Order_Date]]), MONTH(Table14[[#This Row],[Order_Date]]), 1)</f>
        <v>45658</v>
      </c>
      <c r="Q223" t="str">
        <f>_xlfn.XLOOKUP(Table14[[#This Row],[Product]],Product_Master!$B$2:$B$11,Product_Master!$D$2:$D$11)</f>
        <v>BrightHome</v>
      </c>
      <c r="R223" t="str">
        <f>_xlfn.XLOOKUP(Table14[[#This Row],[Product]],Product_Master!$B$2:$B$11,Product_Master!$E$2:$E$11)</f>
        <v>India</v>
      </c>
      <c r="S223">
        <f>_xlfn.XLOOKUP(Table14[[#This Row],[Product]],Product_Master!$B$2:$B$11,Product_Master!$F$2:$F$11)</f>
        <v>28</v>
      </c>
    </row>
    <row r="224" spans="1:19" x14ac:dyDescent="0.3">
      <c r="A224" t="s">
        <v>386</v>
      </c>
      <c r="B224" s="23" t="s">
        <v>61</v>
      </c>
      <c r="C224" t="s">
        <v>135</v>
      </c>
      <c r="D224" t="s">
        <v>28</v>
      </c>
      <c r="E224" t="s">
        <v>29</v>
      </c>
      <c r="F224" t="s">
        <v>21</v>
      </c>
      <c r="G224">
        <v>15</v>
      </c>
      <c r="H224" s="4">
        <v>22.86</v>
      </c>
      <c r="I224" s="8">
        <v>342.9</v>
      </c>
      <c r="J224">
        <v>27.16</v>
      </c>
      <c r="K224">
        <v>45.74</v>
      </c>
      <c r="L224" t="s">
        <v>44</v>
      </c>
      <c r="M224" t="s">
        <v>37</v>
      </c>
      <c r="N224" t="s">
        <v>32</v>
      </c>
      <c r="O224" s="5">
        <f>Table14[[#This Row],[Profit]]/Table14[[#This Row],[Total_Sales]]</f>
        <v>0.13339165937591135</v>
      </c>
      <c r="P224" s="23">
        <f>DATE(YEAR(Table14[[#This Row],[Order_Date]]), MONTH(Table14[[#This Row],[Order_Date]]), 1)</f>
        <v>45778</v>
      </c>
      <c r="Q224" t="str">
        <f>_xlfn.XLOOKUP(Table14[[#This Row],[Product]],Product_Master!$B$2:$B$11,Product_Master!$D$2:$D$11)</f>
        <v>CraftLine</v>
      </c>
      <c r="R224" t="str">
        <f>_xlfn.XLOOKUP(Table14[[#This Row],[Product]],Product_Master!$B$2:$B$11,Product_Master!$E$2:$E$11)</f>
        <v>Italy</v>
      </c>
      <c r="S224">
        <f>_xlfn.XLOOKUP(Table14[[#This Row],[Product]],Product_Master!$B$2:$B$11,Product_Master!$F$2:$F$11)</f>
        <v>18</v>
      </c>
    </row>
    <row r="225" spans="1:19" x14ac:dyDescent="0.3">
      <c r="A225" t="s">
        <v>387</v>
      </c>
      <c r="B225" s="23" t="s">
        <v>68</v>
      </c>
      <c r="C225" t="s">
        <v>379</v>
      </c>
      <c r="D225" t="s">
        <v>196</v>
      </c>
      <c r="E225" t="s">
        <v>64</v>
      </c>
      <c r="F225" t="s">
        <v>65</v>
      </c>
      <c r="G225">
        <v>37</v>
      </c>
      <c r="H225" s="4">
        <v>37.270000000000003</v>
      </c>
      <c r="I225" s="8">
        <v>1378.99</v>
      </c>
      <c r="J225">
        <v>92.92</v>
      </c>
      <c r="K225">
        <v>361.07</v>
      </c>
      <c r="L225" t="s">
        <v>22</v>
      </c>
      <c r="M225" t="s">
        <v>23</v>
      </c>
      <c r="N225" t="s">
        <v>66</v>
      </c>
      <c r="O225" s="5">
        <f>Table14[[#This Row],[Profit]]/Table14[[#This Row],[Total_Sales]]</f>
        <v>0.26183656154141799</v>
      </c>
      <c r="P225" s="23">
        <f>DATE(YEAR(Table14[[#This Row],[Order_Date]]), MONTH(Table14[[#This Row],[Order_Date]]), 1)</f>
        <v>45536</v>
      </c>
      <c r="Q225" t="str">
        <f>_xlfn.XLOOKUP(Table14[[#This Row],[Product]],Product_Master!$B$2:$B$11,Product_Master!$D$2:$D$11)</f>
        <v>SoftWeave</v>
      </c>
      <c r="R225" t="str">
        <f>_xlfn.XLOOKUP(Table14[[#This Row],[Product]],Product_Master!$B$2:$B$11,Product_Master!$E$2:$E$11)</f>
        <v>Turkey</v>
      </c>
      <c r="S225">
        <f>_xlfn.XLOOKUP(Table14[[#This Row],[Product]],Product_Master!$B$2:$B$11,Product_Master!$F$2:$F$11)</f>
        <v>25</v>
      </c>
    </row>
    <row r="226" spans="1:19" x14ac:dyDescent="0.3">
      <c r="A226" t="s">
        <v>388</v>
      </c>
      <c r="B226" s="23" t="s">
        <v>86</v>
      </c>
      <c r="C226" t="s">
        <v>52</v>
      </c>
      <c r="D226" t="s">
        <v>123</v>
      </c>
      <c r="E226" t="s">
        <v>20</v>
      </c>
      <c r="F226" t="s">
        <v>21</v>
      </c>
      <c r="G226">
        <v>49</v>
      </c>
      <c r="H226" s="4">
        <v>54.05</v>
      </c>
      <c r="I226" s="8">
        <v>2648.45</v>
      </c>
      <c r="J226">
        <v>66.8</v>
      </c>
      <c r="K226">
        <v>866.65</v>
      </c>
      <c r="L226" t="s">
        <v>44</v>
      </c>
      <c r="M226" t="s">
        <v>23</v>
      </c>
      <c r="N226" t="s">
        <v>32</v>
      </c>
      <c r="O226" s="5">
        <f>Table14[[#This Row],[Profit]]/Table14[[#This Row],[Total_Sales]]</f>
        <v>0.32722913402178633</v>
      </c>
      <c r="P226" s="23">
        <f>DATE(YEAR(Table14[[#This Row],[Order_Date]]), MONTH(Table14[[#This Row],[Order_Date]]), 1)</f>
        <v>45352</v>
      </c>
      <c r="Q226" t="str">
        <f>_xlfn.XLOOKUP(Table14[[#This Row],[Product]],Product_Master!$B$2:$B$11,Product_Master!$D$2:$D$11)</f>
        <v>CarryPro</v>
      </c>
      <c r="R226" t="str">
        <f>_xlfn.XLOOKUP(Table14[[#This Row],[Product]],Product_Master!$B$2:$B$11,Product_Master!$E$2:$E$11)</f>
        <v>Vietnam</v>
      </c>
      <c r="S226">
        <f>_xlfn.XLOOKUP(Table14[[#This Row],[Product]],Product_Master!$B$2:$B$11,Product_Master!$F$2:$F$11)</f>
        <v>35</v>
      </c>
    </row>
    <row r="227" spans="1:19" x14ac:dyDescent="0.3">
      <c r="A227" t="s">
        <v>389</v>
      </c>
      <c r="B227" s="23" t="s">
        <v>71</v>
      </c>
      <c r="C227" t="s">
        <v>390</v>
      </c>
      <c r="D227" t="s">
        <v>28</v>
      </c>
      <c r="E227" t="s">
        <v>73</v>
      </c>
      <c r="F227" t="s">
        <v>43</v>
      </c>
      <c r="G227">
        <v>33</v>
      </c>
      <c r="H227" s="4">
        <v>20.059999999999999</v>
      </c>
      <c r="I227" s="8">
        <v>661.98</v>
      </c>
      <c r="J227">
        <v>50.02</v>
      </c>
      <c r="K227">
        <v>191.21</v>
      </c>
      <c r="L227" t="s">
        <v>44</v>
      </c>
      <c r="M227" t="s">
        <v>31</v>
      </c>
      <c r="N227" t="s">
        <v>32</v>
      </c>
      <c r="O227" s="5">
        <f>Table14[[#This Row],[Profit]]/Table14[[#This Row],[Total_Sales]]</f>
        <v>0.28884558445874498</v>
      </c>
      <c r="P227" s="23">
        <f>DATE(YEAR(Table14[[#This Row],[Order_Date]]), MONTH(Table14[[#This Row],[Order_Date]]), 1)</f>
        <v>45505</v>
      </c>
      <c r="Q227" t="str">
        <f>_xlfn.XLOOKUP(Table14[[#This Row],[Product]],Product_Master!$B$2:$B$11,Product_Master!$D$2:$D$11)</f>
        <v>BrightHome</v>
      </c>
      <c r="R227" t="str">
        <f>_xlfn.XLOOKUP(Table14[[#This Row],[Product]],Product_Master!$B$2:$B$11,Product_Master!$E$2:$E$11)</f>
        <v>Vietnam</v>
      </c>
      <c r="S227">
        <f>_xlfn.XLOOKUP(Table14[[#This Row],[Product]],Product_Master!$B$2:$B$11,Product_Master!$F$2:$F$11)</f>
        <v>12.75</v>
      </c>
    </row>
    <row r="228" spans="1:19" x14ac:dyDescent="0.3">
      <c r="A228" t="s">
        <v>391</v>
      </c>
      <c r="B228" s="23" t="s">
        <v>132</v>
      </c>
      <c r="C228" t="s">
        <v>226</v>
      </c>
      <c r="D228" t="s">
        <v>170</v>
      </c>
      <c r="E228" t="s">
        <v>98</v>
      </c>
      <c r="F228" t="s">
        <v>59</v>
      </c>
      <c r="G228">
        <v>49</v>
      </c>
      <c r="H228" s="4">
        <v>35.68</v>
      </c>
      <c r="I228" s="8">
        <v>1748.32</v>
      </c>
      <c r="J228">
        <v>124.47</v>
      </c>
      <c r="K228">
        <v>251.85</v>
      </c>
      <c r="L228" t="s">
        <v>44</v>
      </c>
      <c r="M228" t="s">
        <v>37</v>
      </c>
      <c r="N228" t="s">
        <v>32</v>
      </c>
      <c r="O228" s="5">
        <f>Table14[[#This Row],[Profit]]/Table14[[#This Row],[Total_Sales]]</f>
        <v>0.14405257618742565</v>
      </c>
      <c r="P228" s="23">
        <f>DATE(YEAR(Table14[[#This Row],[Order_Date]]), MONTH(Table14[[#This Row],[Order_Date]]), 1)</f>
        <v>45597</v>
      </c>
      <c r="Q228" t="str">
        <f>_xlfn.XLOOKUP(Table14[[#This Row],[Product]],Product_Master!$B$2:$B$11,Product_Master!$D$2:$D$11)</f>
        <v>BrightHome</v>
      </c>
      <c r="R228" t="str">
        <f>_xlfn.XLOOKUP(Table14[[#This Row],[Product]],Product_Master!$B$2:$B$11,Product_Master!$E$2:$E$11)</f>
        <v>India</v>
      </c>
      <c r="S228">
        <f>_xlfn.XLOOKUP(Table14[[#This Row],[Product]],Product_Master!$B$2:$B$11,Product_Master!$F$2:$F$11)</f>
        <v>28</v>
      </c>
    </row>
    <row r="229" spans="1:19" x14ac:dyDescent="0.3">
      <c r="A229" t="s">
        <v>392</v>
      </c>
      <c r="B229" s="23" t="s">
        <v>104</v>
      </c>
      <c r="C229" t="s">
        <v>35</v>
      </c>
      <c r="D229" t="s">
        <v>196</v>
      </c>
      <c r="E229" t="s">
        <v>64</v>
      </c>
      <c r="F229" t="s">
        <v>65</v>
      </c>
      <c r="G229">
        <v>23</v>
      </c>
      <c r="H229" s="4">
        <v>30.89</v>
      </c>
      <c r="I229" s="8">
        <v>710.47</v>
      </c>
      <c r="J229">
        <v>18.739999999999998</v>
      </c>
      <c r="K229">
        <v>116.73</v>
      </c>
      <c r="L229" t="s">
        <v>30</v>
      </c>
      <c r="M229" t="s">
        <v>23</v>
      </c>
      <c r="N229" t="s">
        <v>66</v>
      </c>
      <c r="O229" s="5">
        <f>Table14[[#This Row],[Profit]]/Table14[[#This Row],[Total_Sales]]</f>
        <v>0.16429968893830843</v>
      </c>
      <c r="P229" s="23">
        <f>DATE(YEAR(Table14[[#This Row],[Order_Date]]), MONTH(Table14[[#This Row],[Order_Date]]), 1)</f>
        <v>45717</v>
      </c>
      <c r="Q229" t="str">
        <f>_xlfn.XLOOKUP(Table14[[#This Row],[Product]],Product_Master!$B$2:$B$11,Product_Master!$D$2:$D$11)</f>
        <v>SoftWeave</v>
      </c>
      <c r="R229" t="str">
        <f>_xlfn.XLOOKUP(Table14[[#This Row],[Product]],Product_Master!$B$2:$B$11,Product_Master!$E$2:$E$11)</f>
        <v>Turkey</v>
      </c>
      <c r="S229">
        <f>_xlfn.XLOOKUP(Table14[[#This Row],[Product]],Product_Master!$B$2:$B$11,Product_Master!$F$2:$F$11)</f>
        <v>25</v>
      </c>
    </row>
    <row r="230" spans="1:19" x14ac:dyDescent="0.3">
      <c r="A230" t="s">
        <v>393</v>
      </c>
      <c r="B230" s="23" t="s">
        <v>39</v>
      </c>
      <c r="C230" t="s">
        <v>40</v>
      </c>
      <c r="D230" t="s">
        <v>123</v>
      </c>
      <c r="E230" t="s">
        <v>20</v>
      </c>
      <c r="F230" t="s">
        <v>21</v>
      </c>
      <c r="G230">
        <v>14</v>
      </c>
      <c r="H230" s="4">
        <v>59.6</v>
      </c>
      <c r="I230" s="8">
        <v>834.4</v>
      </c>
      <c r="J230">
        <v>19.11</v>
      </c>
      <c r="K230">
        <v>325.29000000000002</v>
      </c>
      <c r="L230" t="s">
        <v>30</v>
      </c>
      <c r="M230" t="s">
        <v>31</v>
      </c>
      <c r="N230" t="s">
        <v>32</v>
      </c>
      <c r="O230" s="5">
        <f>Table14[[#This Row],[Profit]]/Table14[[#This Row],[Total_Sales]]</f>
        <v>0.38984899328859063</v>
      </c>
      <c r="P230" s="23">
        <f>DATE(YEAR(Table14[[#This Row],[Order_Date]]), MONTH(Table14[[#This Row],[Order_Date]]), 1)</f>
        <v>45566</v>
      </c>
      <c r="Q230" t="str">
        <f>_xlfn.XLOOKUP(Table14[[#This Row],[Product]],Product_Master!$B$2:$B$11,Product_Master!$D$2:$D$11)</f>
        <v>CarryPro</v>
      </c>
      <c r="R230" t="str">
        <f>_xlfn.XLOOKUP(Table14[[#This Row],[Product]],Product_Master!$B$2:$B$11,Product_Master!$E$2:$E$11)</f>
        <v>Vietnam</v>
      </c>
      <c r="S230">
        <f>_xlfn.XLOOKUP(Table14[[#This Row],[Product]],Product_Master!$B$2:$B$11,Product_Master!$F$2:$F$11)</f>
        <v>35</v>
      </c>
    </row>
    <row r="231" spans="1:19" x14ac:dyDescent="0.3">
      <c r="A231" t="s">
        <v>394</v>
      </c>
      <c r="B231" s="23" t="s">
        <v>26</v>
      </c>
      <c r="C231" t="s">
        <v>322</v>
      </c>
      <c r="D231" t="s">
        <v>170</v>
      </c>
      <c r="E231" t="s">
        <v>58</v>
      </c>
      <c r="F231" t="s">
        <v>59</v>
      </c>
      <c r="G231">
        <v>3</v>
      </c>
      <c r="H231" s="4">
        <v>28.36</v>
      </c>
      <c r="I231" s="8">
        <v>85.08</v>
      </c>
      <c r="J231">
        <v>4.46</v>
      </c>
      <c r="K231">
        <v>13.12</v>
      </c>
      <c r="L231" t="s">
        <v>22</v>
      </c>
      <c r="M231" t="s">
        <v>31</v>
      </c>
      <c r="N231" t="s">
        <v>32</v>
      </c>
      <c r="O231" s="5">
        <f>Table14[[#This Row],[Profit]]/Table14[[#This Row],[Total_Sales]]</f>
        <v>0.15420780441936999</v>
      </c>
      <c r="P231" s="23">
        <f>DATE(YEAR(Table14[[#This Row],[Order_Date]]), MONTH(Table14[[#This Row],[Order_Date]]), 1)</f>
        <v>45689</v>
      </c>
      <c r="Q231" t="str">
        <f>_xlfn.XLOOKUP(Table14[[#This Row],[Product]],Product_Master!$B$2:$B$11,Product_Master!$D$2:$D$11)</f>
        <v>ClearCraft</v>
      </c>
      <c r="R231" t="str">
        <f>_xlfn.XLOOKUP(Table14[[#This Row],[Product]],Product_Master!$B$2:$B$11,Product_Master!$E$2:$E$11)</f>
        <v>India</v>
      </c>
      <c r="S231">
        <f>_xlfn.XLOOKUP(Table14[[#This Row],[Product]],Product_Master!$B$2:$B$11,Product_Master!$F$2:$F$11)</f>
        <v>22.5</v>
      </c>
    </row>
    <row r="232" spans="1:19" x14ac:dyDescent="0.3">
      <c r="A232" t="s">
        <v>395</v>
      </c>
      <c r="B232" s="23" t="s">
        <v>132</v>
      </c>
      <c r="C232" t="s">
        <v>153</v>
      </c>
      <c r="D232" t="s">
        <v>170</v>
      </c>
      <c r="E232" t="s">
        <v>73</v>
      </c>
      <c r="F232" t="s">
        <v>43</v>
      </c>
      <c r="G232">
        <v>28</v>
      </c>
      <c r="H232" s="4">
        <v>22.13</v>
      </c>
      <c r="I232" s="8">
        <v>619.64</v>
      </c>
      <c r="J232">
        <v>17.2</v>
      </c>
      <c r="K232">
        <v>245.44</v>
      </c>
      <c r="L232" t="s">
        <v>30</v>
      </c>
      <c r="M232" t="s">
        <v>37</v>
      </c>
      <c r="N232" t="s">
        <v>32</v>
      </c>
      <c r="O232" s="5">
        <f>Table14[[#This Row],[Profit]]/Table14[[#This Row],[Total_Sales]]</f>
        <v>0.39610096184881544</v>
      </c>
      <c r="P232" s="23">
        <f>DATE(YEAR(Table14[[#This Row],[Order_Date]]), MONTH(Table14[[#This Row],[Order_Date]]), 1)</f>
        <v>45597</v>
      </c>
      <c r="Q232" t="str">
        <f>_xlfn.XLOOKUP(Table14[[#This Row],[Product]],Product_Master!$B$2:$B$11,Product_Master!$D$2:$D$11)</f>
        <v>BrightHome</v>
      </c>
      <c r="R232" t="str">
        <f>_xlfn.XLOOKUP(Table14[[#This Row],[Product]],Product_Master!$B$2:$B$11,Product_Master!$E$2:$E$11)</f>
        <v>Vietnam</v>
      </c>
      <c r="S232">
        <f>_xlfn.XLOOKUP(Table14[[#This Row],[Product]],Product_Master!$B$2:$B$11,Product_Master!$F$2:$F$11)</f>
        <v>12.75</v>
      </c>
    </row>
    <row r="233" spans="1:19" x14ac:dyDescent="0.3">
      <c r="A233" t="s">
        <v>396</v>
      </c>
      <c r="B233" s="23" t="s">
        <v>78</v>
      </c>
      <c r="C233" t="s">
        <v>252</v>
      </c>
      <c r="D233" t="s">
        <v>19</v>
      </c>
      <c r="E233" t="s">
        <v>29</v>
      </c>
      <c r="F233" t="s">
        <v>21</v>
      </c>
      <c r="G233">
        <v>28</v>
      </c>
      <c r="H233">
        <v>27.62</v>
      </c>
      <c r="I233">
        <v>773.36</v>
      </c>
      <c r="J233">
        <v>29.88</v>
      </c>
      <c r="K233">
        <v>239.48</v>
      </c>
      <c r="L233" t="s">
        <v>22</v>
      </c>
      <c r="M233" t="s">
        <v>23</v>
      </c>
      <c r="N233" t="s">
        <v>24</v>
      </c>
      <c r="O233" s="5">
        <f>Table14[[#This Row],[Profit]]/Table14[[#This Row],[Total_Sales]]</f>
        <v>0.30966173580221368</v>
      </c>
      <c r="P233" s="23">
        <f>DATE(YEAR(Table14[[#This Row],[Order_Date]]), MONTH(Table14[[#This Row],[Order_Date]]), 1)</f>
        <v>45627</v>
      </c>
      <c r="Q233" t="str">
        <f>_xlfn.XLOOKUP(Table14[[#This Row],[Product]],Product_Master!$B$2:$B$11,Product_Master!$D$2:$D$11)</f>
        <v>CraftLine</v>
      </c>
      <c r="R233" t="str">
        <f>_xlfn.XLOOKUP(Table14[[#This Row],[Product]],Product_Master!$B$2:$B$11,Product_Master!$E$2:$E$11)</f>
        <v>Italy</v>
      </c>
      <c r="S233">
        <f>_xlfn.XLOOKUP(Table14[[#This Row],[Product]],Product_Master!$B$2:$B$11,Product_Master!$F$2:$F$11)</f>
        <v>18</v>
      </c>
    </row>
    <row r="234" spans="1:19" x14ac:dyDescent="0.3">
      <c r="A234" t="s">
        <v>397</v>
      </c>
      <c r="B234" s="23" t="s">
        <v>104</v>
      </c>
      <c r="C234" t="s">
        <v>139</v>
      </c>
      <c r="D234" t="s">
        <v>48</v>
      </c>
      <c r="E234" t="s">
        <v>64</v>
      </c>
      <c r="F234" t="s">
        <v>65</v>
      </c>
      <c r="G234">
        <v>40</v>
      </c>
      <c r="H234" s="4">
        <v>34.229999999999997</v>
      </c>
      <c r="I234" s="8">
        <v>1369.2</v>
      </c>
      <c r="J234">
        <v>78.03</v>
      </c>
      <c r="K234">
        <v>291.17</v>
      </c>
      <c r="L234" t="s">
        <v>22</v>
      </c>
      <c r="M234" t="s">
        <v>23</v>
      </c>
      <c r="N234" t="s">
        <v>24</v>
      </c>
      <c r="O234" s="5">
        <f>Table14[[#This Row],[Profit]]/Table14[[#This Row],[Total_Sales]]</f>
        <v>0.21265702600058428</v>
      </c>
      <c r="P234" s="23">
        <f>DATE(YEAR(Table14[[#This Row],[Order_Date]]), MONTH(Table14[[#This Row],[Order_Date]]), 1)</f>
        <v>45717</v>
      </c>
      <c r="Q234" t="str">
        <f>_xlfn.XLOOKUP(Table14[[#This Row],[Product]],Product_Master!$B$2:$B$11,Product_Master!$D$2:$D$11)</f>
        <v>SoftWeave</v>
      </c>
      <c r="R234" t="str">
        <f>_xlfn.XLOOKUP(Table14[[#This Row],[Product]],Product_Master!$B$2:$B$11,Product_Master!$E$2:$E$11)</f>
        <v>Turkey</v>
      </c>
      <c r="S234">
        <f>_xlfn.XLOOKUP(Table14[[#This Row],[Product]],Product_Master!$B$2:$B$11,Product_Master!$F$2:$F$11)</f>
        <v>25</v>
      </c>
    </row>
    <row r="235" spans="1:19" x14ac:dyDescent="0.3">
      <c r="A235" t="s">
        <v>398</v>
      </c>
      <c r="B235" s="23" t="s">
        <v>17</v>
      </c>
      <c r="C235" t="s">
        <v>198</v>
      </c>
      <c r="D235" t="s">
        <v>91</v>
      </c>
      <c r="E235" t="s">
        <v>49</v>
      </c>
      <c r="F235" t="s">
        <v>50</v>
      </c>
      <c r="G235">
        <v>9</v>
      </c>
      <c r="H235" s="4">
        <v>52.2</v>
      </c>
      <c r="I235" s="8">
        <v>469.8</v>
      </c>
      <c r="J235">
        <v>31.5</v>
      </c>
      <c r="K235">
        <v>78.3</v>
      </c>
      <c r="L235" t="s">
        <v>44</v>
      </c>
      <c r="M235" t="s">
        <v>37</v>
      </c>
      <c r="N235" t="s">
        <v>66</v>
      </c>
      <c r="O235" s="5">
        <f>Table14[[#This Row],[Profit]]/Table14[[#This Row],[Total_Sales]]</f>
        <v>0.16666666666666666</v>
      </c>
      <c r="P235" s="23">
        <f>DATE(YEAR(Table14[[#This Row],[Order_Date]]), MONTH(Table14[[#This Row],[Order_Date]]), 1)</f>
        <v>45658</v>
      </c>
      <c r="Q235" t="str">
        <f>_xlfn.XLOOKUP(Table14[[#This Row],[Product]],Product_Master!$B$2:$B$11,Product_Master!$D$2:$D$11)</f>
        <v>BlueWear</v>
      </c>
      <c r="R235" t="str">
        <f>_xlfn.XLOOKUP(Table14[[#This Row],[Product]],Product_Master!$B$2:$B$11,Product_Master!$E$2:$E$11)</f>
        <v>Bangladesh</v>
      </c>
      <c r="S235">
        <f>_xlfn.XLOOKUP(Table14[[#This Row],[Product]],Product_Master!$B$2:$B$11,Product_Master!$F$2:$F$11)</f>
        <v>40</v>
      </c>
    </row>
    <row r="236" spans="1:19" x14ac:dyDescent="0.3">
      <c r="A236" t="s">
        <v>399</v>
      </c>
      <c r="B236" s="23" t="s">
        <v>104</v>
      </c>
      <c r="C236" t="s">
        <v>252</v>
      </c>
      <c r="D236" t="s">
        <v>123</v>
      </c>
      <c r="E236" t="s">
        <v>64</v>
      </c>
      <c r="F236" t="s">
        <v>65</v>
      </c>
      <c r="G236">
        <v>31</v>
      </c>
      <c r="H236" s="4">
        <v>43.54</v>
      </c>
      <c r="I236" s="8">
        <v>1349.74</v>
      </c>
      <c r="J236">
        <v>99.86</v>
      </c>
      <c r="K236">
        <v>474.88</v>
      </c>
      <c r="L236" t="s">
        <v>22</v>
      </c>
      <c r="M236" t="s">
        <v>31</v>
      </c>
      <c r="N236" t="s">
        <v>32</v>
      </c>
      <c r="O236" s="5">
        <f>Table14[[#This Row],[Profit]]/Table14[[#This Row],[Total_Sales]]</f>
        <v>0.35183072295405038</v>
      </c>
      <c r="P236" s="23">
        <f>DATE(YEAR(Table14[[#This Row],[Order_Date]]), MONTH(Table14[[#This Row],[Order_Date]]), 1)</f>
        <v>45717</v>
      </c>
      <c r="Q236" t="str">
        <f>_xlfn.XLOOKUP(Table14[[#This Row],[Product]],Product_Master!$B$2:$B$11,Product_Master!$D$2:$D$11)</f>
        <v>SoftWeave</v>
      </c>
      <c r="R236" t="str">
        <f>_xlfn.XLOOKUP(Table14[[#This Row],[Product]],Product_Master!$B$2:$B$11,Product_Master!$E$2:$E$11)</f>
        <v>Turkey</v>
      </c>
      <c r="S236">
        <f>_xlfn.XLOOKUP(Table14[[#This Row],[Product]],Product_Master!$B$2:$B$11,Product_Master!$F$2:$F$11)</f>
        <v>25</v>
      </c>
    </row>
    <row r="237" spans="1:19" x14ac:dyDescent="0.3">
      <c r="A237" t="s">
        <v>400</v>
      </c>
      <c r="B237" s="23" t="s">
        <v>61</v>
      </c>
      <c r="C237" t="s">
        <v>133</v>
      </c>
      <c r="D237" t="s">
        <v>88</v>
      </c>
      <c r="E237" t="s">
        <v>69</v>
      </c>
      <c r="F237" t="s">
        <v>59</v>
      </c>
      <c r="G237">
        <v>31</v>
      </c>
      <c r="H237" s="4">
        <v>18.63</v>
      </c>
      <c r="I237" s="8">
        <v>577.53</v>
      </c>
      <c r="J237">
        <v>36.65</v>
      </c>
      <c r="K237">
        <v>60.38</v>
      </c>
      <c r="L237" t="s">
        <v>44</v>
      </c>
      <c r="M237" t="s">
        <v>23</v>
      </c>
      <c r="N237" t="s">
        <v>66</v>
      </c>
      <c r="O237" s="5">
        <f>Table14[[#This Row],[Profit]]/Table14[[#This Row],[Total_Sales]]</f>
        <v>0.1045486814537773</v>
      </c>
      <c r="P237" s="23">
        <f>DATE(YEAR(Table14[[#This Row],[Order_Date]]), MONTH(Table14[[#This Row],[Order_Date]]), 1)</f>
        <v>45778</v>
      </c>
      <c r="Q237" t="str">
        <f>_xlfn.XLOOKUP(Table14[[#This Row],[Product]],Product_Master!$B$2:$B$11,Product_Master!$D$2:$D$11)</f>
        <v>Artisans Co.</v>
      </c>
      <c r="R237" t="str">
        <f>_xlfn.XLOOKUP(Table14[[#This Row],[Product]],Product_Master!$B$2:$B$11,Product_Master!$E$2:$E$11)</f>
        <v>India</v>
      </c>
      <c r="S237">
        <f>_xlfn.XLOOKUP(Table14[[#This Row],[Product]],Product_Master!$B$2:$B$11,Product_Master!$F$2:$F$11)</f>
        <v>15.5</v>
      </c>
    </row>
    <row r="238" spans="1:19" x14ac:dyDescent="0.3">
      <c r="A238" t="s">
        <v>401</v>
      </c>
      <c r="B238" s="23" t="s">
        <v>83</v>
      </c>
      <c r="C238" t="s">
        <v>297</v>
      </c>
      <c r="D238" t="s">
        <v>91</v>
      </c>
      <c r="E238" t="s">
        <v>54</v>
      </c>
      <c r="F238" t="s">
        <v>43</v>
      </c>
      <c r="G238">
        <v>38</v>
      </c>
      <c r="H238" s="4">
        <v>27.28</v>
      </c>
      <c r="I238" s="8">
        <v>1036.6400000000001</v>
      </c>
      <c r="J238">
        <v>38.770000000000003</v>
      </c>
      <c r="K238">
        <v>237.87</v>
      </c>
      <c r="L238" t="s">
        <v>22</v>
      </c>
      <c r="M238" t="s">
        <v>37</v>
      </c>
      <c r="N238" t="s">
        <v>66</v>
      </c>
      <c r="O238" s="5">
        <f>Table14[[#This Row],[Profit]]/Table14[[#This Row],[Total_Sales]]</f>
        <v>0.22946249421206974</v>
      </c>
      <c r="P238" s="23">
        <f>DATE(YEAR(Table14[[#This Row],[Order_Date]]), MONTH(Table14[[#This Row],[Order_Date]]), 1)</f>
        <v>45323</v>
      </c>
      <c r="Q238" t="str">
        <f>_xlfn.XLOOKUP(Table14[[#This Row],[Product]],Product_Master!$B$2:$B$11,Product_Master!$D$2:$D$11)</f>
        <v>ClickTech</v>
      </c>
      <c r="R238" t="str">
        <f>_xlfn.XLOOKUP(Table14[[#This Row],[Product]],Product_Master!$B$2:$B$11,Product_Master!$E$2:$E$11)</f>
        <v>China</v>
      </c>
      <c r="S238">
        <f>_xlfn.XLOOKUP(Table14[[#This Row],[Product]],Product_Master!$B$2:$B$11,Product_Master!$F$2:$F$11)</f>
        <v>20</v>
      </c>
    </row>
    <row r="239" spans="1:19" x14ac:dyDescent="0.3">
      <c r="A239" t="s">
        <v>402</v>
      </c>
      <c r="B239" s="23" t="s">
        <v>132</v>
      </c>
      <c r="C239" t="s">
        <v>226</v>
      </c>
      <c r="D239" t="s">
        <v>41</v>
      </c>
      <c r="E239" t="s">
        <v>29</v>
      </c>
      <c r="F239" t="s">
        <v>21</v>
      </c>
      <c r="G239">
        <v>50</v>
      </c>
      <c r="H239" s="4">
        <v>30.97</v>
      </c>
      <c r="I239" s="8">
        <v>1548.5</v>
      </c>
      <c r="J239">
        <v>82.09</v>
      </c>
      <c r="K239">
        <v>566.41</v>
      </c>
      <c r="L239" t="s">
        <v>30</v>
      </c>
      <c r="M239" t="s">
        <v>31</v>
      </c>
      <c r="N239" t="s">
        <v>45</v>
      </c>
      <c r="O239" s="5">
        <f>Table14[[#This Row],[Profit]]/Table14[[#This Row],[Total_Sales]]</f>
        <v>0.36577978689053919</v>
      </c>
      <c r="P239" s="23">
        <f>DATE(YEAR(Table14[[#This Row],[Order_Date]]), MONTH(Table14[[#This Row],[Order_Date]]), 1)</f>
        <v>45597</v>
      </c>
      <c r="Q239" t="str">
        <f>_xlfn.XLOOKUP(Table14[[#This Row],[Product]],Product_Master!$B$2:$B$11,Product_Master!$D$2:$D$11)</f>
        <v>CraftLine</v>
      </c>
      <c r="R239" t="str">
        <f>_xlfn.XLOOKUP(Table14[[#This Row],[Product]],Product_Master!$B$2:$B$11,Product_Master!$E$2:$E$11)</f>
        <v>Italy</v>
      </c>
      <c r="S239">
        <f>_xlfn.XLOOKUP(Table14[[#This Row],[Product]],Product_Master!$B$2:$B$11,Product_Master!$F$2:$F$11)</f>
        <v>18</v>
      </c>
    </row>
    <row r="240" spans="1:19" x14ac:dyDescent="0.3">
      <c r="A240" t="s">
        <v>403</v>
      </c>
      <c r="B240" s="23" t="s">
        <v>83</v>
      </c>
      <c r="C240" t="s">
        <v>90</v>
      </c>
      <c r="D240" t="s">
        <v>91</v>
      </c>
      <c r="E240" t="s">
        <v>49</v>
      </c>
      <c r="F240" t="s">
        <v>50</v>
      </c>
      <c r="G240">
        <v>17</v>
      </c>
      <c r="H240" s="4">
        <v>60.91</v>
      </c>
      <c r="I240" s="8">
        <v>1035.47</v>
      </c>
      <c r="J240">
        <v>54.09</v>
      </c>
      <c r="K240">
        <v>301.38</v>
      </c>
      <c r="L240" t="s">
        <v>44</v>
      </c>
      <c r="M240" t="s">
        <v>23</v>
      </c>
      <c r="N240" t="s">
        <v>66</v>
      </c>
      <c r="O240" s="5">
        <f>Table14[[#This Row],[Profit]]/Table14[[#This Row],[Total_Sales]]</f>
        <v>0.29105623533274744</v>
      </c>
      <c r="P240" s="23">
        <f>DATE(YEAR(Table14[[#This Row],[Order_Date]]), MONTH(Table14[[#This Row],[Order_Date]]), 1)</f>
        <v>45323</v>
      </c>
      <c r="Q240" t="str">
        <f>_xlfn.XLOOKUP(Table14[[#This Row],[Product]],Product_Master!$B$2:$B$11,Product_Master!$D$2:$D$11)</f>
        <v>BlueWear</v>
      </c>
      <c r="R240" t="str">
        <f>_xlfn.XLOOKUP(Table14[[#This Row],[Product]],Product_Master!$B$2:$B$11,Product_Master!$E$2:$E$11)</f>
        <v>Bangladesh</v>
      </c>
      <c r="S240">
        <f>_xlfn.XLOOKUP(Table14[[#This Row],[Product]],Product_Master!$B$2:$B$11,Product_Master!$F$2:$F$11)</f>
        <v>40</v>
      </c>
    </row>
    <row r="241" spans="1:19" x14ac:dyDescent="0.3">
      <c r="A241" t="s">
        <v>404</v>
      </c>
      <c r="B241" s="23" t="s">
        <v>61</v>
      </c>
      <c r="C241" t="s">
        <v>293</v>
      </c>
      <c r="D241" t="s">
        <v>63</v>
      </c>
      <c r="E241" t="s">
        <v>54</v>
      </c>
      <c r="F241" t="s">
        <v>43</v>
      </c>
      <c r="G241">
        <v>25</v>
      </c>
      <c r="H241" s="4">
        <v>31.15</v>
      </c>
      <c r="I241" s="8">
        <v>778.75</v>
      </c>
      <c r="J241">
        <v>47.45</v>
      </c>
      <c r="K241">
        <v>231.3</v>
      </c>
      <c r="L241" t="s">
        <v>22</v>
      </c>
      <c r="M241" t="s">
        <v>37</v>
      </c>
      <c r="N241" t="s">
        <v>66</v>
      </c>
      <c r="O241" s="5">
        <f>Table14[[#This Row],[Profit]]/Table14[[#This Row],[Total_Sales]]</f>
        <v>0.29701444622792939</v>
      </c>
      <c r="P241" s="23">
        <f>DATE(YEAR(Table14[[#This Row],[Order_Date]]), MONTH(Table14[[#This Row],[Order_Date]]), 1)</f>
        <v>45778</v>
      </c>
      <c r="Q241" t="str">
        <f>_xlfn.XLOOKUP(Table14[[#This Row],[Product]],Product_Master!$B$2:$B$11,Product_Master!$D$2:$D$11)</f>
        <v>ClickTech</v>
      </c>
      <c r="R241" t="str">
        <f>_xlfn.XLOOKUP(Table14[[#This Row],[Product]],Product_Master!$B$2:$B$11,Product_Master!$E$2:$E$11)</f>
        <v>China</v>
      </c>
      <c r="S241">
        <f>_xlfn.XLOOKUP(Table14[[#This Row],[Product]],Product_Master!$B$2:$B$11,Product_Master!$F$2:$F$11)</f>
        <v>20</v>
      </c>
    </row>
    <row r="242" spans="1:19" x14ac:dyDescent="0.3">
      <c r="A242" t="s">
        <v>405</v>
      </c>
      <c r="B242" s="23" t="s">
        <v>95</v>
      </c>
      <c r="C242" t="s">
        <v>310</v>
      </c>
      <c r="D242" t="s">
        <v>123</v>
      </c>
      <c r="E242" t="s">
        <v>29</v>
      </c>
      <c r="F242" t="s">
        <v>21</v>
      </c>
      <c r="G242">
        <v>30</v>
      </c>
      <c r="H242" s="4">
        <v>31.12</v>
      </c>
      <c r="I242" s="8">
        <v>933.6</v>
      </c>
      <c r="J242">
        <v>50.88</v>
      </c>
      <c r="K242">
        <v>342.72</v>
      </c>
      <c r="L242" t="s">
        <v>30</v>
      </c>
      <c r="M242" t="s">
        <v>31</v>
      </c>
      <c r="N242" t="s">
        <v>32</v>
      </c>
      <c r="O242" s="5">
        <f>Table14[[#This Row],[Profit]]/Table14[[#This Row],[Total_Sales]]</f>
        <v>0.36709511568123393</v>
      </c>
      <c r="P242" s="23">
        <f>DATE(YEAR(Table14[[#This Row],[Order_Date]]), MONTH(Table14[[#This Row],[Order_Date]]), 1)</f>
        <v>45474</v>
      </c>
      <c r="Q242" t="str">
        <f>_xlfn.XLOOKUP(Table14[[#This Row],[Product]],Product_Master!$B$2:$B$11,Product_Master!$D$2:$D$11)</f>
        <v>CraftLine</v>
      </c>
      <c r="R242" t="str">
        <f>_xlfn.XLOOKUP(Table14[[#This Row],[Product]],Product_Master!$B$2:$B$11,Product_Master!$E$2:$E$11)</f>
        <v>Italy</v>
      </c>
      <c r="S242">
        <f>_xlfn.XLOOKUP(Table14[[#This Row],[Product]],Product_Master!$B$2:$B$11,Product_Master!$F$2:$F$11)</f>
        <v>18</v>
      </c>
    </row>
    <row r="243" spans="1:19" x14ac:dyDescent="0.3">
      <c r="A243" t="s">
        <v>406</v>
      </c>
      <c r="B243" s="23" t="s">
        <v>26</v>
      </c>
      <c r="C243" t="s">
        <v>130</v>
      </c>
      <c r="D243" t="s">
        <v>53</v>
      </c>
      <c r="E243" t="s">
        <v>69</v>
      </c>
      <c r="F243" t="s">
        <v>59</v>
      </c>
      <c r="G243">
        <v>17</v>
      </c>
      <c r="H243" s="4">
        <v>19.64</v>
      </c>
      <c r="I243" s="8">
        <v>333.88</v>
      </c>
      <c r="J243">
        <v>22.23</v>
      </c>
      <c r="K243">
        <v>48.15</v>
      </c>
      <c r="L243" t="s">
        <v>44</v>
      </c>
      <c r="M243" t="s">
        <v>37</v>
      </c>
      <c r="N243" t="s">
        <v>24</v>
      </c>
      <c r="O243" s="5">
        <f>Table14[[#This Row],[Profit]]/Table14[[#This Row],[Total_Sales]]</f>
        <v>0.14421348987660237</v>
      </c>
      <c r="P243" s="23">
        <f>DATE(YEAR(Table14[[#This Row],[Order_Date]]), MONTH(Table14[[#This Row],[Order_Date]]), 1)</f>
        <v>45689</v>
      </c>
      <c r="Q243" t="str">
        <f>_xlfn.XLOOKUP(Table14[[#This Row],[Product]],Product_Master!$B$2:$B$11,Product_Master!$D$2:$D$11)</f>
        <v>Artisans Co.</v>
      </c>
      <c r="R243" t="str">
        <f>_xlfn.XLOOKUP(Table14[[#This Row],[Product]],Product_Master!$B$2:$B$11,Product_Master!$E$2:$E$11)</f>
        <v>India</v>
      </c>
      <c r="S243">
        <f>_xlfn.XLOOKUP(Table14[[#This Row],[Product]],Product_Master!$B$2:$B$11,Product_Master!$F$2:$F$11)</f>
        <v>15.5</v>
      </c>
    </row>
    <row r="244" spans="1:19" x14ac:dyDescent="0.3">
      <c r="A244" t="s">
        <v>407</v>
      </c>
      <c r="B244" s="23" t="s">
        <v>56</v>
      </c>
      <c r="C244" t="s">
        <v>408</v>
      </c>
      <c r="D244" t="s">
        <v>19</v>
      </c>
      <c r="E244" t="s">
        <v>42</v>
      </c>
      <c r="F244" t="s">
        <v>43</v>
      </c>
      <c r="G244">
        <v>37</v>
      </c>
      <c r="H244" s="4">
        <v>57.35</v>
      </c>
      <c r="I244" s="8">
        <v>2121.9499999999998</v>
      </c>
      <c r="J244">
        <v>147.38999999999999</v>
      </c>
      <c r="K244">
        <v>790.56</v>
      </c>
      <c r="L244" t="s">
        <v>22</v>
      </c>
      <c r="M244" t="s">
        <v>23</v>
      </c>
      <c r="N244" t="s">
        <v>24</v>
      </c>
      <c r="O244" s="5">
        <f>Table14[[#This Row],[Profit]]/Table14[[#This Row],[Total_Sales]]</f>
        <v>0.37256297273734068</v>
      </c>
      <c r="P244" s="23">
        <f>DATE(YEAR(Table14[[#This Row],[Order_Date]]), MONTH(Table14[[#This Row],[Order_Date]]), 1)</f>
        <v>45444</v>
      </c>
      <c r="Q244" t="str">
        <f>_xlfn.XLOOKUP(Table14[[#This Row],[Product]],Product_Master!$B$2:$B$11,Product_Master!$D$2:$D$11)</f>
        <v>AudioTech Ltd.</v>
      </c>
      <c r="R244" t="str">
        <f>_xlfn.XLOOKUP(Table14[[#This Row],[Product]],Product_Master!$B$2:$B$11,Product_Master!$E$2:$E$11)</f>
        <v>China</v>
      </c>
      <c r="S244">
        <f>_xlfn.XLOOKUP(Table14[[#This Row],[Product]],Product_Master!$B$2:$B$11,Product_Master!$F$2:$F$11)</f>
        <v>32</v>
      </c>
    </row>
    <row r="245" spans="1:19" x14ac:dyDescent="0.3">
      <c r="A245" t="s">
        <v>409</v>
      </c>
      <c r="B245" s="23" t="s">
        <v>26</v>
      </c>
      <c r="C245" t="s">
        <v>18</v>
      </c>
      <c r="D245" t="s">
        <v>36</v>
      </c>
      <c r="E245" t="s">
        <v>20</v>
      </c>
      <c r="F245" t="s">
        <v>21</v>
      </c>
      <c r="G245">
        <v>45</v>
      </c>
      <c r="H245" s="4">
        <v>42.6</v>
      </c>
      <c r="I245" s="8">
        <v>1917</v>
      </c>
      <c r="J245">
        <v>104.27</v>
      </c>
      <c r="K245">
        <v>237.73</v>
      </c>
      <c r="L245" t="s">
        <v>30</v>
      </c>
      <c r="M245" t="s">
        <v>37</v>
      </c>
      <c r="N245" t="s">
        <v>32</v>
      </c>
      <c r="O245" s="5">
        <f>Table14[[#This Row],[Profit]]/Table14[[#This Row],[Total_Sales]]</f>
        <v>0.12401147626499738</v>
      </c>
      <c r="P245" s="23">
        <f>DATE(YEAR(Table14[[#This Row],[Order_Date]]), MONTH(Table14[[#This Row],[Order_Date]]), 1)</f>
        <v>45689</v>
      </c>
      <c r="Q245" t="str">
        <f>_xlfn.XLOOKUP(Table14[[#This Row],[Product]],Product_Master!$B$2:$B$11,Product_Master!$D$2:$D$11)</f>
        <v>CarryPro</v>
      </c>
      <c r="R245" t="str">
        <f>_xlfn.XLOOKUP(Table14[[#This Row],[Product]],Product_Master!$B$2:$B$11,Product_Master!$E$2:$E$11)</f>
        <v>Vietnam</v>
      </c>
      <c r="S245">
        <f>_xlfn.XLOOKUP(Table14[[#This Row],[Product]],Product_Master!$B$2:$B$11,Product_Master!$F$2:$F$11)</f>
        <v>35</v>
      </c>
    </row>
    <row r="246" spans="1:19" x14ac:dyDescent="0.3">
      <c r="A246" t="s">
        <v>410</v>
      </c>
      <c r="B246" s="23" t="s">
        <v>56</v>
      </c>
      <c r="C246" t="s">
        <v>119</v>
      </c>
      <c r="D246" t="s">
        <v>28</v>
      </c>
      <c r="E246" t="s">
        <v>54</v>
      </c>
      <c r="F246" t="s">
        <v>43</v>
      </c>
      <c r="G246">
        <v>25</v>
      </c>
      <c r="H246" s="4">
        <v>31.82</v>
      </c>
      <c r="I246" s="8">
        <v>795.5</v>
      </c>
      <c r="J246">
        <v>37.33</v>
      </c>
      <c r="K246">
        <v>258.17</v>
      </c>
      <c r="L246" t="s">
        <v>22</v>
      </c>
      <c r="M246" t="s">
        <v>31</v>
      </c>
      <c r="N246" t="s">
        <v>32</v>
      </c>
      <c r="O246" s="5">
        <f>Table14[[#This Row],[Profit]]/Table14[[#This Row],[Total_Sales]]</f>
        <v>0.32453802639849155</v>
      </c>
      <c r="P246" s="23">
        <f>DATE(YEAR(Table14[[#This Row],[Order_Date]]), MONTH(Table14[[#This Row],[Order_Date]]), 1)</f>
        <v>45444</v>
      </c>
      <c r="Q246" t="str">
        <f>_xlfn.XLOOKUP(Table14[[#This Row],[Product]],Product_Master!$B$2:$B$11,Product_Master!$D$2:$D$11)</f>
        <v>ClickTech</v>
      </c>
      <c r="R246" t="str">
        <f>_xlfn.XLOOKUP(Table14[[#This Row],[Product]],Product_Master!$B$2:$B$11,Product_Master!$E$2:$E$11)</f>
        <v>China</v>
      </c>
      <c r="S246">
        <f>_xlfn.XLOOKUP(Table14[[#This Row],[Product]],Product_Master!$B$2:$B$11,Product_Master!$F$2:$F$11)</f>
        <v>20</v>
      </c>
    </row>
    <row r="247" spans="1:19" x14ac:dyDescent="0.3">
      <c r="A247" t="s">
        <v>411</v>
      </c>
      <c r="B247" s="23" t="s">
        <v>61</v>
      </c>
      <c r="C247" t="s">
        <v>143</v>
      </c>
      <c r="D247" t="s">
        <v>196</v>
      </c>
      <c r="E247" t="s">
        <v>64</v>
      </c>
      <c r="F247" t="s">
        <v>65</v>
      </c>
      <c r="G247">
        <v>17</v>
      </c>
      <c r="H247" s="4">
        <v>36.270000000000003</v>
      </c>
      <c r="I247" s="8">
        <v>616.59</v>
      </c>
      <c r="J247">
        <v>22.76</v>
      </c>
      <c r="K247">
        <v>168.83</v>
      </c>
      <c r="L247" t="s">
        <v>44</v>
      </c>
      <c r="M247" t="s">
        <v>23</v>
      </c>
      <c r="N247" t="s">
        <v>66</v>
      </c>
      <c r="O247" s="5">
        <f>Table14[[#This Row],[Profit]]/Table14[[#This Row],[Total_Sales]]</f>
        <v>0.27381241992247685</v>
      </c>
      <c r="P247" s="23">
        <f>DATE(YEAR(Table14[[#This Row],[Order_Date]]), MONTH(Table14[[#This Row],[Order_Date]]), 1)</f>
        <v>45778</v>
      </c>
      <c r="Q247" t="str">
        <f>_xlfn.XLOOKUP(Table14[[#This Row],[Product]],Product_Master!$B$2:$B$11,Product_Master!$D$2:$D$11)</f>
        <v>SoftWeave</v>
      </c>
      <c r="R247" t="str">
        <f>_xlfn.XLOOKUP(Table14[[#This Row],[Product]],Product_Master!$B$2:$B$11,Product_Master!$E$2:$E$11)</f>
        <v>Turkey</v>
      </c>
      <c r="S247">
        <f>_xlfn.XLOOKUP(Table14[[#This Row],[Product]],Product_Master!$B$2:$B$11,Product_Master!$F$2:$F$11)</f>
        <v>25</v>
      </c>
    </row>
    <row r="248" spans="1:19" x14ac:dyDescent="0.3">
      <c r="A248" t="s">
        <v>412</v>
      </c>
      <c r="B248" s="23" t="s">
        <v>132</v>
      </c>
      <c r="C248" t="s">
        <v>230</v>
      </c>
      <c r="D248" t="s">
        <v>88</v>
      </c>
      <c r="E248" t="s">
        <v>29</v>
      </c>
      <c r="F248" t="s">
        <v>21</v>
      </c>
      <c r="G248">
        <v>4</v>
      </c>
      <c r="H248" s="4">
        <v>27.01</v>
      </c>
      <c r="I248" s="8">
        <v>108.04</v>
      </c>
      <c r="J248">
        <v>4.7300000000000004</v>
      </c>
      <c r="K248">
        <v>31.31</v>
      </c>
      <c r="L248" t="s">
        <v>44</v>
      </c>
      <c r="M248" t="s">
        <v>37</v>
      </c>
      <c r="N248" t="s">
        <v>66</v>
      </c>
      <c r="O248" s="5">
        <f>Table14[[#This Row],[Profit]]/Table14[[#This Row],[Total_Sales]]</f>
        <v>0.28980007404664937</v>
      </c>
      <c r="P248" s="23">
        <f>DATE(YEAR(Table14[[#This Row],[Order_Date]]), MONTH(Table14[[#This Row],[Order_Date]]), 1)</f>
        <v>45597</v>
      </c>
      <c r="Q248" t="str">
        <f>_xlfn.XLOOKUP(Table14[[#This Row],[Product]],Product_Master!$B$2:$B$11,Product_Master!$D$2:$D$11)</f>
        <v>CraftLine</v>
      </c>
      <c r="R248" t="str">
        <f>_xlfn.XLOOKUP(Table14[[#This Row],[Product]],Product_Master!$B$2:$B$11,Product_Master!$E$2:$E$11)</f>
        <v>Italy</v>
      </c>
      <c r="S248">
        <f>_xlfn.XLOOKUP(Table14[[#This Row],[Product]],Product_Master!$B$2:$B$11,Product_Master!$F$2:$F$11)</f>
        <v>18</v>
      </c>
    </row>
    <row r="249" spans="1:19" x14ac:dyDescent="0.3">
      <c r="A249" t="s">
        <v>413</v>
      </c>
      <c r="B249" s="23" t="s">
        <v>107</v>
      </c>
      <c r="C249" t="s">
        <v>250</v>
      </c>
      <c r="D249" t="s">
        <v>53</v>
      </c>
      <c r="E249" t="s">
        <v>20</v>
      </c>
      <c r="F249" t="s">
        <v>21</v>
      </c>
      <c r="G249">
        <v>22</v>
      </c>
      <c r="H249">
        <v>57.6</v>
      </c>
      <c r="I249">
        <v>1267.2</v>
      </c>
      <c r="J249">
        <v>35.32</v>
      </c>
      <c r="K249">
        <v>461.88</v>
      </c>
      <c r="L249" t="s">
        <v>44</v>
      </c>
      <c r="M249" t="s">
        <v>23</v>
      </c>
      <c r="N249" t="s">
        <v>24</v>
      </c>
      <c r="O249" s="5">
        <f>Table14[[#This Row],[Profit]]/Table14[[#This Row],[Total_Sales]]</f>
        <v>0.36448863636363632</v>
      </c>
      <c r="P249" s="23">
        <f>DATE(YEAR(Table14[[#This Row],[Order_Date]]), MONTH(Table14[[#This Row],[Order_Date]]), 1)</f>
        <v>45413</v>
      </c>
      <c r="Q249" t="str">
        <f>_xlfn.XLOOKUP(Table14[[#This Row],[Product]],Product_Master!$B$2:$B$11,Product_Master!$D$2:$D$11)</f>
        <v>CarryPro</v>
      </c>
      <c r="R249" t="str">
        <f>_xlfn.XLOOKUP(Table14[[#This Row],[Product]],Product_Master!$B$2:$B$11,Product_Master!$E$2:$E$11)</f>
        <v>Vietnam</v>
      </c>
      <c r="S249">
        <f>_xlfn.XLOOKUP(Table14[[#This Row],[Product]],Product_Master!$B$2:$B$11,Product_Master!$F$2:$F$11)</f>
        <v>35</v>
      </c>
    </row>
    <row r="250" spans="1:19" x14ac:dyDescent="0.3">
      <c r="A250" t="s">
        <v>414</v>
      </c>
      <c r="B250" s="23" t="s">
        <v>157</v>
      </c>
      <c r="C250" t="s">
        <v>280</v>
      </c>
      <c r="D250" t="s">
        <v>170</v>
      </c>
      <c r="E250" t="s">
        <v>64</v>
      </c>
      <c r="F250" t="s">
        <v>65</v>
      </c>
      <c r="G250">
        <v>24</v>
      </c>
      <c r="H250" s="4">
        <v>43.34</v>
      </c>
      <c r="I250" s="8">
        <v>1040.1600000000001</v>
      </c>
      <c r="J250">
        <v>41.18</v>
      </c>
      <c r="K250">
        <v>398.98</v>
      </c>
      <c r="L250" t="s">
        <v>22</v>
      </c>
      <c r="M250" t="s">
        <v>37</v>
      </c>
      <c r="N250" t="s">
        <v>32</v>
      </c>
      <c r="O250" s="5">
        <f>Table14[[#This Row],[Profit]]/Table14[[#This Row],[Total_Sales]]</f>
        <v>0.38357560375326871</v>
      </c>
      <c r="P250" s="23">
        <f>DATE(YEAR(Table14[[#This Row],[Order_Date]]), MONTH(Table14[[#This Row],[Order_Date]]), 1)</f>
        <v>45292</v>
      </c>
      <c r="Q250" t="str">
        <f>_xlfn.XLOOKUP(Table14[[#This Row],[Product]],Product_Master!$B$2:$B$11,Product_Master!$D$2:$D$11)</f>
        <v>SoftWeave</v>
      </c>
      <c r="R250" t="str">
        <f>_xlfn.XLOOKUP(Table14[[#This Row],[Product]],Product_Master!$B$2:$B$11,Product_Master!$E$2:$E$11)</f>
        <v>Turkey</v>
      </c>
      <c r="S250">
        <f>_xlfn.XLOOKUP(Table14[[#This Row],[Product]],Product_Master!$B$2:$B$11,Product_Master!$F$2:$F$11)</f>
        <v>25</v>
      </c>
    </row>
    <row r="251" spans="1:19" x14ac:dyDescent="0.3">
      <c r="A251" t="s">
        <v>415</v>
      </c>
      <c r="B251" s="23" t="s">
        <v>26</v>
      </c>
      <c r="C251" t="s">
        <v>185</v>
      </c>
      <c r="D251" t="s">
        <v>53</v>
      </c>
      <c r="E251" t="s">
        <v>49</v>
      </c>
      <c r="F251" t="s">
        <v>50</v>
      </c>
      <c r="G251">
        <v>37</v>
      </c>
      <c r="H251" s="4">
        <v>71.8</v>
      </c>
      <c r="I251" s="8">
        <v>2656.6</v>
      </c>
      <c r="J251">
        <v>60.3</v>
      </c>
      <c r="K251">
        <v>1116.3</v>
      </c>
      <c r="L251" t="s">
        <v>30</v>
      </c>
      <c r="M251" t="s">
        <v>23</v>
      </c>
      <c r="N251" t="s">
        <v>24</v>
      </c>
      <c r="O251" s="5">
        <f>Table14[[#This Row],[Profit]]/Table14[[#This Row],[Total_Sales]]</f>
        <v>0.42019875028231574</v>
      </c>
      <c r="P251" s="23">
        <f>DATE(YEAR(Table14[[#This Row],[Order_Date]]), MONTH(Table14[[#This Row],[Order_Date]]), 1)</f>
        <v>45689</v>
      </c>
      <c r="Q251" t="str">
        <f>_xlfn.XLOOKUP(Table14[[#This Row],[Product]],Product_Master!$B$2:$B$11,Product_Master!$D$2:$D$11)</f>
        <v>BlueWear</v>
      </c>
      <c r="R251" t="str">
        <f>_xlfn.XLOOKUP(Table14[[#This Row],[Product]],Product_Master!$B$2:$B$11,Product_Master!$E$2:$E$11)</f>
        <v>Bangladesh</v>
      </c>
      <c r="S251">
        <f>_xlfn.XLOOKUP(Table14[[#This Row],[Product]],Product_Master!$B$2:$B$11,Product_Master!$F$2:$F$11)</f>
        <v>40</v>
      </c>
    </row>
    <row r="252" spans="1:19" x14ac:dyDescent="0.3">
      <c r="A252" t="s">
        <v>416</v>
      </c>
      <c r="B252" s="23" t="s">
        <v>56</v>
      </c>
      <c r="C252" t="s">
        <v>408</v>
      </c>
      <c r="D252" t="s">
        <v>88</v>
      </c>
      <c r="E252" t="s">
        <v>54</v>
      </c>
      <c r="F252" t="s">
        <v>43</v>
      </c>
      <c r="G252">
        <v>24</v>
      </c>
      <c r="H252" s="4">
        <v>29.11</v>
      </c>
      <c r="I252" s="8">
        <v>698.64</v>
      </c>
      <c r="J252">
        <v>53.99</v>
      </c>
      <c r="K252">
        <v>164.65</v>
      </c>
      <c r="L252" t="s">
        <v>44</v>
      </c>
      <c r="M252" t="s">
        <v>37</v>
      </c>
      <c r="N252" t="s">
        <v>66</v>
      </c>
      <c r="O252" s="5">
        <f>Table14[[#This Row],[Profit]]/Table14[[#This Row],[Total_Sales]]</f>
        <v>0.23567216305965877</v>
      </c>
      <c r="P252" s="23">
        <f>DATE(YEAR(Table14[[#This Row],[Order_Date]]), MONTH(Table14[[#This Row],[Order_Date]]), 1)</f>
        <v>45444</v>
      </c>
      <c r="Q252" t="str">
        <f>_xlfn.XLOOKUP(Table14[[#This Row],[Product]],Product_Master!$B$2:$B$11,Product_Master!$D$2:$D$11)</f>
        <v>ClickTech</v>
      </c>
      <c r="R252" t="str">
        <f>_xlfn.XLOOKUP(Table14[[#This Row],[Product]],Product_Master!$B$2:$B$11,Product_Master!$E$2:$E$11)</f>
        <v>China</v>
      </c>
      <c r="S252">
        <f>_xlfn.XLOOKUP(Table14[[#This Row],[Product]],Product_Master!$B$2:$B$11,Product_Master!$F$2:$F$11)</f>
        <v>20</v>
      </c>
    </row>
    <row r="253" spans="1:19" x14ac:dyDescent="0.3">
      <c r="A253" t="s">
        <v>417</v>
      </c>
      <c r="B253" s="23" t="s">
        <v>157</v>
      </c>
      <c r="C253" t="s">
        <v>418</v>
      </c>
      <c r="D253" t="s">
        <v>91</v>
      </c>
      <c r="E253" t="s">
        <v>58</v>
      </c>
      <c r="F253" t="s">
        <v>59</v>
      </c>
      <c r="G253">
        <v>6</v>
      </c>
      <c r="H253" s="4">
        <v>27.91</v>
      </c>
      <c r="I253" s="8">
        <v>167.46</v>
      </c>
      <c r="J253">
        <v>10.01</v>
      </c>
      <c r="K253">
        <v>22.45</v>
      </c>
      <c r="L253" t="s">
        <v>22</v>
      </c>
      <c r="M253" t="s">
        <v>23</v>
      </c>
      <c r="N253" t="s">
        <v>66</v>
      </c>
      <c r="O253" s="5">
        <f>Table14[[#This Row],[Profit]]/Table14[[#This Row],[Total_Sales]]</f>
        <v>0.1340618655201242</v>
      </c>
      <c r="P253" s="23">
        <f>DATE(YEAR(Table14[[#This Row],[Order_Date]]), MONTH(Table14[[#This Row],[Order_Date]]), 1)</f>
        <v>45292</v>
      </c>
      <c r="Q253" t="str">
        <f>_xlfn.XLOOKUP(Table14[[#This Row],[Product]],Product_Master!$B$2:$B$11,Product_Master!$D$2:$D$11)</f>
        <v>ClearCraft</v>
      </c>
      <c r="R253" t="str">
        <f>_xlfn.XLOOKUP(Table14[[#This Row],[Product]],Product_Master!$B$2:$B$11,Product_Master!$E$2:$E$11)</f>
        <v>India</v>
      </c>
      <c r="S253">
        <f>_xlfn.XLOOKUP(Table14[[#This Row],[Product]],Product_Master!$B$2:$B$11,Product_Master!$F$2:$F$11)</f>
        <v>22.5</v>
      </c>
    </row>
    <row r="254" spans="1:19" x14ac:dyDescent="0.3">
      <c r="A254" t="s">
        <v>419</v>
      </c>
      <c r="B254" s="23" t="s">
        <v>83</v>
      </c>
      <c r="C254" t="s">
        <v>40</v>
      </c>
      <c r="D254" t="s">
        <v>63</v>
      </c>
      <c r="E254" t="s">
        <v>58</v>
      </c>
      <c r="F254" t="s">
        <v>59</v>
      </c>
      <c r="G254">
        <v>28</v>
      </c>
      <c r="H254" s="4">
        <v>27.29</v>
      </c>
      <c r="I254" s="8">
        <v>764.12</v>
      </c>
      <c r="J254">
        <v>25.78</v>
      </c>
      <c r="K254">
        <v>108.34</v>
      </c>
      <c r="L254" t="s">
        <v>44</v>
      </c>
      <c r="M254" t="s">
        <v>23</v>
      </c>
      <c r="N254" t="s">
        <v>66</v>
      </c>
      <c r="O254" s="5">
        <f>Table14[[#This Row],[Profit]]/Table14[[#This Row],[Total_Sales]]</f>
        <v>0.1417840129822541</v>
      </c>
      <c r="P254" s="23">
        <f>DATE(YEAR(Table14[[#This Row],[Order_Date]]), MONTH(Table14[[#This Row],[Order_Date]]), 1)</f>
        <v>45323</v>
      </c>
      <c r="Q254" t="str">
        <f>_xlfn.XLOOKUP(Table14[[#This Row],[Product]],Product_Master!$B$2:$B$11,Product_Master!$D$2:$D$11)</f>
        <v>ClearCraft</v>
      </c>
      <c r="R254" t="str">
        <f>_xlfn.XLOOKUP(Table14[[#This Row],[Product]],Product_Master!$B$2:$B$11,Product_Master!$E$2:$E$11)</f>
        <v>India</v>
      </c>
      <c r="S254">
        <f>_xlfn.XLOOKUP(Table14[[#This Row],[Product]],Product_Master!$B$2:$B$11,Product_Master!$F$2:$F$11)</f>
        <v>22.5</v>
      </c>
    </row>
    <row r="255" spans="1:19" x14ac:dyDescent="0.3">
      <c r="A255" t="s">
        <v>420</v>
      </c>
      <c r="B255" s="23" t="s">
        <v>83</v>
      </c>
      <c r="C255" t="s">
        <v>338</v>
      </c>
      <c r="D255" t="s">
        <v>53</v>
      </c>
      <c r="E255" t="s">
        <v>58</v>
      </c>
      <c r="F255" t="s">
        <v>59</v>
      </c>
      <c r="G255">
        <v>47</v>
      </c>
      <c r="H255" s="4">
        <v>35.880000000000003</v>
      </c>
      <c r="I255" s="8">
        <v>1686.36</v>
      </c>
      <c r="J255">
        <v>70.3</v>
      </c>
      <c r="K255">
        <v>558.55999999999995</v>
      </c>
      <c r="L255" t="s">
        <v>22</v>
      </c>
      <c r="M255" t="s">
        <v>31</v>
      </c>
      <c r="N255" t="s">
        <v>24</v>
      </c>
      <c r="O255" s="5">
        <f>Table14[[#This Row],[Profit]]/Table14[[#This Row],[Total_Sales]]</f>
        <v>0.33122227756825351</v>
      </c>
      <c r="P255" s="23">
        <f>DATE(YEAR(Table14[[#This Row],[Order_Date]]), MONTH(Table14[[#This Row],[Order_Date]]), 1)</f>
        <v>45323</v>
      </c>
      <c r="Q255" t="str">
        <f>_xlfn.XLOOKUP(Table14[[#This Row],[Product]],Product_Master!$B$2:$B$11,Product_Master!$D$2:$D$11)</f>
        <v>ClearCraft</v>
      </c>
      <c r="R255" t="str">
        <f>_xlfn.XLOOKUP(Table14[[#This Row],[Product]],Product_Master!$B$2:$B$11,Product_Master!$E$2:$E$11)</f>
        <v>India</v>
      </c>
      <c r="S255">
        <f>_xlfn.XLOOKUP(Table14[[#This Row],[Product]],Product_Master!$B$2:$B$11,Product_Master!$F$2:$F$11)</f>
        <v>22.5</v>
      </c>
    </row>
    <row r="256" spans="1:19" x14ac:dyDescent="0.3">
      <c r="A256" t="s">
        <v>421</v>
      </c>
      <c r="B256" s="23" t="s">
        <v>56</v>
      </c>
      <c r="C256" t="s">
        <v>218</v>
      </c>
      <c r="D256" t="s">
        <v>123</v>
      </c>
      <c r="E256" t="s">
        <v>69</v>
      </c>
      <c r="F256" t="s">
        <v>59</v>
      </c>
      <c r="G256">
        <v>19</v>
      </c>
      <c r="H256" s="4">
        <v>27.47</v>
      </c>
      <c r="I256" s="8">
        <v>521.92999999999995</v>
      </c>
      <c r="J256">
        <v>31.29</v>
      </c>
      <c r="K256">
        <v>196.14</v>
      </c>
      <c r="L256" t="s">
        <v>30</v>
      </c>
      <c r="M256" t="s">
        <v>37</v>
      </c>
      <c r="N256" t="s">
        <v>32</v>
      </c>
      <c r="O256" s="5">
        <f>Table14[[#This Row],[Profit]]/Table14[[#This Row],[Total_Sales]]</f>
        <v>0.37579752074032918</v>
      </c>
      <c r="P256" s="23">
        <f>DATE(YEAR(Table14[[#This Row],[Order_Date]]), MONTH(Table14[[#This Row],[Order_Date]]), 1)</f>
        <v>45444</v>
      </c>
      <c r="Q256" t="str">
        <f>_xlfn.XLOOKUP(Table14[[#This Row],[Product]],Product_Master!$B$2:$B$11,Product_Master!$D$2:$D$11)</f>
        <v>Artisans Co.</v>
      </c>
      <c r="R256" t="str">
        <f>_xlfn.XLOOKUP(Table14[[#This Row],[Product]],Product_Master!$B$2:$B$11,Product_Master!$E$2:$E$11)</f>
        <v>India</v>
      </c>
      <c r="S256">
        <f>_xlfn.XLOOKUP(Table14[[#This Row],[Product]],Product_Master!$B$2:$B$11,Product_Master!$F$2:$F$11)</f>
        <v>15.5</v>
      </c>
    </row>
    <row r="257" spans="1:19" x14ac:dyDescent="0.3">
      <c r="A257" t="s">
        <v>422</v>
      </c>
      <c r="B257" s="23" t="s">
        <v>132</v>
      </c>
      <c r="C257" t="s">
        <v>153</v>
      </c>
      <c r="D257" t="s">
        <v>147</v>
      </c>
      <c r="E257" t="s">
        <v>54</v>
      </c>
      <c r="F257" t="s">
        <v>43</v>
      </c>
      <c r="G257">
        <v>13</v>
      </c>
      <c r="H257" s="4">
        <v>29.26</v>
      </c>
      <c r="I257" s="8">
        <v>380.38</v>
      </c>
      <c r="J257">
        <v>9.4700000000000006</v>
      </c>
      <c r="K257">
        <v>110.91</v>
      </c>
      <c r="L257" t="s">
        <v>30</v>
      </c>
      <c r="M257" t="s">
        <v>37</v>
      </c>
      <c r="N257" t="s">
        <v>148</v>
      </c>
      <c r="O257" s="5">
        <f>Table14[[#This Row],[Profit]]/Table14[[#This Row],[Total_Sales]]</f>
        <v>0.29157684420842317</v>
      </c>
      <c r="P257" s="23">
        <f>DATE(YEAR(Table14[[#This Row],[Order_Date]]), MONTH(Table14[[#This Row],[Order_Date]]), 1)</f>
        <v>45597</v>
      </c>
      <c r="Q257" t="str">
        <f>_xlfn.XLOOKUP(Table14[[#This Row],[Product]],Product_Master!$B$2:$B$11,Product_Master!$D$2:$D$11)</f>
        <v>ClickTech</v>
      </c>
      <c r="R257" t="str">
        <f>_xlfn.XLOOKUP(Table14[[#This Row],[Product]],Product_Master!$B$2:$B$11,Product_Master!$E$2:$E$11)</f>
        <v>China</v>
      </c>
      <c r="S257">
        <f>_xlfn.XLOOKUP(Table14[[#This Row],[Product]],Product_Master!$B$2:$B$11,Product_Master!$F$2:$F$11)</f>
        <v>20</v>
      </c>
    </row>
    <row r="258" spans="1:19" x14ac:dyDescent="0.3">
      <c r="A258" t="s">
        <v>423</v>
      </c>
      <c r="B258" s="23" t="s">
        <v>17</v>
      </c>
      <c r="C258" t="s">
        <v>325</v>
      </c>
      <c r="D258" t="s">
        <v>170</v>
      </c>
      <c r="E258" t="s">
        <v>29</v>
      </c>
      <c r="F258" t="s">
        <v>21</v>
      </c>
      <c r="G258">
        <v>4</v>
      </c>
      <c r="H258" s="4">
        <v>26.17</v>
      </c>
      <c r="I258" s="8">
        <v>104.68</v>
      </c>
      <c r="J258">
        <v>6.33</v>
      </c>
      <c r="K258">
        <v>26.35</v>
      </c>
      <c r="L258" t="s">
        <v>22</v>
      </c>
      <c r="M258" t="s">
        <v>31</v>
      </c>
      <c r="N258" t="s">
        <v>32</v>
      </c>
      <c r="O258" s="5">
        <f>Table14[[#This Row],[Profit]]/Table14[[#This Row],[Total_Sales]]</f>
        <v>0.25171952617500953</v>
      </c>
      <c r="P258" s="23">
        <f>DATE(YEAR(Table14[[#This Row],[Order_Date]]), MONTH(Table14[[#This Row],[Order_Date]]), 1)</f>
        <v>45658</v>
      </c>
      <c r="Q258" t="str">
        <f>_xlfn.XLOOKUP(Table14[[#This Row],[Product]],Product_Master!$B$2:$B$11,Product_Master!$D$2:$D$11)</f>
        <v>CraftLine</v>
      </c>
      <c r="R258" t="str">
        <f>_xlfn.XLOOKUP(Table14[[#This Row],[Product]],Product_Master!$B$2:$B$11,Product_Master!$E$2:$E$11)</f>
        <v>Italy</v>
      </c>
      <c r="S258">
        <f>_xlfn.XLOOKUP(Table14[[#This Row],[Product]],Product_Master!$B$2:$B$11,Product_Master!$F$2:$F$11)</f>
        <v>18</v>
      </c>
    </row>
    <row r="259" spans="1:19" x14ac:dyDescent="0.3">
      <c r="A259" t="s">
        <v>424</v>
      </c>
      <c r="B259" s="23" t="s">
        <v>157</v>
      </c>
      <c r="C259" t="s">
        <v>185</v>
      </c>
      <c r="D259" t="s">
        <v>170</v>
      </c>
      <c r="E259" t="s">
        <v>58</v>
      </c>
      <c r="F259" t="s">
        <v>59</v>
      </c>
      <c r="G259">
        <v>43</v>
      </c>
      <c r="H259" s="4">
        <v>37.32</v>
      </c>
      <c r="I259" s="8">
        <v>1604.76</v>
      </c>
      <c r="J259">
        <v>61.01</v>
      </c>
      <c r="K259">
        <v>576.25</v>
      </c>
      <c r="L259" t="s">
        <v>22</v>
      </c>
      <c r="M259" t="s">
        <v>31</v>
      </c>
      <c r="N259" t="s">
        <v>32</v>
      </c>
      <c r="O259" s="5">
        <f>Table14[[#This Row],[Profit]]/Table14[[#This Row],[Total_Sales]]</f>
        <v>0.35908796330915527</v>
      </c>
      <c r="P259" s="23">
        <f>DATE(YEAR(Table14[[#This Row],[Order_Date]]), MONTH(Table14[[#This Row],[Order_Date]]), 1)</f>
        <v>45292</v>
      </c>
      <c r="Q259" t="str">
        <f>_xlfn.XLOOKUP(Table14[[#This Row],[Product]],Product_Master!$B$2:$B$11,Product_Master!$D$2:$D$11)</f>
        <v>ClearCraft</v>
      </c>
      <c r="R259" t="str">
        <f>_xlfn.XLOOKUP(Table14[[#This Row],[Product]],Product_Master!$B$2:$B$11,Product_Master!$E$2:$E$11)</f>
        <v>India</v>
      </c>
      <c r="S259">
        <f>_xlfn.XLOOKUP(Table14[[#This Row],[Product]],Product_Master!$B$2:$B$11,Product_Master!$F$2:$F$11)</f>
        <v>22.5</v>
      </c>
    </row>
    <row r="260" spans="1:19" x14ac:dyDescent="0.3">
      <c r="A260" t="s">
        <v>425</v>
      </c>
      <c r="B260" s="23" t="s">
        <v>68</v>
      </c>
      <c r="C260" t="s">
        <v>312</v>
      </c>
      <c r="D260" t="s">
        <v>101</v>
      </c>
      <c r="E260" t="s">
        <v>29</v>
      </c>
      <c r="F260" t="s">
        <v>21</v>
      </c>
      <c r="G260">
        <v>27</v>
      </c>
      <c r="H260" s="4">
        <v>23.05</v>
      </c>
      <c r="I260" s="8">
        <v>622.35</v>
      </c>
      <c r="J260">
        <v>20.440000000000001</v>
      </c>
      <c r="K260">
        <v>115.91</v>
      </c>
      <c r="L260" t="s">
        <v>44</v>
      </c>
      <c r="M260" t="s">
        <v>31</v>
      </c>
      <c r="N260" t="s">
        <v>102</v>
      </c>
      <c r="O260" s="5">
        <f>Table14[[#This Row],[Profit]]/Table14[[#This Row],[Total_Sales]]</f>
        <v>0.18624568169036715</v>
      </c>
      <c r="P260" s="23">
        <f>DATE(YEAR(Table14[[#This Row],[Order_Date]]), MONTH(Table14[[#This Row],[Order_Date]]), 1)</f>
        <v>45536</v>
      </c>
      <c r="Q260" t="str">
        <f>_xlfn.XLOOKUP(Table14[[#This Row],[Product]],Product_Master!$B$2:$B$11,Product_Master!$D$2:$D$11)</f>
        <v>CraftLine</v>
      </c>
      <c r="R260" t="str">
        <f>_xlfn.XLOOKUP(Table14[[#This Row],[Product]],Product_Master!$B$2:$B$11,Product_Master!$E$2:$E$11)</f>
        <v>Italy</v>
      </c>
      <c r="S260">
        <f>_xlfn.XLOOKUP(Table14[[#This Row],[Product]],Product_Master!$B$2:$B$11,Product_Master!$F$2:$F$11)</f>
        <v>18</v>
      </c>
    </row>
    <row r="261" spans="1:19" x14ac:dyDescent="0.3">
      <c r="A261" t="s">
        <v>426</v>
      </c>
      <c r="B261" s="23" t="s">
        <v>39</v>
      </c>
      <c r="C261" t="s">
        <v>427</v>
      </c>
      <c r="D261" t="s">
        <v>91</v>
      </c>
      <c r="E261" t="s">
        <v>73</v>
      </c>
      <c r="F261" t="s">
        <v>43</v>
      </c>
      <c r="G261">
        <v>38</v>
      </c>
      <c r="H261" s="4">
        <v>19.02</v>
      </c>
      <c r="I261" s="8">
        <v>722.76</v>
      </c>
      <c r="J261">
        <v>14.63</v>
      </c>
      <c r="K261">
        <v>223.63</v>
      </c>
      <c r="L261" t="s">
        <v>30</v>
      </c>
      <c r="M261" t="s">
        <v>31</v>
      </c>
      <c r="N261" t="s">
        <v>66</v>
      </c>
      <c r="O261" s="5">
        <f>Table14[[#This Row],[Profit]]/Table14[[#This Row],[Total_Sales]]</f>
        <v>0.30941114616193482</v>
      </c>
      <c r="P261" s="23">
        <f>DATE(YEAR(Table14[[#This Row],[Order_Date]]), MONTH(Table14[[#This Row],[Order_Date]]), 1)</f>
        <v>45566</v>
      </c>
      <c r="Q261" t="str">
        <f>_xlfn.XLOOKUP(Table14[[#This Row],[Product]],Product_Master!$B$2:$B$11,Product_Master!$D$2:$D$11)</f>
        <v>BrightHome</v>
      </c>
      <c r="R261" t="str">
        <f>_xlfn.XLOOKUP(Table14[[#This Row],[Product]],Product_Master!$B$2:$B$11,Product_Master!$E$2:$E$11)</f>
        <v>Vietnam</v>
      </c>
      <c r="S261">
        <f>_xlfn.XLOOKUP(Table14[[#This Row],[Product]],Product_Master!$B$2:$B$11,Product_Master!$F$2:$F$11)</f>
        <v>12.75</v>
      </c>
    </row>
    <row r="262" spans="1:19" x14ac:dyDescent="0.3">
      <c r="A262" t="s">
        <v>428</v>
      </c>
      <c r="B262" s="23" t="s">
        <v>56</v>
      </c>
      <c r="C262" t="s">
        <v>429</v>
      </c>
      <c r="D262" t="s">
        <v>48</v>
      </c>
      <c r="E262" t="s">
        <v>49</v>
      </c>
      <c r="F262" t="s">
        <v>50</v>
      </c>
      <c r="G262">
        <v>10</v>
      </c>
      <c r="H262" s="4">
        <v>70.94</v>
      </c>
      <c r="I262" s="8">
        <v>709.4</v>
      </c>
      <c r="J262">
        <v>18.64</v>
      </c>
      <c r="K262">
        <v>290.76</v>
      </c>
      <c r="L262" t="s">
        <v>30</v>
      </c>
      <c r="M262" t="s">
        <v>37</v>
      </c>
      <c r="N262" t="s">
        <v>24</v>
      </c>
      <c r="O262" s="5">
        <f>Table14[[#This Row],[Profit]]/Table14[[#This Row],[Total_Sales]]</f>
        <v>0.40986749365661124</v>
      </c>
      <c r="P262" s="23">
        <f>DATE(YEAR(Table14[[#This Row],[Order_Date]]), MONTH(Table14[[#This Row],[Order_Date]]), 1)</f>
        <v>45444</v>
      </c>
      <c r="Q262" t="str">
        <f>_xlfn.XLOOKUP(Table14[[#This Row],[Product]],Product_Master!$B$2:$B$11,Product_Master!$D$2:$D$11)</f>
        <v>BlueWear</v>
      </c>
      <c r="R262" t="str">
        <f>_xlfn.XLOOKUP(Table14[[#This Row],[Product]],Product_Master!$B$2:$B$11,Product_Master!$E$2:$E$11)</f>
        <v>Bangladesh</v>
      </c>
      <c r="S262">
        <f>_xlfn.XLOOKUP(Table14[[#This Row],[Product]],Product_Master!$B$2:$B$11,Product_Master!$F$2:$F$11)</f>
        <v>40</v>
      </c>
    </row>
    <row r="263" spans="1:19" x14ac:dyDescent="0.3">
      <c r="A263" t="s">
        <v>430</v>
      </c>
      <c r="B263" s="23" t="s">
        <v>157</v>
      </c>
      <c r="C263" t="s">
        <v>297</v>
      </c>
      <c r="D263" t="s">
        <v>81</v>
      </c>
      <c r="E263" t="s">
        <v>64</v>
      </c>
      <c r="F263" t="s">
        <v>65</v>
      </c>
      <c r="G263">
        <v>17</v>
      </c>
      <c r="H263" s="4">
        <v>38.28</v>
      </c>
      <c r="I263" s="8">
        <v>650.76</v>
      </c>
      <c r="J263">
        <v>38.43</v>
      </c>
      <c r="K263">
        <v>187.33</v>
      </c>
      <c r="L263" t="s">
        <v>30</v>
      </c>
      <c r="M263" t="s">
        <v>37</v>
      </c>
      <c r="N263" t="s">
        <v>66</v>
      </c>
      <c r="O263" s="5">
        <f>Table14[[#This Row],[Profit]]/Table14[[#This Row],[Total_Sales]]</f>
        <v>0.28786342123056119</v>
      </c>
      <c r="P263" s="23">
        <f>DATE(YEAR(Table14[[#This Row],[Order_Date]]), MONTH(Table14[[#This Row],[Order_Date]]), 1)</f>
        <v>45292</v>
      </c>
      <c r="Q263" t="str">
        <f>_xlfn.XLOOKUP(Table14[[#This Row],[Product]],Product_Master!$B$2:$B$11,Product_Master!$D$2:$D$11)</f>
        <v>SoftWeave</v>
      </c>
      <c r="R263" t="str">
        <f>_xlfn.XLOOKUP(Table14[[#This Row],[Product]],Product_Master!$B$2:$B$11,Product_Master!$E$2:$E$11)</f>
        <v>Turkey</v>
      </c>
      <c r="S263">
        <f>_xlfn.XLOOKUP(Table14[[#This Row],[Product]],Product_Master!$B$2:$B$11,Product_Master!$F$2:$F$11)</f>
        <v>25</v>
      </c>
    </row>
    <row r="264" spans="1:19" x14ac:dyDescent="0.3">
      <c r="A264" t="s">
        <v>431</v>
      </c>
      <c r="B264" s="23" t="s">
        <v>68</v>
      </c>
      <c r="C264" t="s">
        <v>383</v>
      </c>
      <c r="D264" t="s">
        <v>19</v>
      </c>
      <c r="E264" t="s">
        <v>42</v>
      </c>
      <c r="F264" t="s">
        <v>43</v>
      </c>
      <c r="G264">
        <v>10</v>
      </c>
      <c r="H264" s="4">
        <v>38.799999999999997</v>
      </c>
      <c r="I264" s="8">
        <v>388</v>
      </c>
      <c r="J264">
        <v>16.39</v>
      </c>
      <c r="K264">
        <v>51.61</v>
      </c>
      <c r="L264" t="s">
        <v>44</v>
      </c>
      <c r="M264" t="s">
        <v>31</v>
      </c>
      <c r="N264" t="s">
        <v>24</v>
      </c>
      <c r="O264" s="5">
        <f>Table14[[#This Row],[Profit]]/Table14[[#This Row],[Total_Sales]]</f>
        <v>0.13301546391752578</v>
      </c>
      <c r="P264" s="23">
        <f>DATE(YEAR(Table14[[#This Row],[Order_Date]]), MONTH(Table14[[#This Row],[Order_Date]]), 1)</f>
        <v>45536</v>
      </c>
      <c r="Q264" t="str">
        <f>_xlfn.XLOOKUP(Table14[[#This Row],[Product]],Product_Master!$B$2:$B$11,Product_Master!$D$2:$D$11)</f>
        <v>AudioTech Ltd.</v>
      </c>
      <c r="R264" t="str">
        <f>_xlfn.XLOOKUP(Table14[[#This Row],[Product]],Product_Master!$B$2:$B$11,Product_Master!$E$2:$E$11)</f>
        <v>China</v>
      </c>
      <c r="S264">
        <f>_xlfn.XLOOKUP(Table14[[#This Row],[Product]],Product_Master!$B$2:$B$11,Product_Master!$F$2:$F$11)</f>
        <v>32</v>
      </c>
    </row>
    <row r="265" spans="1:19" x14ac:dyDescent="0.3">
      <c r="A265" t="s">
        <v>432</v>
      </c>
      <c r="B265" s="23" t="s">
        <v>107</v>
      </c>
      <c r="C265" t="s">
        <v>185</v>
      </c>
      <c r="D265" t="s">
        <v>63</v>
      </c>
      <c r="E265" t="s">
        <v>64</v>
      </c>
      <c r="F265" t="s">
        <v>65</v>
      </c>
      <c r="G265">
        <v>3</v>
      </c>
      <c r="H265" s="4">
        <v>33.840000000000003</v>
      </c>
      <c r="I265" s="8">
        <v>101.52</v>
      </c>
      <c r="J265">
        <v>2.3199999999999998</v>
      </c>
      <c r="K265">
        <v>24.2</v>
      </c>
      <c r="L265" t="s">
        <v>44</v>
      </c>
      <c r="M265" t="s">
        <v>37</v>
      </c>
      <c r="N265" t="s">
        <v>66</v>
      </c>
      <c r="O265" s="5">
        <f>Table14[[#This Row],[Profit]]/Table14[[#This Row],[Total_Sales]]</f>
        <v>0.23837667454688732</v>
      </c>
      <c r="P265" s="23">
        <f>DATE(YEAR(Table14[[#This Row],[Order_Date]]), MONTH(Table14[[#This Row],[Order_Date]]), 1)</f>
        <v>45413</v>
      </c>
      <c r="Q265" t="str">
        <f>_xlfn.XLOOKUP(Table14[[#This Row],[Product]],Product_Master!$B$2:$B$11,Product_Master!$D$2:$D$11)</f>
        <v>SoftWeave</v>
      </c>
      <c r="R265" t="str">
        <f>_xlfn.XLOOKUP(Table14[[#This Row],[Product]],Product_Master!$B$2:$B$11,Product_Master!$E$2:$E$11)</f>
        <v>Turkey</v>
      </c>
      <c r="S265">
        <f>_xlfn.XLOOKUP(Table14[[#This Row],[Product]],Product_Master!$B$2:$B$11,Product_Master!$F$2:$F$11)</f>
        <v>25</v>
      </c>
    </row>
    <row r="266" spans="1:19" x14ac:dyDescent="0.3">
      <c r="A266" t="s">
        <v>433</v>
      </c>
      <c r="B266" s="23" t="s">
        <v>86</v>
      </c>
      <c r="C266" t="s">
        <v>218</v>
      </c>
      <c r="D266" t="s">
        <v>170</v>
      </c>
      <c r="E266" t="s">
        <v>69</v>
      </c>
      <c r="F266" t="s">
        <v>59</v>
      </c>
      <c r="G266">
        <v>20</v>
      </c>
      <c r="H266" s="4">
        <v>21.12</v>
      </c>
      <c r="I266" s="8">
        <v>422.4</v>
      </c>
      <c r="J266">
        <v>22.08</v>
      </c>
      <c r="K266">
        <v>90.32</v>
      </c>
      <c r="L266" t="s">
        <v>30</v>
      </c>
      <c r="M266" t="s">
        <v>37</v>
      </c>
      <c r="N266" t="s">
        <v>32</v>
      </c>
      <c r="O266" s="5">
        <f>Table14[[#This Row],[Profit]]/Table14[[#This Row],[Total_Sales]]</f>
        <v>0.21382575757575756</v>
      </c>
      <c r="P266" s="23">
        <f>DATE(YEAR(Table14[[#This Row],[Order_Date]]), MONTH(Table14[[#This Row],[Order_Date]]), 1)</f>
        <v>45352</v>
      </c>
      <c r="Q266" t="str">
        <f>_xlfn.XLOOKUP(Table14[[#This Row],[Product]],Product_Master!$B$2:$B$11,Product_Master!$D$2:$D$11)</f>
        <v>Artisans Co.</v>
      </c>
      <c r="R266" t="str">
        <f>_xlfn.XLOOKUP(Table14[[#This Row],[Product]],Product_Master!$B$2:$B$11,Product_Master!$E$2:$E$11)</f>
        <v>India</v>
      </c>
      <c r="S266">
        <f>_xlfn.XLOOKUP(Table14[[#This Row],[Product]],Product_Master!$B$2:$B$11,Product_Master!$F$2:$F$11)</f>
        <v>15.5</v>
      </c>
    </row>
    <row r="267" spans="1:19" x14ac:dyDescent="0.3">
      <c r="A267" t="s">
        <v>434</v>
      </c>
      <c r="B267" s="23" t="s">
        <v>78</v>
      </c>
      <c r="C267" t="s">
        <v>295</v>
      </c>
      <c r="D267" t="s">
        <v>101</v>
      </c>
      <c r="E267" t="s">
        <v>20</v>
      </c>
      <c r="F267" t="s">
        <v>21</v>
      </c>
      <c r="G267">
        <v>1</v>
      </c>
      <c r="H267" s="4">
        <v>58.15</v>
      </c>
      <c r="I267" s="8">
        <v>58.15</v>
      </c>
      <c r="J267">
        <v>4.2</v>
      </c>
      <c r="K267">
        <v>18.95</v>
      </c>
      <c r="L267" t="s">
        <v>30</v>
      </c>
      <c r="M267" t="s">
        <v>31</v>
      </c>
      <c r="N267" t="s">
        <v>102</v>
      </c>
      <c r="O267" s="5">
        <f>Table14[[#This Row],[Profit]]/Table14[[#This Row],[Total_Sales]]</f>
        <v>0.32588134135855545</v>
      </c>
      <c r="P267" s="23">
        <f>DATE(YEAR(Table14[[#This Row],[Order_Date]]), MONTH(Table14[[#This Row],[Order_Date]]), 1)</f>
        <v>45627</v>
      </c>
      <c r="Q267" t="str">
        <f>_xlfn.XLOOKUP(Table14[[#This Row],[Product]],Product_Master!$B$2:$B$11,Product_Master!$D$2:$D$11)</f>
        <v>CarryPro</v>
      </c>
      <c r="R267" t="str">
        <f>_xlfn.XLOOKUP(Table14[[#This Row],[Product]],Product_Master!$B$2:$B$11,Product_Master!$E$2:$E$11)</f>
        <v>Vietnam</v>
      </c>
      <c r="S267">
        <f>_xlfn.XLOOKUP(Table14[[#This Row],[Product]],Product_Master!$B$2:$B$11,Product_Master!$F$2:$F$11)</f>
        <v>35</v>
      </c>
    </row>
    <row r="268" spans="1:19" x14ac:dyDescent="0.3">
      <c r="A268" t="s">
        <v>435</v>
      </c>
      <c r="B268" s="23" t="s">
        <v>86</v>
      </c>
      <c r="C268" t="s">
        <v>114</v>
      </c>
      <c r="D268" t="s">
        <v>41</v>
      </c>
      <c r="E268" t="s">
        <v>42</v>
      </c>
      <c r="F268" t="s">
        <v>43</v>
      </c>
      <c r="G268">
        <v>32</v>
      </c>
      <c r="H268" s="4">
        <v>45.96</v>
      </c>
      <c r="I268" s="8">
        <v>1470.72</v>
      </c>
      <c r="J268">
        <v>82.77</v>
      </c>
      <c r="K268">
        <v>363.95</v>
      </c>
      <c r="L268" t="s">
        <v>22</v>
      </c>
      <c r="M268" t="s">
        <v>31</v>
      </c>
      <c r="N268" t="s">
        <v>45</v>
      </c>
      <c r="O268" s="5">
        <f>Table14[[#This Row],[Profit]]/Table14[[#This Row],[Total_Sales]]</f>
        <v>0.24746382724107918</v>
      </c>
      <c r="P268" s="23">
        <f>DATE(YEAR(Table14[[#This Row],[Order_Date]]), MONTH(Table14[[#This Row],[Order_Date]]), 1)</f>
        <v>45352</v>
      </c>
      <c r="Q268" t="str">
        <f>_xlfn.XLOOKUP(Table14[[#This Row],[Product]],Product_Master!$B$2:$B$11,Product_Master!$D$2:$D$11)</f>
        <v>AudioTech Ltd.</v>
      </c>
      <c r="R268" t="str">
        <f>_xlfn.XLOOKUP(Table14[[#This Row],[Product]],Product_Master!$B$2:$B$11,Product_Master!$E$2:$E$11)</f>
        <v>China</v>
      </c>
      <c r="S268">
        <f>_xlfn.XLOOKUP(Table14[[#This Row],[Product]],Product_Master!$B$2:$B$11,Product_Master!$F$2:$F$11)</f>
        <v>32</v>
      </c>
    </row>
    <row r="269" spans="1:19" x14ac:dyDescent="0.3">
      <c r="A269" t="s">
        <v>436</v>
      </c>
      <c r="B269" s="23" t="s">
        <v>75</v>
      </c>
      <c r="C269" t="s">
        <v>316</v>
      </c>
      <c r="D269" t="s">
        <v>36</v>
      </c>
      <c r="E269" t="s">
        <v>73</v>
      </c>
      <c r="F269" t="s">
        <v>43</v>
      </c>
      <c r="G269">
        <v>37</v>
      </c>
      <c r="H269" s="4">
        <v>16.82</v>
      </c>
      <c r="I269" s="8">
        <v>622.34</v>
      </c>
      <c r="J269">
        <v>32.9</v>
      </c>
      <c r="K269">
        <v>117.69</v>
      </c>
      <c r="L269" t="s">
        <v>44</v>
      </c>
      <c r="M269" t="s">
        <v>31</v>
      </c>
      <c r="N269" t="s">
        <v>32</v>
      </c>
      <c r="O269" s="5">
        <f>Table14[[#This Row],[Profit]]/Table14[[#This Row],[Total_Sales]]</f>
        <v>0.18910884725391264</v>
      </c>
      <c r="P269" s="23">
        <f>DATE(YEAR(Table14[[#This Row],[Order_Date]]), MONTH(Table14[[#This Row],[Order_Date]]), 1)</f>
        <v>45748</v>
      </c>
      <c r="Q269" t="str">
        <f>_xlfn.XLOOKUP(Table14[[#This Row],[Product]],Product_Master!$B$2:$B$11,Product_Master!$D$2:$D$11)</f>
        <v>BrightHome</v>
      </c>
      <c r="R269" t="str">
        <f>_xlfn.XLOOKUP(Table14[[#This Row],[Product]],Product_Master!$B$2:$B$11,Product_Master!$E$2:$E$11)</f>
        <v>Vietnam</v>
      </c>
      <c r="S269">
        <f>_xlfn.XLOOKUP(Table14[[#This Row],[Product]],Product_Master!$B$2:$B$11,Product_Master!$F$2:$F$11)</f>
        <v>12.75</v>
      </c>
    </row>
    <row r="270" spans="1:19" x14ac:dyDescent="0.3">
      <c r="A270" t="s">
        <v>437</v>
      </c>
      <c r="B270" s="23" t="s">
        <v>34</v>
      </c>
      <c r="C270" t="s">
        <v>57</v>
      </c>
      <c r="D270" t="s">
        <v>36</v>
      </c>
      <c r="E270" t="s">
        <v>42</v>
      </c>
      <c r="F270" t="s">
        <v>43</v>
      </c>
      <c r="G270">
        <v>18</v>
      </c>
      <c r="H270" s="4">
        <v>54.62</v>
      </c>
      <c r="I270" s="8">
        <v>983.16</v>
      </c>
      <c r="J270">
        <v>22.61</v>
      </c>
      <c r="K270">
        <v>384.55</v>
      </c>
      <c r="L270" t="s">
        <v>44</v>
      </c>
      <c r="M270" t="s">
        <v>31</v>
      </c>
      <c r="N270" t="s">
        <v>32</v>
      </c>
      <c r="O270" s="5">
        <f>Table14[[#This Row],[Profit]]/Table14[[#This Row],[Total_Sales]]</f>
        <v>0.39113674274787424</v>
      </c>
      <c r="P270" s="23">
        <f>DATE(YEAR(Table14[[#This Row],[Order_Date]]), MONTH(Table14[[#This Row],[Order_Date]]), 1)</f>
        <v>45383</v>
      </c>
      <c r="Q270" t="str">
        <f>_xlfn.XLOOKUP(Table14[[#This Row],[Product]],Product_Master!$B$2:$B$11,Product_Master!$D$2:$D$11)</f>
        <v>AudioTech Ltd.</v>
      </c>
      <c r="R270" t="str">
        <f>_xlfn.XLOOKUP(Table14[[#This Row],[Product]],Product_Master!$B$2:$B$11,Product_Master!$E$2:$E$11)</f>
        <v>China</v>
      </c>
      <c r="S270">
        <f>_xlfn.XLOOKUP(Table14[[#This Row],[Product]],Product_Master!$B$2:$B$11,Product_Master!$F$2:$F$11)</f>
        <v>32</v>
      </c>
    </row>
    <row r="271" spans="1:19" x14ac:dyDescent="0.3">
      <c r="A271" t="s">
        <v>438</v>
      </c>
      <c r="B271" s="23" t="s">
        <v>104</v>
      </c>
      <c r="C271" t="s">
        <v>122</v>
      </c>
      <c r="D271" t="s">
        <v>36</v>
      </c>
      <c r="E271" t="s">
        <v>73</v>
      </c>
      <c r="F271" t="s">
        <v>43</v>
      </c>
      <c r="G271">
        <v>30</v>
      </c>
      <c r="H271" s="4">
        <v>22.83</v>
      </c>
      <c r="I271" s="8">
        <v>684.9</v>
      </c>
      <c r="J271">
        <v>32.31</v>
      </c>
      <c r="K271">
        <v>270.08999999999997</v>
      </c>
      <c r="L271" t="s">
        <v>22</v>
      </c>
      <c r="M271" t="s">
        <v>31</v>
      </c>
      <c r="N271" t="s">
        <v>32</v>
      </c>
      <c r="O271" s="5">
        <f>Table14[[#This Row],[Profit]]/Table14[[#This Row],[Total_Sales]]</f>
        <v>0.3943495400788436</v>
      </c>
      <c r="P271" s="23">
        <f>DATE(YEAR(Table14[[#This Row],[Order_Date]]), MONTH(Table14[[#This Row],[Order_Date]]), 1)</f>
        <v>45717</v>
      </c>
      <c r="Q271" t="str">
        <f>_xlfn.XLOOKUP(Table14[[#This Row],[Product]],Product_Master!$B$2:$B$11,Product_Master!$D$2:$D$11)</f>
        <v>BrightHome</v>
      </c>
      <c r="R271" t="str">
        <f>_xlfn.XLOOKUP(Table14[[#This Row],[Product]],Product_Master!$B$2:$B$11,Product_Master!$E$2:$E$11)</f>
        <v>Vietnam</v>
      </c>
      <c r="S271">
        <f>_xlfn.XLOOKUP(Table14[[#This Row],[Product]],Product_Master!$B$2:$B$11,Product_Master!$F$2:$F$11)</f>
        <v>12.75</v>
      </c>
    </row>
    <row r="272" spans="1:19" x14ac:dyDescent="0.3">
      <c r="A272" t="s">
        <v>439</v>
      </c>
      <c r="B272" s="23" t="s">
        <v>78</v>
      </c>
      <c r="C272" t="s">
        <v>440</v>
      </c>
      <c r="D272" t="s">
        <v>123</v>
      </c>
      <c r="E272" t="s">
        <v>42</v>
      </c>
      <c r="F272" t="s">
        <v>43</v>
      </c>
      <c r="G272">
        <v>39</v>
      </c>
      <c r="H272" s="4">
        <v>47.02</v>
      </c>
      <c r="I272" s="8">
        <v>1833.78</v>
      </c>
      <c r="J272">
        <v>50.01</v>
      </c>
      <c r="K272">
        <v>535.77</v>
      </c>
      <c r="L272" t="s">
        <v>44</v>
      </c>
      <c r="M272" t="s">
        <v>31</v>
      </c>
      <c r="N272" t="s">
        <v>32</v>
      </c>
      <c r="O272" s="5">
        <f>Table14[[#This Row],[Profit]]/Table14[[#This Row],[Total_Sales]]</f>
        <v>0.29216699931289469</v>
      </c>
      <c r="P272" s="23">
        <f>DATE(YEAR(Table14[[#This Row],[Order_Date]]), MONTH(Table14[[#This Row],[Order_Date]]), 1)</f>
        <v>45627</v>
      </c>
      <c r="Q272" t="str">
        <f>_xlfn.XLOOKUP(Table14[[#This Row],[Product]],Product_Master!$B$2:$B$11,Product_Master!$D$2:$D$11)</f>
        <v>AudioTech Ltd.</v>
      </c>
      <c r="R272" t="str">
        <f>_xlfn.XLOOKUP(Table14[[#This Row],[Product]],Product_Master!$B$2:$B$11,Product_Master!$E$2:$E$11)</f>
        <v>China</v>
      </c>
      <c r="S272">
        <f>_xlfn.XLOOKUP(Table14[[#This Row],[Product]],Product_Master!$B$2:$B$11,Product_Master!$F$2:$F$11)</f>
        <v>32</v>
      </c>
    </row>
    <row r="273" spans="1:19" x14ac:dyDescent="0.3">
      <c r="A273" t="s">
        <v>441</v>
      </c>
      <c r="B273" s="23" t="s">
        <v>75</v>
      </c>
      <c r="C273" t="s">
        <v>105</v>
      </c>
      <c r="D273" t="s">
        <v>19</v>
      </c>
      <c r="E273" t="s">
        <v>98</v>
      </c>
      <c r="F273" t="s">
        <v>59</v>
      </c>
      <c r="G273">
        <v>22</v>
      </c>
      <c r="H273" s="4">
        <v>43.32</v>
      </c>
      <c r="I273" s="8">
        <v>953.04</v>
      </c>
      <c r="J273">
        <v>71.3</v>
      </c>
      <c r="K273">
        <v>265.74</v>
      </c>
      <c r="L273" t="s">
        <v>30</v>
      </c>
      <c r="M273" t="s">
        <v>37</v>
      </c>
      <c r="N273" t="s">
        <v>24</v>
      </c>
      <c r="O273" s="5">
        <f>Table14[[#This Row],[Profit]]/Table14[[#This Row],[Total_Sales]]</f>
        <v>0.27883404683958701</v>
      </c>
      <c r="P273" s="23">
        <f>DATE(YEAR(Table14[[#This Row],[Order_Date]]), MONTH(Table14[[#This Row],[Order_Date]]), 1)</f>
        <v>45748</v>
      </c>
      <c r="Q273" t="str">
        <f>_xlfn.XLOOKUP(Table14[[#This Row],[Product]],Product_Master!$B$2:$B$11,Product_Master!$D$2:$D$11)</f>
        <v>BrightHome</v>
      </c>
      <c r="R273" t="str">
        <f>_xlfn.XLOOKUP(Table14[[#This Row],[Product]],Product_Master!$B$2:$B$11,Product_Master!$E$2:$E$11)</f>
        <v>India</v>
      </c>
      <c r="S273">
        <f>_xlfn.XLOOKUP(Table14[[#This Row],[Product]],Product_Master!$B$2:$B$11,Product_Master!$F$2:$F$11)</f>
        <v>28</v>
      </c>
    </row>
    <row r="274" spans="1:19" x14ac:dyDescent="0.3">
      <c r="A274" t="s">
        <v>442</v>
      </c>
      <c r="B274" s="23" t="s">
        <v>39</v>
      </c>
      <c r="C274" t="s">
        <v>319</v>
      </c>
      <c r="D274" t="s">
        <v>91</v>
      </c>
      <c r="E274" t="s">
        <v>58</v>
      </c>
      <c r="F274" t="s">
        <v>59</v>
      </c>
      <c r="G274">
        <v>6</v>
      </c>
      <c r="H274" s="4">
        <v>31.69</v>
      </c>
      <c r="I274" s="8">
        <v>190.14</v>
      </c>
      <c r="J274">
        <v>12.52</v>
      </c>
      <c r="K274">
        <v>42.62</v>
      </c>
      <c r="L274" t="s">
        <v>44</v>
      </c>
      <c r="M274" t="s">
        <v>31</v>
      </c>
      <c r="N274" t="s">
        <v>66</v>
      </c>
      <c r="O274" s="5">
        <f>Table14[[#This Row],[Profit]]/Table14[[#This Row],[Total_Sales]]</f>
        <v>0.22415062585463344</v>
      </c>
      <c r="P274" s="23">
        <f>DATE(YEAR(Table14[[#This Row],[Order_Date]]), MONTH(Table14[[#This Row],[Order_Date]]), 1)</f>
        <v>45566</v>
      </c>
      <c r="Q274" t="str">
        <f>_xlfn.XLOOKUP(Table14[[#This Row],[Product]],Product_Master!$B$2:$B$11,Product_Master!$D$2:$D$11)</f>
        <v>ClearCraft</v>
      </c>
      <c r="R274" t="str">
        <f>_xlfn.XLOOKUP(Table14[[#This Row],[Product]],Product_Master!$B$2:$B$11,Product_Master!$E$2:$E$11)</f>
        <v>India</v>
      </c>
      <c r="S274">
        <f>_xlfn.XLOOKUP(Table14[[#This Row],[Product]],Product_Master!$B$2:$B$11,Product_Master!$F$2:$F$11)</f>
        <v>22.5</v>
      </c>
    </row>
    <row r="275" spans="1:19" x14ac:dyDescent="0.3">
      <c r="A275" t="s">
        <v>443</v>
      </c>
      <c r="B275" s="23" t="s">
        <v>56</v>
      </c>
      <c r="C275" t="s">
        <v>218</v>
      </c>
      <c r="D275" t="s">
        <v>170</v>
      </c>
      <c r="E275" t="s">
        <v>20</v>
      </c>
      <c r="F275" t="s">
        <v>21</v>
      </c>
      <c r="G275">
        <v>19</v>
      </c>
      <c r="H275" s="4">
        <v>53.28</v>
      </c>
      <c r="I275" s="8">
        <v>1012.32</v>
      </c>
      <c r="J275">
        <v>27.24</v>
      </c>
      <c r="K275">
        <v>320.08</v>
      </c>
      <c r="L275" t="s">
        <v>44</v>
      </c>
      <c r="M275" t="s">
        <v>31</v>
      </c>
      <c r="N275" t="s">
        <v>32</v>
      </c>
      <c r="O275" s="5">
        <f>Table14[[#This Row],[Profit]]/Table14[[#This Row],[Total_Sales]]</f>
        <v>0.31618460565828982</v>
      </c>
      <c r="P275" s="23">
        <f>DATE(YEAR(Table14[[#This Row],[Order_Date]]), MONTH(Table14[[#This Row],[Order_Date]]), 1)</f>
        <v>45444</v>
      </c>
      <c r="Q275" t="str">
        <f>_xlfn.XLOOKUP(Table14[[#This Row],[Product]],Product_Master!$B$2:$B$11,Product_Master!$D$2:$D$11)</f>
        <v>CarryPro</v>
      </c>
      <c r="R275" t="str">
        <f>_xlfn.XLOOKUP(Table14[[#This Row],[Product]],Product_Master!$B$2:$B$11,Product_Master!$E$2:$E$11)</f>
        <v>Vietnam</v>
      </c>
      <c r="S275">
        <f>_xlfn.XLOOKUP(Table14[[#This Row],[Product]],Product_Master!$B$2:$B$11,Product_Master!$F$2:$F$11)</f>
        <v>35</v>
      </c>
    </row>
    <row r="276" spans="1:19" x14ac:dyDescent="0.3">
      <c r="A276" t="s">
        <v>444</v>
      </c>
      <c r="B276" s="23" t="s">
        <v>107</v>
      </c>
      <c r="C276" t="s">
        <v>173</v>
      </c>
      <c r="D276" t="s">
        <v>19</v>
      </c>
      <c r="E276" t="s">
        <v>20</v>
      </c>
      <c r="F276" t="s">
        <v>21</v>
      </c>
      <c r="G276">
        <v>47</v>
      </c>
      <c r="H276">
        <v>47.53</v>
      </c>
      <c r="I276">
        <v>2233.91</v>
      </c>
      <c r="J276">
        <v>128.91</v>
      </c>
      <c r="K276">
        <v>460</v>
      </c>
      <c r="L276" t="s">
        <v>30</v>
      </c>
      <c r="M276" t="s">
        <v>23</v>
      </c>
      <c r="N276" t="s">
        <v>24</v>
      </c>
      <c r="O276" s="5">
        <f>Table14[[#This Row],[Profit]]/Table14[[#This Row],[Total_Sales]]</f>
        <v>0.20591697964555422</v>
      </c>
      <c r="P276" s="23">
        <f>DATE(YEAR(Table14[[#This Row],[Order_Date]]), MONTH(Table14[[#This Row],[Order_Date]]), 1)</f>
        <v>45413</v>
      </c>
      <c r="Q276" t="str">
        <f>_xlfn.XLOOKUP(Table14[[#This Row],[Product]],Product_Master!$B$2:$B$11,Product_Master!$D$2:$D$11)</f>
        <v>CarryPro</v>
      </c>
      <c r="R276" t="str">
        <f>_xlfn.XLOOKUP(Table14[[#This Row],[Product]],Product_Master!$B$2:$B$11,Product_Master!$E$2:$E$11)</f>
        <v>Vietnam</v>
      </c>
      <c r="S276">
        <f>_xlfn.XLOOKUP(Table14[[#This Row],[Product]],Product_Master!$B$2:$B$11,Product_Master!$F$2:$F$11)</f>
        <v>35</v>
      </c>
    </row>
    <row r="277" spans="1:19" x14ac:dyDescent="0.3">
      <c r="A277" t="s">
        <v>445</v>
      </c>
      <c r="B277" s="23" t="s">
        <v>132</v>
      </c>
      <c r="C277" t="s">
        <v>305</v>
      </c>
      <c r="D277" t="s">
        <v>81</v>
      </c>
      <c r="E277" t="s">
        <v>54</v>
      </c>
      <c r="F277" t="s">
        <v>43</v>
      </c>
      <c r="G277">
        <v>12</v>
      </c>
      <c r="H277" s="4">
        <v>24.02</v>
      </c>
      <c r="I277" s="8">
        <v>288.24</v>
      </c>
      <c r="J277">
        <v>9.8000000000000007</v>
      </c>
      <c r="K277">
        <v>38.44</v>
      </c>
      <c r="L277" t="s">
        <v>22</v>
      </c>
      <c r="M277" t="s">
        <v>37</v>
      </c>
      <c r="N277" t="s">
        <v>66</v>
      </c>
      <c r="O277" s="5">
        <f>Table14[[#This Row],[Profit]]/Table14[[#This Row],[Total_Sales]]</f>
        <v>0.133361087982237</v>
      </c>
      <c r="P277" s="23">
        <f>DATE(YEAR(Table14[[#This Row],[Order_Date]]), MONTH(Table14[[#This Row],[Order_Date]]), 1)</f>
        <v>45597</v>
      </c>
      <c r="Q277" t="str">
        <f>_xlfn.XLOOKUP(Table14[[#This Row],[Product]],Product_Master!$B$2:$B$11,Product_Master!$D$2:$D$11)</f>
        <v>ClickTech</v>
      </c>
      <c r="R277" t="str">
        <f>_xlfn.XLOOKUP(Table14[[#This Row],[Product]],Product_Master!$B$2:$B$11,Product_Master!$E$2:$E$11)</f>
        <v>China</v>
      </c>
      <c r="S277">
        <f>_xlfn.XLOOKUP(Table14[[#This Row],[Product]],Product_Master!$B$2:$B$11,Product_Master!$F$2:$F$11)</f>
        <v>20</v>
      </c>
    </row>
    <row r="278" spans="1:19" x14ac:dyDescent="0.3">
      <c r="A278" t="s">
        <v>446</v>
      </c>
      <c r="B278" s="23" t="s">
        <v>17</v>
      </c>
      <c r="C278" t="s">
        <v>383</v>
      </c>
      <c r="D278" t="s">
        <v>81</v>
      </c>
      <c r="E278" t="s">
        <v>73</v>
      </c>
      <c r="F278" t="s">
        <v>43</v>
      </c>
      <c r="G278">
        <v>32</v>
      </c>
      <c r="H278" s="4">
        <v>15.64</v>
      </c>
      <c r="I278" s="8">
        <v>500.48</v>
      </c>
      <c r="J278">
        <v>24.69</v>
      </c>
      <c r="K278">
        <v>67.790000000000006</v>
      </c>
      <c r="L278" t="s">
        <v>44</v>
      </c>
      <c r="M278" t="s">
        <v>23</v>
      </c>
      <c r="N278" t="s">
        <v>66</v>
      </c>
      <c r="O278" s="5">
        <f>Table14[[#This Row],[Profit]]/Table14[[#This Row],[Total_Sales]]</f>
        <v>0.13544996803069054</v>
      </c>
      <c r="P278" s="23">
        <f>DATE(YEAR(Table14[[#This Row],[Order_Date]]), MONTH(Table14[[#This Row],[Order_Date]]), 1)</f>
        <v>45658</v>
      </c>
      <c r="Q278" t="str">
        <f>_xlfn.XLOOKUP(Table14[[#This Row],[Product]],Product_Master!$B$2:$B$11,Product_Master!$D$2:$D$11)</f>
        <v>BrightHome</v>
      </c>
      <c r="R278" t="str">
        <f>_xlfn.XLOOKUP(Table14[[#This Row],[Product]],Product_Master!$B$2:$B$11,Product_Master!$E$2:$E$11)</f>
        <v>Vietnam</v>
      </c>
      <c r="S278">
        <f>_xlfn.XLOOKUP(Table14[[#This Row],[Product]],Product_Master!$B$2:$B$11,Product_Master!$F$2:$F$11)</f>
        <v>12.75</v>
      </c>
    </row>
    <row r="279" spans="1:19" x14ac:dyDescent="0.3">
      <c r="A279" t="s">
        <v>447</v>
      </c>
      <c r="B279" s="23" t="s">
        <v>39</v>
      </c>
      <c r="C279" t="s">
        <v>259</v>
      </c>
      <c r="D279" t="s">
        <v>147</v>
      </c>
      <c r="E279" t="s">
        <v>42</v>
      </c>
      <c r="F279" t="s">
        <v>43</v>
      </c>
      <c r="G279">
        <v>22</v>
      </c>
      <c r="H279" s="4">
        <v>42.54</v>
      </c>
      <c r="I279" s="8">
        <v>935.88</v>
      </c>
      <c r="J279">
        <v>45.37</v>
      </c>
      <c r="K279">
        <v>186.51</v>
      </c>
      <c r="L279" t="s">
        <v>22</v>
      </c>
      <c r="M279" t="s">
        <v>37</v>
      </c>
      <c r="N279" t="s">
        <v>148</v>
      </c>
      <c r="O279" s="5">
        <f>Table14[[#This Row],[Profit]]/Table14[[#This Row],[Total_Sales]]</f>
        <v>0.1992883703038851</v>
      </c>
      <c r="P279" s="23">
        <f>DATE(YEAR(Table14[[#This Row],[Order_Date]]), MONTH(Table14[[#This Row],[Order_Date]]), 1)</f>
        <v>45566</v>
      </c>
      <c r="Q279" t="str">
        <f>_xlfn.XLOOKUP(Table14[[#This Row],[Product]],Product_Master!$B$2:$B$11,Product_Master!$D$2:$D$11)</f>
        <v>AudioTech Ltd.</v>
      </c>
      <c r="R279" t="str">
        <f>_xlfn.XLOOKUP(Table14[[#This Row],[Product]],Product_Master!$B$2:$B$11,Product_Master!$E$2:$E$11)</f>
        <v>China</v>
      </c>
      <c r="S279">
        <f>_xlfn.XLOOKUP(Table14[[#This Row],[Product]],Product_Master!$B$2:$B$11,Product_Master!$F$2:$F$11)</f>
        <v>32</v>
      </c>
    </row>
    <row r="280" spans="1:19" x14ac:dyDescent="0.3">
      <c r="A280" t="s">
        <v>448</v>
      </c>
      <c r="B280" s="23" t="s">
        <v>56</v>
      </c>
      <c r="C280" t="s">
        <v>334</v>
      </c>
      <c r="D280" t="s">
        <v>196</v>
      </c>
      <c r="E280" t="s">
        <v>64</v>
      </c>
      <c r="F280" t="s">
        <v>65</v>
      </c>
      <c r="G280">
        <v>37</v>
      </c>
      <c r="H280" s="4">
        <v>43.55</v>
      </c>
      <c r="I280" s="8">
        <v>1611.35</v>
      </c>
      <c r="J280">
        <v>67.78</v>
      </c>
      <c r="K280">
        <v>618.57000000000005</v>
      </c>
      <c r="L280" t="s">
        <v>30</v>
      </c>
      <c r="M280" t="s">
        <v>31</v>
      </c>
      <c r="N280" t="s">
        <v>66</v>
      </c>
      <c r="O280" s="5">
        <f>Table14[[#This Row],[Profit]]/Table14[[#This Row],[Total_Sales]]</f>
        <v>0.38388307940546751</v>
      </c>
      <c r="P280" s="23">
        <f>DATE(YEAR(Table14[[#This Row],[Order_Date]]), MONTH(Table14[[#This Row],[Order_Date]]), 1)</f>
        <v>45444</v>
      </c>
      <c r="Q280" t="str">
        <f>_xlfn.XLOOKUP(Table14[[#This Row],[Product]],Product_Master!$B$2:$B$11,Product_Master!$D$2:$D$11)</f>
        <v>SoftWeave</v>
      </c>
      <c r="R280" t="str">
        <f>_xlfn.XLOOKUP(Table14[[#This Row],[Product]],Product_Master!$B$2:$B$11,Product_Master!$E$2:$E$11)</f>
        <v>Turkey</v>
      </c>
      <c r="S280">
        <f>_xlfn.XLOOKUP(Table14[[#This Row],[Product]],Product_Master!$B$2:$B$11,Product_Master!$F$2:$F$11)</f>
        <v>25</v>
      </c>
    </row>
    <row r="281" spans="1:19" x14ac:dyDescent="0.3">
      <c r="A281" t="s">
        <v>449</v>
      </c>
      <c r="B281" s="23" t="s">
        <v>71</v>
      </c>
      <c r="C281" t="s">
        <v>130</v>
      </c>
      <c r="D281" t="s">
        <v>41</v>
      </c>
      <c r="E281" t="s">
        <v>69</v>
      </c>
      <c r="F281" t="s">
        <v>59</v>
      </c>
      <c r="G281">
        <v>42</v>
      </c>
      <c r="H281" s="4">
        <v>20.260000000000002</v>
      </c>
      <c r="I281" s="8">
        <v>850.92</v>
      </c>
      <c r="J281">
        <v>22.43</v>
      </c>
      <c r="K281">
        <v>177.49</v>
      </c>
      <c r="L281" t="s">
        <v>44</v>
      </c>
      <c r="M281" t="s">
        <v>37</v>
      </c>
      <c r="N281" t="s">
        <v>45</v>
      </c>
      <c r="O281" s="5">
        <f>Table14[[#This Row],[Profit]]/Table14[[#This Row],[Total_Sales]]</f>
        <v>0.20858600103417479</v>
      </c>
      <c r="P281" s="23">
        <f>DATE(YEAR(Table14[[#This Row],[Order_Date]]), MONTH(Table14[[#This Row],[Order_Date]]), 1)</f>
        <v>45505</v>
      </c>
      <c r="Q281" t="str">
        <f>_xlfn.XLOOKUP(Table14[[#This Row],[Product]],Product_Master!$B$2:$B$11,Product_Master!$D$2:$D$11)</f>
        <v>Artisans Co.</v>
      </c>
      <c r="R281" t="str">
        <f>_xlfn.XLOOKUP(Table14[[#This Row],[Product]],Product_Master!$B$2:$B$11,Product_Master!$E$2:$E$11)</f>
        <v>India</v>
      </c>
      <c r="S281">
        <f>_xlfn.XLOOKUP(Table14[[#This Row],[Product]],Product_Master!$B$2:$B$11,Product_Master!$F$2:$F$11)</f>
        <v>15.5</v>
      </c>
    </row>
    <row r="282" spans="1:19" x14ac:dyDescent="0.3">
      <c r="A282" t="s">
        <v>450</v>
      </c>
      <c r="B282" s="23" t="s">
        <v>61</v>
      </c>
      <c r="C282" t="s">
        <v>79</v>
      </c>
      <c r="D282" t="s">
        <v>48</v>
      </c>
      <c r="E282" t="s">
        <v>29</v>
      </c>
      <c r="F282" t="s">
        <v>21</v>
      </c>
      <c r="G282">
        <v>43</v>
      </c>
      <c r="H282">
        <v>24.08</v>
      </c>
      <c r="I282">
        <v>1035.44</v>
      </c>
      <c r="J282">
        <v>35.07</v>
      </c>
      <c r="K282">
        <v>226.37</v>
      </c>
      <c r="L282" t="s">
        <v>30</v>
      </c>
      <c r="M282" t="s">
        <v>37</v>
      </c>
      <c r="N282" t="s">
        <v>24</v>
      </c>
      <c r="O282" s="5">
        <f>Table14[[#This Row],[Profit]]/Table14[[#This Row],[Total_Sales]]</f>
        <v>0.21862203507687553</v>
      </c>
      <c r="P282" s="23">
        <f>DATE(YEAR(Table14[[#This Row],[Order_Date]]), MONTH(Table14[[#This Row],[Order_Date]]), 1)</f>
        <v>45778</v>
      </c>
      <c r="Q282" t="str">
        <f>_xlfn.XLOOKUP(Table14[[#This Row],[Product]],Product_Master!$B$2:$B$11,Product_Master!$D$2:$D$11)</f>
        <v>CraftLine</v>
      </c>
      <c r="R282" t="str">
        <f>_xlfn.XLOOKUP(Table14[[#This Row],[Product]],Product_Master!$B$2:$B$11,Product_Master!$E$2:$E$11)</f>
        <v>Italy</v>
      </c>
      <c r="S282">
        <f>_xlfn.XLOOKUP(Table14[[#This Row],[Product]],Product_Master!$B$2:$B$11,Product_Master!$F$2:$F$11)</f>
        <v>18</v>
      </c>
    </row>
    <row r="283" spans="1:19" x14ac:dyDescent="0.3">
      <c r="A283" t="s">
        <v>451</v>
      </c>
      <c r="B283" s="23" t="s">
        <v>56</v>
      </c>
      <c r="C283" t="s">
        <v>316</v>
      </c>
      <c r="D283" t="s">
        <v>170</v>
      </c>
      <c r="E283" t="s">
        <v>49</v>
      </c>
      <c r="F283" t="s">
        <v>50</v>
      </c>
      <c r="G283">
        <v>14</v>
      </c>
      <c r="H283" s="4">
        <v>69.010000000000005</v>
      </c>
      <c r="I283" s="8">
        <v>966.14</v>
      </c>
      <c r="J283">
        <v>32.67</v>
      </c>
      <c r="K283">
        <v>373.47</v>
      </c>
      <c r="L283" t="s">
        <v>30</v>
      </c>
      <c r="M283" t="s">
        <v>23</v>
      </c>
      <c r="N283" t="s">
        <v>32</v>
      </c>
      <c r="O283" s="5">
        <f>Table14[[#This Row],[Profit]]/Table14[[#This Row],[Total_Sales]]</f>
        <v>0.38655888380565967</v>
      </c>
      <c r="P283" s="23">
        <f>DATE(YEAR(Table14[[#This Row],[Order_Date]]), MONTH(Table14[[#This Row],[Order_Date]]), 1)</f>
        <v>45444</v>
      </c>
      <c r="Q283" t="str">
        <f>_xlfn.XLOOKUP(Table14[[#This Row],[Product]],Product_Master!$B$2:$B$11,Product_Master!$D$2:$D$11)</f>
        <v>BlueWear</v>
      </c>
      <c r="R283" t="str">
        <f>_xlfn.XLOOKUP(Table14[[#This Row],[Product]],Product_Master!$B$2:$B$11,Product_Master!$E$2:$E$11)</f>
        <v>Bangladesh</v>
      </c>
      <c r="S283">
        <f>_xlfn.XLOOKUP(Table14[[#This Row],[Product]],Product_Master!$B$2:$B$11,Product_Master!$F$2:$F$11)</f>
        <v>40</v>
      </c>
    </row>
    <row r="284" spans="1:19" x14ac:dyDescent="0.3">
      <c r="A284" t="s">
        <v>452</v>
      </c>
      <c r="B284" s="23" t="s">
        <v>107</v>
      </c>
      <c r="C284" t="s">
        <v>135</v>
      </c>
      <c r="D284" t="s">
        <v>147</v>
      </c>
      <c r="E284" t="s">
        <v>54</v>
      </c>
      <c r="F284" t="s">
        <v>43</v>
      </c>
      <c r="G284">
        <v>29</v>
      </c>
      <c r="H284" s="4">
        <v>28.29</v>
      </c>
      <c r="I284" s="8">
        <v>820.41</v>
      </c>
      <c r="J284">
        <v>63.15</v>
      </c>
      <c r="K284">
        <v>177.26</v>
      </c>
      <c r="L284" t="s">
        <v>44</v>
      </c>
      <c r="M284" t="s">
        <v>37</v>
      </c>
      <c r="N284" t="s">
        <v>148</v>
      </c>
      <c r="O284" s="5">
        <f>Table14[[#This Row],[Profit]]/Table14[[#This Row],[Total_Sales]]</f>
        <v>0.21606270035713851</v>
      </c>
      <c r="P284" s="23">
        <f>DATE(YEAR(Table14[[#This Row],[Order_Date]]), MONTH(Table14[[#This Row],[Order_Date]]), 1)</f>
        <v>45413</v>
      </c>
      <c r="Q284" t="str">
        <f>_xlfn.XLOOKUP(Table14[[#This Row],[Product]],Product_Master!$B$2:$B$11,Product_Master!$D$2:$D$11)</f>
        <v>ClickTech</v>
      </c>
      <c r="R284" t="str">
        <f>_xlfn.XLOOKUP(Table14[[#This Row],[Product]],Product_Master!$B$2:$B$11,Product_Master!$E$2:$E$11)</f>
        <v>China</v>
      </c>
      <c r="S284">
        <f>_xlfn.XLOOKUP(Table14[[#This Row],[Product]],Product_Master!$B$2:$B$11,Product_Master!$F$2:$F$11)</f>
        <v>20</v>
      </c>
    </row>
    <row r="285" spans="1:19" x14ac:dyDescent="0.3">
      <c r="A285" t="s">
        <v>453</v>
      </c>
      <c r="B285" s="23" t="s">
        <v>157</v>
      </c>
      <c r="C285" t="s">
        <v>240</v>
      </c>
      <c r="D285" t="s">
        <v>53</v>
      </c>
      <c r="E285" t="s">
        <v>69</v>
      </c>
      <c r="F285" t="s">
        <v>59</v>
      </c>
      <c r="G285">
        <v>29</v>
      </c>
      <c r="H285" s="4">
        <v>26.51</v>
      </c>
      <c r="I285" s="8">
        <v>768.79</v>
      </c>
      <c r="J285">
        <v>15.66</v>
      </c>
      <c r="K285">
        <v>303.63</v>
      </c>
      <c r="L285" t="s">
        <v>30</v>
      </c>
      <c r="M285" t="s">
        <v>23</v>
      </c>
      <c r="N285" t="s">
        <v>24</v>
      </c>
      <c r="O285" s="5">
        <f>Table14[[#This Row],[Profit]]/Table14[[#This Row],[Total_Sales]]</f>
        <v>0.3949453036589966</v>
      </c>
      <c r="P285" s="23">
        <f>DATE(YEAR(Table14[[#This Row],[Order_Date]]), MONTH(Table14[[#This Row],[Order_Date]]), 1)</f>
        <v>45292</v>
      </c>
      <c r="Q285" t="str">
        <f>_xlfn.XLOOKUP(Table14[[#This Row],[Product]],Product_Master!$B$2:$B$11,Product_Master!$D$2:$D$11)</f>
        <v>Artisans Co.</v>
      </c>
      <c r="R285" t="str">
        <f>_xlfn.XLOOKUP(Table14[[#This Row],[Product]],Product_Master!$B$2:$B$11,Product_Master!$E$2:$E$11)</f>
        <v>India</v>
      </c>
      <c r="S285">
        <f>_xlfn.XLOOKUP(Table14[[#This Row],[Product]],Product_Master!$B$2:$B$11,Product_Master!$F$2:$F$11)</f>
        <v>15.5</v>
      </c>
    </row>
    <row r="286" spans="1:19" x14ac:dyDescent="0.3">
      <c r="A286" t="s">
        <v>454</v>
      </c>
      <c r="B286" s="23" t="s">
        <v>78</v>
      </c>
      <c r="C286" t="s">
        <v>139</v>
      </c>
      <c r="D286" t="s">
        <v>48</v>
      </c>
      <c r="E286" t="s">
        <v>20</v>
      </c>
      <c r="F286" t="s">
        <v>21</v>
      </c>
      <c r="G286">
        <v>11</v>
      </c>
      <c r="H286">
        <v>58.07</v>
      </c>
      <c r="I286">
        <v>638.77</v>
      </c>
      <c r="J286">
        <v>43.89</v>
      </c>
      <c r="K286">
        <v>209.88</v>
      </c>
      <c r="L286" t="s">
        <v>22</v>
      </c>
      <c r="M286" t="s">
        <v>31</v>
      </c>
      <c r="N286" t="s">
        <v>24</v>
      </c>
      <c r="O286" s="5">
        <f>Table14[[#This Row],[Profit]]/Table14[[#This Row],[Total_Sales]]</f>
        <v>0.32856896848630962</v>
      </c>
      <c r="P286" s="23">
        <f>DATE(YEAR(Table14[[#This Row],[Order_Date]]), MONTH(Table14[[#This Row],[Order_Date]]), 1)</f>
        <v>45627</v>
      </c>
      <c r="Q286" t="str">
        <f>_xlfn.XLOOKUP(Table14[[#This Row],[Product]],Product_Master!$B$2:$B$11,Product_Master!$D$2:$D$11)</f>
        <v>CarryPro</v>
      </c>
      <c r="R286" t="str">
        <f>_xlfn.XLOOKUP(Table14[[#This Row],[Product]],Product_Master!$B$2:$B$11,Product_Master!$E$2:$E$11)</f>
        <v>Vietnam</v>
      </c>
      <c r="S286">
        <f>_xlfn.XLOOKUP(Table14[[#This Row],[Product]],Product_Master!$B$2:$B$11,Product_Master!$F$2:$F$11)</f>
        <v>35</v>
      </c>
    </row>
    <row r="287" spans="1:19" x14ac:dyDescent="0.3">
      <c r="A287" t="s">
        <v>455</v>
      </c>
      <c r="B287" s="23" t="s">
        <v>61</v>
      </c>
      <c r="C287" t="s">
        <v>127</v>
      </c>
      <c r="D287" t="s">
        <v>28</v>
      </c>
      <c r="E287" t="s">
        <v>42</v>
      </c>
      <c r="F287" t="s">
        <v>43</v>
      </c>
      <c r="G287">
        <v>3</v>
      </c>
      <c r="H287" s="4">
        <v>48.76</v>
      </c>
      <c r="I287" s="8">
        <v>146.28</v>
      </c>
      <c r="J287">
        <v>10.45</v>
      </c>
      <c r="K287">
        <v>39.83</v>
      </c>
      <c r="L287" t="s">
        <v>44</v>
      </c>
      <c r="M287" t="s">
        <v>31</v>
      </c>
      <c r="N287" t="s">
        <v>32</v>
      </c>
      <c r="O287" s="5">
        <f>Table14[[#This Row],[Profit]]/Table14[[#This Row],[Total_Sales]]</f>
        <v>0.2722860267979218</v>
      </c>
      <c r="P287" s="23">
        <f>DATE(YEAR(Table14[[#This Row],[Order_Date]]), MONTH(Table14[[#This Row],[Order_Date]]), 1)</f>
        <v>45778</v>
      </c>
      <c r="Q287" t="str">
        <f>_xlfn.XLOOKUP(Table14[[#This Row],[Product]],Product_Master!$B$2:$B$11,Product_Master!$D$2:$D$11)</f>
        <v>AudioTech Ltd.</v>
      </c>
      <c r="R287" t="str">
        <f>_xlfn.XLOOKUP(Table14[[#This Row],[Product]],Product_Master!$B$2:$B$11,Product_Master!$E$2:$E$11)</f>
        <v>China</v>
      </c>
      <c r="S287">
        <f>_xlfn.XLOOKUP(Table14[[#This Row],[Product]],Product_Master!$B$2:$B$11,Product_Master!$F$2:$F$11)</f>
        <v>32</v>
      </c>
    </row>
    <row r="288" spans="1:19" x14ac:dyDescent="0.3">
      <c r="A288" t="s">
        <v>456</v>
      </c>
      <c r="B288" s="23" t="s">
        <v>107</v>
      </c>
      <c r="C288" t="s">
        <v>180</v>
      </c>
      <c r="D288" t="s">
        <v>196</v>
      </c>
      <c r="E288" t="s">
        <v>54</v>
      </c>
      <c r="F288" t="s">
        <v>43</v>
      </c>
      <c r="G288">
        <v>49</v>
      </c>
      <c r="H288" s="4">
        <v>30.46</v>
      </c>
      <c r="I288" s="8">
        <v>1492.54</v>
      </c>
      <c r="J288">
        <v>51.82</v>
      </c>
      <c r="K288">
        <v>460.72</v>
      </c>
      <c r="L288" t="s">
        <v>30</v>
      </c>
      <c r="M288" t="s">
        <v>23</v>
      </c>
      <c r="N288" t="s">
        <v>66</v>
      </c>
      <c r="O288" s="5">
        <f>Table14[[#This Row],[Profit]]/Table14[[#This Row],[Total_Sales]]</f>
        <v>0.30868184437268015</v>
      </c>
      <c r="P288" s="23">
        <f>DATE(YEAR(Table14[[#This Row],[Order_Date]]), MONTH(Table14[[#This Row],[Order_Date]]), 1)</f>
        <v>45413</v>
      </c>
      <c r="Q288" t="str">
        <f>_xlfn.XLOOKUP(Table14[[#This Row],[Product]],Product_Master!$B$2:$B$11,Product_Master!$D$2:$D$11)</f>
        <v>ClickTech</v>
      </c>
      <c r="R288" t="str">
        <f>_xlfn.XLOOKUP(Table14[[#This Row],[Product]],Product_Master!$B$2:$B$11,Product_Master!$E$2:$E$11)</f>
        <v>China</v>
      </c>
      <c r="S288">
        <f>_xlfn.XLOOKUP(Table14[[#This Row],[Product]],Product_Master!$B$2:$B$11,Product_Master!$F$2:$F$11)</f>
        <v>20</v>
      </c>
    </row>
    <row r="289" spans="1:19" x14ac:dyDescent="0.3">
      <c r="A289" t="s">
        <v>457</v>
      </c>
      <c r="B289" s="23" t="s">
        <v>68</v>
      </c>
      <c r="C289" t="s">
        <v>35</v>
      </c>
      <c r="D289" t="s">
        <v>63</v>
      </c>
      <c r="E289" t="s">
        <v>98</v>
      </c>
      <c r="F289" t="s">
        <v>59</v>
      </c>
      <c r="G289">
        <v>25</v>
      </c>
      <c r="H289" s="4">
        <v>35.21</v>
      </c>
      <c r="I289" s="8">
        <v>880.25</v>
      </c>
      <c r="J289">
        <v>39.799999999999997</v>
      </c>
      <c r="K289">
        <v>140.44999999999999</v>
      </c>
      <c r="L289" t="s">
        <v>44</v>
      </c>
      <c r="M289" t="s">
        <v>31</v>
      </c>
      <c r="N289" t="s">
        <v>66</v>
      </c>
      <c r="O289" s="5">
        <f>Table14[[#This Row],[Profit]]/Table14[[#This Row],[Total_Sales]]</f>
        <v>0.1595569440499858</v>
      </c>
      <c r="P289" s="23">
        <f>DATE(YEAR(Table14[[#This Row],[Order_Date]]), MONTH(Table14[[#This Row],[Order_Date]]), 1)</f>
        <v>45536</v>
      </c>
      <c r="Q289" t="str">
        <f>_xlfn.XLOOKUP(Table14[[#This Row],[Product]],Product_Master!$B$2:$B$11,Product_Master!$D$2:$D$11)</f>
        <v>BrightHome</v>
      </c>
      <c r="R289" t="str">
        <f>_xlfn.XLOOKUP(Table14[[#This Row],[Product]],Product_Master!$B$2:$B$11,Product_Master!$E$2:$E$11)</f>
        <v>India</v>
      </c>
      <c r="S289">
        <f>_xlfn.XLOOKUP(Table14[[#This Row],[Product]],Product_Master!$B$2:$B$11,Product_Master!$F$2:$F$11)</f>
        <v>28</v>
      </c>
    </row>
    <row r="290" spans="1:19" x14ac:dyDescent="0.3">
      <c r="A290" t="s">
        <v>458</v>
      </c>
      <c r="B290" s="23" t="s">
        <v>157</v>
      </c>
      <c r="C290" t="s">
        <v>240</v>
      </c>
      <c r="D290" t="s">
        <v>19</v>
      </c>
      <c r="E290" t="s">
        <v>98</v>
      </c>
      <c r="F290" t="s">
        <v>59</v>
      </c>
      <c r="G290">
        <v>37</v>
      </c>
      <c r="H290" s="4">
        <v>44.82</v>
      </c>
      <c r="I290" s="8">
        <v>1658.34</v>
      </c>
      <c r="J290">
        <v>65.75</v>
      </c>
      <c r="K290">
        <v>556.59</v>
      </c>
      <c r="L290" t="s">
        <v>30</v>
      </c>
      <c r="M290" t="s">
        <v>31</v>
      </c>
      <c r="N290" t="s">
        <v>24</v>
      </c>
      <c r="O290" s="5">
        <f>Table14[[#This Row],[Profit]]/Table14[[#This Row],[Total_Sales]]</f>
        <v>0.33563081153442603</v>
      </c>
      <c r="P290" s="23">
        <f>DATE(YEAR(Table14[[#This Row],[Order_Date]]), MONTH(Table14[[#This Row],[Order_Date]]), 1)</f>
        <v>45292</v>
      </c>
      <c r="Q290" t="str">
        <f>_xlfn.XLOOKUP(Table14[[#This Row],[Product]],Product_Master!$B$2:$B$11,Product_Master!$D$2:$D$11)</f>
        <v>BrightHome</v>
      </c>
      <c r="R290" t="str">
        <f>_xlfn.XLOOKUP(Table14[[#This Row],[Product]],Product_Master!$B$2:$B$11,Product_Master!$E$2:$E$11)</f>
        <v>India</v>
      </c>
      <c r="S290">
        <f>_xlfn.XLOOKUP(Table14[[#This Row],[Product]],Product_Master!$B$2:$B$11,Product_Master!$F$2:$F$11)</f>
        <v>28</v>
      </c>
    </row>
    <row r="291" spans="1:19" x14ac:dyDescent="0.3">
      <c r="A291" t="s">
        <v>459</v>
      </c>
      <c r="B291" s="23" t="s">
        <v>56</v>
      </c>
      <c r="C291" t="s">
        <v>325</v>
      </c>
      <c r="D291" t="s">
        <v>170</v>
      </c>
      <c r="E291" t="s">
        <v>69</v>
      </c>
      <c r="F291" t="s">
        <v>59</v>
      </c>
      <c r="G291">
        <v>11</v>
      </c>
      <c r="H291" s="4">
        <v>18.75</v>
      </c>
      <c r="I291" s="8">
        <v>206.25</v>
      </c>
      <c r="J291">
        <v>11.67</v>
      </c>
      <c r="K291">
        <v>24.08</v>
      </c>
      <c r="L291" t="s">
        <v>22</v>
      </c>
      <c r="M291" t="s">
        <v>23</v>
      </c>
      <c r="N291" t="s">
        <v>32</v>
      </c>
      <c r="O291" s="5">
        <f>Table14[[#This Row],[Profit]]/Table14[[#This Row],[Total_Sales]]</f>
        <v>0.11675151515151515</v>
      </c>
      <c r="P291" s="23">
        <f>DATE(YEAR(Table14[[#This Row],[Order_Date]]), MONTH(Table14[[#This Row],[Order_Date]]), 1)</f>
        <v>45444</v>
      </c>
      <c r="Q291" t="str">
        <f>_xlfn.XLOOKUP(Table14[[#This Row],[Product]],Product_Master!$B$2:$B$11,Product_Master!$D$2:$D$11)</f>
        <v>Artisans Co.</v>
      </c>
      <c r="R291" t="str">
        <f>_xlfn.XLOOKUP(Table14[[#This Row],[Product]],Product_Master!$B$2:$B$11,Product_Master!$E$2:$E$11)</f>
        <v>India</v>
      </c>
      <c r="S291">
        <f>_xlfn.XLOOKUP(Table14[[#This Row],[Product]],Product_Master!$B$2:$B$11,Product_Master!$F$2:$F$11)</f>
        <v>15.5</v>
      </c>
    </row>
    <row r="292" spans="1:19" x14ac:dyDescent="0.3">
      <c r="A292" t="s">
        <v>460</v>
      </c>
      <c r="B292" s="23" t="s">
        <v>83</v>
      </c>
      <c r="C292" t="s">
        <v>240</v>
      </c>
      <c r="D292" t="s">
        <v>41</v>
      </c>
      <c r="E292" t="s">
        <v>54</v>
      </c>
      <c r="F292" t="s">
        <v>43</v>
      </c>
      <c r="G292">
        <v>37</v>
      </c>
      <c r="H292" s="4">
        <v>31.66</v>
      </c>
      <c r="I292" s="8">
        <v>1171.42</v>
      </c>
      <c r="J292">
        <v>58.95</v>
      </c>
      <c r="K292">
        <v>372.47</v>
      </c>
      <c r="L292" t="s">
        <v>44</v>
      </c>
      <c r="M292" t="s">
        <v>23</v>
      </c>
      <c r="N292" t="s">
        <v>45</v>
      </c>
      <c r="O292" s="5">
        <f>Table14[[#This Row],[Profit]]/Table14[[#This Row],[Total_Sales]]</f>
        <v>0.31796452169162215</v>
      </c>
      <c r="P292" s="23">
        <f>DATE(YEAR(Table14[[#This Row],[Order_Date]]), MONTH(Table14[[#This Row],[Order_Date]]), 1)</f>
        <v>45323</v>
      </c>
      <c r="Q292" t="str">
        <f>_xlfn.XLOOKUP(Table14[[#This Row],[Product]],Product_Master!$B$2:$B$11,Product_Master!$D$2:$D$11)</f>
        <v>ClickTech</v>
      </c>
      <c r="R292" t="str">
        <f>_xlfn.XLOOKUP(Table14[[#This Row],[Product]],Product_Master!$B$2:$B$11,Product_Master!$E$2:$E$11)</f>
        <v>China</v>
      </c>
      <c r="S292">
        <f>_xlfn.XLOOKUP(Table14[[#This Row],[Product]],Product_Master!$B$2:$B$11,Product_Master!$F$2:$F$11)</f>
        <v>20</v>
      </c>
    </row>
    <row r="293" spans="1:19" x14ac:dyDescent="0.3">
      <c r="A293" t="s">
        <v>461</v>
      </c>
      <c r="B293" s="23" t="s">
        <v>95</v>
      </c>
      <c r="C293" t="s">
        <v>319</v>
      </c>
      <c r="D293" t="s">
        <v>28</v>
      </c>
      <c r="E293" t="s">
        <v>54</v>
      </c>
      <c r="F293" t="s">
        <v>43</v>
      </c>
      <c r="G293">
        <v>17</v>
      </c>
      <c r="H293" s="4">
        <v>32.74</v>
      </c>
      <c r="I293" s="8">
        <v>556.58000000000004</v>
      </c>
      <c r="J293">
        <v>14.68</v>
      </c>
      <c r="K293">
        <v>201.9</v>
      </c>
      <c r="L293" t="s">
        <v>30</v>
      </c>
      <c r="M293" t="s">
        <v>31</v>
      </c>
      <c r="N293" t="s">
        <v>32</v>
      </c>
      <c r="O293" s="5">
        <f>Table14[[#This Row],[Profit]]/Table14[[#This Row],[Total_Sales]]</f>
        <v>0.36275108699558012</v>
      </c>
      <c r="P293" s="23">
        <f>DATE(YEAR(Table14[[#This Row],[Order_Date]]), MONTH(Table14[[#This Row],[Order_Date]]), 1)</f>
        <v>45474</v>
      </c>
      <c r="Q293" t="str">
        <f>_xlfn.XLOOKUP(Table14[[#This Row],[Product]],Product_Master!$B$2:$B$11,Product_Master!$D$2:$D$11)</f>
        <v>ClickTech</v>
      </c>
      <c r="R293" t="str">
        <f>_xlfn.XLOOKUP(Table14[[#This Row],[Product]],Product_Master!$B$2:$B$11,Product_Master!$E$2:$E$11)</f>
        <v>China</v>
      </c>
      <c r="S293">
        <f>_xlfn.XLOOKUP(Table14[[#This Row],[Product]],Product_Master!$B$2:$B$11,Product_Master!$F$2:$F$11)</f>
        <v>20</v>
      </c>
    </row>
    <row r="294" spans="1:19" x14ac:dyDescent="0.3">
      <c r="A294" t="s">
        <v>462</v>
      </c>
      <c r="B294" s="23" t="s">
        <v>34</v>
      </c>
      <c r="C294" t="s">
        <v>79</v>
      </c>
      <c r="D294" t="s">
        <v>19</v>
      </c>
      <c r="E294" t="s">
        <v>98</v>
      </c>
      <c r="F294" t="s">
        <v>59</v>
      </c>
      <c r="G294">
        <v>7</v>
      </c>
      <c r="H294" s="4">
        <v>46.64</v>
      </c>
      <c r="I294" s="8">
        <v>326.48</v>
      </c>
      <c r="J294">
        <v>25.19</v>
      </c>
      <c r="K294">
        <v>105.29</v>
      </c>
      <c r="L294" t="s">
        <v>30</v>
      </c>
      <c r="M294" t="s">
        <v>37</v>
      </c>
      <c r="N294" t="s">
        <v>24</v>
      </c>
      <c r="O294" s="5">
        <f>Table14[[#This Row],[Profit]]/Table14[[#This Row],[Total_Sales]]</f>
        <v>0.32250061259495222</v>
      </c>
      <c r="P294" s="23">
        <f>DATE(YEAR(Table14[[#This Row],[Order_Date]]), MONTH(Table14[[#This Row],[Order_Date]]), 1)</f>
        <v>45383</v>
      </c>
      <c r="Q294" t="str">
        <f>_xlfn.XLOOKUP(Table14[[#This Row],[Product]],Product_Master!$B$2:$B$11,Product_Master!$D$2:$D$11)</f>
        <v>BrightHome</v>
      </c>
      <c r="R294" t="str">
        <f>_xlfn.XLOOKUP(Table14[[#This Row],[Product]],Product_Master!$B$2:$B$11,Product_Master!$E$2:$E$11)</f>
        <v>India</v>
      </c>
      <c r="S294">
        <f>_xlfn.XLOOKUP(Table14[[#This Row],[Product]],Product_Master!$B$2:$B$11,Product_Master!$F$2:$F$11)</f>
        <v>28</v>
      </c>
    </row>
    <row r="295" spans="1:19" x14ac:dyDescent="0.3">
      <c r="A295" t="s">
        <v>463</v>
      </c>
      <c r="B295" s="23" t="s">
        <v>26</v>
      </c>
      <c r="C295" t="s">
        <v>153</v>
      </c>
      <c r="D295" t="s">
        <v>88</v>
      </c>
      <c r="E295" t="s">
        <v>29</v>
      </c>
      <c r="F295" t="s">
        <v>21</v>
      </c>
      <c r="G295">
        <v>16</v>
      </c>
      <c r="H295" s="4">
        <v>24.77</v>
      </c>
      <c r="I295" s="8">
        <v>396.32</v>
      </c>
      <c r="J295">
        <v>15.6</v>
      </c>
      <c r="K295">
        <v>92.72</v>
      </c>
      <c r="L295" t="s">
        <v>22</v>
      </c>
      <c r="M295" t="s">
        <v>37</v>
      </c>
      <c r="N295" t="s">
        <v>66</v>
      </c>
      <c r="O295" s="5">
        <f>Table14[[#This Row],[Profit]]/Table14[[#This Row],[Total_Sales]]</f>
        <v>0.23395236172789666</v>
      </c>
      <c r="P295" s="23">
        <f>DATE(YEAR(Table14[[#This Row],[Order_Date]]), MONTH(Table14[[#This Row],[Order_Date]]), 1)</f>
        <v>45689</v>
      </c>
      <c r="Q295" t="str">
        <f>_xlfn.XLOOKUP(Table14[[#This Row],[Product]],Product_Master!$B$2:$B$11,Product_Master!$D$2:$D$11)</f>
        <v>CraftLine</v>
      </c>
      <c r="R295" t="str">
        <f>_xlfn.XLOOKUP(Table14[[#This Row],[Product]],Product_Master!$B$2:$B$11,Product_Master!$E$2:$E$11)</f>
        <v>Italy</v>
      </c>
      <c r="S295">
        <f>_xlfn.XLOOKUP(Table14[[#This Row],[Product]],Product_Master!$B$2:$B$11,Product_Master!$F$2:$F$11)</f>
        <v>18</v>
      </c>
    </row>
    <row r="296" spans="1:19" x14ac:dyDescent="0.3">
      <c r="A296" t="s">
        <v>464</v>
      </c>
      <c r="B296" s="23" t="s">
        <v>75</v>
      </c>
      <c r="C296" t="s">
        <v>72</v>
      </c>
      <c r="D296" t="s">
        <v>53</v>
      </c>
      <c r="E296" t="s">
        <v>49</v>
      </c>
      <c r="F296" t="s">
        <v>50</v>
      </c>
      <c r="G296">
        <v>39</v>
      </c>
      <c r="H296" s="4">
        <v>56.5</v>
      </c>
      <c r="I296" s="8">
        <v>2203.5</v>
      </c>
      <c r="J296">
        <v>141.58000000000001</v>
      </c>
      <c r="K296">
        <v>501.92</v>
      </c>
      <c r="L296" t="s">
        <v>44</v>
      </c>
      <c r="M296" t="s">
        <v>23</v>
      </c>
      <c r="N296" t="s">
        <v>24</v>
      </c>
      <c r="O296" s="5">
        <f>Table14[[#This Row],[Profit]]/Table14[[#This Row],[Total_Sales]]</f>
        <v>0.2277830723848423</v>
      </c>
      <c r="P296" s="23">
        <f>DATE(YEAR(Table14[[#This Row],[Order_Date]]), MONTH(Table14[[#This Row],[Order_Date]]), 1)</f>
        <v>45748</v>
      </c>
      <c r="Q296" t="str">
        <f>_xlfn.XLOOKUP(Table14[[#This Row],[Product]],Product_Master!$B$2:$B$11,Product_Master!$D$2:$D$11)</f>
        <v>BlueWear</v>
      </c>
      <c r="R296" t="str">
        <f>_xlfn.XLOOKUP(Table14[[#This Row],[Product]],Product_Master!$B$2:$B$11,Product_Master!$E$2:$E$11)</f>
        <v>Bangladesh</v>
      </c>
      <c r="S296">
        <f>_xlfn.XLOOKUP(Table14[[#This Row],[Product]],Product_Master!$B$2:$B$11,Product_Master!$F$2:$F$11)</f>
        <v>40</v>
      </c>
    </row>
    <row r="297" spans="1:19" x14ac:dyDescent="0.3">
      <c r="A297" t="s">
        <v>465</v>
      </c>
      <c r="B297" s="23" t="s">
        <v>68</v>
      </c>
      <c r="C297" t="s">
        <v>383</v>
      </c>
      <c r="D297" t="s">
        <v>196</v>
      </c>
      <c r="E297" t="s">
        <v>69</v>
      </c>
      <c r="F297" t="s">
        <v>59</v>
      </c>
      <c r="G297">
        <v>1</v>
      </c>
      <c r="H297" s="4">
        <v>24.01</v>
      </c>
      <c r="I297" s="8">
        <v>24.01</v>
      </c>
      <c r="J297">
        <v>1.58</v>
      </c>
      <c r="K297">
        <v>6.93</v>
      </c>
      <c r="L297" t="s">
        <v>22</v>
      </c>
      <c r="M297" t="s">
        <v>23</v>
      </c>
      <c r="N297" t="s">
        <v>66</v>
      </c>
      <c r="O297" s="5">
        <f>Table14[[#This Row],[Profit]]/Table14[[#This Row],[Total_Sales]]</f>
        <v>0.28862973760932942</v>
      </c>
      <c r="P297" s="23">
        <f>DATE(YEAR(Table14[[#This Row],[Order_Date]]), MONTH(Table14[[#This Row],[Order_Date]]), 1)</f>
        <v>45536</v>
      </c>
      <c r="Q297" t="str">
        <f>_xlfn.XLOOKUP(Table14[[#This Row],[Product]],Product_Master!$B$2:$B$11,Product_Master!$D$2:$D$11)</f>
        <v>Artisans Co.</v>
      </c>
      <c r="R297" t="str">
        <f>_xlfn.XLOOKUP(Table14[[#This Row],[Product]],Product_Master!$B$2:$B$11,Product_Master!$E$2:$E$11)</f>
        <v>India</v>
      </c>
      <c r="S297">
        <f>_xlfn.XLOOKUP(Table14[[#This Row],[Product]],Product_Master!$B$2:$B$11,Product_Master!$F$2:$F$11)</f>
        <v>15.5</v>
      </c>
    </row>
    <row r="298" spans="1:19" x14ac:dyDescent="0.3">
      <c r="A298" t="s">
        <v>466</v>
      </c>
      <c r="B298" s="23" t="s">
        <v>78</v>
      </c>
      <c r="C298" t="s">
        <v>117</v>
      </c>
      <c r="D298" t="s">
        <v>196</v>
      </c>
      <c r="E298" t="s">
        <v>64</v>
      </c>
      <c r="F298" t="s">
        <v>65</v>
      </c>
      <c r="G298">
        <v>45</v>
      </c>
      <c r="H298" s="4">
        <v>35.99</v>
      </c>
      <c r="I298" s="8">
        <v>1619.55</v>
      </c>
      <c r="J298">
        <v>49.95</v>
      </c>
      <c r="K298">
        <v>444.6</v>
      </c>
      <c r="L298" t="s">
        <v>22</v>
      </c>
      <c r="M298" t="s">
        <v>31</v>
      </c>
      <c r="N298" t="s">
        <v>66</v>
      </c>
      <c r="O298" s="5">
        <f>Table14[[#This Row],[Profit]]/Table14[[#This Row],[Total_Sales]]</f>
        <v>0.27452070019449848</v>
      </c>
      <c r="P298" s="23">
        <f>DATE(YEAR(Table14[[#This Row],[Order_Date]]), MONTH(Table14[[#This Row],[Order_Date]]), 1)</f>
        <v>45627</v>
      </c>
      <c r="Q298" t="str">
        <f>_xlfn.XLOOKUP(Table14[[#This Row],[Product]],Product_Master!$B$2:$B$11,Product_Master!$D$2:$D$11)</f>
        <v>SoftWeave</v>
      </c>
      <c r="R298" t="str">
        <f>_xlfn.XLOOKUP(Table14[[#This Row],[Product]],Product_Master!$B$2:$B$11,Product_Master!$E$2:$E$11)</f>
        <v>Turkey</v>
      </c>
      <c r="S298">
        <f>_xlfn.XLOOKUP(Table14[[#This Row],[Product]],Product_Master!$B$2:$B$11,Product_Master!$F$2:$F$11)</f>
        <v>25</v>
      </c>
    </row>
    <row r="299" spans="1:19" x14ac:dyDescent="0.3">
      <c r="A299" t="s">
        <v>467</v>
      </c>
      <c r="B299" s="23" t="s">
        <v>26</v>
      </c>
      <c r="C299" t="s">
        <v>185</v>
      </c>
      <c r="D299" t="s">
        <v>81</v>
      </c>
      <c r="E299" t="s">
        <v>54</v>
      </c>
      <c r="F299" t="s">
        <v>43</v>
      </c>
      <c r="G299">
        <v>5</v>
      </c>
      <c r="H299" s="4">
        <v>25.45</v>
      </c>
      <c r="I299" s="8">
        <v>127.25</v>
      </c>
      <c r="J299">
        <v>7.22</v>
      </c>
      <c r="K299">
        <v>20.03</v>
      </c>
      <c r="L299" t="s">
        <v>44</v>
      </c>
      <c r="M299" t="s">
        <v>37</v>
      </c>
      <c r="N299" t="s">
        <v>66</v>
      </c>
      <c r="O299" s="5">
        <f>Table14[[#This Row],[Profit]]/Table14[[#This Row],[Total_Sales]]</f>
        <v>0.15740667976424363</v>
      </c>
      <c r="P299" s="23">
        <f>DATE(YEAR(Table14[[#This Row],[Order_Date]]), MONTH(Table14[[#This Row],[Order_Date]]), 1)</f>
        <v>45689</v>
      </c>
      <c r="Q299" t="str">
        <f>_xlfn.XLOOKUP(Table14[[#This Row],[Product]],Product_Master!$B$2:$B$11,Product_Master!$D$2:$D$11)</f>
        <v>ClickTech</v>
      </c>
      <c r="R299" t="str">
        <f>_xlfn.XLOOKUP(Table14[[#This Row],[Product]],Product_Master!$B$2:$B$11,Product_Master!$E$2:$E$11)</f>
        <v>China</v>
      </c>
      <c r="S299">
        <f>_xlfn.XLOOKUP(Table14[[#This Row],[Product]],Product_Master!$B$2:$B$11,Product_Master!$F$2:$F$11)</f>
        <v>20</v>
      </c>
    </row>
    <row r="300" spans="1:19" x14ac:dyDescent="0.3">
      <c r="A300" t="s">
        <v>468</v>
      </c>
      <c r="B300" s="23" t="s">
        <v>17</v>
      </c>
      <c r="C300" t="s">
        <v>117</v>
      </c>
      <c r="D300" t="s">
        <v>91</v>
      </c>
      <c r="E300" t="s">
        <v>69</v>
      </c>
      <c r="F300" t="s">
        <v>59</v>
      </c>
      <c r="G300">
        <v>24</v>
      </c>
      <c r="H300" s="4">
        <v>19.53</v>
      </c>
      <c r="I300" s="8">
        <v>468.72</v>
      </c>
      <c r="J300">
        <v>14.12</v>
      </c>
      <c r="K300">
        <v>82.6</v>
      </c>
      <c r="L300" t="s">
        <v>22</v>
      </c>
      <c r="M300" t="s">
        <v>23</v>
      </c>
      <c r="N300" t="s">
        <v>66</v>
      </c>
      <c r="O300" s="5">
        <f>Table14[[#This Row],[Profit]]/Table14[[#This Row],[Total_Sales]]</f>
        <v>0.17622461170848266</v>
      </c>
      <c r="P300" s="23">
        <f>DATE(YEAR(Table14[[#This Row],[Order_Date]]), MONTH(Table14[[#This Row],[Order_Date]]), 1)</f>
        <v>45658</v>
      </c>
      <c r="Q300" t="str">
        <f>_xlfn.XLOOKUP(Table14[[#This Row],[Product]],Product_Master!$B$2:$B$11,Product_Master!$D$2:$D$11)</f>
        <v>Artisans Co.</v>
      </c>
      <c r="R300" t="str">
        <f>_xlfn.XLOOKUP(Table14[[#This Row],[Product]],Product_Master!$B$2:$B$11,Product_Master!$E$2:$E$11)</f>
        <v>India</v>
      </c>
      <c r="S300">
        <f>_xlfn.XLOOKUP(Table14[[#This Row],[Product]],Product_Master!$B$2:$B$11,Product_Master!$F$2:$F$11)</f>
        <v>15.5</v>
      </c>
    </row>
    <row r="301" spans="1:19" x14ac:dyDescent="0.3">
      <c r="A301" t="s">
        <v>469</v>
      </c>
      <c r="B301" s="23" t="s">
        <v>17</v>
      </c>
      <c r="C301" t="s">
        <v>27</v>
      </c>
      <c r="D301" t="s">
        <v>48</v>
      </c>
      <c r="E301" t="s">
        <v>73</v>
      </c>
      <c r="F301" t="s">
        <v>43</v>
      </c>
      <c r="G301">
        <v>28</v>
      </c>
      <c r="H301" s="4">
        <v>22.33</v>
      </c>
      <c r="I301" s="8">
        <v>625.24</v>
      </c>
      <c r="J301">
        <v>44.24</v>
      </c>
      <c r="K301">
        <v>224</v>
      </c>
      <c r="L301" t="s">
        <v>22</v>
      </c>
      <c r="M301" t="s">
        <v>23</v>
      </c>
      <c r="N301" t="s">
        <v>24</v>
      </c>
      <c r="O301" s="5">
        <f>Table14[[#This Row],[Profit]]/Table14[[#This Row],[Total_Sales]]</f>
        <v>0.35826242722794449</v>
      </c>
      <c r="P301" s="23">
        <f>DATE(YEAR(Table14[[#This Row],[Order_Date]]), MONTH(Table14[[#This Row],[Order_Date]]), 1)</f>
        <v>45658</v>
      </c>
      <c r="Q301" t="str">
        <f>_xlfn.XLOOKUP(Table14[[#This Row],[Product]],Product_Master!$B$2:$B$11,Product_Master!$D$2:$D$11)</f>
        <v>BrightHome</v>
      </c>
      <c r="R301" t="str">
        <f>_xlfn.XLOOKUP(Table14[[#This Row],[Product]],Product_Master!$B$2:$B$11,Product_Master!$E$2:$E$11)</f>
        <v>Vietnam</v>
      </c>
      <c r="S301">
        <f>_xlfn.XLOOKUP(Table14[[#This Row],[Product]],Product_Master!$B$2:$B$11,Product_Master!$F$2:$F$11)</f>
        <v>12.75</v>
      </c>
    </row>
    <row r="302" spans="1:19" x14ac:dyDescent="0.3">
      <c r="A302" t="s">
        <v>470</v>
      </c>
      <c r="B302" s="23" t="s">
        <v>132</v>
      </c>
      <c r="C302" t="s">
        <v>108</v>
      </c>
      <c r="D302" t="s">
        <v>36</v>
      </c>
      <c r="E302" t="s">
        <v>42</v>
      </c>
      <c r="F302" t="s">
        <v>43</v>
      </c>
      <c r="G302">
        <v>49</v>
      </c>
      <c r="H302" s="4">
        <v>39.31</v>
      </c>
      <c r="I302" s="8">
        <v>1926.19</v>
      </c>
      <c r="J302">
        <v>69.7</v>
      </c>
      <c r="K302">
        <v>288.49</v>
      </c>
      <c r="L302" t="s">
        <v>30</v>
      </c>
      <c r="M302" t="s">
        <v>23</v>
      </c>
      <c r="N302" t="s">
        <v>32</v>
      </c>
      <c r="O302" s="5">
        <f>Table14[[#This Row],[Profit]]/Table14[[#This Row],[Total_Sales]]</f>
        <v>0.14977234852221225</v>
      </c>
      <c r="P302" s="23">
        <f>DATE(YEAR(Table14[[#This Row],[Order_Date]]), MONTH(Table14[[#This Row],[Order_Date]]), 1)</f>
        <v>45597</v>
      </c>
      <c r="Q302" t="str">
        <f>_xlfn.XLOOKUP(Table14[[#This Row],[Product]],Product_Master!$B$2:$B$11,Product_Master!$D$2:$D$11)</f>
        <v>AudioTech Ltd.</v>
      </c>
      <c r="R302" t="str">
        <f>_xlfn.XLOOKUP(Table14[[#This Row],[Product]],Product_Master!$B$2:$B$11,Product_Master!$E$2:$E$11)</f>
        <v>China</v>
      </c>
      <c r="S302">
        <f>_xlfn.XLOOKUP(Table14[[#This Row],[Product]],Product_Master!$B$2:$B$11,Product_Master!$F$2:$F$11)</f>
        <v>32</v>
      </c>
    </row>
    <row r="303" spans="1:19" x14ac:dyDescent="0.3">
      <c r="A303" t="s">
        <v>471</v>
      </c>
      <c r="B303" s="23" t="s">
        <v>95</v>
      </c>
      <c r="C303" t="s">
        <v>202</v>
      </c>
      <c r="D303" t="s">
        <v>196</v>
      </c>
      <c r="E303" t="s">
        <v>69</v>
      </c>
      <c r="F303" t="s">
        <v>59</v>
      </c>
      <c r="G303">
        <v>6</v>
      </c>
      <c r="H303" s="4">
        <v>22.95</v>
      </c>
      <c r="I303" s="8">
        <v>137.69999999999999</v>
      </c>
      <c r="J303">
        <v>5.63</v>
      </c>
      <c r="K303">
        <v>39.07</v>
      </c>
      <c r="L303" t="s">
        <v>30</v>
      </c>
      <c r="M303" t="s">
        <v>31</v>
      </c>
      <c r="N303" t="s">
        <v>66</v>
      </c>
      <c r="O303" s="5">
        <f>Table14[[#This Row],[Profit]]/Table14[[#This Row],[Total_Sales]]</f>
        <v>0.28373275236020334</v>
      </c>
      <c r="P303" s="23">
        <f>DATE(YEAR(Table14[[#This Row],[Order_Date]]), MONTH(Table14[[#This Row],[Order_Date]]), 1)</f>
        <v>45474</v>
      </c>
      <c r="Q303" t="str">
        <f>_xlfn.XLOOKUP(Table14[[#This Row],[Product]],Product_Master!$B$2:$B$11,Product_Master!$D$2:$D$11)</f>
        <v>Artisans Co.</v>
      </c>
      <c r="R303" t="str">
        <f>_xlfn.XLOOKUP(Table14[[#This Row],[Product]],Product_Master!$B$2:$B$11,Product_Master!$E$2:$E$11)</f>
        <v>India</v>
      </c>
      <c r="S303">
        <f>_xlfn.XLOOKUP(Table14[[#This Row],[Product]],Product_Master!$B$2:$B$11,Product_Master!$F$2:$F$11)</f>
        <v>15.5</v>
      </c>
    </row>
    <row r="304" spans="1:19" x14ac:dyDescent="0.3">
      <c r="A304" t="s">
        <v>472</v>
      </c>
      <c r="B304" s="23" t="s">
        <v>56</v>
      </c>
      <c r="C304" t="s">
        <v>173</v>
      </c>
      <c r="D304" t="s">
        <v>53</v>
      </c>
      <c r="E304" t="s">
        <v>54</v>
      </c>
      <c r="F304" t="s">
        <v>43</v>
      </c>
      <c r="G304">
        <v>35</v>
      </c>
      <c r="H304" s="4">
        <v>27.72</v>
      </c>
      <c r="I304" s="8">
        <v>970.2</v>
      </c>
      <c r="J304">
        <v>61.74</v>
      </c>
      <c r="K304">
        <v>208.46</v>
      </c>
      <c r="L304" t="s">
        <v>22</v>
      </c>
      <c r="M304" t="s">
        <v>37</v>
      </c>
      <c r="N304" t="s">
        <v>24</v>
      </c>
      <c r="O304" s="5">
        <f>Table14[[#This Row],[Profit]]/Table14[[#This Row],[Total_Sales]]</f>
        <v>0.21486291486291487</v>
      </c>
      <c r="P304" s="23">
        <f>DATE(YEAR(Table14[[#This Row],[Order_Date]]), MONTH(Table14[[#This Row],[Order_Date]]), 1)</f>
        <v>45444</v>
      </c>
      <c r="Q304" t="str">
        <f>_xlfn.XLOOKUP(Table14[[#This Row],[Product]],Product_Master!$B$2:$B$11,Product_Master!$D$2:$D$11)</f>
        <v>ClickTech</v>
      </c>
      <c r="R304" t="str">
        <f>_xlfn.XLOOKUP(Table14[[#This Row],[Product]],Product_Master!$B$2:$B$11,Product_Master!$E$2:$E$11)</f>
        <v>China</v>
      </c>
      <c r="S304">
        <f>_xlfn.XLOOKUP(Table14[[#This Row],[Product]],Product_Master!$B$2:$B$11,Product_Master!$F$2:$F$11)</f>
        <v>20</v>
      </c>
    </row>
    <row r="305" spans="1:19" x14ac:dyDescent="0.3">
      <c r="A305" t="s">
        <v>473</v>
      </c>
      <c r="B305" s="23" t="s">
        <v>39</v>
      </c>
      <c r="C305" t="s">
        <v>164</v>
      </c>
      <c r="D305" t="s">
        <v>63</v>
      </c>
      <c r="E305" t="s">
        <v>49</v>
      </c>
      <c r="F305" t="s">
        <v>50</v>
      </c>
      <c r="G305">
        <v>34</v>
      </c>
      <c r="H305" s="4">
        <v>64.75</v>
      </c>
      <c r="I305" s="8">
        <v>2201.5</v>
      </c>
      <c r="J305">
        <v>68.05</v>
      </c>
      <c r="K305">
        <v>773.45</v>
      </c>
      <c r="L305" t="s">
        <v>44</v>
      </c>
      <c r="M305" t="s">
        <v>37</v>
      </c>
      <c r="N305" t="s">
        <v>66</v>
      </c>
      <c r="O305" s="5">
        <f>Table14[[#This Row],[Profit]]/Table14[[#This Row],[Total_Sales]]</f>
        <v>0.35132863956393368</v>
      </c>
      <c r="P305" s="23">
        <f>DATE(YEAR(Table14[[#This Row],[Order_Date]]), MONTH(Table14[[#This Row],[Order_Date]]), 1)</f>
        <v>45566</v>
      </c>
      <c r="Q305" t="str">
        <f>_xlfn.XLOOKUP(Table14[[#This Row],[Product]],Product_Master!$B$2:$B$11,Product_Master!$D$2:$D$11)</f>
        <v>BlueWear</v>
      </c>
      <c r="R305" t="str">
        <f>_xlfn.XLOOKUP(Table14[[#This Row],[Product]],Product_Master!$B$2:$B$11,Product_Master!$E$2:$E$11)</f>
        <v>Bangladesh</v>
      </c>
      <c r="S305">
        <f>_xlfn.XLOOKUP(Table14[[#This Row],[Product]],Product_Master!$B$2:$B$11,Product_Master!$F$2:$F$11)</f>
        <v>40</v>
      </c>
    </row>
    <row r="306" spans="1:19" x14ac:dyDescent="0.3">
      <c r="A306" t="s">
        <v>474</v>
      </c>
      <c r="B306" s="23" t="s">
        <v>75</v>
      </c>
      <c r="C306" t="s">
        <v>137</v>
      </c>
      <c r="D306" t="s">
        <v>147</v>
      </c>
      <c r="E306" t="s">
        <v>54</v>
      </c>
      <c r="F306" t="s">
        <v>43</v>
      </c>
      <c r="G306">
        <v>49</v>
      </c>
      <c r="H306" s="4">
        <v>26.02</v>
      </c>
      <c r="I306" s="8">
        <v>1274.98</v>
      </c>
      <c r="J306">
        <v>61.84</v>
      </c>
      <c r="K306">
        <v>233.14</v>
      </c>
      <c r="L306" t="s">
        <v>44</v>
      </c>
      <c r="M306" t="s">
        <v>31</v>
      </c>
      <c r="N306" t="s">
        <v>148</v>
      </c>
      <c r="O306" s="5">
        <f>Table14[[#This Row],[Profit]]/Table14[[#This Row],[Total_Sales]]</f>
        <v>0.18285777031796577</v>
      </c>
      <c r="P306" s="23">
        <f>DATE(YEAR(Table14[[#This Row],[Order_Date]]), MONTH(Table14[[#This Row],[Order_Date]]), 1)</f>
        <v>45748</v>
      </c>
      <c r="Q306" t="str">
        <f>_xlfn.XLOOKUP(Table14[[#This Row],[Product]],Product_Master!$B$2:$B$11,Product_Master!$D$2:$D$11)</f>
        <v>ClickTech</v>
      </c>
      <c r="R306" t="str">
        <f>_xlfn.XLOOKUP(Table14[[#This Row],[Product]],Product_Master!$B$2:$B$11,Product_Master!$E$2:$E$11)</f>
        <v>China</v>
      </c>
      <c r="S306">
        <f>_xlfn.XLOOKUP(Table14[[#This Row],[Product]],Product_Master!$B$2:$B$11,Product_Master!$F$2:$F$11)</f>
        <v>20</v>
      </c>
    </row>
    <row r="307" spans="1:19" x14ac:dyDescent="0.3">
      <c r="A307" t="s">
        <v>475</v>
      </c>
      <c r="B307" s="23" t="s">
        <v>78</v>
      </c>
      <c r="C307" t="s">
        <v>265</v>
      </c>
      <c r="D307" t="s">
        <v>41</v>
      </c>
      <c r="E307" t="s">
        <v>64</v>
      </c>
      <c r="F307" t="s">
        <v>65</v>
      </c>
      <c r="G307">
        <v>1</v>
      </c>
      <c r="H307" s="4">
        <v>32.979999999999997</v>
      </c>
      <c r="I307" s="8">
        <v>32.979999999999997</v>
      </c>
      <c r="J307">
        <v>1.89</v>
      </c>
      <c r="K307">
        <v>6.09</v>
      </c>
      <c r="L307" t="s">
        <v>44</v>
      </c>
      <c r="M307" t="s">
        <v>31</v>
      </c>
      <c r="N307" t="s">
        <v>45</v>
      </c>
      <c r="O307" s="5">
        <f>Table14[[#This Row],[Profit]]/Table14[[#This Row],[Total_Sales]]</f>
        <v>0.18465736810187994</v>
      </c>
      <c r="P307" s="23">
        <f>DATE(YEAR(Table14[[#This Row],[Order_Date]]), MONTH(Table14[[#This Row],[Order_Date]]), 1)</f>
        <v>45627</v>
      </c>
      <c r="Q307" t="str">
        <f>_xlfn.XLOOKUP(Table14[[#This Row],[Product]],Product_Master!$B$2:$B$11,Product_Master!$D$2:$D$11)</f>
        <v>SoftWeave</v>
      </c>
      <c r="R307" t="str">
        <f>_xlfn.XLOOKUP(Table14[[#This Row],[Product]],Product_Master!$B$2:$B$11,Product_Master!$E$2:$E$11)</f>
        <v>Turkey</v>
      </c>
      <c r="S307">
        <f>_xlfn.XLOOKUP(Table14[[#This Row],[Product]],Product_Master!$B$2:$B$11,Product_Master!$F$2:$F$11)</f>
        <v>25</v>
      </c>
    </row>
    <row r="308" spans="1:19" x14ac:dyDescent="0.3">
      <c r="A308" t="s">
        <v>476</v>
      </c>
      <c r="B308" s="23" t="s">
        <v>132</v>
      </c>
      <c r="C308" t="s">
        <v>334</v>
      </c>
      <c r="D308" t="s">
        <v>41</v>
      </c>
      <c r="E308" t="s">
        <v>73</v>
      </c>
      <c r="F308" t="s">
        <v>43</v>
      </c>
      <c r="G308">
        <v>18</v>
      </c>
      <c r="H308" s="4">
        <v>20.09</v>
      </c>
      <c r="I308" s="8">
        <v>361.62</v>
      </c>
      <c r="J308">
        <v>8.3800000000000008</v>
      </c>
      <c r="K308">
        <v>123.74</v>
      </c>
      <c r="L308" t="s">
        <v>22</v>
      </c>
      <c r="M308" t="s">
        <v>23</v>
      </c>
      <c r="N308" t="s">
        <v>45</v>
      </c>
      <c r="O308" s="5">
        <f>Table14[[#This Row],[Profit]]/Table14[[#This Row],[Total_Sales]]</f>
        <v>0.34218240141585088</v>
      </c>
      <c r="P308" s="23">
        <f>DATE(YEAR(Table14[[#This Row],[Order_Date]]), MONTH(Table14[[#This Row],[Order_Date]]), 1)</f>
        <v>45597</v>
      </c>
      <c r="Q308" t="str">
        <f>_xlfn.XLOOKUP(Table14[[#This Row],[Product]],Product_Master!$B$2:$B$11,Product_Master!$D$2:$D$11)</f>
        <v>BrightHome</v>
      </c>
      <c r="R308" t="str">
        <f>_xlfn.XLOOKUP(Table14[[#This Row],[Product]],Product_Master!$B$2:$B$11,Product_Master!$E$2:$E$11)</f>
        <v>Vietnam</v>
      </c>
      <c r="S308">
        <f>_xlfn.XLOOKUP(Table14[[#This Row],[Product]],Product_Master!$B$2:$B$11,Product_Master!$F$2:$F$11)</f>
        <v>12.75</v>
      </c>
    </row>
    <row r="309" spans="1:19" x14ac:dyDescent="0.3">
      <c r="A309" t="s">
        <v>477</v>
      </c>
      <c r="B309" s="23" t="s">
        <v>56</v>
      </c>
      <c r="C309" t="s">
        <v>185</v>
      </c>
      <c r="D309" t="s">
        <v>196</v>
      </c>
      <c r="E309" t="s">
        <v>20</v>
      </c>
      <c r="F309" t="s">
        <v>21</v>
      </c>
      <c r="G309">
        <v>39</v>
      </c>
      <c r="H309" s="4">
        <v>49.59</v>
      </c>
      <c r="I309" s="8">
        <v>1934.01</v>
      </c>
      <c r="J309">
        <v>62.79</v>
      </c>
      <c r="K309">
        <v>506.22</v>
      </c>
      <c r="L309" t="s">
        <v>30</v>
      </c>
      <c r="M309" t="s">
        <v>31</v>
      </c>
      <c r="N309" t="s">
        <v>66</v>
      </c>
      <c r="O309" s="5">
        <f>Table14[[#This Row],[Profit]]/Table14[[#This Row],[Total_Sales]]</f>
        <v>0.26174631982254487</v>
      </c>
      <c r="P309" s="23">
        <f>DATE(YEAR(Table14[[#This Row],[Order_Date]]), MONTH(Table14[[#This Row],[Order_Date]]), 1)</f>
        <v>45444</v>
      </c>
      <c r="Q309" t="str">
        <f>_xlfn.XLOOKUP(Table14[[#This Row],[Product]],Product_Master!$B$2:$B$11,Product_Master!$D$2:$D$11)</f>
        <v>CarryPro</v>
      </c>
      <c r="R309" t="str">
        <f>_xlfn.XLOOKUP(Table14[[#This Row],[Product]],Product_Master!$B$2:$B$11,Product_Master!$E$2:$E$11)</f>
        <v>Vietnam</v>
      </c>
      <c r="S309">
        <f>_xlfn.XLOOKUP(Table14[[#This Row],[Product]],Product_Master!$B$2:$B$11,Product_Master!$F$2:$F$11)</f>
        <v>35</v>
      </c>
    </row>
    <row r="310" spans="1:19" x14ac:dyDescent="0.3">
      <c r="A310" t="s">
        <v>478</v>
      </c>
      <c r="B310" s="23" t="s">
        <v>75</v>
      </c>
      <c r="C310" t="s">
        <v>310</v>
      </c>
      <c r="D310" t="s">
        <v>48</v>
      </c>
      <c r="E310" t="s">
        <v>42</v>
      </c>
      <c r="F310" t="s">
        <v>43</v>
      </c>
      <c r="G310">
        <v>6</v>
      </c>
      <c r="H310" s="4">
        <v>41.99</v>
      </c>
      <c r="I310" s="8">
        <v>251.94</v>
      </c>
      <c r="J310">
        <v>10.76</v>
      </c>
      <c r="K310">
        <v>49.18</v>
      </c>
      <c r="L310" t="s">
        <v>22</v>
      </c>
      <c r="M310" t="s">
        <v>23</v>
      </c>
      <c r="N310" t="s">
        <v>24</v>
      </c>
      <c r="O310" s="5">
        <f>Table14[[#This Row],[Profit]]/Table14[[#This Row],[Total_Sales]]</f>
        <v>0.19520520758910853</v>
      </c>
      <c r="P310" s="23">
        <f>DATE(YEAR(Table14[[#This Row],[Order_Date]]), MONTH(Table14[[#This Row],[Order_Date]]), 1)</f>
        <v>45748</v>
      </c>
      <c r="Q310" t="str">
        <f>_xlfn.XLOOKUP(Table14[[#This Row],[Product]],Product_Master!$B$2:$B$11,Product_Master!$D$2:$D$11)</f>
        <v>AudioTech Ltd.</v>
      </c>
      <c r="R310" t="str">
        <f>_xlfn.XLOOKUP(Table14[[#This Row],[Product]],Product_Master!$B$2:$B$11,Product_Master!$E$2:$E$11)</f>
        <v>China</v>
      </c>
      <c r="S310">
        <f>_xlfn.XLOOKUP(Table14[[#This Row],[Product]],Product_Master!$B$2:$B$11,Product_Master!$F$2:$F$11)</f>
        <v>32</v>
      </c>
    </row>
    <row r="311" spans="1:19" x14ac:dyDescent="0.3">
      <c r="A311" t="s">
        <v>479</v>
      </c>
      <c r="B311" s="23" t="s">
        <v>107</v>
      </c>
      <c r="C311" t="s">
        <v>79</v>
      </c>
      <c r="D311" t="s">
        <v>81</v>
      </c>
      <c r="E311" t="s">
        <v>20</v>
      </c>
      <c r="F311" t="s">
        <v>21</v>
      </c>
      <c r="G311">
        <v>12</v>
      </c>
      <c r="H311" s="4">
        <v>47.4</v>
      </c>
      <c r="I311" s="8">
        <v>568.79999999999995</v>
      </c>
      <c r="J311">
        <v>23.31</v>
      </c>
      <c r="K311">
        <v>125.49</v>
      </c>
      <c r="L311" t="s">
        <v>44</v>
      </c>
      <c r="M311" t="s">
        <v>23</v>
      </c>
      <c r="N311" t="s">
        <v>66</v>
      </c>
      <c r="O311" s="5">
        <f>Table14[[#This Row],[Profit]]/Table14[[#This Row],[Total_Sales]]</f>
        <v>0.22062236286919831</v>
      </c>
      <c r="P311" s="23">
        <f>DATE(YEAR(Table14[[#This Row],[Order_Date]]), MONTH(Table14[[#This Row],[Order_Date]]), 1)</f>
        <v>45413</v>
      </c>
      <c r="Q311" t="str">
        <f>_xlfn.XLOOKUP(Table14[[#This Row],[Product]],Product_Master!$B$2:$B$11,Product_Master!$D$2:$D$11)</f>
        <v>CarryPro</v>
      </c>
      <c r="R311" t="str">
        <f>_xlfn.XLOOKUP(Table14[[#This Row],[Product]],Product_Master!$B$2:$B$11,Product_Master!$E$2:$E$11)</f>
        <v>Vietnam</v>
      </c>
      <c r="S311">
        <f>_xlfn.XLOOKUP(Table14[[#This Row],[Product]],Product_Master!$B$2:$B$11,Product_Master!$F$2:$F$11)</f>
        <v>35</v>
      </c>
    </row>
    <row r="312" spans="1:19" x14ac:dyDescent="0.3">
      <c r="A312" t="s">
        <v>480</v>
      </c>
      <c r="B312" s="23" t="s">
        <v>95</v>
      </c>
      <c r="C312" t="s">
        <v>268</v>
      </c>
      <c r="D312" t="s">
        <v>88</v>
      </c>
      <c r="E312" t="s">
        <v>54</v>
      </c>
      <c r="F312" t="s">
        <v>43</v>
      </c>
      <c r="G312">
        <v>50</v>
      </c>
      <c r="H312" s="4">
        <v>34.28</v>
      </c>
      <c r="I312" s="8">
        <v>1714</v>
      </c>
      <c r="J312">
        <v>59.84</v>
      </c>
      <c r="K312">
        <v>654.16</v>
      </c>
      <c r="L312" t="s">
        <v>22</v>
      </c>
      <c r="M312" t="s">
        <v>23</v>
      </c>
      <c r="N312" t="s">
        <v>66</v>
      </c>
      <c r="O312" s="5">
        <f>Table14[[#This Row],[Profit]]/Table14[[#This Row],[Total_Sales]]</f>
        <v>0.38165694282380397</v>
      </c>
      <c r="P312" s="23">
        <f>DATE(YEAR(Table14[[#This Row],[Order_Date]]), MONTH(Table14[[#This Row],[Order_Date]]), 1)</f>
        <v>45474</v>
      </c>
      <c r="Q312" t="str">
        <f>_xlfn.XLOOKUP(Table14[[#This Row],[Product]],Product_Master!$B$2:$B$11,Product_Master!$D$2:$D$11)</f>
        <v>ClickTech</v>
      </c>
      <c r="R312" t="str">
        <f>_xlfn.XLOOKUP(Table14[[#This Row],[Product]],Product_Master!$B$2:$B$11,Product_Master!$E$2:$E$11)</f>
        <v>China</v>
      </c>
      <c r="S312">
        <f>_xlfn.XLOOKUP(Table14[[#This Row],[Product]],Product_Master!$B$2:$B$11,Product_Master!$F$2:$F$11)</f>
        <v>20</v>
      </c>
    </row>
    <row r="313" spans="1:19" x14ac:dyDescent="0.3">
      <c r="A313" t="s">
        <v>481</v>
      </c>
      <c r="B313" s="23" t="s">
        <v>104</v>
      </c>
      <c r="C313" t="s">
        <v>223</v>
      </c>
      <c r="D313" t="s">
        <v>101</v>
      </c>
      <c r="E313" t="s">
        <v>29</v>
      </c>
      <c r="F313" t="s">
        <v>21</v>
      </c>
      <c r="G313">
        <v>50</v>
      </c>
      <c r="H313" s="4">
        <v>29.39</v>
      </c>
      <c r="I313" s="8">
        <v>1469.5</v>
      </c>
      <c r="J313">
        <v>101.51</v>
      </c>
      <c r="K313">
        <v>467.99</v>
      </c>
      <c r="L313" t="s">
        <v>44</v>
      </c>
      <c r="M313" t="s">
        <v>37</v>
      </c>
      <c r="N313" t="s">
        <v>102</v>
      </c>
      <c r="O313" s="5">
        <f>Table14[[#This Row],[Profit]]/Table14[[#This Row],[Total_Sales]]</f>
        <v>0.31846886696155158</v>
      </c>
      <c r="P313" s="23">
        <f>DATE(YEAR(Table14[[#This Row],[Order_Date]]), MONTH(Table14[[#This Row],[Order_Date]]), 1)</f>
        <v>45717</v>
      </c>
      <c r="Q313" t="str">
        <f>_xlfn.XLOOKUP(Table14[[#This Row],[Product]],Product_Master!$B$2:$B$11,Product_Master!$D$2:$D$11)</f>
        <v>CraftLine</v>
      </c>
      <c r="R313" t="str">
        <f>_xlfn.XLOOKUP(Table14[[#This Row],[Product]],Product_Master!$B$2:$B$11,Product_Master!$E$2:$E$11)</f>
        <v>Italy</v>
      </c>
      <c r="S313">
        <f>_xlfn.XLOOKUP(Table14[[#This Row],[Product]],Product_Master!$B$2:$B$11,Product_Master!$F$2:$F$11)</f>
        <v>18</v>
      </c>
    </row>
    <row r="314" spans="1:19" x14ac:dyDescent="0.3">
      <c r="A314" t="s">
        <v>482</v>
      </c>
      <c r="B314" s="23" t="s">
        <v>71</v>
      </c>
      <c r="C314" t="s">
        <v>130</v>
      </c>
      <c r="D314" t="s">
        <v>41</v>
      </c>
      <c r="E314" t="s">
        <v>29</v>
      </c>
      <c r="F314" t="s">
        <v>21</v>
      </c>
      <c r="G314">
        <v>46</v>
      </c>
      <c r="H314" s="4">
        <v>30.34</v>
      </c>
      <c r="I314" s="8">
        <v>1395.64</v>
      </c>
      <c r="J314">
        <v>104.2</v>
      </c>
      <c r="K314">
        <v>463.44</v>
      </c>
      <c r="L314" t="s">
        <v>22</v>
      </c>
      <c r="M314" t="s">
        <v>31</v>
      </c>
      <c r="N314" t="s">
        <v>45</v>
      </c>
      <c r="O314" s="5">
        <f>Table14[[#This Row],[Profit]]/Table14[[#This Row],[Total_Sales]]</f>
        <v>0.33206270958126732</v>
      </c>
      <c r="P314" s="23">
        <f>DATE(YEAR(Table14[[#This Row],[Order_Date]]), MONTH(Table14[[#This Row],[Order_Date]]), 1)</f>
        <v>45505</v>
      </c>
      <c r="Q314" t="str">
        <f>_xlfn.XLOOKUP(Table14[[#This Row],[Product]],Product_Master!$B$2:$B$11,Product_Master!$D$2:$D$11)</f>
        <v>CraftLine</v>
      </c>
      <c r="R314" t="str">
        <f>_xlfn.XLOOKUP(Table14[[#This Row],[Product]],Product_Master!$B$2:$B$11,Product_Master!$E$2:$E$11)</f>
        <v>Italy</v>
      </c>
      <c r="S314">
        <f>_xlfn.XLOOKUP(Table14[[#This Row],[Product]],Product_Master!$B$2:$B$11,Product_Master!$F$2:$F$11)</f>
        <v>18</v>
      </c>
    </row>
    <row r="315" spans="1:19" x14ac:dyDescent="0.3">
      <c r="A315" t="s">
        <v>483</v>
      </c>
      <c r="B315" s="23" t="s">
        <v>86</v>
      </c>
      <c r="C315" t="s">
        <v>484</v>
      </c>
      <c r="D315" t="s">
        <v>81</v>
      </c>
      <c r="E315" t="s">
        <v>73</v>
      </c>
      <c r="F315" t="s">
        <v>43</v>
      </c>
      <c r="G315">
        <v>50</v>
      </c>
      <c r="H315" s="4">
        <v>18.809999999999999</v>
      </c>
      <c r="I315" s="8">
        <v>940.5</v>
      </c>
      <c r="J315">
        <v>40.25</v>
      </c>
      <c r="K315">
        <v>262.75</v>
      </c>
      <c r="L315" t="s">
        <v>30</v>
      </c>
      <c r="M315" t="s">
        <v>31</v>
      </c>
      <c r="N315" t="s">
        <v>66</v>
      </c>
      <c r="O315" s="5">
        <f>Table14[[#This Row],[Profit]]/Table14[[#This Row],[Total_Sales]]</f>
        <v>0.27937267410951622</v>
      </c>
      <c r="P315" s="23">
        <f>DATE(YEAR(Table14[[#This Row],[Order_Date]]), MONTH(Table14[[#This Row],[Order_Date]]), 1)</f>
        <v>45352</v>
      </c>
      <c r="Q315" t="str">
        <f>_xlfn.XLOOKUP(Table14[[#This Row],[Product]],Product_Master!$B$2:$B$11,Product_Master!$D$2:$D$11)</f>
        <v>BrightHome</v>
      </c>
      <c r="R315" t="str">
        <f>_xlfn.XLOOKUP(Table14[[#This Row],[Product]],Product_Master!$B$2:$B$11,Product_Master!$E$2:$E$11)</f>
        <v>Vietnam</v>
      </c>
      <c r="S315">
        <f>_xlfn.XLOOKUP(Table14[[#This Row],[Product]],Product_Master!$B$2:$B$11,Product_Master!$F$2:$F$11)</f>
        <v>12.75</v>
      </c>
    </row>
    <row r="316" spans="1:19" x14ac:dyDescent="0.3">
      <c r="A316" t="s">
        <v>485</v>
      </c>
      <c r="B316" s="23" t="s">
        <v>95</v>
      </c>
      <c r="C316" t="s">
        <v>223</v>
      </c>
      <c r="D316" t="s">
        <v>147</v>
      </c>
      <c r="E316" t="s">
        <v>58</v>
      </c>
      <c r="F316" t="s">
        <v>59</v>
      </c>
      <c r="G316">
        <v>2</v>
      </c>
      <c r="H316" s="4">
        <v>29.64</v>
      </c>
      <c r="I316" s="8">
        <v>59.28</v>
      </c>
      <c r="J316">
        <v>4.59</v>
      </c>
      <c r="K316">
        <v>9.69</v>
      </c>
      <c r="L316" t="s">
        <v>30</v>
      </c>
      <c r="M316" t="s">
        <v>37</v>
      </c>
      <c r="N316" t="s">
        <v>148</v>
      </c>
      <c r="O316" s="5">
        <f>Table14[[#This Row],[Profit]]/Table14[[#This Row],[Total_Sales]]</f>
        <v>0.16346153846153846</v>
      </c>
      <c r="P316" s="23">
        <f>DATE(YEAR(Table14[[#This Row],[Order_Date]]), MONTH(Table14[[#This Row],[Order_Date]]), 1)</f>
        <v>45474</v>
      </c>
      <c r="Q316" t="str">
        <f>_xlfn.XLOOKUP(Table14[[#This Row],[Product]],Product_Master!$B$2:$B$11,Product_Master!$D$2:$D$11)</f>
        <v>ClearCraft</v>
      </c>
      <c r="R316" t="str">
        <f>_xlfn.XLOOKUP(Table14[[#This Row],[Product]],Product_Master!$B$2:$B$11,Product_Master!$E$2:$E$11)</f>
        <v>India</v>
      </c>
      <c r="S316">
        <f>_xlfn.XLOOKUP(Table14[[#This Row],[Product]],Product_Master!$B$2:$B$11,Product_Master!$F$2:$F$11)</f>
        <v>22.5</v>
      </c>
    </row>
    <row r="317" spans="1:19" x14ac:dyDescent="0.3">
      <c r="A317" t="s">
        <v>486</v>
      </c>
      <c r="B317" s="23" t="s">
        <v>157</v>
      </c>
      <c r="C317" t="s">
        <v>383</v>
      </c>
      <c r="D317" t="s">
        <v>81</v>
      </c>
      <c r="E317" t="s">
        <v>58</v>
      </c>
      <c r="F317" t="s">
        <v>59</v>
      </c>
      <c r="G317">
        <v>48</v>
      </c>
      <c r="H317" s="4">
        <v>27.9</v>
      </c>
      <c r="I317" s="8">
        <v>1339.2</v>
      </c>
      <c r="J317">
        <v>66.31</v>
      </c>
      <c r="K317">
        <v>192.89</v>
      </c>
      <c r="L317" t="s">
        <v>30</v>
      </c>
      <c r="M317" t="s">
        <v>37</v>
      </c>
      <c r="N317" t="s">
        <v>66</v>
      </c>
      <c r="O317" s="5">
        <f>Table14[[#This Row],[Profit]]/Table14[[#This Row],[Total_Sales]]</f>
        <v>0.1440337514934289</v>
      </c>
      <c r="P317" s="23">
        <f>DATE(YEAR(Table14[[#This Row],[Order_Date]]), MONTH(Table14[[#This Row],[Order_Date]]), 1)</f>
        <v>45292</v>
      </c>
      <c r="Q317" t="str">
        <f>_xlfn.XLOOKUP(Table14[[#This Row],[Product]],Product_Master!$B$2:$B$11,Product_Master!$D$2:$D$11)</f>
        <v>ClearCraft</v>
      </c>
      <c r="R317" t="str">
        <f>_xlfn.XLOOKUP(Table14[[#This Row],[Product]],Product_Master!$B$2:$B$11,Product_Master!$E$2:$E$11)</f>
        <v>India</v>
      </c>
      <c r="S317">
        <f>_xlfn.XLOOKUP(Table14[[#This Row],[Product]],Product_Master!$B$2:$B$11,Product_Master!$F$2:$F$11)</f>
        <v>22.5</v>
      </c>
    </row>
    <row r="318" spans="1:19" x14ac:dyDescent="0.3">
      <c r="A318" t="s">
        <v>487</v>
      </c>
      <c r="B318" s="23" t="s">
        <v>78</v>
      </c>
      <c r="C318" t="s">
        <v>312</v>
      </c>
      <c r="D318" t="s">
        <v>123</v>
      </c>
      <c r="E318" t="s">
        <v>64</v>
      </c>
      <c r="F318" t="s">
        <v>65</v>
      </c>
      <c r="G318">
        <v>28</v>
      </c>
      <c r="H318" s="4">
        <v>38.520000000000003</v>
      </c>
      <c r="I318" s="8">
        <v>1078.56</v>
      </c>
      <c r="J318">
        <v>64.510000000000005</v>
      </c>
      <c r="K318">
        <v>314.05</v>
      </c>
      <c r="L318" t="s">
        <v>22</v>
      </c>
      <c r="M318" t="s">
        <v>31</v>
      </c>
      <c r="N318" t="s">
        <v>32</v>
      </c>
      <c r="O318" s="5">
        <f>Table14[[#This Row],[Profit]]/Table14[[#This Row],[Total_Sales]]</f>
        <v>0.29117527073134553</v>
      </c>
      <c r="P318" s="23">
        <f>DATE(YEAR(Table14[[#This Row],[Order_Date]]), MONTH(Table14[[#This Row],[Order_Date]]), 1)</f>
        <v>45627</v>
      </c>
      <c r="Q318" t="str">
        <f>_xlfn.XLOOKUP(Table14[[#This Row],[Product]],Product_Master!$B$2:$B$11,Product_Master!$D$2:$D$11)</f>
        <v>SoftWeave</v>
      </c>
      <c r="R318" t="str">
        <f>_xlfn.XLOOKUP(Table14[[#This Row],[Product]],Product_Master!$B$2:$B$11,Product_Master!$E$2:$E$11)</f>
        <v>Turkey</v>
      </c>
      <c r="S318">
        <f>_xlfn.XLOOKUP(Table14[[#This Row],[Product]],Product_Master!$B$2:$B$11,Product_Master!$F$2:$F$11)</f>
        <v>25</v>
      </c>
    </row>
    <row r="319" spans="1:19" x14ac:dyDescent="0.3">
      <c r="A319" t="s">
        <v>488</v>
      </c>
      <c r="B319" s="23" t="s">
        <v>86</v>
      </c>
      <c r="C319" t="s">
        <v>200</v>
      </c>
      <c r="D319" t="s">
        <v>28</v>
      </c>
      <c r="E319" t="s">
        <v>58</v>
      </c>
      <c r="F319" t="s">
        <v>59</v>
      </c>
      <c r="G319">
        <v>11</v>
      </c>
      <c r="H319" s="4">
        <v>31.08</v>
      </c>
      <c r="I319" s="8">
        <v>341.88</v>
      </c>
      <c r="J319">
        <v>17.18</v>
      </c>
      <c r="K319">
        <v>77.2</v>
      </c>
      <c r="L319" t="s">
        <v>44</v>
      </c>
      <c r="M319" t="s">
        <v>37</v>
      </c>
      <c r="N319" t="s">
        <v>32</v>
      </c>
      <c r="O319" s="5">
        <f>Table14[[#This Row],[Profit]]/Table14[[#This Row],[Total_Sales]]</f>
        <v>0.22581022581022583</v>
      </c>
      <c r="P319" s="23">
        <f>DATE(YEAR(Table14[[#This Row],[Order_Date]]), MONTH(Table14[[#This Row],[Order_Date]]), 1)</f>
        <v>45352</v>
      </c>
      <c r="Q319" t="str">
        <f>_xlfn.XLOOKUP(Table14[[#This Row],[Product]],Product_Master!$B$2:$B$11,Product_Master!$D$2:$D$11)</f>
        <v>ClearCraft</v>
      </c>
      <c r="R319" t="str">
        <f>_xlfn.XLOOKUP(Table14[[#This Row],[Product]],Product_Master!$B$2:$B$11,Product_Master!$E$2:$E$11)</f>
        <v>India</v>
      </c>
      <c r="S319">
        <f>_xlfn.XLOOKUP(Table14[[#This Row],[Product]],Product_Master!$B$2:$B$11,Product_Master!$F$2:$F$11)</f>
        <v>22.5</v>
      </c>
    </row>
    <row r="320" spans="1:19" x14ac:dyDescent="0.3">
      <c r="A320" t="s">
        <v>489</v>
      </c>
      <c r="B320" s="23" t="s">
        <v>39</v>
      </c>
      <c r="C320" t="s">
        <v>265</v>
      </c>
      <c r="D320" t="s">
        <v>53</v>
      </c>
      <c r="E320" t="s">
        <v>54</v>
      </c>
      <c r="F320" t="s">
        <v>43</v>
      </c>
      <c r="G320">
        <v>42</v>
      </c>
      <c r="H320" s="4">
        <v>25.95</v>
      </c>
      <c r="I320" s="8">
        <v>1089.9000000000001</v>
      </c>
      <c r="J320">
        <v>27.5</v>
      </c>
      <c r="K320">
        <v>222.4</v>
      </c>
      <c r="L320" t="s">
        <v>44</v>
      </c>
      <c r="M320" t="s">
        <v>37</v>
      </c>
      <c r="N320" t="s">
        <v>24</v>
      </c>
      <c r="O320" s="5">
        <f>Table14[[#This Row],[Profit]]/Table14[[#This Row],[Total_Sales]]</f>
        <v>0.2040554179282503</v>
      </c>
      <c r="P320" s="23">
        <f>DATE(YEAR(Table14[[#This Row],[Order_Date]]), MONTH(Table14[[#This Row],[Order_Date]]), 1)</f>
        <v>45566</v>
      </c>
      <c r="Q320" t="str">
        <f>_xlfn.XLOOKUP(Table14[[#This Row],[Product]],Product_Master!$B$2:$B$11,Product_Master!$D$2:$D$11)</f>
        <v>ClickTech</v>
      </c>
      <c r="R320" t="str">
        <f>_xlfn.XLOOKUP(Table14[[#This Row],[Product]],Product_Master!$B$2:$B$11,Product_Master!$E$2:$E$11)</f>
        <v>China</v>
      </c>
      <c r="S320">
        <f>_xlfn.XLOOKUP(Table14[[#This Row],[Product]],Product_Master!$B$2:$B$11,Product_Master!$F$2:$F$11)</f>
        <v>20</v>
      </c>
    </row>
    <row r="321" spans="1:19" x14ac:dyDescent="0.3">
      <c r="A321" t="s">
        <v>490</v>
      </c>
      <c r="B321" s="23" t="s">
        <v>71</v>
      </c>
      <c r="C321" t="s">
        <v>418</v>
      </c>
      <c r="D321" t="s">
        <v>81</v>
      </c>
      <c r="E321" t="s">
        <v>64</v>
      </c>
      <c r="F321" t="s">
        <v>65</v>
      </c>
      <c r="G321">
        <v>30</v>
      </c>
      <c r="H321" s="4">
        <v>30.16</v>
      </c>
      <c r="I321" s="8">
        <v>904.8</v>
      </c>
      <c r="J321">
        <v>70.13</v>
      </c>
      <c r="K321">
        <v>84.67</v>
      </c>
      <c r="L321" t="s">
        <v>30</v>
      </c>
      <c r="M321" t="s">
        <v>23</v>
      </c>
      <c r="N321" t="s">
        <v>66</v>
      </c>
      <c r="O321" s="5">
        <f>Table14[[#This Row],[Profit]]/Table14[[#This Row],[Total_Sales]]</f>
        <v>9.3578691423519017E-2</v>
      </c>
      <c r="P321" s="23">
        <f>DATE(YEAR(Table14[[#This Row],[Order_Date]]), MONTH(Table14[[#This Row],[Order_Date]]), 1)</f>
        <v>45505</v>
      </c>
      <c r="Q321" t="str">
        <f>_xlfn.XLOOKUP(Table14[[#This Row],[Product]],Product_Master!$B$2:$B$11,Product_Master!$D$2:$D$11)</f>
        <v>SoftWeave</v>
      </c>
      <c r="R321" t="str">
        <f>_xlfn.XLOOKUP(Table14[[#This Row],[Product]],Product_Master!$B$2:$B$11,Product_Master!$E$2:$E$11)</f>
        <v>Turkey</v>
      </c>
      <c r="S321">
        <f>_xlfn.XLOOKUP(Table14[[#This Row],[Product]],Product_Master!$B$2:$B$11,Product_Master!$F$2:$F$11)</f>
        <v>25</v>
      </c>
    </row>
    <row r="322" spans="1:19" x14ac:dyDescent="0.3">
      <c r="A322" t="s">
        <v>491</v>
      </c>
      <c r="B322" s="23" t="s">
        <v>95</v>
      </c>
      <c r="C322" t="s">
        <v>492</v>
      </c>
      <c r="D322" t="s">
        <v>41</v>
      </c>
      <c r="E322" t="s">
        <v>54</v>
      </c>
      <c r="F322" t="s">
        <v>43</v>
      </c>
      <c r="G322">
        <v>40</v>
      </c>
      <c r="H322" s="4">
        <v>30.03</v>
      </c>
      <c r="I322" s="8">
        <v>1201.2</v>
      </c>
      <c r="J322">
        <v>71.97</v>
      </c>
      <c r="K322">
        <v>329.23</v>
      </c>
      <c r="L322" t="s">
        <v>30</v>
      </c>
      <c r="M322" t="s">
        <v>23</v>
      </c>
      <c r="N322" t="s">
        <v>45</v>
      </c>
      <c r="O322" s="5">
        <f>Table14[[#This Row],[Profit]]/Table14[[#This Row],[Total_Sales]]</f>
        <v>0.27408424908424911</v>
      </c>
      <c r="P322" s="23">
        <f>DATE(YEAR(Table14[[#This Row],[Order_Date]]), MONTH(Table14[[#This Row],[Order_Date]]), 1)</f>
        <v>45474</v>
      </c>
      <c r="Q322" t="str">
        <f>_xlfn.XLOOKUP(Table14[[#This Row],[Product]],Product_Master!$B$2:$B$11,Product_Master!$D$2:$D$11)</f>
        <v>ClickTech</v>
      </c>
      <c r="R322" t="str">
        <f>_xlfn.XLOOKUP(Table14[[#This Row],[Product]],Product_Master!$B$2:$B$11,Product_Master!$E$2:$E$11)</f>
        <v>China</v>
      </c>
      <c r="S322">
        <f>_xlfn.XLOOKUP(Table14[[#This Row],[Product]],Product_Master!$B$2:$B$11,Product_Master!$F$2:$F$11)</f>
        <v>20</v>
      </c>
    </row>
    <row r="323" spans="1:19" x14ac:dyDescent="0.3">
      <c r="A323" t="s">
        <v>493</v>
      </c>
      <c r="B323" s="23" t="s">
        <v>39</v>
      </c>
      <c r="C323" t="s">
        <v>117</v>
      </c>
      <c r="D323" t="s">
        <v>101</v>
      </c>
      <c r="E323" t="s">
        <v>54</v>
      </c>
      <c r="F323" t="s">
        <v>43</v>
      </c>
      <c r="G323">
        <v>15</v>
      </c>
      <c r="H323" s="4">
        <v>27.12</v>
      </c>
      <c r="I323" s="8">
        <v>406.8</v>
      </c>
      <c r="J323">
        <v>24.28</v>
      </c>
      <c r="K323">
        <v>82.52</v>
      </c>
      <c r="L323" t="s">
        <v>30</v>
      </c>
      <c r="M323" t="s">
        <v>31</v>
      </c>
      <c r="N323" t="s">
        <v>102</v>
      </c>
      <c r="O323" s="5">
        <f>Table14[[#This Row],[Profit]]/Table14[[#This Row],[Total_Sales]]</f>
        <v>0.20285152409046212</v>
      </c>
      <c r="P323" s="23">
        <f>DATE(YEAR(Table14[[#This Row],[Order_Date]]), MONTH(Table14[[#This Row],[Order_Date]]), 1)</f>
        <v>45566</v>
      </c>
      <c r="Q323" t="str">
        <f>_xlfn.XLOOKUP(Table14[[#This Row],[Product]],Product_Master!$B$2:$B$11,Product_Master!$D$2:$D$11)</f>
        <v>ClickTech</v>
      </c>
      <c r="R323" t="str">
        <f>_xlfn.XLOOKUP(Table14[[#This Row],[Product]],Product_Master!$B$2:$B$11,Product_Master!$E$2:$E$11)</f>
        <v>China</v>
      </c>
      <c r="S323">
        <f>_xlfn.XLOOKUP(Table14[[#This Row],[Product]],Product_Master!$B$2:$B$11,Product_Master!$F$2:$F$11)</f>
        <v>20</v>
      </c>
    </row>
    <row r="324" spans="1:19" x14ac:dyDescent="0.3">
      <c r="A324" t="s">
        <v>494</v>
      </c>
      <c r="B324" s="23" t="s">
        <v>39</v>
      </c>
      <c r="C324" t="s">
        <v>180</v>
      </c>
      <c r="D324" t="s">
        <v>123</v>
      </c>
      <c r="E324" t="s">
        <v>73</v>
      </c>
      <c r="F324" t="s">
        <v>43</v>
      </c>
      <c r="G324">
        <v>35</v>
      </c>
      <c r="H324" s="4">
        <v>18.350000000000001</v>
      </c>
      <c r="I324" s="8">
        <v>642.25</v>
      </c>
      <c r="J324">
        <v>29.35</v>
      </c>
      <c r="K324">
        <v>166.65</v>
      </c>
      <c r="L324" t="s">
        <v>22</v>
      </c>
      <c r="M324" t="s">
        <v>31</v>
      </c>
      <c r="N324" t="s">
        <v>32</v>
      </c>
      <c r="O324" s="5">
        <f>Table14[[#This Row],[Profit]]/Table14[[#This Row],[Total_Sales]]</f>
        <v>0.2594783962631374</v>
      </c>
      <c r="P324" s="23">
        <f>DATE(YEAR(Table14[[#This Row],[Order_Date]]), MONTH(Table14[[#This Row],[Order_Date]]), 1)</f>
        <v>45566</v>
      </c>
      <c r="Q324" t="str">
        <f>_xlfn.XLOOKUP(Table14[[#This Row],[Product]],Product_Master!$B$2:$B$11,Product_Master!$D$2:$D$11)</f>
        <v>BrightHome</v>
      </c>
      <c r="R324" t="str">
        <f>_xlfn.XLOOKUP(Table14[[#This Row],[Product]],Product_Master!$B$2:$B$11,Product_Master!$E$2:$E$11)</f>
        <v>Vietnam</v>
      </c>
      <c r="S324">
        <f>_xlfn.XLOOKUP(Table14[[#This Row],[Product]],Product_Master!$B$2:$B$11,Product_Master!$F$2:$F$11)</f>
        <v>12.75</v>
      </c>
    </row>
    <row r="325" spans="1:19" x14ac:dyDescent="0.3">
      <c r="A325" t="s">
        <v>495</v>
      </c>
      <c r="B325" s="23" t="s">
        <v>56</v>
      </c>
      <c r="C325" t="s">
        <v>429</v>
      </c>
      <c r="D325" t="s">
        <v>101</v>
      </c>
      <c r="E325" t="s">
        <v>20</v>
      </c>
      <c r="F325" t="s">
        <v>21</v>
      </c>
      <c r="G325">
        <v>21</v>
      </c>
      <c r="H325" s="4">
        <v>52.59</v>
      </c>
      <c r="I325" s="8">
        <v>1104.3900000000001</v>
      </c>
      <c r="J325">
        <v>57.06</v>
      </c>
      <c r="K325">
        <v>312.33</v>
      </c>
      <c r="L325" t="s">
        <v>30</v>
      </c>
      <c r="M325" t="s">
        <v>31</v>
      </c>
      <c r="N325" t="s">
        <v>102</v>
      </c>
      <c r="O325" s="5">
        <f>Table14[[#This Row],[Profit]]/Table14[[#This Row],[Total_Sales]]</f>
        <v>0.28280770380028791</v>
      </c>
      <c r="P325" s="23">
        <f>DATE(YEAR(Table14[[#This Row],[Order_Date]]), MONTH(Table14[[#This Row],[Order_Date]]), 1)</f>
        <v>45444</v>
      </c>
      <c r="Q325" t="str">
        <f>_xlfn.XLOOKUP(Table14[[#This Row],[Product]],Product_Master!$B$2:$B$11,Product_Master!$D$2:$D$11)</f>
        <v>CarryPro</v>
      </c>
      <c r="R325" t="str">
        <f>_xlfn.XLOOKUP(Table14[[#This Row],[Product]],Product_Master!$B$2:$B$11,Product_Master!$E$2:$E$11)</f>
        <v>Vietnam</v>
      </c>
      <c r="S325">
        <f>_xlfn.XLOOKUP(Table14[[#This Row],[Product]],Product_Master!$B$2:$B$11,Product_Master!$F$2:$F$11)</f>
        <v>35</v>
      </c>
    </row>
    <row r="326" spans="1:19" x14ac:dyDescent="0.3">
      <c r="A326" t="s">
        <v>496</v>
      </c>
      <c r="B326" s="23" t="s">
        <v>68</v>
      </c>
      <c r="C326" t="s">
        <v>383</v>
      </c>
      <c r="D326" t="s">
        <v>63</v>
      </c>
      <c r="E326" t="s">
        <v>98</v>
      </c>
      <c r="F326" t="s">
        <v>59</v>
      </c>
      <c r="G326">
        <v>10</v>
      </c>
      <c r="H326" s="4">
        <v>44.2</v>
      </c>
      <c r="I326" s="8">
        <v>442</v>
      </c>
      <c r="J326">
        <v>18.45</v>
      </c>
      <c r="K326">
        <v>143.55000000000001</v>
      </c>
      <c r="L326" t="s">
        <v>22</v>
      </c>
      <c r="M326" t="s">
        <v>23</v>
      </c>
      <c r="N326" t="s">
        <v>66</v>
      </c>
      <c r="O326" s="5">
        <f>Table14[[#This Row],[Profit]]/Table14[[#This Row],[Total_Sales]]</f>
        <v>0.32477375565610861</v>
      </c>
      <c r="P326" s="23">
        <f>DATE(YEAR(Table14[[#This Row],[Order_Date]]), MONTH(Table14[[#This Row],[Order_Date]]), 1)</f>
        <v>45536</v>
      </c>
      <c r="Q326" t="str">
        <f>_xlfn.XLOOKUP(Table14[[#This Row],[Product]],Product_Master!$B$2:$B$11,Product_Master!$D$2:$D$11)</f>
        <v>BrightHome</v>
      </c>
      <c r="R326" t="str">
        <f>_xlfn.XLOOKUP(Table14[[#This Row],[Product]],Product_Master!$B$2:$B$11,Product_Master!$E$2:$E$11)</f>
        <v>India</v>
      </c>
      <c r="S326">
        <f>_xlfn.XLOOKUP(Table14[[#This Row],[Product]],Product_Master!$B$2:$B$11,Product_Master!$F$2:$F$11)</f>
        <v>28</v>
      </c>
    </row>
    <row r="327" spans="1:19" x14ac:dyDescent="0.3">
      <c r="A327" t="s">
        <v>497</v>
      </c>
      <c r="B327" s="23" t="s">
        <v>78</v>
      </c>
      <c r="C327" t="s">
        <v>228</v>
      </c>
      <c r="D327" t="s">
        <v>63</v>
      </c>
      <c r="E327" t="s">
        <v>20</v>
      </c>
      <c r="F327" t="s">
        <v>21</v>
      </c>
      <c r="G327">
        <v>11</v>
      </c>
      <c r="H327" s="4">
        <v>60.9</v>
      </c>
      <c r="I327" s="8">
        <v>669.9</v>
      </c>
      <c r="J327">
        <v>26.28</v>
      </c>
      <c r="K327">
        <v>258.62</v>
      </c>
      <c r="L327" t="s">
        <v>30</v>
      </c>
      <c r="M327" t="s">
        <v>31</v>
      </c>
      <c r="N327" t="s">
        <v>66</v>
      </c>
      <c r="O327" s="5">
        <f>Table14[[#This Row],[Profit]]/Table14[[#This Row],[Total_Sales]]</f>
        <v>0.38605762054037918</v>
      </c>
      <c r="P327" s="23">
        <f>DATE(YEAR(Table14[[#This Row],[Order_Date]]), MONTH(Table14[[#This Row],[Order_Date]]), 1)</f>
        <v>45627</v>
      </c>
      <c r="Q327" t="str">
        <f>_xlfn.XLOOKUP(Table14[[#This Row],[Product]],Product_Master!$B$2:$B$11,Product_Master!$D$2:$D$11)</f>
        <v>CarryPro</v>
      </c>
      <c r="R327" t="str">
        <f>_xlfn.XLOOKUP(Table14[[#This Row],[Product]],Product_Master!$B$2:$B$11,Product_Master!$E$2:$E$11)</f>
        <v>Vietnam</v>
      </c>
      <c r="S327">
        <f>_xlfn.XLOOKUP(Table14[[#This Row],[Product]],Product_Master!$B$2:$B$11,Product_Master!$F$2:$F$11)</f>
        <v>35</v>
      </c>
    </row>
    <row r="328" spans="1:19" x14ac:dyDescent="0.3">
      <c r="A328" t="s">
        <v>498</v>
      </c>
      <c r="B328" s="23" t="s">
        <v>68</v>
      </c>
      <c r="C328" t="s">
        <v>62</v>
      </c>
      <c r="D328" t="s">
        <v>88</v>
      </c>
      <c r="E328" t="s">
        <v>73</v>
      </c>
      <c r="F328" t="s">
        <v>43</v>
      </c>
      <c r="G328">
        <v>26</v>
      </c>
      <c r="H328" s="4">
        <v>22.32</v>
      </c>
      <c r="I328" s="8">
        <v>580.32000000000005</v>
      </c>
      <c r="J328">
        <v>45.08</v>
      </c>
      <c r="K328">
        <v>203.74</v>
      </c>
      <c r="L328" t="s">
        <v>30</v>
      </c>
      <c r="M328" t="s">
        <v>31</v>
      </c>
      <c r="N328" t="s">
        <v>66</v>
      </c>
      <c r="O328" s="5">
        <f>Table14[[#This Row],[Profit]]/Table14[[#This Row],[Total_Sales]]</f>
        <v>0.3510821615660325</v>
      </c>
      <c r="P328" s="23">
        <f>DATE(YEAR(Table14[[#This Row],[Order_Date]]), MONTH(Table14[[#This Row],[Order_Date]]), 1)</f>
        <v>45536</v>
      </c>
      <c r="Q328" t="str">
        <f>_xlfn.XLOOKUP(Table14[[#This Row],[Product]],Product_Master!$B$2:$B$11,Product_Master!$D$2:$D$11)</f>
        <v>BrightHome</v>
      </c>
      <c r="R328" t="str">
        <f>_xlfn.XLOOKUP(Table14[[#This Row],[Product]],Product_Master!$B$2:$B$11,Product_Master!$E$2:$E$11)</f>
        <v>Vietnam</v>
      </c>
      <c r="S328">
        <f>_xlfn.XLOOKUP(Table14[[#This Row],[Product]],Product_Master!$B$2:$B$11,Product_Master!$F$2:$F$11)</f>
        <v>12.75</v>
      </c>
    </row>
    <row r="329" spans="1:19" x14ac:dyDescent="0.3">
      <c r="A329" t="s">
        <v>499</v>
      </c>
      <c r="B329" s="23" t="s">
        <v>17</v>
      </c>
      <c r="C329" t="s">
        <v>280</v>
      </c>
      <c r="D329" t="s">
        <v>63</v>
      </c>
      <c r="E329" t="s">
        <v>98</v>
      </c>
      <c r="F329" t="s">
        <v>59</v>
      </c>
      <c r="G329">
        <v>46</v>
      </c>
      <c r="H329" s="4">
        <v>41.89</v>
      </c>
      <c r="I329" s="8">
        <v>1926.94</v>
      </c>
      <c r="J329">
        <v>97.39</v>
      </c>
      <c r="K329">
        <v>541.54999999999995</v>
      </c>
      <c r="L329" t="s">
        <v>22</v>
      </c>
      <c r="M329" t="s">
        <v>37</v>
      </c>
      <c r="N329" t="s">
        <v>66</v>
      </c>
      <c r="O329" s="5">
        <f>Table14[[#This Row],[Profit]]/Table14[[#This Row],[Total_Sales]]</f>
        <v>0.28104144394739844</v>
      </c>
      <c r="P329" s="23">
        <f>DATE(YEAR(Table14[[#This Row],[Order_Date]]), MONTH(Table14[[#This Row],[Order_Date]]), 1)</f>
        <v>45658</v>
      </c>
      <c r="Q329" t="str">
        <f>_xlfn.XLOOKUP(Table14[[#This Row],[Product]],Product_Master!$B$2:$B$11,Product_Master!$D$2:$D$11)</f>
        <v>BrightHome</v>
      </c>
      <c r="R329" t="str">
        <f>_xlfn.XLOOKUP(Table14[[#This Row],[Product]],Product_Master!$B$2:$B$11,Product_Master!$E$2:$E$11)</f>
        <v>India</v>
      </c>
      <c r="S329">
        <f>_xlfn.XLOOKUP(Table14[[#This Row],[Product]],Product_Master!$B$2:$B$11,Product_Master!$F$2:$F$11)</f>
        <v>28</v>
      </c>
    </row>
    <row r="330" spans="1:19" x14ac:dyDescent="0.3">
      <c r="A330" t="s">
        <v>500</v>
      </c>
      <c r="B330" s="23" t="s">
        <v>39</v>
      </c>
      <c r="C330" t="s">
        <v>192</v>
      </c>
      <c r="D330" t="s">
        <v>28</v>
      </c>
      <c r="E330" t="s">
        <v>73</v>
      </c>
      <c r="F330" t="s">
        <v>43</v>
      </c>
      <c r="G330">
        <v>43</v>
      </c>
      <c r="H330" s="4">
        <v>21.24</v>
      </c>
      <c r="I330" s="8">
        <v>913.32</v>
      </c>
      <c r="J330">
        <v>50.32</v>
      </c>
      <c r="K330">
        <v>314.75</v>
      </c>
      <c r="L330" t="s">
        <v>30</v>
      </c>
      <c r="M330" t="s">
        <v>23</v>
      </c>
      <c r="N330" t="s">
        <v>32</v>
      </c>
      <c r="O330" s="5">
        <f>Table14[[#This Row],[Profit]]/Table14[[#This Row],[Total_Sales]]</f>
        <v>0.34462181929663205</v>
      </c>
      <c r="P330" s="23">
        <f>DATE(YEAR(Table14[[#This Row],[Order_Date]]), MONTH(Table14[[#This Row],[Order_Date]]), 1)</f>
        <v>45566</v>
      </c>
      <c r="Q330" t="str">
        <f>_xlfn.XLOOKUP(Table14[[#This Row],[Product]],Product_Master!$B$2:$B$11,Product_Master!$D$2:$D$11)</f>
        <v>BrightHome</v>
      </c>
      <c r="R330" t="str">
        <f>_xlfn.XLOOKUP(Table14[[#This Row],[Product]],Product_Master!$B$2:$B$11,Product_Master!$E$2:$E$11)</f>
        <v>Vietnam</v>
      </c>
      <c r="S330">
        <f>_xlfn.XLOOKUP(Table14[[#This Row],[Product]],Product_Master!$B$2:$B$11,Product_Master!$F$2:$F$11)</f>
        <v>12.75</v>
      </c>
    </row>
    <row r="331" spans="1:19" x14ac:dyDescent="0.3">
      <c r="A331" t="s">
        <v>501</v>
      </c>
      <c r="B331" s="23" t="s">
        <v>86</v>
      </c>
      <c r="C331" t="s">
        <v>502</v>
      </c>
      <c r="D331" t="s">
        <v>170</v>
      </c>
      <c r="E331" t="s">
        <v>58</v>
      </c>
      <c r="F331" t="s">
        <v>59</v>
      </c>
      <c r="G331">
        <v>28</v>
      </c>
      <c r="H331" s="4">
        <v>33.700000000000003</v>
      </c>
      <c r="I331" s="8">
        <v>943.6</v>
      </c>
      <c r="J331">
        <v>20.170000000000002</v>
      </c>
      <c r="K331">
        <v>293.43</v>
      </c>
      <c r="L331" t="s">
        <v>22</v>
      </c>
      <c r="M331" t="s">
        <v>31</v>
      </c>
      <c r="N331" t="s">
        <v>32</v>
      </c>
      <c r="O331" s="5">
        <f>Table14[[#This Row],[Profit]]/Table14[[#This Row],[Total_Sales]]</f>
        <v>0.31096863077575243</v>
      </c>
      <c r="P331" s="23">
        <f>DATE(YEAR(Table14[[#This Row],[Order_Date]]), MONTH(Table14[[#This Row],[Order_Date]]), 1)</f>
        <v>45352</v>
      </c>
      <c r="Q331" t="str">
        <f>_xlfn.XLOOKUP(Table14[[#This Row],[Product]],Product_Master!$B$2:$B$11,Product_Master!$D$2:$D$11)</f>
        <v>ClearCraft</v>
      </c>
      <c r="R331" t="str">
        <f>_xlfn.XLOOKUP(Table14[[#This Row],[Product]],Product_Master!$B$2:$B$11,Product_Master!$E$2:$E$11)</f>
        <v>India</v>
      </c>
      <c r="S331">
        <f>_xlfn.XLOOKUP(Table14[[#This Row],[Product]],Product_Master!$B$2:$B$11,Product_Master!$F$2:$F$11)</f>
        <v>22.5</v>
      </c>
    </row>
    <row r="332" spans="1:19" x14ac:dyDescent="0.3">
      <c r="A332" t="s">
        <v>503</v>
      </c>
      <c r="B332" s="23" t="s">
        <v>71</v>
      </c>
      <c r="C332" t="s">
        <v>230</v>
      </c>
      <c r="D332" t="s">
        <v>196</v>
      </c>
      <c r="E332" t="s">
        <v>20</v>
      </c>
      <c r="F332" t="s">
        <v>21</v>
      </c>
      <c r="G332">
        <v>41</v>
      </c>
      <c r="H332" s="4">
        <v>42.74</v>
      </c>
      <c r="I332" s="8">
        <v>1752.34</v>
      </c>
      <c r="J332">
        <v>92.09</v>
      </c>
      <c r="K332">
        <v>225.25</v>
      </c>
      <c r="L332" t="s">
        <v>44</v>
      </c>
      <c r="M332" t="s">
        <v>23</v>
      </c>
      <c r="N332" t="s">
        <v>66</v>
      </c>
      <c r="O332" s="5">
        <f>Table14[[#This Row],[Profit]]/Table14[[#This Row],[Total_Sales]]</f>
        <v>0.12854240615405688</v>
      </c>
      <c r="P332" s="23">
        <f>DATE(YEAR(Table14[[#This Row],[Order_Date]]), MONTH(Table14[[#This Row],[Order_Date]]), 1)</f>
        <v>45505</v>
      </c>
      <c r="Q332" t="str">
        <f>_xlfn.XLOOKUP(Table14[[#This Row],[Product]],Product_Master!$B$2:$B$11,Product_Master!$D$2:$D$11)</f>
        <v>CarryPro</v>
      </c>
      <c r="R332" t="str">
        <f>_xlfn.XLOOKUP(Table14[[#This Row],[Product]],Product_Master!$B$2:$B$11,Product_Master!$E$2:$E$11)</f>
        <v>Vietnam</v>
      </c>
      <c r="S332">
        <f>_xlfn.XLOOKUP(Table14[[#This Row],[Product]],Product_Master!$B$2:$B$11,Product_Master!$F$2:$F$11)</f>
        <v>35</v>
      </c>
    </row>
    <row r="333" spans="1:19" x14ac:dyDescent="0.3">
      <c r="A333" t="s">
        <v>504</v>
      </c>
      <c r="B333" s="23" t="s">
        <v>68</v>
      </c>
      <c r="C333" t="s">
        <v>429</v>
      </c>
      <c r="D333" t="s">
        <v>28</v>
      </c>
      <c r="E333" t="s">
        <v>54</v>
      </c>
      <c r="F333" t="s">
        <v>43</v>
      </c>
      <c r="G333">
        <v>24</v>
      </c>
      <c r="H333" s="4">
        <v>30.18</v>
      </c>
      <c r="I333" s="8">
        <v>724.32</v>
      </c>
      <c r="J333">
        <v>44.97</v>
      </c>
      <c r="K333">
        <v>199.35</v>
      </c>
      <c r="L333" t="s">
        <v>22</v>
      </c>
      <c r="M333" t="s">
        <v>23</v>
      </c>
      <c r="N333" t="s">
        <v>32</v>
      </c>
      <c r="O333" s="5">
        <f>Table14[[#This Row],[Profit]]/Table14[[#This Row],[Total_Sales]]</f>
        <v>0.27522365805168986</v>
      </c>
      <c r="P333" s="23">
        <f>DATE(YEAR(Table14[[#This Row],[Order_Date]]), MONTH(Table14[[#This Row],[Order_Date]]), 1)</f>
        <v>45536</v>
      </c>
      <c r="Q333" t="str">
        <f>_xlfn.XLOOKUP(Table14[[#This Row],[Product]],Product_Master!$B$2:$B$11,Product_Master!$D$2:$D$11)</f>
        <v>ClickTech</v>
      </c>
      <c r="R333" t="str">
        <f>_xlfn.XLOOKUP(Table14[[#This Row],[Product]],Product_Master!$B$2:$B$11,Product_Master!$E$2:$E$11)</f>
        <v>China</v>
      </c>
      <c r="S333">
        <f>_xlfn.XLOOKUP(Table14[[#This Row],[Product]],Product_Master!$B$2:$B$11,Product_Master!$F$2:$F$11)</f>
        <v>20</v>
      </c>
    </row>
    <row r="334" spans="1:19" x14ac:dyDescent="0.3">
      <c r="A334" t="s">
        <v>505</v>
      </c>
      <c r="B334" s="23" t="s">
        <v>26</v>
      </c>
      <c r="C334" t="s">
        <v>127</v>
      </c>
      <c r="D334" t="s">
        <v>91</v>
      </c>
      <c r="E334" t="s">
        <v>69</v>
      </c>
      <c r="F334" t="s">
        <v>59</v>
      </c>
      <c r="G334">
        <v>44</v>
      </c>
      <c r="H334" s="4">
        <v>20.02</v>
      </c>
      <c r="I334" s="8">
        <v>880.88</v>
      </c>
      <c r="J334">
        <v>60.27</v>
      </c>
      <c r="K334">
        <v>138.61000000000001</v>
      </c>
      <c r="L334" t="s">
        <v>30</v>
      </c>
      <c r="M334" t="s">
        <v>31</v>
      </c>
      <c r="N334" t="s">
        <v>66</v>
      </c>
      <c r="O334" s="5">
        <f>Table14[[#This Row],[Profit]]/Table14[[#This Row],[Total_Sales]]</f>
        <v>0.15735400962673693</v>
      </c>
      <c r="P334" s="23">
        <f>DATE(YEAR(Table14[[#This Row],[Order_Date]]), MONTH(Table14[[#This Row],[Order_Date]]), 1)</f>
        <v>45689</v>
      </c>
      <c r="Q334" t="str">
        <f>_xlfn.XLOOKUP(Table14[[#This Row],[Product]],Product_Master!$B$2:$B$11,Product_Master!$D$2:$D$11)</f>
        <v>Artisans Co.</v>
      </c>
      <c r="R334" t="str">
        <f>_xlfn.XLOOKUP(Table14[[#This Row],[Product]],Product_Master!$B$2:$B$11,Product_Master!$E$2:$E$11)</f>
        <v>India</v>
      </c>
      <c r="S334">
        <f>_xlfn.XLOOKUP(Table14[[#This Row],[Product]],Product_Master!$B$2:$B$11,Product_Master!$F$2:$F$11)</f>
        <v>15.5</v>
      </c>
    </row>
    <row r="335" spans="1:19" x14ac:dyDescent="0.3">
      <c r="A335" t="s">
        <v>506</v>
      </c>
      <c r="B335" s="23" t="s">
        <v>71</v>
      </c>
      <c r="C335" t="s">
        <v>125</v>
      </c>
      <c r="D335" t="s">
        <v>28</v>
      </c>
      <c r="E335" t="s">
        <v>54</v>
      </c>
      <c r="F335" t="s">
        <v>43</v>
      </c>
      <c r="G335">
        <v>12</v>
      </c>
      <c r="H335" s="4">
        <v>27.45</v>
      </c>
      <c r="I335" s="8">
        <v>329.4</v>
      </c>
      <c r="J335">
        <v>13.22</v>
      </c>
      <c r="K335">
        <v>76.180000000000007</v>
      </c>
      <c r="L335" t="s">
        <v>44</v>
      </c>
      <c r="M335" t="s">
        <v>37</v>
      </c>
      <c r="N335" t="s">
        <v>32</v>
      </c>
      <c r="O335" s="5">
        <f>Table14[[#This Row],[Profit]]/Table14[[#This Row],[Total_Sales]]</f>
        <v>0.23126897389192475</v>
      </c>
      <c r="P335" s="23">
        <f>DATE(YEAR(Table14[[#This Row],[Order_Date]]), MONTH(Table14[[#This Row],[Order_Date]]), 1)</f>
        <v>45505</v>
      </c>
      <c r="Q335" t="str">
        <f>_xlfn.XLOOKUP(Table14[[#This Row],[Product]],Product_Master!$B$2:$B$11,Product_Master!$D$2:$D$11)</f>
        <v>ClickTech</v>
      </c>
      <c r="R335" t="str">
        <f>_xlfn.XLOOKUP(Table14[[#This Row],[Product]],Product_Master!$B$2:$B$11,Product_Master!$E$2:$E$11)</f>
        <v>China</v>
      </c>
      <c r="S335">
        <f>_xlfn.XLOOKUP(Table14[[#This Row],[Product]],Product_Master!$B$2:$B$11,Product_Master!$F$2:$F$11)</f>
        <v>20</v>
      </c>
    </row>
    <row r="336" spans="1:19" x14ac:dyDescent="0.3">
      <c r="A336" t="s">
        <v>507</v>
      </c>
      <c r="B336" s="23" t="s">
        <v>132</v>
      </c>
      <c r="C336" t="s">
        <v>105</v>
      </c>
      <c r="D336" t="s">
        <v>101</v>
      </c>
      <c r="E336" t="s">
        <v>54</v>
      </c>
      <c r="F336" t="s">
        <v>43</v>
      </c>
      <c r="G336">
        <v>26</v>
      </c>
      <c r="H336" s="4">
        <v>30.57</v>
      </c>
      <c r="I336" s="8">
        <v>794.82</v>
      </c>
      <c r="J336">
        <v>19.45</v>
      </c>
      <c r="K336">
        <v>255.37</v>
      </c>
      <c r="L336" t="s">
        <v>44</v>
      </c>
      <c r="M336" t="s">
        <v>31</v>
      </c>
      <c r="N336" t="s">
        <v>102</v>
      </c>
      <c r="O336" s="5">
        <f>Table14[[#This Row],[Profit]]/Table14[[#This Row],[Total_Sales]]</f>
        <v>0.32129287134193907</v>
      </c>
      <c r="P336" s="23">
        <f>DATE(YEAR(Table14[[#This Row],[Order_Date]]), MONTH(Table14[[#This Row],[Order_Date]]), 1)</f>
        <v>45597</v>
      </c>
      <c r="Q336" t="str">
        <f>_xlfn.XLOOKUP(Table14[[#This Row],[Product]],Product_Master!$B$2:$B$11,Product_Master!$D$2:$D$11)</f>
        <v>ClickTech</v>
      </c>
      <c r="R336" t="str">
        <f>_xlfn.XLOOKUP(Table14[[#This Row],[Product]],Product_Master!$B$2:$B$11,Product_Master!$E$2:$E$11)</f>
        <v>China</v>
      </c>
      <c r="S336">
        <f>_xlfn.XLOOKUP(Table14[[#This Row],[Product]],Product_Master!$B$2:$B$11,Product_Master!$F$2:$F$11)</f>
        <v>20</v>
      </c>
    </row>
    <row r="337" spans="1:19" x14ac:dyDescent="0.3">
      <c r="A337" t="s">
        <v>508</v>
      </c>
      <c r="B337" s="23" t="s">
        <v>68</v>
      </c>
      <c r="C337" t="s">
        <v>133</v>
      </c>
      <c r="D337" t="s">
        <v>91</v>
      </c>
      <c r="E337" t="s">
        <v>64</v>
      </c>
      <c r="F337" t="s">
        <v>65</v>
      </c>
      <c r="G337">
        <v>46</v>
      </c>
      <c r="H337" s="4">
        <v>32.19</v>
      </c>
      <c r="I337" s="8">
        <v>1480.74</v>
      </c>
      <c r="J337">
        <v>111.13</v>
      </c>
      <c r="K337">
        <v>219.61</v>
      </c>
      <c r="L337" t="s">
        <v>44</v>
      </c>
      <c r="M337" t="s">
        <v>31</v>
      </c>
      <c r="N337" t="s">
        <v>66</v>
      </c>
      <c r="O337" s="5">
        <f>Table14[[#This Row],[Profit]]/Table14[[#This Row],[Total_Sales]]</f>
        <v>0.14831097964531248</v>
      </c>
      <c r="P337" s="23">
        <f>DATE(YEAR(Table14[[#This Row],[Order_Date]]), MONTH(Table14[[#This Row],[Order_Date]]), 1)</f>
        <v>45536</v>
      </c>
      <c r="Q337" t="str">
        <f>_xlfn.XLOOKUP(Table14[[#This Row],[Product]],Product_Master!$B$2:$B$11,Product_Master!$D$2:$D$11)</f>
        <v>SoftWeave</v>
      </c>
      <c r="R337" t="str">
        <f>_xlfn.XLOOKUP(Table14[[#This Row],[Product]],Product_Master!$B$2:$B$11,Product_Master!$E$2:$E$11)</f>
        <v>Turkey</v>
      </c>
      <c r="S337">
        <f>_xlfn.XLOOKUP(Table14[[#This Row],[Product]],Product_Master!$B$2:$B$11,Product_Master!$F$2:$F$11)</f>
        <v>25</v>
      </c>
    </row>
    <row r="338" spans="1:19" x14ac:dyDescent="0.3">
      <c r="A338" t="s">
        <v>509</v>
      </c>
      <c r="B338" s="23" t="s">
        <v>104</v>
      </c>
      <c r="C338" t="s">
        <v>100</v>
      </c>
      <c r="D338" t="s">
        <v>81</v>
      </c>
      <c r="E338" t="s">
        <v>29</v>
      </c>
      <c r="F338" t="s">
        <v>21</v>
      </c>
      <c r="G338">
        <v>20</v>
      </c>
      <c r="H338" s="4">
        <v>31.79</v>
      </c>
      <c r="I338" s="8">
        <v>635.79999999999995</v>
      </c>
      <c r="J338">
        <v>38.43</v>
      </c>
      <c r="K338">
        <v>237.37</v>
      </c>
      <c r="L338" t="s">
        <v>22</v>
      </c>
      <c r="M338" t="s">
        <v>31</v>
      </c>
      <c r="N338" t="s">
        <v>66</v>
      </c>
      <c r="O338" s="5">
        <f>Table14[[#This Row],[Profit]]/Table14[[#This Row],[Total_Sales]]</f>
        <v>0.37334067316766284</v>
      </c>
      <c r="P338" s="23">
        <f>DATE(YEAR(Table14[[#This Row],[Order_Date]]), MONTH(Table14[[#This Row],[Order_Date]]), 1)</f>
        <v>45717</v>
      </c>
      <c r="Q338" t="str">
        <f>_xlfn.XLOOKUP(Table14[[#This Row],[Product]],Product_Master!$B$2:$B$11,Product_Master!$D$2:$D$11)</f>
        <v>CraftLine</v>
      </c>
      <c r="R338" t="str">
        <f>_xlfn.XLOOKUP(Table14[[#This Row],[Product]],Product_Master!$B$2:$B$11,Product_Master!$E$2:$E$11)</f>
        <v>Italy</v>
      </c>
      <c r="S338">
        <f>_xlfn.XLOOKUP(Table14[[#This Row],[Product]],Product_Master!$B$2:$B$11,Product_Master!$F$2:$F$11)</f>
        <v>18</v>
      </c>
    </row>
    <row r="339" spans="1:19" x14ac:dyDescent="0.3">
      <c r="A339" t="s">
        <v>510</v>
      </c>
      <c r="B339" s="23" t="s">
        <v>104</v>
      </c>
      <c r="C339" t="s">
        <v>18</v>
      </c>
      <c r="D339" t="s">
        <v>147</v>
      </c>
      <c r="E339" t="s">
        <v>29</v>
      </c>
      <c r="F339" t="s">
        <v>21</v>
      </c>
      <c r="G339">
        <v>8</v>
      </c>
      <c r="H339" s="4">
        <v>28.94</v>
      </c>
      <c r="I339" s="8">
        <v>231.52</v>
      </c>
      <c r="J339">
        <v>7</v>
      </c>
      <c r="K339">
        <v>80.52</v>
      </c>
      <c r="L339" t="s">
        <v>44</v>
      </c>
      <c r="M339" t="s">
        <v>31</v>
      </c>
      <c r="N339" t="s">
        <v>148</v>
      </c>
      <c r="O339" s="5">
        <f>Table14[[#This Row],[Profit]]/Table14[[#This Row],[Total_Sales]]</f>
        <v>0.34778852798894261</v>
      </c>
      <c r="P339" s="23">
        <f>DATE(YEAR(Table14[[#This Row],[Order_Date]]), MONTH(Table14[[#This Row],[Order_Date]]), 1)</f>
        <v>45717</v>
      </c>
      <c r="Q339" t="str">
        <f>_xlfn.XLOOKUP(Table14[[#This Row],[Product]],Product_Master!$B$2:$B$11,Product_Master!$D$2:$D$11)</f>
        <v>CraftLine</v>
      </c>
      <c r="R339" t="str">
        <f>_xlfn.XLOOKUP(Table14[[#This Row],[Product]],Product_Master!$B$2:$B$11,Product_Master!$E$2:$E$11)</f>
        <v>Italy</v>
      </c>
      <c r="S339">
        <f>_xlfn.XLOOKUP(Table14[[#This Row],[Product]],Product_Master!$B$2:$B$11,Product_Master!$F$2:$F$11)</f>
        <v>18</v>
      </c>
    </row>
    <row r="340" spans="1:19" x14ac:dyDescent="0.3">
      <c r="A340" t="s">
        <v>511</v>
      </c>
      <c r="B340" s="23" t="s">
        <v>39</v>
      </c>
      <c r="C340" t="s">
        <v>230</v>
      </c>
      <c r="D340" t="s">
        <v>123</v>
      </c>
      <c r="E340" t="s">
        <v>29</v>
      </c>
      <c r="F340" t="s">
        <v>21</v>
      </c>
      <c r="G340">
        <v>40</v>
      </c>
      <c r="H340" s="4">
        <v>30.66</v>
      </c>
      <c r="I340" s="8">
        <v>1226.4000000000001</v>
      </c>
      <c r="J340">
        <v>85.24</v>
      </c>
      <c r="K340">
        <v>421.16</v>
      </c>
      <c r="L340" t="s">
        <v>22</v>
      </c>
      <c r="M340" t="s">
        <v>23</v>
      </c>
      <c r="N340" t="s">
        <v>32</v>
      </c>
      <c r="O340" s="5">
        <f>Table14[[#This Row],[Profit]]/Table14[[#This Row],[Total_Sales]]</f>
        <v>0.34341161121983038</v>
      </c>
      <c r="P340" s="23">
        <f>DATE(YEAR(Table14[[#This Row],[Order_Date]]), MONTH(Table14[[#This Row],[Order_Date]]), 1)</f>
        <v>45566</v>
      </c>
      <c r="Q340" t="str">
        <f>_xlfn.XLOOKUP(Table14[[#This Row],[Product]],Product_Master!$B$2:$B$11,Product_Master!$D$2:$D$11)</f>
        <v>CraftLine</v>
      </c>
      <c r="R340" t="str">
        <f>_xlfn.XLOOKUP(Table14[[#This Row],[Product]],Product_Master!$B$2:$B$11,Product_Master!$E$2:$E$11)</f>
        <v>Italy</v>
      </c>
      <c r="S340">
        <f>_xlfn.XLOOKUP(Table14[[#This Row],[Product]],Product_Master!$B$2:$B$11,Product_Master!$F$2:$F$11)</f>
        <v>18</v>
      </c>
    </row>
    <row r="341" spans="1:19" x14ac:dyDescent="0.3">
      <c r="A341" t="s">
        <v>512</v>
      </c>
      <c r="B341" s="23" t="s">
        <v>104</v>
      </c>
      <c r="C341" t="s">
        <v>361</v>
      </c>
      <c r="D341" t="s">
        <v>147</v>
      </c>
      <c r="E341" t="s">
        <v>42</v>
      </c>
      <c r="F341" t="s">
        <v>43</v>
      </c>
      <c r="G341">
        <v>44</v>
      </c>
      <c r="H341" s="4">
        <v>54.09</v>
      </c>
      <c r="I341" s="8">
        <v>2379.96</v>
      </c>
      <c r="J341">
        <v>106.39</v>
      </c>
      <c r="K341">
        <v>865.57</v>
      </c>
      <c r="L341" t="s">
        <v>22</v>
      </c>
      <c r="M341" t="s">
        <v>31</v>
      </c>
      <c r="N341" t="s">
        <v>148</v>
      </c>
      <c r="O341" s="5">
        <f>Table14[[#This Row],[Profit]]/Table14[[#This Row],[Total_Sales]]</f>
        <v>0.36369098640313285</v>
      </c>
      <c r="P341" s="23">
        <f>DATE(YEAR(Table14[[#This Row],[Order_Date]]), MONTH(Table14[[#This Row],[Order_Date]]), 1)</f>
        <v>45717</v>
      </c>
      <c r="Q341" t="str">
        <f>_xlfn.XLOOKUP(Table14[[#This Row],[Product]],Product_Master!$B$2:$B$11,Product_Master!$D$2:$D$11)</f>
        <v>AudioTech Ltd.</v>
      </c>
      <c r="R341" t="str">
        <f>_xlfn.XLOOKUP(Table14[[#This Row],[Product]],Product_Master!$B$2:$B$11,Product_Master!$E$2:$E$11)</f>
        <v>China</v>
      </c>
      <c r="S341">
        <f>_xlfn.XLOOKUP(Table14[[#This Row],[Product]],Product_Master!$B$2:$B$11,Product_Master!$F$2:$F$11)</f>
        <v>32</v>
      </c>
    </row>
    <row r="342" spans="1:19" x14ac:dyDescent="0.3">
      <c r="A342" t="s">
        <v>513</v>
      </c>
      <c r="B342" s="23" t="s">
        <v>26</v>
      </c>
      <c r="C342" t="s">
        <v>127</v>
      </c>
      <c r="D342" t="s">
        <v>81</v>
      </c>
      <c r="E342" t="s">
        <v>49</v>
      </c>
      <c r="F342" t="s">
        <v>50</v>
      </c>
      <c r="G342">
        <v>32</v>
      </c>
      <c r="H342" s="4">
        <v>68.89</v>
      </c>
      <c r="I342" s="8">
        <v>2204.48</v>
      </c>
      <c r="J342">
        <v>152.05000000000001</v>
      </c>
      <c r="K342">
        <v>772.43</v>
      </c>
      <c r="L342" t="s">
        <v>22</v>
      </c>
      <c r="M342" t="s">
        <v>31</v>
      </c>
      <c r="N342" t="s">
        <v>66</v>
      </c>
      <c r="O342" s="5">
        <f>Table14[[#This Row],[Profit]]/Table14[[#This Row],[Total_Sales]]</f>
        <v>0.35039102191900129</v>
      </c>
      <c r="P342" s="23">
        <f>DATE(YEAR(Table14[[#This Row],[Order_Date]]), MONTH(Table14[[#This Row],[Order_Date]]), 1)</f>
        <v>45689</v>
      </c>
      <c r="Q342" t="str">
        <f>_xlfn.XLOOKUP(Table14[[#This Row],[Product]],Product_Master!$B$2:$B$11,Product_Master!$D$2:$D$11)</f>
        <v>BlueWear</v>
      </c>
      <c r="R342" t="str">
        <f>_xlfn.XLOOKUP(Table14[[#This Row],[Product]],Product_Master!$B$2:$B$11,Product_Master!$E$2:$E$11)</f>
        <v>Bangladesh</v>
      </c>
      <c r="S342">
        <f>_xlfn.XLOOKUP(Table14[[#This Row],[Product]],Product_Master!$B$2:$B$11,Product_Master!$F$2:$F$11)</f>
        <v>40</v>
      </c>
    </row>
    <row r="343" spans="1:19" x14ac:dyDescent="0.3">
      <c r="A343" t="s">
        <v>514</v>
      </c>
      <c r="B343" s="23" t="s">
        <v>107</v>
      </c>
      <c r="C343" t="s">
        <v>484</v>
      </c>
      <c r="D343" t="s">
        <v>196</v>
      </c>
      <c r="E343" t="s">
        <v>20</v>
      </c>
      <c r="F343" t="s">
        <v>21</v>
      </c>
      <c r="G343">
        <v>44</v>
      </c>
      <c r="H343" s="4">
        <v>43.35</v>
      </c>
      <c r="I343" s="8">
        <v>1907.4</v>
      </c>
      <c r="J343">
        <v>99.05</v>
      </c>
      <c r="K343">
        <v>268.35000000000002</v>
      </c>
      <c r="L343" t="s">
        <v>44</v>
      </c>
      <c r="M343" t="s">
        <v>31</v>
      </c>
      <c r="N343" t="s">
        <v>66</v>
      </c>
      <c r="O343" s="5">
        <f>Table14[[#This Row],[Profit]]/Table14[[#This Row],[Total_Sales]]</f>
        <v>0.1406888958792073</v>
      </c>
      <c r="P343" s="23">
        <f>DATE(YEAR(Table14[[#This Row],[Order_Date]]), MONTH(Table14[[#This Row],[Order_Date]]), 1)</f>
        <v>45413</v>
      </c>
      <c r="Q343" t="str">
        <f>_xlfn.XLOOKUP(Table14[[#This Row],[Product]],Product_Master!$B$2:$B$11,Product_Master!$D$2:$D$11)</f>
        <v>CarryPro</v>
      </c>
      <c r="R343" t="str">
        <f>_xlfn.XLOOKUP(Table14[[#This Row],[Product]],Product_Master!$B$2:$B$11,Product_Master!$E$2:$E$11)</f>
        <v>Vietnam</v>
      </c>
      <c r="S343">
        <f>_xlfn.XLOOKUP(Table14[[#This Row],[Product]],Product_Master!$B$2:$B$11,Product_Master!$F$2:$F$11)</f>
        <v>35</v>
      </c>
    </row>
    <row r="344" spans="1:19" x14ac:dyDescent="0.3">
      <c r="A344" t="s">
        <v>515</v>
      </c>
      <c r="B344" s="23" t="s">
        <v>95</v>
      </c>
      <c r="C344" t="s">
        <v>27</v>
      </c>
      <c r="D344" t="s">
        <v>53</v>
      </c>
      <c r="E344" t="s">
        <v>98</v>
      </c>
      <c r="F344" t="s">
        <v>59</v>
      </c>
      <c r="G344">
        <v>24</v>
      </c>
      <c r="H344" s="4">
        <v>34</v>
      </c>
      <c r="I344" s="8">
        <v>816</v>
      </c>
      <c r="J344">
        <v>42.15</v>
      </c>
      <c r="K344">
        <v>101.85</v>
      </c>
      <c r="L344" t="s">
        <v>44</v>
      </c>
      <c r="M344" t="s">
        <v>23</v>
      </c>
      <c r="N344" t="s">
        <v>24</v>
      </c>
      <c r="O344" s="5">
        <f>Table14[[#This Row],[Profit]]/Table14[[#This Row],[Total_Sales]]</f>
        <v>0.12481617647058822</v>
      </c>
      <c r="P344" s="23">
        <f>DATE(YEAR(Table14[[#This Row],[Order_Date]]), MONTH(Table14[[#This Row],[Order_Date]]), 1)</f>
        <v>45474</v>
      </c>
      <c r="Q344" t="str">
        <f>_xlfn.XLOOKUP(Table14[[#This Row],[Product]],Product_Master!$B$2:$B$11,Product_Master!$D$2:$D$11)</f>
        <v>BrightHome</v>
      </c>
      <c r="R344" t="str">
        <f>_xlfn.XLOOKUP(Table14[[#This Row],[Product]],Product_Master!$B$2:$B$11,Product_Master!$E$2:$E$11)</f>
        <v>India</v>
      </c>
      <c r="S344">
        <f>_xlfn.XLOOKUP(Table14[[#This Row],[Product]],Product_Master!$B$2:$B$11,Product_Master!$F$2:$F$11)</f>
        <v>28</v>
      </c>
    </row>
    <row r="345" spans="1:19" x14ac:dyDescent="0.3">
      <c r="A345" t="s">
        <v>516</v>
      </c>
      <c r="B345" s="23" t="s">
        <v>83</v>
      </c>
      <c r="C345" t="s">
        <v>168</v>
      </c>
      <c r="D345" t="s">
        <v>63</v>
      </c>
      <c r="E345" t="s">
        <v>29</v>
      </c>
      <c r="F345" t="s">
        <v>21</v>
      </c>
      <c r="G345">
        <v>41</v>
      </c>
      <c r="H345" s="4">
        <v>30.25</v>
      </c>
      <c r="I345" s="8">
        <v>1240.25</v>
      </c>
      <c r="J345">
        <v>92.86</v>
      </c>
      <c r="K345">
        <v>409.39</v>
      </c>
      <c r="L345" t="s">
        <v>22</v>
      </c>
      <c r="M345" t="s">
        <v>23</v>
      </c>
      <c r="N345" t="s">
        <v>66</v>
      </c>
      <c r="O345" s="5">
        <f>Table14[[#This Row],[Profit]]/Table14[[#This Row],[Total_Sales]]</f>
        <v>0.33008667607337228</v>
      </c>
      <c r="P345" s="23">
        <f>DATE(YEAR(Table14[[#This Row],[Order_Date]]), MONTH(Table14[[#This Row],[Order_Date]]), 1)</f>
        <v>45323</v>
      </c>
      <c r="Q345" t="str">
        <f>_xlfn.XLOOKUP(Table14[[#This Row],[Product]],Product_Master!$B$2:$B$11,Product_Master!$D$2:$D$11)</f>
        <v>CraftLine</v>
      </c>
      <c r="R345" t="str">
        <f>_xlfn.XLOOKUP(Table14[[#This Row],[Product]],Product_Master!$B$2:$B$11,Product_Master!$E$2:$E$11)</f>
        <v>Italy</v>
      </c>
      <c r="S345">
        <f>_xlfn.XLOOKUP(Table14[[#This Row],[Product]],Product_Master!$B$2:$B$11,Product_Master!$F$2:$F$11)</f>
        <v>18</v>
      </c>
    </row>
    <row r="346" spans="1:19" x14ac:dyDescent="0.3">
      <c r="A346" t="s">
        <v>517</v>
      </c>
      <c r="B346" s="23" t="s">
        <v>104</v>
      </c>
      <c r="C346" t="s">
        <v>18</v>
      </c>
      <c r="D346" t="s">
        <v>101</v>
      </c>
      <c r="E346" t="s">
        <v>69</v>
      </c>
      <c r="F346" t="s">
        <v>59</v>
      </c>
      <c r="G346">
        <v>15</v>
      </c>
      <c r="H346" s="4">
        <v>23.71</v>
      </c>
      <c r="I346" s="8">
        <v>355.65</v>
      </c>
      <c r="J346">
        <v>7.22</v>
      </c>
      <c r="K346">
        <v>115.93</v>
      </c>
      <c r="L346" t="s">
        <v>30</v>
      </c>
      <c r="M346" t="s">
        <v>31</v>
      </c>
      <c r="N346" t="s">
        <v>102</v>
      </c>
      <c r="O346" s="5">
        <f>Table14[[#This Row],[Profit]]/Table14[[#This Row],[Total_Sales]]</f>
        <v>0.32596654013777593</v>
      </c>
      <c r="P346" s="23">
        <f>DATE(YEAR(Table14[[#This Row],[Order_Date]]), MONTH(Table14[[#This Row],[Order_Date]]), 1)</f>
        <v>45717</v>
      </c>
      <c r="Q346" t="str">
        <f>_xlfn.XLOOKUP(Table14[[#This Row],[Product]],Product_Master!$B$2:$B$11,Product_Master!$D$2:$D$11)</f>
        <v>Artisans Co.</v>
      </c>
      <c r="R346" t="str">
        <f>_xlfn.XLOOKUP(Table14[[#This Row],[Product]],Product_Master!$B$2:$B$11,Product_Master!$E$2:$E$11)</f>
        <v>India</v>
      </c>
      <c r="S346">
        <f>_xlfn.XLOOKUP(Table14[[#This Row],[Product]],Product_Master!$B$2:$B$11,Product_Master!$F$2:$F$11)</f>
        <v>15.5</v>
      </c>
    </row>
    <row r="347" spans="1:19" x14ac:dyDescent="0.3">
      <c r="A347" t="s">
        <v>518</v>
      </c>
      <c r="B347" s="23" t="s">
        <v>71</v>
      </c>
      <c r="C347" t="s">
        <v>141</v>
      </c>
      <c r="D347" t="s">
        <v>81</v>
      </c>
      <c r="E347" t="s">
        <v>42</v>
      </c>
      <c r="F347" t="s">
        <v>43</v>
      </c>
      <c r="G347">
        <v>33</v>
      </c>
      <c r="H347" s="4">
        <v>48.64</v>
      </c>
      <c r="I347" s="8">
        <v>1605.12</v>
      </c>
      <c r="J347">
        <v>98.71</v>
      </c>
      <c r="K347">
        <v>450.41</v>
      </c>
      <c r="L347" t="s">
        <v>22</v>
      </c>
      <c r="M347" t="s">
        <v>31</v>
      </c>
      <c r="N347" t="s">
        <v>66</v>
      </c>
      <c r="O347" s="5">
        <f>Table14[[#This Row],[Profit]]/Table14[[#This Row],[Total_Sales]]</f>
        <v>0.28060830342902715</v>
      </c>
      <c r="P347" s="23">
        <f>DATE(YEAR(Table14[[#This Row],[Order_Date]]), MONTH(Table14[[#This Row],[Order_Date]]), 1)</f>
        <v>45505</v>
      </c>
      <c r="Q347" t="str">
        <f>_xlfn.XLOOKUP(Table14[[#This Row],[Product]],Product_Master!$B$2:$B$11,Product_Master!$D$2:$D$11)</f>
        <v>AudioTech Ltd.</v>
      </c>
      <c r="R347" t="str">
        <f>_xlfn.XLOOKUP(Table14[[#This Row],[Product]],Product_Master!$B$2:$B$11,Product_Master!$E$2:$E$11)</f>
        <v>China</v>
      </c>
      <c r="S347">
        <f>_xlfn.XLOOKUP(Table14[[#This Row],[Product]],Product_Master!$B$2:$B$11,Product_Master!$F$2:$F$11)</f>
        <v>32</v>
      </c>
    </row>
    <row r="348" spans="1:19" x14ac:dyDescent="0.3">
      <c r="A348" t="s">
        <v>519</v>
      </c>
      <c r="B348" s="23" t="s">
        <v>34</v>
      </c>
      <c r="C348" t="s">
        <v>40</v>
      </c>
      <c r="D348" t="s">
        <v>170</v>
      </c>
      <c r="E348" t="s">
        <v>20</v>
      </c>
      <c r="F348" t="s">
        <v>21</v>
      </c>
      <c r="G348">
        <v>7</v>
      </c>
      <c r="H348" s="4">
        <v>50.94</v>
      </c>
      <c r="I348" s="8">
        <v>356.58</v>
      </c>
      <c r="J348">
        <v>11.19</v>
      </c>
      <c r="K348">
        <v>100.39</v>
      </c>
      <c r="L348" t="s">
        <v>30</v>
      </c>
      <c r="M348" t="s">
        <v>23</v>
      </c>
      <c r="N348" t="s">
        <v>32</v>
      </c>
      <c r="O348" s="5">
        <f>Table14[[#This Row],[Profit]]/Table14[[#This Row],[Total_Sales]]</f>
        <v>0.28153570026361546</v>
      </c>
      <c r="P348" s="23">
        <f>DATE(YEAR(Table14[[#This Row],[Order_Date]]), MONTH(Table14[[#This Row],[Order_Date]]), 1)</f>
        <v>45383</v>
      </c>
      <c r="Q348" t="str">
        <f>_xlfn.XLOOKUP(Table14[[#This Row],[Product]],Product_Master!$B$2:$B$11,Product_Master!$D$2:$D$11)</f>
        <v>CarryPro</v>
      </c>
      <c r="R348" t="str">
        <f>_xlfn.XLOOKUP(Table14[[#This Row],[Product]],Product_Master!$B$2:$B$11,Product_Master!$E$2:$E$11)</f>
        <v>Vietnam</v>
      </c>
      <c r="S348">
        <f>_xlfn.XLOOKUP(Table14[[#This Row],[Product]],Product_Master!$B$2:$B$11,Product_Master!$F$2:$F$11)</f>
        <v>35</v>
      </c>
    </row>
    <row r="349" spans="1:19" x14ac:dyDescent="0.3">
      <c r="A349" t="s">
        <v>520</v>
      </c>
      <c r="B349" s="23" t="s">
        <v>17</v>
      </c>
      <c r="C349" t="s">
        <v>223</v>
      </c>
      <c r="D349" t="s">
        <v>147</v>
      </c>
      <c r="E349" t="s">
        <v>54</v>
      </c>
      <c r="F349" t="s">
        <v>43</v>
      </c>
      <c r="G349">
        <v>1</v>
      </c>
      <c r="H349" s="4">
        <v>31.4</v>
      </c>
      <c r="I349" s="8">
        <v>31.4</v>
      </c>
      <c r="J349">
        <v>1.1399999999999999</v>
      </c>
      <c r="K349">
        <v>10.26</v>
      </c>
      <c r="L349" t="s">
        <v>44</v>
      </c>
      <c r="M349" t="s">
        <v>31</v>
      </c>
      <c r="N349" t="s">
        <v>148</v>
      </c>
      <c r="O349" s="5">
        <f>Table14[[#This Row],[Profit]]/Table14[[#This Row],[Total_Sales]]</f>
        <v>0.32675159235668788</v>
      </c>
      <c r="P349" s="23">
        <f>DATE(YEAR(Table14[[#This Row],[Order_Date]]), MONTH(Table14[[#This Row],[Order_Date]]), 1)</f>
        <v>45658</v>
      </c>
      <c r="Q349" t="str">
        <f>_xlfn.XLOOKUP(Table14[[#This Row],[Product]],Product_Master!$B$2:$B$11,Product_Master!$D$2:$D$11)</f>
        <v>ClickTech</v>
      </c>
      <c r="R349" t="str">
        <f>_xlfn.XLOOKUP(Table14[[#This Row],[Product]],Product_Master!$B$2:$B$11,Product_Master!$E$2:$E$11)</f>
        <v>China</v>
      </c>
      <c r="S349">
        <f>_xlfn.XLOOKUP(Table14[[#This Row],[Product]],Product_Master!$B$2:$B$11,Product_Master!$F$2:$F$11)</f>
        <v>20</v>
      </c>
    </row>
    <row r="350" spans="1:19" x14ac:dyDescent="0.3">
      <c r="A350" t="s">
        <v>521</v>
      </c>
      <c r="B350" s="23" t="s">
        <v>95</v>
      </c>
      <c r="C350" t="s">
        <v>218</v>
      </c>
      <c r="D350" t="s">
        <v>36</v>
      </c>
      <c r="E350" t="s">
        <v>73</v>
      </c>
      <c r="F350" t="s">
        <v>43</v>
      </c>
      <c r="G350">
        <v>28</v>
      </c>
      <c r="H350" s="4">
        <v>18.59</v>
      </c>
      <c r="I350" s="8">
        <v>520.52</v>
      </c>
      <c r="J350">
        <v>14.08</v>
      </c>
      <c r="K350">
        <v>149.44</v>
      </c>
      <c r="L350" t="s">
        <v>22</v>
      </c>
      <c r="M350" t="s">
        <v>23</v>
      </c>
      <c r="N350" t="s">
        <v>32</v>
      </c>
      <c r="O350" s="5">
        <f>Table14[[#This Row],[Profit]]/Table14[[#This Row],[Total_Sales]]</f>
        <v>0.28709751786674864</v>
      </c>
      <c r="P350" s="23">
        <f>DATE(YEAR(Table14[[#This Row],[Order_Date]]), MONTH(Table14[[#This Row],[Order_Date]]), 1)</f>
        <v>45474</v>
      </c>
      <c r="Q350" t="str">
        <f>_xlfn.XLOOKUP(Table14[[#This Row],[Product]],Product_Master!$B$2:$B$11,Product_Master!$D$2:$D$11)</f>
        <v>BrightHome</v>
      </c>
      <c r="R350" t="str">
        <f>_xlfn.XLOOKUP(Table14[[#This Row],[Product]],Product_Master!$B$2:$B$11,Product_Master!$E$2:$E$11)</f>
        <v>Vietnam</v>
      </c>
      <c r="S350">
        <f>_xlfn.XLOOKUP(Table14[[#This Row],[Product]],Product_Master!$B$2:$B$11,Product_Master!$F$2:$F$11)</f>
        <v>12.75</v>
      </c>
    </row>
    <row r="351" spans="1:19" x14ac:dyDescent="0.3">
      <c r="A351" t="s">
        <v>522</v>
      </c>
      <c r="B351" s="23" t="s">
        <v>104</v>
      </c>
      <c r="C351" t="s">
        <v>523</v>
      </c>
      <c r="D351" t="s">
        <v>123</v>
      </c>
      <c r="E351" t="s">
        <v>69</v>
      </c>
      <c r="F351" t="s">
        <v>59</v>
      </c>
      <c r="G351">
        <v>50</v>
      </c>
      <c r="H351" s="4">
        <v>20.66</v>
      </c>
      <c r="I351" s="8">
        <v>1033</v>
      </c>
      <c r="J351">
        <v>34.130000000000003</v>
      </c>
      <c r="K351">
        <v>223.87</v>
      </c>
      <c r="L351" t="s">
        <v>44</v>
      </c>
      <c r="M351" t="s">
        <v>31</v>
      </c>
      <c r="N351" t="s">
        <v>32</v>
      </c>
      <c r="O351" s="5">
        <f>Table14[[#This Row],[Profit]]/Table14[[#This Row],[Total_Sales]]</f>
        <v>0.21671829622458857</v>
      </c>
      <c r="P351" s="23">
        <f>DATE(YEAR(Table14[[#This Row],[Order_Date]]), MONTH(Table14[[#This Row],[Order_Date]]), 1)</f>
        <v>45717</v>
      </c>
      <c r="Q351" t="str">
        <f>_xlfn.XLOOKUP(Table14[[#This Row],[Product]],Product_Master!$B$2:$B$11,Product_Master!$D$2:$D$11)</f>
        <v>Artisans Co.</v>
      </c>
      <c r="R351" t="str">
        <f>_xlfn.XLOOKUP(Table14[[#This Row],[Product]],Product_Master!$B$2:$B$11,Product_Master!$E$2:$E$11)</f>
        <v>India</v>
      </c>
      <c r="S351">
        <f>_xlfn.XLOOKUP(Table14[[#This Row],[Product]],Product_Master!$B$2:$B$11,Product_Master!$F$2:$F$11)</f>
        <v>15.5</v>
      </c>
    </row>
    <row r="352" spans="1:19" x14ac:dyDescent="0.3">
      <c r="A352" t="s">
        <v>524</v>
      </c>
      <c r="B352" s="23" t="s">
        <v>17</v>
      </c>
      <c r="C352" t="s">
        <v>175</v>
      </c>
      <c r="D352" t="s">
        <v>63</v>
      </c>
      <c r="E352" t="s">
        <v>20</v>
      </c>
      <c r="F352" t="s">
        <v>21</v>
      </c>
      <c r="G352">
        <v>4</v>
      </c>
      <c r="H352" s="4">
        <v>46.62</v>
      </c>
      <c r="I352" s="8">
        <v>186.48</v>
      </c>
      <c r="J352">
        <v>13.29</v>
      </c>
      <c r="K352">
        <v>33.19</v>
      </c>
      <c r="L352" t="s">
        <v>30</v>
      </c>
      <c r="M352" t="s">
        <v>23</v>
      </c>
      <c r="N352" t="s">
        <v>66</v>
      </c>
      <c r="O352" s="5">
        <f>Table14[[#This Row],[Profit]]/Table14[[#This Row],[Total_Sales]]</f>
        <v>0.17798155298155299</v>
      </c>
      <c r="P352" s="23">
        <f>DATE(YEAR(Table14[[#This Row],[Order_Date]]), MONTH(Table14[[#This Row],[Order_Date]]), 1)</f>
        <v>45658</v>
      </c>
      <c r="Q352" t="str">
        <f>_xlfn.XLOOKUP(Table14[[#This Row],[Product]],Product_Master!$B$2:$B$11,Product_Master!$D$2:$D$11)</f>
        <v>CarryPro</v>
      </c>
      <c r="R352" t="str">
        <f>_xlfn.XLOOKUP(Table14[[#This Row],[Product]],Product_Master!$B$2:$B$11,Product_Master!$E$2:$E$11)</f>
        <v>Vietnam</v>
      </c>
      <c r="S352">
        <f>_xlfn.XLOOKUP(Table14[[#This Row],[Product]],Product_Master!$B$2:$B$11,Product_Master!$F$2:$F$11)</f>
        <v>35</v>
      </c>
    </row>
    <row r="353" spans="1:19" x14ac:dyDescent="0.3">
      <c r="A353" t="s">
        <v>525</v>
      </c>
      <c r="B353" s="23" t="s">
        <v>17</v>
      </c>
      <c r="C353" t="s">
        <v>484</v>
      </c>
      <c r="D353" t="s">
        <v>101</v>
      </c>
      <c r="E353" t="s">
        <v>69</v>
      </c>
      <c r="F353" t="s">
        <v>59</v>
      </c>
      <c r="G353">
        <v>37</v>
      </c>
      <c r="H353" s="4">
        <v>21.81</v>
      </c>
      <c r="I353" s="8">
        <v>806.97</v>
      </c>
      <c r="J353">
        <v>19.63</v>
      </c>
      <c r="K353">
        <v>213.84</v>
      </c>
      <c r="L353" t="s">
        <v>44</v>
      </c>
      <c r="M353" t="s">
        <v>37</v>
      </c>
      <c r="N353" t="s">
        <v>102</v>
      </c>
      <c r="O353" s="5">
        <f>Table14[[#This Row],[Profit]]/Table14[[#This Row],[Total_Sales]]</f>
        <v>0.26499126361574782</v>
      </c>
      <c r="P353" s="23">
        <f>DATE(YEAR(Table14[[#This Row],[Order_Date]]), MONTH(Table14[[#This Row],[Order_Date]]), 1)</f>
        <v>45658</v>
      </c>
      <c r="Q353" t="str">
        <f>_xlfn.XLOOKUP(Table14[[#This Row],[Product]],Product_Master!$B$2:$B$11,Product_Master!$D$2:$D$11)</f>
        <v>Artisans Co.</v>
      </c>
      <c r="R353" t="str">
        <f>_xlfn.XLOOKUP(Table14[[#This Row],[Product]],Product_Master!$B$2:$B$11,Product_Master!$E$2:$E$11)</f>
        <v>India</v>
      </c>
      <c r="S353">
        <f>_xlfn.XLOOKUP(Table14[[#This Row],[Product]],Product_Master!$B$2:$B$11,Product_Master!$F$2:$F$11)</f>
        <v>15.5</v>
      </c>
    </row>
    <row r="354" spans="1:19" x14ac:dyDescent="0.3">
      <c r="A354" t="s">
        <v>526</v>
      </c>
      <c r="B354" s="23" t="s">
        <v>34</v>
      </c>
      <c r="C354" t="s">
        <v>153</v>
      </c>
      <c r="D354" t="s">
        <v>63</v>
      </c>
      <c r="E354" t="s">
        <v>69</v>
      </c>
      <c r="F354" t="s">
        <v>59</v>
      </c>
      <c r="G354">
        <v>48</v>
      </c>
      <c r="H354" s="4">
        <v>26.68</v>
      </c>
      <c r="I354" s="8">
        <v>1280.6400000000001</v>
      </c>
      <c r="J354">
        <v>55.36</v>
      </c>
      <c r="K354">
        <v>481.28</v>
      </c>
      <c r="L354" t="s">
        <v>22</v>
      </c>
      <c r="M354" t="s">
        <v>31</v>
      </c>
      <c r="N354" t="s">
        <v>66</v>
      </c>
      <c r="O354" s="5">
        <f>Table14[[#This Row],[Profit]]/Table14[[#This Row],[Total_Sales]]</f>
        <v>0.37581209395302345</v>
      </c>
      <c r="P354" s="23">
        <f>DATE(YEAR(Table14[[#This Row],[Order_Date]]), MONTH(Table14[[#This Row],[Order_Date]]), 1)</f>
        <v>45383</v>
      </c>
      <c r="Q354" t="str">
        <f>_xlfn.XLOOKUP(Table14[[#This Row],[Product]],Product_Master!$B$2:$B$11,Product_Master!$D$2:$D$11)</f>
        <v>Artisans Co.</v>
      </c>
      <c r="R354" t="str">
        <f>_xlfn.XLOOKUP(Table14[[#This Row],[Product]],Product_Master!$B$2:$B$11,Product_Master!$E$2:$E$11)</f>
        <v>India</v>
      </c>
      <c r="S354">
        <f>_xlfn.XLOOKUP(Table14[[#This Row],[Product]],Product_Master!$B$2:$B$11,Product_Master!$F$2:$F$11)</f>
        <v>15.5</v>
      </c>
    </row>
    <row r="355" spans="1:19" x14ac:dyDescent="0.3">
      <c r="A355" t="s">
        <v>527</v>
      </c>
      <c r="B355" s="23" t="s">
        <v>61</v>
      </c>
      <c r="C355" t="s">
        <v>137</v>
      </c>
      <c r="D355" t="s">
        <v>41</v>
      </c>
      <c r="E355" t="s">
        <v>64</v>
      </c>
      <c r="F355" t="s">
        <v>65</v>
      </c>
      <c r="G355">
        <v>24</v>
      </c>
      <c r="H355" s="4">
        <v>42.82</v>
      </c>
      <c r="I355" s="8">
        <v>1027.68</v>
      </c>
      <c r="J355">
        <v>69.95</v>
      </c>
      <c r="K355">
        <v>357.73</v>
      </c>
      <c r="L355" t="s">
        <v>22</v>
      </c>
      <c r="M355" t="s">
        <v>23</v>
      </c>
      <c r="N355" t="s">
        <v>45</v>
      </c>
      <c r="O355" s="5">
        <f>Table14[[#This Row],[Profit]]/Table14[[#This Row],[Total_Sales]]</f>
        <v>0.34809473766152887</v>
      </c>
      <c r="P355" s="23">
        <f>DATE(YEAR(Table14[[#This Row],[Order_Date]]), MONTH(Table14[[#This Row],[Order_Date]]), 1)</f>
        <v>45778</v>
      </c>
      <c r="Q355" t="str">
        <f>_xlfn.XLOOKUP(Table14[[#This Row],[Product]],Product_Master!$B$2:$B$11,Product_Master!$D$2:$D$11)</f>
        <v>SoftWeave</v>
      </c>
      <c r="R355" t="str">
        <f>_xlfn.XLOOKUP(Table14[[#This Row],[Product]],Product_Master!$B$2:$B$11,Product_Master!$E$2:$E$11)</f>
        <v>Turkey</v>
      </c>
      <c r="S355">
        <f>_xlfn.XLOOKUP(Table14[[#This Row],[Product]],Product_Master!$B$2:$B$11,Product_Master!$F$2:$F$11)</f>
        <v>25</v>
      </c>
    </row>
    <row r="356" spans="1:19" x14ac:dyDescent="0.3">
      <c r="A356" t="s">
        <v>528</v>
      </c>
      <c r="B356" s="23" t="s">
        <v>17</v>
      </c>
      <c r="C356" t="s">
        <v>139</v>
      </c>
      <c r="D356" t="s">
        <v>147</v>
      </c>
      <c r="E356" t="s">
        <v>58</v>
      </c>
      <c r="F356" t="s">
        <v>59</v>
      </c>
      <c r="G356">
        <v>26</v>
      </c>
      <c r="H356" s="4">
        <v>34.4</v>
      </c>
      <c r="I356" s="8">
        <v>894.4</v>
      </c>
      <c r="J356">
        <v>40.42</v>
      </c>
      <c r="K356">
        <v>268.98</v>
      </c>
      <c r="L356" t="s">
        <v>22</v>
      </c>
      <c r="M356" t="s">
        <v>23</v>
      </c>
      <c r="N356" t="s">
        <v>148</v>
      </c>
      <c r="O356" s="5">
        <f>Table14[[#This Row],[Profit]]/Table14[[#This Row],[Total_Sales]]</f>
        <v>0.3007379248658319</v>
      </c>
      <c r="P356" s="23">
        <f>DATE(YEAR(Table14[[#This Row],[Order_Date]]), MONTH(Table14[[#This Row],[Order_Date]]), 1)</f>
        <v>45658</v>
      </c>
      <c r="Q356" t="str">
        <f>_xlfn.XLOOKUP(Table14[[#This Row],[Product]],Product_Master!$B$2:$B$11,Product_Master!$D$2:$D$11)</f>
        <v>ClearCraft</v>
      </c>
      <c r="R356" t="str">
        <f>_xlfn.XLOOKUP(Table14[[#This Row],[Product]],Product_Master!$B$2:$B$11,Product_Master!$E$2:$E$11)</f>
        <v>India</v>
      </c>
      <c r="S356">
        <f>_xlfn.XLOOKUP(Table14[[#This Row],[Product]],Product_Master!$B$2:$B$11,Product_Master!$F$2:$F$11)</f>
        <v>22.5</v>
      </c>
    </row>
    <row r="357" spans="1:19" x14ac:dyDescent="0.3">
      <c r="A357" t="s">
        <v>529</v>
      </c>
      <c r="B357" s="23" t="s">
        <v>56</v>
      </c>
      <c r="C357" t="s">
        <v>221</v>
      </c>
      <c r="D357" t="s">
        <v>36</v>
      </c>
      <c r="E357" t="s">
        <v>20</v>
      </c>
      <c r="F357" t="s">
        <v>21</v>
      </c>
      <c r="G357">
        <v>47</v>
      </c>
      <c r="H357" s="4">
        <v>44.89</v>
      </c>
      <c r="I357" s="8">
        <v>2109.83</v>
      </c>
      <c r="J357">
        <v>45.91</v>
      </c>
      <c r="K357">
        <v>418.92</v>
      </c>
      <c r="L357" t="s">
        <v>22</v>
      </c>
      <c r="M357" t="s">
        <v>31</v>
      </c>
      <c r="N357" t="s">
        <v>32</v>
      </c>
      <c r="O357" s="5">
        <f>Table14[[#This Row],[Profit]]/Table14[[#This Row],[Total_Sales]]</f>
        <v>0.19855628178573631</v>
      </c>
      <c r="P357" s="23">
        <f>DATE(YEAR(Table14[[#This Row],[Order_Date]]), MONTH(Table14[[#This Row],[Order_Date]]), 1)</f>
        <v>45444</v>
      </c>
      <c r="Q357" t="str">
        <f>_xlfn.XLOOKUP(Table14[[#This Row],[Product]],Product_Master!$B$2:$B$11,Product_Master!$D$2:$D$11)</f>
        <v>CarryPro</v>
      </c>
      <c r="R357" t="str">
        <f>_xlfn.XLOOKUP(Table14[[#This Row],[Product]],Product_Master!$B$2:$B$11,Product_Master!$E$2:$E$11)</f>
        <v>Vietnam</v>
      </c>
      <c r="S357">
        <f>_xlfn.XLOOKUP(Table14[[#This Row],[Product]],Product_Master!$B$2:$B$11,Product_Master!$F$2:$F$11)</f>
        <v>35</v>
      </c>
    </row>
    <row r="358" spans="1:19" x14ac:dyDescent="0.3">
      <c r="A358" t="s">
        <v>530</v>
      </c>
      <c r="B358" s="23" t="s">
        <v>78</v>
      </c>
      <c r="C358" t="s">
        <v>198</v>
      </c>
      <c r="D358" t="s">
        <v>63</v>
      </c>
      <c r="E358" t="s">
        <v>69</v>
      </c>
      <c r="F358" t="s">
        <v>59</v>
      </c>
      <c r="G358">
        <v>1</v>
      </c>
      <c r="H358" s="4">
        <v>18.739999999999998</v>
      </c>
      <c r="I358" s="8">
        <v>18.739999999999998</v>
      </c>
      <c r="J358">
        <v>0.5</v>
      </c>
      <c r="K358">
        <v>2.74</v>
      </c>
      <c r="L358" t="s">
        <v>44</v>
      </c>
      <c r="M358" t="s">
        <v>31</v>
      </c>
      <c r="N358" t="s">
        <v>66</v>
      </c>
      <c r="O358" s="5">
        <f>Table14[[#This Row],[Profit]]/Table14[[#This Row],[Total_Sales]]</f>
        <v>0.14621131270010676</v>
      </c>
      <c r="P358" s="23">
        <f>DATE(YEAR(Table14[[#This Row],[Order_Date]]), MONTH(Table14[[#This Row],[Order_Date]]), 1)</f>
        <v>45627</v>
      </c>
      <c r="Q358" t="str">
        <f>_xlfn.XLOOKUP(Table14[[#This Row],[Product]],Product_Master!$B$2:$B$11,Product_Master!$D$2:$D$11)</f>
        <v>Artisans Co.</v>
      </c>
      <c r="R358" t="str">
        <f>_xlfn.XLOOKUP(Table14[[#This Row],[Product]],Product_Master!$B$2:$B$11,Product_Master!$E$2:$E$11)</f>
        <v>India</v>
      </c>
      <c r="S358">
        <f>_xlfn.XLOOKUP(Table14[[#This Row],[Product]],Product_Master!$B$2:$B$11,Product_Master!$F$2:$F$11)</f>
        <v>15.5</v>
      </c>
    </row>
    <row r="359" spans="1:19" x14ac:dyDescent="0.3">
      <c r="A359" t="s">
        <v>531</v>
      </c>
      <c r="B359" s="23" t="s">
        <v>78</v>
      </c>
      <c r="C359" t="s">
        <v>189</v>
      </c>
      <c r="D359" t="s">
        <v>81</v>
      </c>
      <c r="E359" t="s">
        <v>58</v>
      </c>
      <c r="F359" t="s">
        <v>59</v>
      </c>
      <c r="G359">
        <v>27</v>
      </c>
      <c r="H359" s="4">
        <v>36.270000000000003</v>
      </c>
      <c r="I359" s="8">
        <v>979.29</v>
      </c>
      <c r="J359">
        <v>54.58</v>
      </c>
      <c r="K359">
        <v>317.20999999999998</v>
      </c>
      <c r="L359" t="s">
        <v>30</v>
      </c>
      <c r="M359" t="s">
        <v>31</v>
      </c>
      <c r="N359" t="s">
        <v>66</v>
      </c>
      <c r="O359" s="5">
        <f>Table14[[#This Row],[Profit]]/Table14[[#This Row],[Total_Sales]]</f>
        <v>0.32391834900795474</v>
      </c>
      <c r="P359" s="23">
        <f>DATE(YEAR(Table14[[#This Row],[Order_Date]]), MONTH(Table14[[#This Row],[Order_Date]]), 1)</f>
        <v>45627</v>
      </c>
      <c r="Q359" t="str">
        <f>_xlfn.XLOOKUP(Table14[[#This Row],[Product]],Product_Master!$B$2:$B$11,Product_Master!$D$2:$D$11)</f>
        <v>ClearCraft</v>
      </c>
      <c r="R359" t="str">
        <f>_xlfn.XLOOKUP(Table14[[#This Row],[Product]],Product_Master!$B$2:$B$11,Product_Master!$E$2:$E$11)</f>
        <v>India</v>
      </c>
      <c r="S359">
        <f>_xlfn.XLOOKUP(Table14[[#This Row],[Product]],Product_Master!$B$2:$B$11,Product_Master!$F$2:$F$11)</f>
        <v>22.5</v>
      </c>
    </row>
    <row r="360" spans="1:19" x14ac:dyDescent="0.3">
      <c r="A360" t="s">
        <v>532</v>
      </c>
      <c r="B360" s="23" t="s">
        <v>39</v>
      </c>
      <c r="C360" t="s">
        <v>110</v>
      </c>
      <c r="D360" t="s">
        <v>170</v>
      </c>
      <c r="E360" t="s">
        <v>73</v>
      </c>
      <c r="F360" t="s">
        <v>43</v>
      </c>
      <c r="G360">
        <v>13</v>
      </c>
      <c r="H360" s="4">
        <v>18.82</v>
      </c>
      <c r="I360" s="8">
        <v>244.66</v>
      </c>
      <c r="J360">
        <v>6.49</v>
      </c>
      <c r="K360">
        <v>72.42</v>
      </c>
      <c r="L360" t="s">
        <v>44</v>
      </c>
      <c r="M360" t="s">
        <v>31</v>
      </c>
      <c r="N360" t="s">
        <v>32</v>
      </c>
      <c r="O360" s="5">
        <f>Table14[[#This Row],[Profit]]/Table14[[#This Row],[Total_Sales]]</f>
        <v>0.29600261587509197</v>
      </c>
      <c r="P360" s="23">
        <f>DATE(YEAR(Table14[[#This Row],[Order_Date]]), MONTH(Table14[[#This Row],[Order_Date]]), 1)</f>
        <v>45566</v>
      </c>
      <c r="Q360" t="str">
        <f>_xlfn.XLOOKUP(Table14[[#This Row],[Product]],Product_Master!$B$2:$B$11,Product_Master!$D$2:$D$11)</f>
        <v>BrightHome</v>
      </c>
      <c r="R360" t="str">
        <f>_xlfn.XLOOKUP(Table14[[#This Row],[Product]],Product_Master!$B$2:$B$11,Product_Master!$E$2:$E$11)</f>
        <v>Vietnam</v>
      </c>
      <c r="S360">
        <f>_xlfn.XLOOKUP(Table14[[#This Row],[Product]],Product_Master!$B$2:$B$11,Product_Master!$F$2:$F$11)</f>
        <v>12.75</v>
      </c>
    </row>
    <row r="361" spans="1:19" x14ac:dyDescent="0.3">
      <c r="A361" t="s">
        <v>533</v>
      </c>
      <c r="B361" s="23" t="s">
        <v>26</v>
      </c>
      <c r="C361" t="s">
        <v>361</v>
      </c>
      <c r="D361" t="s">
        <v>147</v>
      </c>
      <c r="E361" t="s">
        <v>98</v>
      </c>
      <c r="F361" t="s">
        <v>59</v>
      </c>
      <c r="G361">
        <v>41</v>
      </c>
      <c r="H361" s="4">
        <v>43.19</v>
      </c>
      <c r="I361" s="8">
        <v>1770.79</v>
      </c>
      <c r="J361">
        <v>83.28</v>
      </c>
      <c r="K361">
        <v>539.51</v>
      </c>
      <c r="L361" t="s">
        <v>30</v>
      </c>
      <c r="M361" t="s">
        <v>23</v>
      </c>
      <c r="N361" t="s">
        <v>148</v>
      </c>
      <c r="O361" s="5">
        <f>Table14[[#This Row],[Profit]]/Table14[[#This Row],[Total_Sales]]</f>
        <v>0.30467192608948551</v>
      </c>
      <c r="P361" s="23">
        <f>DATE(YEAR(Table14[[#This Row],[Order_Date]]), MONTH(Table14[[#This Row],[Order_Date]]), 1)</f>
        <v>45689</v>
      </c>
      <c r="Q361" t="str">
        <f>_xlfn.XLOOKUP(Table14[[#This Row],[Product]],Product_Master!$B$2:$B$11,Product_Master!$D$2:$D$11)</f>
        <v>BrightHome</v>
      </c>
      <c r="R361" t="str">
        <f>_xlfn.XLOOKUP(Table14[[#This Row],[Product]],Product_Master!$B$2:$B$11,Product_Master!$E$2:$E$11)</f>
        <v>India</v>
      </c>
      <c r="S361">
        <f>_xlfn.XLOOKUP(Table14[[#This Row],[Product]],Product_Master!$B$2:$B$11,Product_Master!$F$2:$F$11)</f>
        <v>28</v>
      </c>
    </row>
    <row r="362" spans="1:19" x14ac:dyDescent="0.3">
      <c r="A362" t="s">
        <v>534</v>
      </c>
      <c r="B362" s="23" t="s">
        <v>86</v>
      </c>
      <c r="C362" t="s">
        <v>76</v>
      </c>
      <c r="D362" t="s">
        <v>63</v>
      </c>
      <c r="E362" t="s">
        <v>98</v>
      </c>
      <c r="F362" t="s">
        <v>59</v>
      </c>
      <c r="G362">
        <v>40</v>
      </c>
      <c r="H362" s="4">
        <v>42.31</v>
      </c>
      <c r="I362" s="8">
        <v>1692.4</v>
      </c>
      <c r="J362">
        <v>118.59</v>
      </c>
      <c r="K362">
        <v>453.81</v>
      </c>
      <c r="L362" t="s">
        <v>30</v>
      </c>
      <c r="M362" t="s">
        <v>37</v>
      </c>
      <c r="N362" t="s">
        <v>66</v>
      </c>
      <c r="O362" s="5">
        <f>Table14[[#This Row],[Profit]]/Table14[[#This Row],[Total_Sales]]</f>
        <v>0.26814582840935947</v>
      </c>
      <c r="P362" s="23">
        <f>DATE(YEAR(Table14[[#This Row],[Order_Date]]), MONTH(Table14[[#This Row],[Order_Date]]), 1)</f>
        <v>45352</v>
      </c>
      <c r="Q362" t="str">
        <f>_xlfn.XLOOKUP(Table14[[#This Row],[Product]],Product_Master!$B$2:$B$11,Product_Master!$D$2:$D$11)</f>
        <v>BrightHome</v>
      </c>
      <c r="R362" t="str">
        <f>_xlfn.XLOOKUP(Table14[[#This Row],[Product]],Product_Master!$B$2:$B$11,Product_Master!$E$2:$E$11)</f>
        <v>India</v>
      </c>
      <c r="S362">
        <f>_xlfn.XLOOKUP(Table14[[#This Row],[Product]],Product_Master!$B$2:$B$11,Product_Master!$F$2:$F$11)</f>
        <v>28</v>
      </c>
    </row>
    <row r="363" spans="1:19" x14ac:dyDescent="0.3">
      <c r="A363" t="s">
        <v>535</v>
      </c>
      <c r="B363" s="23" t="s">
        <v>61</v>
      </c>
      <c r="C363" t="s">
        <v>295</v>
      </c>
      <c r="D363" t="s">
        <v>196</v>
      </c>
      <c r="E363" t="s">
        <v>42</v>
      </c>
      <c r="F363" t="s">
        <v>43</v>
      </c>
      <c r="G363">
        <v>1</v>
      </c>
      <c r="H363" s="4">
        <v>57.15</v>
      </c>
      <c r="I363" s="8">
        <v>57.15</v>
      </c>
      <c r="J363">
        <v>4.1100000000000003</v>
      </c>
      <c r="K363">
        <v>-21</v>
      </c>
      <c r="L363" t="s">
        <v>30</v>
      </c>
      <c r="M363" t="s">
        <v>23</v>
      </c>
      <c r="N363" t="s">
        <v>66</v>
      </c>
      <c r="O363" s="5">
        <f>Table14[[#This Row],[Profit]]/Table14[[#This Row],[Total_Sales]]</f>
        <v>-0.36745406824146981</v>
      </c>
      <c r="P363" s="23">
        <f>DATE(YEAR(Table14[[#This Row],[Order_Date]]), MONTH(Table14[[#This Row],[Order_Date]]), 1)</f>
        <v>45778</v>
      </c>
      <c r="Q363" t="str">
        <f>_xlfn.XLOOKUP(Table14[[#This Row],[Product]],Product_Master!$B$2:$B$11,Product_Master!$D$2:$D$11)</f>
        <v>AudioTech Ltd.</v>
      </c>
      <c r="R363" t="str">
        <f>_xlfn.XLOOKUP(Table14[[#This Row],[Product]],Product_Master!$B$2:$B$11,Product_Master!$E$2:$E$11)</f>
        <v>China</v>
      </c>
      <c r="S363">
        <f>_xlfn.XLOOKUP(Table14[[#This Row],[Product]],Product_Master!$B$2:$B$11,Product_Master!$F$2:$F$11)</f>
        <v>32</v>
      </c>
    </row>
    <row r="364" spans="1:19" x14ac:dyDescent="0.3">
      <c r="A364" t="s">
        <v>536</v>
      </c>
      <c r="B364" s="23" t="s">
        <v>107</v>
      </c>
      <c r="C364" t="s">
        <v>187</v>
      </c>
      <c r="D364" t="s">
        <v>48</v>
      </c>
      <c r="E364" t="s">
        <v>54</v>
      </c>
      <c r="F364" t="s">
        <v>43</v>
      </c>
      <c r="G364">
        <v>15</v>
      </c>
      <c r="H364" s="4">
        <v>30.03</v>
      </c>
      <c r="I364" s="8">
        <v>450.45</v>
      </c>
      <c r="J364">
        <v>29.99</v>
      </c>
      <c r="K364">
        <v>120.46</v>
      </c>
      <c r="L364" t="s">
        <v>44</v>
      </c>
      <c r="M364" t="s">
        <v>31</v>
      </c>
      <c r="N364" t="s">
        <v>24</v>
      </c>
      <c r="O364" s="5">
        <f>Table14[[#This Row],[Profit]]/Table14[[#This Row],[Total_Sales]]</f>
        <v>0.26742146742146744</v>
      </c>
      <c r="P364" s="23">
        <f>DATE(YEAR(Table14[[#This Row],[Order_Date]]), MONTH(Table14[[#This Row],[Order_Date]]), 1)</f>
        <v>45413</v>
      </c>
      <c r="Q364" t="str">
        <f>_xlfn.XLOOKUP(Table14[[#This Row],[Product]],Product_Master!$B$2:$B$11,Product_Master!$D$2:$D$11)</f>
        <v>ClickTech</v>
      </c>
      <c r="R364" t="str">
        <f>_xlfn.XLOOKUP(Table14[[#This Row],[Product]],Product_Master!$B$2:$B$11,Product_Master!$E$2:$E$11)</f>
        <v>China</v>
      </c>
      <c r="S364">
        <f>_xlfn.XLOOKUP(Table14[[#This Row],[Product]],Product_Master!$B$2:$B$11,Product_Master!$F$2:$F$11)</f>
        <v>20</v>
      </c>
    </row>
    <row r="365" spans="1:19" x14ac:dyDescent="0.3">
      <c r="A365" t="s">
        <v>537</v>
      </c>
      <c r="B365" s="23" t="s">
        <v>107</v>
      </c>
      <c r="C365" t="s">
        <v>180</v>
      </c>
      <c r="D365" t="s">
        <v>41</v>
      </c>
      <c r="E365" t="s">
        <v>54</v>
      </c>
      <c r="F365" t="s">
        <v>43</v>
      </c>
      <c r="G365">
        <v>48</v>
      </c>
      <c r="H365" s="4">
        <v>30.91</v>
      </c>
      <c r="I365" s="8">
        <v>1483.68</v>
      </c>
      <c r="J365">
        <v>85.5</v>
      </c>
      <c r="K365">
        <v>438.18</v>
      </c>
      <c r="L365" t="s">
        <v>22</v>
      </c>
      <c r="M365" t="s">
        <v>31</v>
      </c>
      <c r="N365" t="s">
        <v>45</v>
      </c>
      <c r="O365" s="5">
        <f>Table14[[#This Row],[Profit]]/Table14[[#This Row],[Total_Sales]]</f>
        <v>0.29533322549336782</v>
      </c>
      <c r="P365" s="23">
        <f>DATE(YEAR(Table14[[#This Row],[Order_Date]]), MONTH(Table14[[#This Row],[Order_Date]]), 1)</f>
        <v>45413</v>
      </c>
      <c r="Q365" t="str">
        <f>_xlfn.XLOOKUP(Table14[[#This Row],[Product]],Product_Master!$B$2:$B$11,Product_Master!$D$2:$D$11)</f>
        <v>ClickTech</v>
      </c>
      <c r="R365" t="str">
        <f>_xlfn.XLOOKUP(Table14[[#This Row],[Product]],Product_Master!$B$2:$B$11,Product_Master!$E$2:$E$11)</f>
        <v>China</v>
      </c>
      <c r="S365">
        <f>_xlfn.XLOOKUP(Table14[[#This Row],[Product]],Product_Master!$B$2:$B$11,Product_Master!$F$2:$F$11)</f>
        <v>20</v>
      </c>
    </row>
    <row r="366" spans="1:19" x14ac:dyDescent="0.3">
      <c r="A366" t="s">
        <v>538</v>
      </c>
      <c r="B366" s="23" t="s">
        <v>157</v>
      </c>
      <c r="C366" t="s">
        <v>342</v>
      </c>
      <c r="D366" t="s">
        <v>53</v>
      </c>
      <c r="E366" t="s">
        <v>58</v>
      </c>
      <c r="F366" t="s">
        <v>59</v>
      </c>
      <c r="G366">
        <v>8</v>
      </c>
      <c r="H366" s="4">
        <v>32.19</v>
      </c>
      <c r="I366" s="8">
        <v>257.52</v>
      </c>
      <c r="J366">
        <v>11.85</v>
      </c>
      <c r="K366">
        <v>65.67</v>
      </c>
      <c r="L366" t="s">
        <v>22</v>
      </c>
      <c r="M366" t="s">
        <v>23</v>
      </c>
      <c r="N366" t="s">
        <v>24</v>
      </c>
      <c r="O366" s="5">
        <f>Table14[[#This Row],[Profit]]/Table14[[#This Row],[Total_Sales]]</f>
        <v>0.25500931966449208</v>
      </c>
      <c r="P366" s="23">
        <f>DATE(YEAR(Table14[[#This Row],[Order_Date]]), MONTH(Table14[[#This Row],[Order_Date]]), 1)</f>
        <v>45292</v>
      </c>
      <c r="Q366" t="str">
        <f>_xlfn.XLOOKUP(Table14[[#This Row],[Product]],Product_Master!$B$2:$B$11,Product_Master!$D$2:$D$11)</f>
        <v>ClearCraft</v>
      </c>
      <c r="R366" t="str">
        <f>_xlfn.XLOOKUP(Table14[[#This Row],[Product]],Product_Master!$B$2:$B$11,Product_Master!$E$2:$E$11)</f>
        <v>India</v>
      </c>
      <c r="S366">
        <f>_xlfn.XLOOKUP(Table14[[#This Row],[Product]],Product_Master!$B$2:$B$11,Product_Master!$F$2:$F$11)</f>
        <v>22.5</v>
      </c>
    </row>
    <row r="367" spans="1:19" x14ac:dyDescent="0.3">
      <c r="A367" t="s">
        <v>539</v>
      </c>
      <c r="B367" s="23" t="s">
        <v>71</v>
      </c>
      <c r="C367" t="s">
        <v>166</v>
      </c>
      <c r="D367" t="s">
        <v>88</v>
      </c>
      <c r="E367" t="s">
        <v>49</v>
      </c>
      <c r="F367" t="s">
        <v>50</v>
      </c>
      <c r="G367">
        <v>22</v>
      </c>
      <c r="H367" s="4">
        <v>60.75</v>
      </c>
      <c r="I367" s="8">
        <v>1336.5</v>
      </c>
      <c r="J367">
        <v>38.340000000000003</v>
      </c>
      <c r="K367">
        <v>418.16</v>
      </c>
      <c r="L367" t="s">
        <v>22</v>
      </c>
      <c r="M367" t="s">
        <v>31</v>
      </c>
      <c r="N367" t="s">
        <v>66</v>
      </c>
      <c r="O367" s="5">
        <f>Table14[[#This Row],[Profit]]/Table14[[#This Row],[Total_Sales]]</f>
        <v>0.3128769173213618</v>
      </c>
      <c r="P367" s="23">
        <f>DATE(YEAR(Table14[[#This Row],[Order_Date]]), MONTH(Table14[[#This Row],[Order_Date]]), 1)</f>
        <v>45505</v>
      </c>
      <c r="Q367" t="str">
        <f>_xlfn.XLOOKUP(Table14[[#This Row],[Product]],Product_Master!$B$2:$B$11,Product_Master!$D$2:$D$11)</f>
        <v>BlueWear</v>
      </c>
      <c r="R367" t="str">
        <f>_xlfn.XLOOKUP(Table14[[#This Row],[Product]],Product_Master!$B$2:$B$11,Product_Master!$E$2:$E$11)</f>
        <v>Bangladesh</v>
      </c>
      <c r="S367">
        <f>_xlfn.XLOOKUP(Table14[[#This Row],[Product]],Product_Master!$B$2:$B$11,Product_Master!$F$2:$F$11)</f>
        <v>40</v>
      </c>
    </row>
    <row r="368" spans="1:19" x14ac:dyDescent="0.3">
      <c r="A368" t="s">
        <v>540</v>
      </c>
      <c r="B368" s="23" t="s">
        <v>104</v>
      </c>
      <c r="C368" t="s">
        <v>137</v>
      </c>
      <c r="D368" t="s">
        <v>36</v>
      </c>
      <c r="E368" t="s">
        <v>49</v>
      </c>
      <c r="F368" t="s">
        <v>50</v>
      </c>
      <c r="G368">
        <v>38</v>
      </c>
      <c r="H368" s="4">
        <v>66.06</v>
      </c>
      <c r="I368" s="8">
        <v>2510.2800000000002</v>
      </c>
      <c r="J368">
        <v>50.37</v>
      </c>
      <c r="K368">
        <v>939.91</v>
      </c>
      <c r="L368" t="s">
        <v>22</v>
      </c>
      <c r="M368" t="s">
        <v>23</v>
      </c>
      <c r="N368" t="s">
        <v>32</v>
      </c>
      <c r="O368" s="5">
        <f>Table14[[#This Row],[Profit]]/Table14[[#This Row],[Total_Sales]]</f>
        <v>0.37442436700288412</v>
      </c>
      <c r="P368" s="23">
        <f>DATE(YEAR(Table14[[#This Row],[Order_Date]]), MONTH(Table14[[#This Row],[Order_Date]]), 1)</f>
        <v>45717</v>
      </c>
      <c r="Q368" t="str">
        <f>_xlfn.XLOOKUP(Table14[[#This Row],[Product]],Product_Master!$B$2:$B$11,Product_Master!$D$2:$D$11)</f>
        <v>BlueWear</v>
      </c>
      <c r="R368" t="str">
        <f>_xlfn.XLOOKUP(Table14[[#This Row],[Product]],Product_Master!$B$2:$B$11,Product_Master!$E$2:$E$11)</f>
        <v>Bangladesh</v>
      </c>
      <c r="S368">
        <f>_xlfn.XLOOKUP(Table14[[#This Row],[Product]],Product_Master!$B$2:$B$11,Product_Master!$F$2:$F$11)</f>
        <v>40</v>
      </c>
    </row>
    <row r="369" spans="1:19" x14ac:dyDescent="0.3">
      <c r="A369" t="s">
        <v>541</v>
      </c>
      <c r="B369" s="23" t="s">
        <v>68</v>
      </c>
      <c r="C369" t="s">
        <v>114</v>
      </c>
      <c r="D369" t="s">
        <v>19</v>
      </c>
      <c r="E369" t="s">
        <v>20</v>
      </c>
      <c r="F369" t="s">
        <v>21</v>
      </c>
      <c r="G369">
        <v>33</v>
      </c>
      <c r="H369">
        <v>50.88</v>
      </c>
      <c r="I369">
        <v>1679.04</v>
      </c>
      <c r="J369">
        <v>61.48</v>
      </c>
      <c r="K369">
        <v>462.56</v>
      </c>
      <c r="L369" t="s">
        <v>22</v>
      </c>
      <c r="M369" t="s">
        <v>31</v>
      </c>
      <c r="N369" t="s">
        <v>24</v>
      </c>
      <c r="O369" s="5">
        <f>Table14[[#This Row],[Profit]]/Table14[[#This Row],[Total_Sales]]</f>
        <v>0.27549075662283212</v>
      </c>
      <c r="P369" s="23">
        <f>DATE(YEAR(Table14[[#This Row],[Order_Date]]), MONTH(Table14[[#This Row],[Order_Date]]), 1)</f>
        <v>45536</v>
      </c>
      <c r="Q369" t="str">
        <f>_xlfn.XLOOKUP(Table14[[#This Row],[Product]],Product_Master!$B$2:$B$11,Product_Master!$D$2:$D$11)</f>
        <v>CarryPro</v>
      </c>
      <c r="R369" t="str">
        <f>_xlfn.XLOOKUP(Table14[[#This Row],[Product]],Product_Master!$B$2:$B$11,Product_Master!$E$2:$E$11)</f>
        <v>Vietnam</v>
      </c>
      <c r="S369">
        <f>_xlfn.XLOOKUP(Table14[[#This Row],[Product]],Product_Master!$B$2:$B$11,Product_Master!$F$2:$F$11)</f>
        <v>35</v>
      </c>
    </row>
    <row r="370" spans="1:19" x14ac:dyDescent="0.3">
      <c r="A370" t="s">
        <v>542</v>
      </c>
      <c r="B370" s="23" t="s">
        <v>95</v>
      </c>
      <c r="C370" t="s">
        <v>280</v>
      </c>
      <c r="D370" t="s">
        <v>63</v>
      </c>
      <c r="E370" t="s">
        <v>98</v>
      </c>
      <c r="F370" t="s">
        <v>59</v>
      </c>
      <c r="G370">
        <v>49</v>
      </c>
      <c r="H370" s="4">
        <v>34.479999999999997</v>
      </c>
      <c r="I370" s="8">
        <v>1689.52</v>
      </c>
      <c r="J370">
        <v>53.06</v>
      </c>
      <c r="K370">
        <v>264.45999999999998</v>
      </c>
      <c r="L370" t="s">
        <v>44</v>
      </c>
      <c r="M370" t="s">
        <v>37</v>
      </c>
      <c r="N370" t="s">
        <v>66</v>
      </c>
      <c r="O370" s="5">
        <f>Table14[[#This Row],[Profit]]/Table14[[#This Row],[Total_Sales]]</f>
        <v>0.15652966523036127</v>
      </c>
      <c r="P370" s="23">
        <f>DATE(YEAR(Table14[[#This Row],[Order_Date]]), MONTH(Table14[[#This Row],[Order_Date]]), 1)</f>
        <v>45474</v>
      </c>
      <c r="Q370" t="str">
        <f>_xlfn.XLOOKUP(Table14[[#This Row],[Product]],Product_Master!$B$2:$B$11,Product_Master!$D$2:$D$11)</f>
        <v>BrightHome</v>
      </c>
      <c r="R370" t="str">
        <f>_xlfn.XLOOKUP(Table14[[#This Row],[Product]],Product_Master!$B$2:$B$11,Product_Master!$E$2:$E$11)</f>
        <v>India</v>
      </c>
      <c r="S370">
        <f>_xlfn.XLOOKUP(Table14[[#This Row],[Product]],Product_Master!$B$2:$B$11,Product_Master!$F$2:$F$11)</f>
        <v>28</v>
      </c>
    </row>
    <row r="371" spans="1:19" x14ac:dyDescent="0.3">
      <c r="A371" t="s">
        <v>543</v>
      </c>
      <c r="B371" s="23" t="s">
        <v>157</v>
      </c>
      <c r="C371" t="s">
        <v>187</v>
      </c>
      <c r="D371" t="s">
        <v>91</v>
      </c>
      <c r="E371" t="s">
        <v>54</v>
      </c>
      <c r="F371" t="s">
        <v>43</v>
      </c>
      <c r="G371">
        <v>31</v>
      </c>
      <c r="H371" s="4">
        <v>25.43</v>
      </c>
      <c r="I371" s="8">
        <v>788.33</v>
      </c>
      <c r="J371">
        <v>57.81</v>
      </c>
      <c r="K371">
        <v>110.52</v>
      </c>
      <c r="L371" t="s">
        <v>22</v>
      </c>
      <c r="M371" t="s">
        <v>31</v>
      </c>
      <c r="N371" t="s">
        <v>66</v>
      </c>
      <c r="O371" s="5">
        <f>Table14[[#This Row],[Profit]]/Table14[[#This Row],[Total_Sales]]</f>
        <v>0.14019509596235077</v>
      </c>
      <c r="P371" s="23">
        <f>DATE(YEAR(Table14[[#This Row],[Order_Date]]), MONTH(Table14[[#This Row],[Order_Date]]), 1)</f>
        <v>45292</v>
      </c>
      <c r="Q371" t="str">
        <f>_xlfn.XLOOKUP(Table14[[#This Row],[Product]],Product_Master!$B$2:$B$11,Product_Master!$D$2:$D$11)</f>
        <v>ClickTech</v>
      </c>
      <c r="R371" t="str">
        <f>_xlfn.XLOOKUP(Table14[[#This Row],[Product]],Product_Master!$B$2:$B$11,Product_Master!$E$2:$E$11)</f>
        <v>China</v>
      </c>
      <c r="S371">
        <f>_xlfn.XLOOKUP(Table14[[#This Row],[Product]],Product_Master!$B$2:$B$11,Product_Master!$F$2:$F$11)</f>
        <v>20</v>
      </c>
    </row>
    <row r="372" spans="1:19" x14ac:dyDescent="0.3">
      <c r="A372" t="s">
        <v>544</v>
      </c>
      <c r="B372" s="23" t="s">
        <v>83</v>
      </c>
      <c r="C372" t="s">
        <v>245</v>
      </c>
      <c r="D372" t="s">
        <v>170</v>
      </c>
      <c r="E372" t="s">
        <v>54</v>
      </c>
      <c r="F372" t="s">
        <v>43</v>
      </c>
      <c r="G372">
        <v>29</v>
      </c>
      <c r="H372" s="4">
        <v>31.68</v>
      </c>
      <c r="I372" s="8">
        <v>918.72</v>
      </c>
      <c r="J372">
        <v>22.22</v>
      </c>
      <c r="K372">
        <v>316.5</v>
      </c>
      <c r="L372" t="s">
        <v>44</v>
      </c>
      <c r="M372" t="s">
        <v>23</v>
      </c>
      <c r="N372" t="s">
        <v>32</v>
      </c>
      <c r="O372" s="5">
        <f>Table14[[#This Row],[Profit]]/Table14[[#This Row],[Total_Sales]]</f>
        <v>0.34450104493207939</v>
      </c>
      <c r="P372" s="23">
        <f>DATE(YEAR(Table14[[#This Row],[Order_Date]]), MONTH(Table14[[#This Row],[Order_Date]]), 1)</f>
        <v>45323</v>
      </c>
      <c r="Q372" t="str">
        <f>_xlfn.XLOOKUP(Table14[[#This Row],[Product]],Product_Master!$B$2:$B$11,Product_Master!$D$2:$D$11)</f>
        <v>ClickTech</v>
      </c>
      <c r="R372" t="str">
        <f>_xlfn.XLOOKUP(Table14[[#This Row],[Product]],Product_Master!$B$2:$B$11,Product_Master!$E$2:$E$11)</f>
        <v>China</v>
      </c>
      <c r="S372">
        <f>_xlfn.XLOOKUP(Table14[[#This Row],[Product]],Product_Master!$B$2:$B$11,Product_Master!$F$2:$F$11)</f>
        <v>20</v>
      </c>
    </row>
    <row r="373" spans="1:19" x14ac:dyDescent="0.3">
      <c r="A373" t="s">
        <v>545</v>
      </c>
      <c r="B373" s="23" t="s">
        <v>104</v>
      </c>
      <c r="C373" t="s">
        <v>373</v>
      </c>
      <c r="D373" t="s">
        <v>81</v>
      </c>
      <c r="E373" t="s">
        <v>98</v>
      </c>
      <c r="F373" t="s">
        <v>59</v>
      </c>
      <c r="G373">
        <v>42</v>
      </c>
      <c r="H373" s="4">
        <v>33.89</v>
      </c>
      <c r="I373" s="8">
        <v>1423.38</v>
      </c>
      <c r="J373">
        <v>85.4</v>
      </c>
      <c r="K373">
        <v>161.97999999999999</v>
      </c>
      <c r="L373" t="s">
        <v>44</v>
      </c>
      <c r="M373" t="s">
        <v>23</v>
      </c>
      <c r="N373" t="s">
        <v>66</v>
      </c>
      <c r="O373" s="5">
        <f>Table14[[#This Row],[Profit]]/Table14[[#This Row],[Total_Sales]]</f>
        <v>0.11379954755581782</v>
      </c>
      <c r="P373" s="23">
        <f>DATE(YEAR(Table14[[#This Row],[Order_Date]]), MONTH(Table14[[#This Row],[Order_Date]]), 1)</f>
        <v>45717</v>
      </c>
      <c r="Q373" t="str">
        <f>_xlfn.XLOOKUP(Table14[[#This Row],[Product]],Product_Master!$B$2:$B$11,Product_Master!$D$2:$D$11)</f>
        <v>BrightHome</v>
      </c>
      <c r="R373" t="str">
        <f>_xlfn.XLOOKUP(Table14[[#This Row],[Product]],Product_Master!$B$2:$B$11,Product_Master!$E$2:$E$11)</f>
        <v>India</v>
      </c>
      <c r="S373">
        <f>_xlfn.XLOOKUP(Table14[[#This Row],[Product]],Product_Master!$B$2:$B$11,Product_Master!$F$2:$F$11)</f>
        <v>28</v>
      </c>
    </row>
    <row r="374" spans="1:19" x14ac:dyDescent="0.3">
      <c r="A374" t="s">
        <v>546</v>
      </c>
      <c r="B374" s="23" t="s">
        <v>68</v>
      </c>
      <c r="C374" t="s">
        <v>57</v>
      </c>
      <c r="D374" t="s">
        <v>81</v>
      </c>
      <c r="E374" t="s">
        <v>29</v>
      </c>
      <c r="F374" t="s">
        <v>21</v>
      </c>
      <c r="G374">
        <v>13</v>
      </c>
      <c r="H374" s="4">
        <v>21.75</v>
      </c>
      <c r="I374" s="8">
        <v>282.75</v>
      </c>
      <c r="J374">
        <v>12.5</v>
      </c>
      <c r="K374">
        <v>36.25</v>
      </c>
      <c r="L374" t="s">
        <v>44</v>
      </c>
      <c r="M374" t="s">
        <v>31</v>
      </c>
      <c r="N374" t="s">
        <v>66</v>
      </c>
      <c r="O374" s="5">
        <f>Table14[[#This Row],[Profit]]/Table14[[#This Row],[Total_Sales]]</f>
        <v>0.12820512820512819</v>
      </c>
      <c r="P374" s="23">
        <f>DATE(YEAR(Table14[[#This Row],[Order_Date]]), MONTH(Table14[[#This Row],[Order_Date]]), 1)</f>
        <v>45536</v>
      </c>
      <c r="Q374" t="str">
        <f>_xlfn.XLOOKUP(Table14[[#This Row],[Product]],Product_Master!$B$2:$B$11,Product_Master!$D$2:$D$11)</f>
        <v>CraftLine</v>
      </c>
      <c r="R374" t="str">
        <f>_xlfn.XLOOKUP(Table14[[#This Row],[Product]],Product_Master!$B$2:$B$11,Product_Master!$E$2:$E$11)</f>
        <v>Italy</v>
      </c>
      <c r="S374">
        <f>_xlfn.XLOOKUP(Table14[[#This Row],[Product]],Product_Master!$B$2:$B$11,Product_Master!$F$2:$F$11)</f>
        <v>18</v>
      </c>
    </row>
    <row r="375" spans="1:19" x14ac:dyDescent="0.3">
      <c r="A375" t="s">
        <v>547</v>
      </c>
      <c r="B375" s="23" t="s">
        <v>86</v>
      </c>
      <c r="C375" t="s">
        <v>117</v>
      </c>
      <c r="D375" t="s">
        <v>91</v>
      </c>
      <c r="E375" t="s">
        <v>58</v>
      </c>
      <c r="F375" t="s">
        <v>59</v>
      </c>
      <c r="G375">
        <v>25</v>
      </c>
      <c r="H375" s="4">
        <v>37.58</v>
      </c>
      <c r="I375" s="8">
        <v>939.5</v>
      </c>
      <c r="J375">
        <v>48.44</v>
      </c>
      <c r="K375">
        <v>328.56</v>
      </c>
      <c r="L375" t="s">
        <v>44</v>
      </c>
      <c r="M375" t="s">
        <v>37</v>
      </c>
      <c r="N375" t="s">
        <v>66</v>
      </c>
      <c r="O375" s="5">
        <f>Table14[[#This Row],[Profit]]/Table14[[#This Row],[Total_Sales]]</f>
        <v>0.34971793507184673</v>
      </c>
      <c r="P375" s="23">
        <f>DATE(YEAR(Table14[[#This Row],[Order_Date]]), MONTH(Table14[[#This Row],[Order_Date]]), 1)</f>
        <v>45352</v>
      </c>
      <c r="Q375" t="str">
        <f>_xlfn.XLOOKUP(Table14[[#This Row],[Product]],Product_Master!$B$2:$B$11,Product_Master!$D$2:$D$11)</f>
        <v>ClearCraft</v>
      </c>
      <c r="R375" t="str">
        <f>_xlfn.XLOOKUP(Table14[[#This Row],[Product]],Product_Master!$B$2:$B$11,Product_Master!$E$2:$E$11)</f>
        <v>India</v>
      </c>
      <c r="S375">
        <f>_xlfn.XLOOKUP(Table14[[#This Row],[Product]],Product_Master!$B$2:$B$11,Product_Master!$F$2:$F$11)</f>
        <v>22.5</v>
      </c>
    </row>
    <row r="376" spans="1:19" x14ac:dyDescent="0.3">
      <c r="A376" t="s">
        <v>548</v>
      </c>
      <c r="B376" s="23" t="s">
        <v>26</v>
      </c>
      <c r="C376" t="s">
        <v>322</v>
      </c>
      <c r="D376" t="s">
        <v>170</v>
      </c>
      <c r="E376" t="s">
        <v>54</v>
      </c>
      <c r="F376" t="s">
        <v>43</v>
      </c>
      <c r="G376">
        <v>16</v>
      </c>
      <c r="H376" s="4">
        <v>25.25</v>
      </c>
      <c r="I376" s="8">
        <v>404</v>
      </c>
      <c r="J376">
        <v>18.75</v>
      </c>
      <c r="K376">
        <v>65.25</v>
      </c>
      <c r="L376" t="s">
        <v>30</v>
      </c>
      <c r="M376" t="s">
        <v>37</v>
      </c>
      <c r="N376" t="s">
        <v>32</v>
      </c>
      <c r="O376" s="5">
        <f>Table14[[#This Row],[Profit]]/Table14[[#This Row],[Total_Sales]]</f>
        <v>0.16150990099009901</v>
      </c>
      <c r="P376" s="23">
        <f>DATE(YEAR(Table14[[#This Row],[Order_Date]]), MONTH(Table14[[#This Row],[Order_Date]]), 1)</f>
        <v>45689</v>
      </c>
      <c r="Q376" t="str">
        <f>_xlfn.XLOOKUP(Table14[[#This Row],[Product]],Product_Master!$B$2:$B$11,Product_Master!$D$2:$D$11)</f>
        <v>ClickTech</v>
      </c>
      <c r="R376" t="str">
        <f>_xlfn.XLOOKUP(Table14[[#This Row],[Product]],Product_Master!$B$2:$B$11,Product_Master!$E$2:$E$11)</f>
        <v>China</v>
      </c>
      <c r="S376">
        <f>_xlfn.XLOOKUP(Table14[[#This Row],[Product]],Product_Master!$B$2:$B$11,Product_Master!$F$2:$F$11)</f>
        <v>20</v>
      </c>
    </row>
    <row r="377" spans="1:19" x14ac:dyDescent="0.3">
      <c r="A377" t="s">
        <v>549</v>
      </c>
      <c r="B377" s="23" t="s">
        <v>68</v>
      </c>
      <c r="C377" t="s">
        <v>259</v>
      </c>
      <c r="D377" t="s">
        <v>91</v>
      </c>
      <c r="E377" t="s">
        <v>69</v>
      </c>
      <c r="F377" t="s">
        <v>59</v>
      </c>
      <c r="G377">
        <v>37</v>
      </c>
      <c r="H377" s="4">
        <v>25.85</v>
      </c>
      <c r="I377" s="8">
        <v>956.45</v>
      </c>
      <c r="J377">
        <v>31.7</v>
      </c>
      <c r="K377">
        <v>351.25</v>
      </c>
      <c r="L377" t="s">
        <v>44</v>
      </c>
      <c r="M377" t="s">
        <v>37</v>
      </c>
      <c r="N377" t="s">
        <v>66</v>
      </c>
      <c r="O377" s="5">
        <f>Table14[[#This Row],[Profit]]/Table14[[#This Row],[Total_Sales]]</f>
        <v>0.3672434523498353</v>
      </c>
      <c r="P377" s="23">
        <f>DATE(YEAR(Table14[[#This Row],[Order_Date]]), MONTH(Table14[[#This Row],[Order_Date]]), 1)</f>
        <v>45536</v>
      </c>
      <c r="Q377" t="str">
        <f>_xlfn.XLOOKUP(Table14[[#This Row],[Product]],Product_Master!$B$2:$B$11,Product_Master!$D$2:$D$11)</f>
        <v>Artisans Co.</v>
      </c>
      <c r="R377" t="str">
        <f>_xlfn.XLOOKUP(Table14[[#This Row],[Product]],Product_Master!$B$2:$B$11,Product_Master!$E$2:$E$11)</f>
        <v>India</v>
      </c>
      <c r="S377">
        <f>_xlfn.XLOOKUP(Table14[[#This Row],[Product]],Product_Master!$B$2:$B$11,Product_Master!$F$2:$F$11)</f>
        <v>15.5</v>
      </c>
    </row>
    <row r="378" spans="1:19" x14ac:dyDescent="0.3">
      <c r="A378" t="s">
        <v>550</v>
      </c>
      <c r="B378" s="23" t="s">
        <v>17</v>
      </c>
      <c r="C378" t="s">
        <v>62</v>
      </c>
      <c r="D378" t="s">
        <v>81</v>
      </c>
      <c r="E378" t="s">
        <v>54</v>
      </c>
      <c r="F378" t="s">
        <v>43</v>
      </c>
      <c r="G378">
        <v>1</v>
      </c>
      <c r="H378" s="4">
        <v>25.72</v>
      </c>
      <c r="I378" s="8">
        <v>25.72</v>
      </c>
      <c r="J378">
        <v>2.04</v>
      </c>
      <c r="K378">
        <v>3.68</v>
      </c>
      <c r="L378" t="s">
        <v>44</v>
      </c>
      <c r="M378" t="s">
        <v>37</v>
      </c>
      <c r="N378" t="s">
        <v>66</v>
      </c>
      <c r="O378" s="5">
        <f>Table14[[#This Row],[Profit]]/Table14[[#This Row],[Total_Sales]]</f>
        <v>0.14307931570762053</v>
      </c>
      <c r="P378" s="23">
        <f>DATE(YEAR(Table14[[#This Row],[Order_Date]]), MONTH(Table14[[#This Row],[Order_Date]]), 1)</f>
        <v>45658</v>
      </c>
      <c r="Q378" t="str">
        <f>_xlfn.XLOOKUP(Table14[[#This Row],[Product]],Product_Master!$B$2:$B$11,Product_Master!$D$2:$D$11)</f>
        <v>ClickTech</v>
      </c>
      <c r="R378" t="str">
        <f>_xlfn.XLOOKUP(Table14[[#This Row],[Product]],Product_Master!$B$2:$B$11,Product_Master!$E$2:$E$11)</f>
        <v>China</v>
      </c>
      <c r="S378">
        <f>_xlfn.XLOOKUP(Table14[[#This Row],[Product]],Product_Master!$B$2:$B$11,Product_Master!$F$2:$F$11)</f>
        <v>20</v>
      </c>
    </row>
    <row r="379" spans="1:19" x14ac:dyDescent="0.3">
      <c r="A379" t="s">
        <v>551</v>
      </c>
      <c r="B379" s="23" t="s">
        <v>132</v>
      </c>
      <c r="C379" t="s">
        <v>361</v>
      </c>
      <c r="D379" t="s">
        <v>81</v>
      </c>
      <c r="E379" t="s">
        <v>98</v>
      </c>
      <c r="F379" t="s">
        <v>59</v>
      </c>
      <c r="G379">
        <v>48</v>
      </c>
      <c r="H379" s="4">
        <v>47.05</v>
      </c>
      <c r="I379" s="8">
        <v>2258.4</v>
      </c>
      <c r="J379">
        <v>179.44</v>
      </c>
      <c r="K379">
        <v>734.96</v>
      </c>
      <c r="L379" t="s">
        <v>30</v>
      </c>
      <c r="M379" t="s">
        <v>31</v>
      </c>
      <c r="N379" t="s">
        <v>66</v>
      </c>
      <c r="O379" s="5">
        <f>Table14[[#This Row],[Profit]]/Table14[[#This Row],[Total_Sales]]</f>
        <v>0.32543393552957844</v>
      </c>
      <c r="P379" s="23">
        <f>DATE(YEAR(Table14[[#This Row],[Order_Date]]), MONTH(Table14[[#This Row],[Order_Date]]), 1)</f>
        <v>45597</v>
      </c>
      <c r="Q379" t="str">
        <f>_xlfn.XLOOKUP(Table14[[#This Row],[Product]],Product_Master!$B$2:$B$11,Product_Master!$D$2:$D$11)</f>
        <v>BrightHome</v>
      </c>
      <c r="R379" t="str">
        <f>_xlfn.XLOOKUP(Table14[[#This Row],[Product]],Product_Master!$B$2:$B$11,Product_Master!$E$2:$E$11)</f>
        <v>India</v>
      </c>
      <c r="S379">
        <f>_xlfn.XLOOKUP(Table14[[#This Row],[Product]],Product_Master!$B$2:$B$11,Product_Master!$F$2:$F$11)</f>
        <v>28</v>
      </c>
    </row>
    <row r="380" spans="1:19" x14ac:dyDescent="0.3">
      <c r="A380" t="s">
        <v>552</v>
      </c>
      <c r="B380" s="23" t="s">
        <v>86</v>
      </c>
      <c r="C380" t="s">
        <v>141</v>
      </c>
      <c r="D380" t="s">
        <v>41</v>
      </c>
      <c r="E380" t="s">
        <v>54</v>
      </c>
      <c r="F380" t="s">
        <v>43</v>
      </c>
      <c r="G380">
        <v>48</v>
      </c>
      <c r="H380" s="4">
        <v>29.94</v>
      </c>
      <c r="I380" s="8">
        <v>1437.12</v>
      </c>
      <c r="J380">
        <v>30.14</v>
      </c>
      <c r="K380">
        <v>446.98</v>
      </c>
      <c r="L380" t="s">
        <v>30</v>
      </c>
      <c r="M380" t="s">
        <v>31</v>
      </c>
      <c r="N380" t="s">
        <v>45</v>
      </c>
      <c r="O380" s="5">
        <f>Table14[[#This Row],[Profit]]/Table14[[#This Row],[Total_Sales]]</f>
        <v>0.31102482743264309</v>
      </c>
      <c r="P380" s="23">
        <f>DATE(YEAR(Table14[[#This Row],[Order_Date]]), MONTH(Table14[[#This Row],[Order_Date]]), 1)</f>
        <v>45352</v>
      </c>
      <c r="Q380" t="str">
        <f>_xlfn.XLOOKUP(Table14[[#This Row],[Product]],Product_Master!$B$2:$B$11,Product_Master!$D$2:$D$11)</f>
        <v>ClickTech</v>
      </c>
      <c r="R380" t="str">
        <f>_xlfn.XLOOKUP(Table14[[#This Row],[Product]],Product_Master!$B$2:$B$11,Product_Master!$E$2:$E$11)</f>
        <v>China</v>
      </c>
      <c r="S380">
        <f>_xlfn.XLOOKUP(Table14[[#This Row],[Product]],Product_Master!$B$2:$B$11,Product_Master!$F$2:$F$11)</f>
        <v>20</v>
      </c>
    </row>
    <row r="381" spans="1:19" x14ac:dyDescent="0.3">
      <c r="A381" t="s">
        <v>553</v>
      </c>
      <c r="B381" s="23" t="s">
        <v>71</v>
      </c>
      <c r="C381" t="s">
        <v>390</v>
      </c>
      <c r="D381" t="s">
        <v>36</v>
      </c>
      <c r="E381" t="s">
        <v>58</v>
      </c>
      <c r="F381" t="s">
        <v>59</v>
      </c>
      <c r="G381">
        <v>12</v>
      </c>
      <c r="H381" s="4">
        <v>35.68</v>
      </c>
      <c r="I381" s="8">
        <v>428.16</v>
      </c>
      <c r="J381">
        <v>13.07</v>
      </c>
      <c r="K381">
        <v>145.09</v>
      </c>
      <c r="L381" t="s">
        <v>30</v>
      </c>
      <c r="M381" t="s">
        <v>37</v>
      </c>
      <c r="N381" t="s">
        <v>32</v>
      </c>
      <c r="O381" s="5">
        <f>Table14[[#This Row],[Profit]]/Table14[[#This Row],[Total_Sales]]</f>
        <v>0.33886864723467863</v>
      </c>
      <c r="P381" s="23">
        <f>DATE(YEAR(Table14[[#This Row],[Order_Date]]), MONTH(Table14[[#This Row],[Order_Date]]), 1)</f>
        <v>45505</v>
      </c>
      <c r="Q381" t="str">
        <f>_xlfn.XLOOKUP(Table14[[#This Row],[Product]],Product_Master!$B$2:$B$11,Product_Master!$D$2:$D$11)</f>
        <v>ClearCraft</v>
      </c>
      <c r="R381" t="str">
        <f>_xlfn.XLOOKUP(Table14[[#This Row],[Product]],Product_Master!$B$2:$B$11,Product_Master!$E$2:$E$11)</f>
        <v>India</v>
      </c>
      <c r="S381">
        <f>_xlfn.XLOOKUP(Table14[[#This Row],[Product]],Product_Master!$B$2:$B$11,Product_Master!$F$2:$F$11)</f>
        <v>22.5</v>
      </c>
    </row>
    <row r="382" spans="1:19" x14ac:dyDescent="0.3">
      <c r="A382" t="s">
        <v>554</v>
      </c>
      <c r="B382" s="23" t="s">
        <v>68</v>
      </c>
      <c r="C382" t="s">
        <v>305</v>
      </c>
      <c r="D382" t="s">
        <v>19</v>
      </c>
      <c r="E382" t="s">
        <v>42</v>
      </c>
      <c r="F382" t="s">
        <v>43</v>
      </c>
      <c r="G382">
        <v>30</v>
      </c>
      <c r="H382" s="4">
        <v>49.32</v>
      </c>
      <c r="I382" s="8">
        <v>1479.6</v>
      </c>
      <c r="J382">
        <v>105.97</v>
      </c>
      <c r="K382">
        <v>413.63</v>
      </c>
      <c r="L382" t="s">
        <v>30</v>
      </c>
      <c r="M382" t="s">
        <v>31</v>
      </c>
      <c r="N382" t="s">
        <v>24</v>
      </c>
      <c r="O382" s="5">
        <f>Table14[[#This Row],[Profit]]/Table14[[#This Row],[Total_Sales]]</f>
        <v>0.27955528521221951</v>
      </c>
      <c r="P382" s="23">
        <f>DATE(YEAR(Table14[[#This Row],[Order_Date]]), MONTH(Table14[[#This Row],[Order_Date]]), 1)</f>
        <v>45536</v>
      </c>
      <c r="Q382" t="str">
        <f>_xlfn.XLOOKUP(Table14[[#This Row],[Product]],Product_Master!$B$2:$B$11,Product_Master!$D$2:$D$11)</f>
        <v>AudioTech Ltd.</v>
      </c>
      <c r="R382" t="str">
        <f>_xlfn.XLOOKUP(Table14[[#This Row],[Product]],Product_Master!$B$2:$B$11,Product_Master!$E$2:$E$11)</f>
        <v>China</v>
      </c>
      <c r="S382">
        <f>_xlfn.XLOOKUP(Table14[[#This Row],[Product]],Product_Master!$B$2:$B$11,Product_Master!$F$2:$F$11)</f>
        <v>32</v>
      </c>
    </row>
    <row r="383" spans="1:19" x14ac:dyDescent="0.3">
      <c r="A383" t="s">
        <v>555</v>
      </c>
      <c r="B383" s="23" t="s">
        <v>157</v>
      </c>
      <c r="C383" t="s">
        <v>319</v>
      </c>
      <c r="D383" t="s">
        <v>123</v>
      </c>
      <c r="E383" t="s">
        <v>98</v>
      </c>
      <c r="F383" t="s">
        <v>59</v>
      </c>
      <c r="G383">
        <v>27</v>
      </c>
      <c r="H383" s="4">
        <v>37.68</v>
      </c>
      <c r="I383" s="8">
        <v>1017.36</v>
      </c>
      <c r="J383">
        <v>80.739999999999995</v>
      </c>
      <c r="K383">
        <v>180.62</v>
      </c>
      <c r="L383" t="s">
        <v>44</v>
      </c>
      <c r="M383" t="s">
        <v>23</v>
      </c>
      <c r="N383" t="s">
        <v>32</v>
      </c>
      <c r="O383" s="5">
        <f>Table14[[#This Row],[Profit]]/Table14[[#This Row],[Total_Sales]]</f>
        <v>0.17753794133836598</v>
      </c>
      <c r="P383" s="23">
        <f>DATE(YEAR(Table14[[#This Row],[Order_Date]]), MONTH(Table14[[#This Row],[Order_Date]]), 1)</f>
        <v>45292</v>
      </c>
      <c r="Q383" t="str">
        <f>_xlfn.XLOOKUP(Table14[[#This Row],[Product]],Product_Master!$B$2:$B$11,Product_Master!$D$2:$D$11)</f>
        <v>BrightHome</v>
      </c>
      <c r="R383" t="str">
        <f>_xlfn.XLOOKUP(Table14[[#This Row],[Product]],Product_Master!$B$2:$B$11,Product_Master!$E$2:$E$11)</f>
        <v>India</v>
      </c>
      <c r="S383">
        <f>_xlfn.XLOOKUP(Table14[[#This Row],[Product]],Product_Master!$B$2:$B$11,Product_Master!$F$2:$F$11)</f>
        <v>28</v>
      </c>
    </row>
    <row r="384" spans="1:19" x14ac:dyDescent="0.3">
      <c r="A384" t="s">
        <v>556</v>
      </c>
      <c r="B384" s="23" t="s">
        <v>104</v>
      </c>
      <c r="C384" t="s">
        <v>192</v>
      </c>
      <c r="D384" t="s">
        <v>36</v>
      </c>
      <c r="E384" t="s">
        <v>64</v>
      </c>
      <c r="F384" t="s">
        <v>65</v>
      </c>
      <c r="G384">
        <v>39</v>
      </c>
      <c r="H384" s="4">
        <v>36.340000000000003</v>
      </c>
      <c r="I384" s="8">
        <v>1417.26</v>
      </c>
      <c r="J384">
        <v>67</v>
      </c>
      <c r="K384">
        <v>375.26</v>
      </c>
      <c r="L384" t="s">
        <v>44</v>
      </c>
      <c r="M384" t="s">
        <v>31</v>
      </c>
      <c r="N384" t="s">
        <v>32</v>
      </c>
      <c r="O384" s="5">
        <f>Table14[[#This Row],[Profit]]/Table14[[#This Row],[Total_Sales]]</f>
        <v>0.26477851629200005</v>
      </c>
      <c r="P384" s="23">
        <f>DATE(YEAR(Table14[[#This Row],[Order_Date]]), MONTH(Table14[[#This Row],[Order_Date]]), 1)</f>
        <v>45717</v>
      </c>
      <c r="Q384" t="str">
        <f>_xlfn.XLOOKUP(Table14[[#This Row],[Product]],Product_Master!$B$2:$B$11,Product_Master!$D$2:$D$11)</f>
        <v>SoftWeave</v>
      </c>
      <c r="R384" t="str">
        <f>_xlfn.XLOOKUP(Table14[[#This Row],[Product]],Product_Master!$B$2:$B$11,Product_Master!$E$2:$E$11)</f>
        <v>Turkey</v>
      </c>
      <c r="S384">
        <f>_xlfn.XLOOKUP(Table14[[#This Row],[Product]],Product_Master!$B$2:$B$11,Product_Master!$F$2:$F$11)</f>
        <v>25</v>
      </c>
    </row>
    <row r="385" spans="1:19" x14ac:dyDescent="0.3">
      <c r="A385" t="s">
        <v>557</v>
      </c>
      <c r="B385" s="23" t="s">
        <v>107</v>
      </c>
      <c r="C385" t="s">
        <v>62</v>
      </c>
      <c r="D385" t="s">
        <v>63</v>
      </c>
      <c r="E385" t="s">
        <v>69</v>
      </c>
      <c r="F385" t="s">
        <v>59</v>
      </c>
      <c r="G385">
        <v>16</v>
      </c>
      <c r="H385" s="4">
        <v>24.33</v>
      </c>
      <c r="I385" s="8">
        <v>389.28</v>
      </c>
      <c r="J385">
        <v>22.33</v>
      </c>
      <c r="K385">
        <v>118.95</v>
      </c>
      <c r="L385" t="s">
        <v>22</v>
      </c>
      <c r="M385" t="s">
        <v>37</v>
      </c>
      <c r="N385" t="s">
        <v>66</v>
      </c>
      <c r="O385" s="5">
        <f>Table14[[#This Row],[Profit]]/Table14[[#This Row],[Total_Sales]]</f>
        <v>0.30556411837237979</v>
      </c>
      <c r="P385" s="23">
        <f>DATE(YEAR(Table14[[#This Row],[Order_Date]]), MONTH(Table14[[#This Row],[Order_Date]]), 1)</f>
        <v>45413</v>
      </c>
      <c r="Q385" t="str">
        <f>_xlfn.XLOOKUP(Table14[[#This Row],[Product]],Product_Master!$B$2:$B$11,Product_Master!$D$2:$D$11)</f>
        <v>Artisans Co.</v>
      </c>
      <c r="R385" t="str">
        <f>_xlfn.XLOOKUP(Table14[[#This Row],[Product]],Product_Master!$B$2:$B$11,Product_Master!$E$2:$E$11)</f>
        <v>India</v>
      </c>
      <c r="S385">
        <f>_xlfn.XLOOKUP(Table14[[#This Row],[Product]],Product_Master!$B$2:$B$11,Product_Master!$F$2:$F$11)</f>
        <v>15.5</v>
      </c>
    </row>
    <row r="386" spans="1:19" x14ac:dyDescent="0.3">
      <c r="A386" t="s">
        <v>558</v>
      </c>
      <c r="B386" s="23" t="s">
        <v>17</v>
      </c>
      <c r="C386" t="s">
        <v>319</v>
      </c>
      <c r="D386" t="s">
        <v>88</v>
      </c>
      <c r="E386" t="s">
        <v>69</v>
      </c>
      <c r="F386" t="s">
        <v>59</v>
      </c>
      <c r="G386">
        <v>40</v>
      </c>
      <c r="H386" s="4">
        <v>22.28</v>
      </c>
      <c r="I386" s="8">
        <v>891.2</v>
      </c>
      <c r="J386">
        <v>32.729999999999997</v>
      </c>
      <c r="K386">
        <v>238.47</v>
      </c>
      <c r="L386" t="s">
        <v>22</v>
      </c>
      <c r="M386" t="s">
        <v>31</v>
      </c>
      <c r="N386" t="s">
        <v>66</v>
      </c>
      <c r="O386" s="5">
        <f>Table14[[#This Row],[Profit]]/Table14[[#This Row],[Total_Sales]]</f>
        <v>0.26758303411131057</v>
      </c>
      <c r="P386" s="23">
        <f>DATE(YEAR(Table14[[#This Row],[Order_Date]]), MONTH(Table14[[#This Row],[Order_Date]]), 1)</f>
        <v>45658</v>
      </c>
      <c r="Q386" t="str">
        <f>_xlfn.XLOOKUP(Table14[[#This Row],[Product]],Product_Master!$B$2:$B$11,Product_Master!$D$2:$D$11)</f>
        <v>Artisans Co.</v>
      </c>
      <c r="R386" t="str">
        <f>_xlfn.XLOOKUP(Table14[[#This Row],[Product]],Product_Master!$B$2:$B$11,Product_Master!$E$2:$E$11)</f>
        <v>India</v>
      </c>
      <c r="S386">
        <f>_xlfn.XLOOKUP(Table14[[#This Row],[Product]],Product_Master!$B$2:$B$11,Product_Master!$F$2:$F$11)</f>
        <v>15.5</v>
      </c>
    </row>
    <row r="387" spans="1:19" x14ac:dyDescent="0.3">
      <c r="A387" t="s">
        <v>559</v>
      </c>
      <c r="B387" s="23" t="s">
        <v>71</v>
      </c>
      <c r="C387" t="s">
        <v>122</v>
      </c>
      <c r="D387" t="s">
        <v>91</v>
      </c>
      <c r="E387" t="s">
        <v>73</v>
      </c>
      <c r="F387" t="s">
        <v>43</v>
      </c>
      <c r="G387">
        <v>45</v>
      </c>
      <c r="H387" s="4">
        <v>21.71</v>
      </c>
      <c r="I387" s="8">
        <v>976.95</v>
      </c>
      <c r="J387">
        <v>51.6</v>
      </c>
      <c r="K387">
        <v>351.6</v>
      </c>
      <c r="L387" t="s">
        <v>22</v>
      </c>
      <c r="M387" t="s">
        <v>23</v>
      </c>
      <c r="N387" t="s">
        <v>66</v>
      </c>
      <c r="O387" s="5">
        <f>Table14[[#This Row],[Profit]]/Table14[[#This Row],[Total_Sales]]</f>
        <v>0.35989559342852756</v>
      </c>
      <c r="P387" s="23">
        <f>DATE(YEAR(Table14[[#This Row],[Order_Date]]), MONTH(Table14[[#This Row],[Order_Date]]), 1)</f>
        <v>45505</v>
      </c>
      <c r="Q387" t="str">
        <f>_xlfn.XLOOKUP(Table14[[#This Row],[Product]],Product_Master!$B$2:$B$11,Product_Master!$D$2:$D$11)</f>
        <v>BrightHome</v>
      </c>
      <c r="R387" t="str">
        <f>_xlfn.XLOOKUP(Table14[[#This Row],[Product]],Product_Master!$B$2:$B$11,Product_Master!$E$2:$E$11)</f>
        <v>Vietnam</v>
      </c>
      <c r="S387">
        <f>_xlfn.XLOOKUP(Table14[[#This Row],[Product]],Product_Master!$B$2:$B$11,Product_Master!$F$2:$F$11)</f>
        <v>12.75</v>
      </c>
    </row>
    <row r="388" spans="1:19" x14ac:dyDescent="0.3">
      <c r="A388" t="s">
        <v>560</v>
      </c>
      <c r="B388" s="23" t="s">
        <v>71</v>
      </c>
      <c r="C388" t="s">
        <v>200</v>
      </c>
      <c r="D388" t="s">
        <v>170</v>
      </c>
      <c r="E388" t="s">
        <v>64</v>
      </c>
      <c r="F388" t="s">
        <v>65</v>
      </c>
      <c r="G388">
        <v>8</v>
      </c>
      <c r="H388" s="4">
        <v>31.07</v>
      </c>
      <c r="I388" s="8">
        <v>248.56</v>
      </c>
      <c r="J388">
        <v>10.97</v>
      </c>
      <c r="K388">
        <v>37.590000000000003</v>
      </c>
      <c r="L388" t="s">
        <v>22</v>
      </c>
      <c r="M388" t="s">
        <v>31</v>
      </c>
      <c r="N388" t="s">
        <v>32</v>
      </c>
      <c r="O388" s="5">
        <f>Table14[[#This Row],[Profit]]/Table14[[#This Row],[Total_Sales]]</f>
        <v>0.15123109108464758</v>
      </c>
      <c r="P388" s="23">
        <f>DATE(YEAR(Table14[[#This Row],[Order_Date]]), MONTH(Table14[[#This Row],[Order_Date]]), 1)</f>
        <v>45505</v>
      </c>
      <c r="Q388" t="str">
        <f>_xlfn.XLOOKUP(Table14[[#This Row],[Product]],Product_Master!$B$2:$B$11,Product_Master!$D$2:$D$11)</f>
        <v>SoftWeave</v>
      </c>
      <c r="R388" t="str">
        <f>_xlfn.XLOOKUP(Table14[[#This Row],[Product]],Product_Master!$B$2:$B$11,Product_Master!$E$2:$E$11)</f>
        <v>Turkey</v>
      </c>
      <c r="S388">
        <f>_xlfn.XLOOKUP(Table14[[#This Row],[Product]],Product_Master!$B$2:$B$11,Product_Master!$F$2:$F$11)</f>
        <v>25</v>
      </c>
    </row>
    <row r="389" spans="1:19" x14ac:dyDescent="0.3">
      <c r="A389" t="s">
        <v>561</v>
      </c>
      <c r="B389" s="23" t="s">
        <v>83</v>
      </c>
      <c r="C389" t="s">
        <v>250</v>
      </c>
      <c r="D389" t="s">
        <v>123</v>
      </c>
      <c r="E389" t="s">
        <v>73</v>
      </c>
      <c r="F389" t="s">
        <v>43</v>
      </c>
      <c r="G389">
        <v>47</v>
      </c>
      <c r="H389" s="4">
        <v>21.93</v>
      </c>
      <c r="I389" s="8">
        <v>1030.71</v>
      </c>
      <c r="J389">
        <v>70.989999999999995</v>
      </c>
      <c r="K389">
        <v>360.47</v>
      </c>
      <c r="L389" t="s">
        <v>44</v>
      </c>
      <c r="M389" t="s">
        <v>23</v>
      </c>
      <c r="N389" t="s">
        <v>32</v>
      </c>
      <c r="O389" s="5">
        <f>Table14[[#This Row],[Profit]]/Table14[[#This Row],[Total_Sales]]</f>
        <v>0.3497297979062976</v>
      </c>
      <c r="P389" s="23">
        <f>DATE(YEAR(Table14[[#This Row],[Order_Date]]), MONTH(Table14[[#This Row],[Order_Date]]), 1)</f>
        <v>45323</v>
      </c>
      <c r="Q389" t="str">
        <f>_xlfn.XLOOKUP(Table14[[#This Row],[Product]],Product_Master!$B$2:$B$11,Product_Master!$D$2:$D$11)</f>
        <v>BrightHome</v>
      </c>
      <c r="R389" t="str">
        <f>_xlfn.XLOOKUP(Table14[[#This Row],[Product]],Product_Master!$B$2:$B$11,Product_Master!$E$2:$E$11)</f>
        <v>Vietnam</v>
      </c>
      <c r="S389">
        <f>_xlfn.XLOOKUP(Table14[[#This Row],[Product]],Product_Master!$B$2:$B$11,Product_Master!$F$2:$F$11)</f>
        <v>12.75</v>
      </c>
    </row>
    <row r="390" spans="1:19" x14ac:dyDescent="0.3">
      <c r="A390" t="s">
        <v>562</v>
      </c>
      <c r="B390" s="23" t="s">
        <v>95</v>
      </c>
      <c r="C390" t="s">
        <v>119</v>
      </c>
      <c r="D390" t="s">
        <v>123</v>
      </c>
      <c r="E390" t="s">
        <v>73</v>
      </c>
      <c r="F390" t="s">
        <v>43</v>
      </c>
      <c r="G390">
        <v>46</v>
      </c>
      <c r="H390" s="4">
        <v>21.46</v>
      </c>
      <c r="I390" s="8">
        <v>987.16</v>
      </c>
      <c r="J390">
        <v>21.64</v>
      </c>
      <c r="K390">
        <v>379.02</v>
      </c>
      <c r="L390" t="s">
        <v>30</v>
      </c>
      <c r="M390" t="s">
        <v>23</v>
      </c>
      <c r="N390" t="s">
        <v>32</v>
      </c>
      <c r="O390" s="5">
        <f>Table14[[#This Row],[Profit]]/Table14[[#This Row],[Total_Sales]]</f>
        <v>0.38394991693342517</v>
      </c>
      <c r="P390" s="23">
        <f>DATE(YEAR(Table14[[#This Row],[Order_Date]]), MONTH(Table14[[#This Row],[Order_Date]]), 1)</f>
        <v>45474</v>
      </c>
      <c r="Q390" t="str">
        <f>_xlfn.XLOOKUP(Table14[[#This Row],[Product]],Product_Master!$B$2:$B$11,Product_Master!$D$2:$D$11)</f>
        <v>BrightHome</v>
      </c>
      <c r="R390" t="str">
        <f>_xlfn.XLOOKUP(Table14[[#This Row],[Product]],Product_Master!$B$2:$B$11,Product_Master!$E$2:$E$11)</f>
        <v>Vietnam</v>
      </c>
      <c r="S390">
        <f>_xlfn.XLOOKUP(Table14[[#This Row],[Product]],Product_Master!$B$2:$B$11,Product_Master!$F$2:$F$11)</f>
        <v>12.75</v>
      </c>
    </row>
    <row r="391" spans="1:19" x14ac:dyDescent="0.3">
      <c r="A391" t="s">
        <v>563</v>
      </c>
      <c r="B391" s="23" t="s">
        <v>26</v>
      </c>
      <c r="C391" t="s">
        <v>90</v>
      </c>
      <c r="D391" t="s">
        <v>19</v>
      </c>
      <c r="E391" t="s">
        <v>98</v>
      </c>
      <c r="F391" t="s">
        <v>59</v>
      </c>
      <c r="G391">
        <v>45</v>
      </c>
      <c r="H391" s="4">
        <v>47.1</v>
      </c>
      <c r="I391" s="8">
        <v>2119.5</v>
      </c>
      <c r="J391">
        <v>120.16</v>
      </c>
      <c r="K391">
        <v>739.34</v>
      </c>
      <c r="L391" t="s">
        <v>30</v>
      </c>
      <c r="M391" t="s">
        <v>31</v>
      </c>
      <c r="N391" t="s">
        <v>24</v>
      </c>
      <c r="O391" s="5">
        <f>Table14[[#This Row],[Profit]]/Table14[[#This Row],[Total_Sales]]</f>
        <v>0.34882755366831802</v>
      </c>
      <c r="P391" s="23">
        <f>DATE(YEAR(Table14[[#This Row],[Order_Date]]), MONTH(Table14[[#This Row],[Order_Date]]), 1)</f>
        <v>45689</v>
      </c>
      <c r="Q391" t="str">
        <f>_xlfn.XLOOKUP(Table14[[#This Row],[Product]],Product_Master!$B$2:$B$11,Product_Master!$D$2:$D$11)</f>
        <v>BrightHome</v>
      </c>
      <c r="R391" t="str">
        <f>_xlfn.XLOOKUP(Table14[[#This Row],[Product]],Product_Master!$B$2:$B$11,Product_Master!$E$2:$E$11)</f>
        <v>India</v>
      </c>
      <c r="S391">
        <f>_xlfn.XLOOKUP(Table14[[#This Row],[Product]],Product_Master!$B$2:$B$11,Product_Master!$F$2:$F$11)</f>
        <v>28</v>
      </c>
    </row>
    <row r="392" spans="1:19" x14ac:dyDescent="0.3">
      <c r="A392" t="s">
        <v>564</v>
      </c>
      <c r="B392" s="23" t="s">
        <v>104</v>
      </c>
      <c r="C392" t="s">
        <v>18</v>
      </c>
      <c r="D392" t="s">
        <v>196</v>
      </c>
      <c r="E392" t="s">
        <v>20</v>
      </c>
      <c r="F392" t="s">
        <v>21</v>
      </c>
      <c r="G392">
        <v>2</v>
      </c>
      <c r="H392" s="4">
        <v>58.32</v>
      </c>
      <c r="I392" s="8">
        <v>116.64</v>
      </c>
      <c r="J392">
        <v>8.99</v>
      </c>
      <c r="K392">
        <v>37.65</v>
      </c>
      <c r="L392" t="s">
        <v>22</v>
      </c>
      <c r="M392" t="s">
        <v>31</v>
      </c>
      <c r="N392" t="s">
        <v>66</v>
      </c>
      <c r="O392" s="5">
        <f>Table14[[#This Row],[Profit]]/Table14[[#This Row],[Total_Sales]]</f>
        <v>0.32278806584362141</v>
      </c>
      <c r="P392" s="23">
        <f>DATE(YEAR(Table14[[#This Row],[Order_Date]]), MONTH(Table14[[#This Row],[Order_Date]]), 1)</f>
        <v>45717</v>
      </c>
      <c r="Q392" t="str">
        <f>_xlfn.XLOOKUP(Table14[[#This Row],[Product]],Product_Master!$B$2:$B$11,Product_Master!$D$2:$D$11)</f>
        <v>CarryPro</v>
      </c>
      <c r="R392" t="str">
        <f>_xlfn.XLOOKUP(Table14[[#This Row],[Product]],Product_Master!$B$2:$B$11,Product_Master!$E$2:$E$11)</f>
        <v>Vietnam</v>
      </c>
      <c r="S392">
        <f>_xlfn.XLOOKUP(Table14[[#This Row],[Product]],Product_Master!$B$2:$B$11,Product_Master!$F$2:$F$11)</f>
        <v>35</v>
      </c>
    </row>
    <row r="393" spans="1:19" x14ac:dyDescent="0.3">
      <c r="A393" t="s">
        <v>565</v>
      </c>
      <c r="B393" s="23" t="s">
        <v>83</v>
      </c>
      <c r="C393" t="s">
        <v>319</v>
      </c>
      <c r="D393" t="s">
        <v>123</v>
      </c>
      <c r="E393" t="s">
        <v>20</v>
      </c>
      <c r="F393" t="s">
        <v>21</v>
      </c>
      <c r="G393">
        <v>31</v>
      </c>
      <c r="H393" s="4">
        <v>61.34</v>
      </c>
      <c r="I393" s="8">
        <v>1901.54</v>
      </c>
      <c r="J393">
        <v>147.43</v>
      </c>
      <c r="K393">
        <v>669.11</v>
      </c>
      <c r="L393" t="s">
        <v>30</v>
      </c>
      <c r="M393" t="s">
        <v>23</v>
      </c>
      <c r="N393" t="s">
        <v>32</v>
      </c>
      <c r="O393" s="5">
        <f>Table14[[#This Row],[Profit]]/Table14[[#This Row],[Total_Sales]]</f>
        <v>0.35187795155505541</v>
      </c>
      <c r="P393" s="23">
        <f>DATE(YEAR(Table14[[#This Row],[Order_Date]]), MONTH(Table14[[#This Row],[Order_Date]]), 1)</f>
        <v>45323</v>
      </c>
      <c r="Q393" t="str">
        <f>_xlfn.XLOOKUP(Table14[[#This Row],[Product]],Product_Master!$B$2:$B$11,Product_Master!$D$2:$D$11)</f>
        <v>CarryPro</v>
      </c>
      <c r="R393" t="str">
        <f>_xlfn.XLOOKUP(Table14[[#This Row],[Product]],Product_Master!$B$2:$B$11,Product_Master!$E$2:$E$11)</f>
        <v>Vietnam</v>
      </c>
      <c r="S393">
        <f>_xlfn.XLOOKUP(Table14[[#This Row],[Product]],Product_Master!$B$2:$B$11,Product_Master!$F$2:$F$11)</f>
        <v>35</v>
      </c>
    </row>
    <row r="394" spans="1:19" x14ac:dyDescent="0.3">
      <c r="A394" t="s">
        <v>566</v>
      </c>
      <c r="B394" s="23" t="s">
        <v>86</v>
      </c>
      <c r="C394" t="s">
        <v>185</v>
      </c>
      <c r="D394" t="s">
        <v>48</v>
      </c>
      <c r="E394" t="s">
        <v>64</v>
      </c>
      <c r="F394" t="s">
        <v>65</v>
      </c>
      <c r="G394">
        <v>15</v>
      </c>
      <c r="H394" s="4">
        <v>43.9</v>
      </c>
      <c r="I394" s="8">
        <v>658.5</v>
      </c>
      <c r="J394">
        <v>36.479999999999997</v>
      </c>
      <c r="K394">
        <v>247.02</v>
      </c>
      <c r="L394" t="s">
        <v>44</v>
      </c>
      <c r="M394" t="s">
        <v>31</v>
      </c>
      <c r="N394" t="s">
        <v>24</v>
      </c>
      <c r="O394" s="5">
        <f>Table14[[#This Row],[Profit]]/Table14[[#This Row],[Total_Sales]]</f>
        <v>0.37512528473804102</v>
      </c>
      <c r="P394" s="23">
        <f>DATE(YEAR(Table14[[#This Row],[Order_Date]]), MONTH(Table14[[#This Row],[Order_Date]]), 1)</f>
        <v>45352</v>
      </c>
      <c r="Q394" t="str">
        <f>_xlfn.XLOOKUP(Table14[[#This Row],[Product]],Product_Master!$B$2:$B$11,Product_Master!$D$2:$D$11)</f>
        <v>SoftWeave</v>
      </c>
      <c r="R394" t="str">
        <f>_xlfn.XLOOKUP(Table14[[#This Row],[Product]],Product_Master!$B$2:$B$11,Product_Master!$E$2:$E$11)</f>
        <v>Turkey</v>
      </c>
      <c r="S394">
        <f>_xlfn.XLOOKUP(Table14[[#This Row],[Product]],Product_Master!$B$2:$B$11,Product_Master!$F$2:$F$11)</f>
        <v>25</v>
      </c>
    </row>
    <row r="395" spans="1:19" x14ac:dyDescent="0.3">
      <c r="A395" t="s">
        <v>567</v>
      </c>
      <c r="B395" s="23" t="s">
        <v>132</v>
      </c>
      <c r="C395" t="s">
        <v>185</v>
      </c>
      <c r="D395" t="s">
        <v>36</v>
      </c>
      <c r="E395" t="s">
        <v>73</v>
      </c>
      <c r="F395" t="s">
        <v>43</v>
      </c>
      <c r="G395">
        <v>4</v>
      </c>
      <c r="H395" s="4">
        <v>20.53</v>
      </c>
      <c r="I395" s="8">
        <v>82.12</v>
      </c>
      <c r="J395">
        <v>4.05</v>
      </c>
      <c r="K395">
        <v>27.07</v>
      </c>
      <c r="L395" t="s">
        <v>22</v>
      </c>
      <c r="M395" t="s">
        <v>37</v>
      </c>
      <c r="N395" t="s">
        <v>32</v>
      </c>
      <c r="O395" s="5">
        <f>Table14[[#This Row],[Profit]]/Table14[[#This Row],[Total_Sales]]</f>
        <v>0.32963955187530442</v>
      </c>
      <c r="P395" s="23">
        <f>DATE(YEAR(Table14[[#This Row],[Order_Date]]), MONTH(Table14[[#This Row],[Order_Date]]), 1)</f>
        <v>45597</v>
      </c>
      <c r="Q395" t="str">
        <f>_xlfn.XLOOKUP(Table14[[#This Row],[Product]],Product_Master!$B$2:$B$11,Product_Master!$D$2:$D$11)</f>
        <v>BrightHome</v>
      </c>
      <c r="R395" t="str">
        <f>_xlfn.XLOOKUP(Table14[[#This Row],[Product]],Product_Master!$B$2:$B$11,Product_Master!$E$2:$E$11)</f>
        <v>Vietnam</v>
      </c>
      <c r="S395">
        <f>_xlfn.XLOOKUP(Table14[[#This Row],[Product]],Product_Master!$B$2:$B$11,Product_Master!$F$2:$F$11)</f>
        <v>12.75</v>
      </c>
    </row>
    <row r="396" spans="1:19" x14ac:dyDescent="0.3">
      <c r="A396" t="s">
        <v>568</v>
      </c>
      <c r="B396" s="23" t="s">
        <v>95</v>
      </c>
      <c r="C396" t="s">
        <v>168</v>
      </c>
      <c r="D396" t="s">
        <v>147</v>
      </c>
      <c r="E396" t="s">
        <v>54</v>
      </c>
      <c r="F396" t="s">
        <v>43</v>
      </c>
      <c r="G396">
        <v>6</v>
      </c>
      <c r="H396" s="4">
        <v>24.7</v>
      </c>
      <c r="I396" s="8">
        <v>148.19999999999999</v>
      </c>
      <c r="J396">
        <v>3.76</v>
      </c>
      <c r="K396">
        <v>24.44</v>
      </c>
      <c r="L396" t="s">
        <v>44</v>
      </c>
      <c r="M396" t="s">
        <v>23</v>
      </c>
      <c r="N396" t="s">
        <v>148</v>
      </c>
      <c r="O396" s="5">
        <f>Table14[[#This Row],[Profit]]/Table14[[#This Row],[Total_Sales]]</f>
        <v>0.1649122807017544</v>
      </c>
      <c r="P396" s="23">
        <f>DATE(YEAR(Table14[[#This Row],[Order_Date]]), MONTH(Table14[[#This Row],[Order_Date]]), 1)</f>
        <v>45474</v>
      </c>
      <c r="Q396" t="str">
        <f>_xlfn.XLOOKUP(Table14[[#This Row],[Product]],Product_Master!$B$2:$B$11,Product_Master!$D$2:$D$11)</f>
        <v>ClickTech</v>
      </c>
      <c r="R396" t="str">
        <f>_xlfn.XLOOKUP(Table14[[#This Row],[Product]],Product_Master!$B$2:$B$11,Product_Master!$E$2:$E$11)</f>
        <v>China</v>
      </c>
      <c r="S396">
        <f>_xlfn.XLOOKUP(Table14[[#This Row],[Product]],Product_Master!$B$2:$B$11,Product_Master!$F$2:$F$11)</f>
        <v>20</v>
      </c>
    </row>
    <row r="397" spans="1:19" x14ac:dyDescent="0.3">
      <c r="A397" t="s">
        <v>569</v>
      </c>
      <c r="B397" s="23" t="s">
        <v>78</v>
      </c>
      <c r="C397" t="s">
        <v>349</v>
      </c>
      <c r="D397" t="s">
        <v>41</v>
      </c>
      <c r="E397" t="s">
        <v>73</v>
      </c>
      <c r="F397" t="s">
        <v>43</v>
      </c>
      <c r="G397">
        <v>19</v>
      </c>
      <c r="H397" s="4">
        <v>19.170000000000002</v>
      </c>
      <c r="I397" s="8">
        <v>364.23</v>
      </c>
      <c r="J397">
        <v>15.16</v>
      </c>
      <c r="K397">
        <v>106.82</v>
      </c>
      <c r="L397" t="s">
        <v>30</v>
      </c>
      <c r="M397" t="s">
        <v>31</v>
      </c>
      <c r="N397" t="s">
        <v>45</v>
      </c>
      <c r="O397" s="5">
        <f>Table14[[#This Row],[Profit]]/Table14[[#This Row],[Total_Sales]]</f>
        <v>0.29327622656014052</v>
      </c>
      <c r="P397" s="23">
        <f>DATE(YEAR(Table14[[#This Row],[Order_Date]]), MONTH(Table14[[#This Row],[Order_Date]]), 1)</f>
        <v>45627</v>
      </c>
      <c r="Q397" t="str">
        <f>_xlfn.XLOOKUP(Table14[[#This Row],[Product]],Product_Master!$B$2:$B$11,Product_Master!$D$2:$D$11)</f>
        <v>BrightHome</v>
      </c>
      <c r="R397" t="str">
        <f>_xlfn.XLOOKUP(Table14[[#This Row],[Product]],Product_Master!$B$2:$B$11,Product_Master!$E$2:$E$11)</f>
        <v>Vietnam</v>
      </c>
      <c r="S397">
        <f>_xlfn.XLOOKUP(Table14[[#This Row],[Product]],Product_Master!$B$2:$B$11,Product_Master!$F$2:$F$11)</f>
        <v>12.75</v>
      </c>
    </row>
    <row r="398" spans="1:19" x14ac:dyDescent="0.3">
      <c r="A398" t="s">
        <v>570</v>
      </c>
      <c r="B398" s="23" t="s">
        <v>107</v>
      </c>
      <c r="C398" t="s">
        <v>418</v>
      </c>
      <c r="D398" t="s">
        <v>63</v>
      </c>
      <c r="E398" t="s">
        <v>49</v>
      </c>
      <c r="F398" t="s">
        <v>50</v>
      </c>
      <c r="G398">
        <v>2</v>
      </c>
      <c r="H398" s="4">
        <v>55.28</v>
      </c>
      <c r="I398" s="8">
        <v>110.56</v>
      </c>
      <c r="J398">
        <v>5.37</v>
      </c>
      <c r="K398">
        <v>25.19</v>
      </c>
      <c r="L398" t="s">
        <v>44</v>
      </c>
      <c r="M398" t="s">
        <v>31</v>
      </c>
      <c r="N398" t="s">
        <v>66</v>
      </c>
      <c r="O398" s="5">
        <f>Table14[[#This Row],[Profit]]/Table14[[#This Row],[Total_Sales]]</f>
        <v>0.22784008683068019</v>
      </c>
      <c r="P398" s="23">
        <f>DATE(YEAR(Table14[[#This Row],[Order_Date]]), MONTH(Table14[[#This Row],[Order_Date]]), 1)</f>
        <v>45413</v>
      </c>
      <c r="Q398" t="str">
        <f>_xlfn.XLOOKUP(Table14[[#This Row],[Product]],Product_Master!$B$2:$B$11,Product_Master!$D$2:$D$11)</f>
        <v>BlueWear</v>
      </c>
      <c r="R398" t="str">
        <f>_xlfn.XLOOKUP(Table14[[#This Row],[Product]],Product_Master!$B$2:$B$11,Product_Master!$E$2:$E$11)</f>
        <v>Bangladesh</v>
      </c>
      <c r="S398">
        <f>_xlfn.XLOOKUP(Table14[[#This Row],[Product]],Product_Master!$B$2:$B$11,Product_Master!$F$2:$F$11)</f>
        <v>40</v>
      </c>
    </row>
    <row r="399" spans="1:19" x14ac:dyDescent="0.3">
      <c r="A399" t="s">
        <v>571</v>
      </c>
      <c r="B399" s="23" t="s">
        <v>56</v>
      </c>
      <c r="C399" t="s">
        <v>230</v>
      </c>
      <c r="D399" t="s">
        <v>41</v>
      </c>
      <c r="E399" t="s">
        <v>64</v>
      </c>
      <c r="F399" t="s">
        <v>65</v>
      </c>
      <c r="G399">
        <v>49</v>
      </c>
      <c r="H399" s="4">
        <v>43.91</v>
      </c>
      <c r="I399" s="8">
        <v>2151.59</v>
      </c>
      <c r="J399">
        <v>63.55</v>
      </c>
      <c r="K399">
        <v>863.04</v>
      </c>
      <c r="L399" t="s">
        <v>22</v>
      </c>
      <c r="M399" t="s">
        <v>31</v>
      </c>
      <c r="N399" t="s">
        <v>45</v>
      </c>
      <c r="O399" s="5">
        <f>Table14[[#This Row],[Profit]]/Table14[[#This Row],[Total_Sales]]</f>
        <v>0.40111731324276462</v>
      </c>
      <c r="P399" s="23">
        <f>DATE(YEAR(Table14[[#This Row],[Order_Date]]), MONTH(Table14[[#This Row],[Order_Date]]), 1)</f>
        <v>45444</v>
      </c>
      <c r="Q399" t="str">
        <f>_xlfn.XLOOKUP(Table14[[#This Row],[Product]],Product_Master!$B$2:$B$11,Product_Master!$D$2:$D$11)</f>
        <v>SoftWeave</v>
      </c>
      <c r="R399" t="str">
        <f>_xlfn.XLOOKUP(Table14[[#This Row],[Product]],Product_Master!$B$2:$B$11,Product_Master!$E$2:$E$11)</f>
        <v>Turkey</v>
      </c>
      <c r="S399">
        <f>_xlfn.XLOOKUP(Table14[[#This Row],[Product]],Product_Master!$B$2:$B$11,Product_Master!$F$2:$F$11)</f>
        <v>25</v>
      </c>
    </row>
    <row r="400" spans="1:19" x14ac:dyDescent="0.3">
      <c r="A400" t="s">
        <v>572</v>
      </c>
      <c r="B400" s="23" t="s">
        <v>34</v>
      </c>
      <c r="C400" t="s">
        <v>212</v>
      </c>
      <c r="D400" t="s">
        <v>41</v>
      </c>
      <c r="E400" t="s">
        <v>64</v>
      </c>
      <c r="F400" t="s">
        <v>65</v>
      </c>
      <c r="G400">
        <v>29</v>
      </c>
      <c r="H400" s="4">
        <v>41.84</v>
      </c>
      <c r="I400" s="8">
        <v>1213.3599999999999</v>
      </c>
      <c r="J400">
        <v>56.83</v>
      </c>
      <c r="K400">
        <v>431.53</v>
      </c>
      <c r="L400" t="s">
        <v>44</v>
      </c>
      <c r="M400" t="s">
        <v>37</v>
      </c>
      <c r="N400" t="s">
        <v>45</v>
      </c>
      <c r="O400" s="5">
        <f>Table14[[#This Row],[Profit]]/Table14[[#This Row],[Total_Sales]]</f>
        <v>0.35564877694995717</v>
      </c>
      <c r="P400" s="23">
        <f>DATE(YEAR(Table14[[#This Row],[Order_Date]]), MONTH(Table14[[#This Row],[Order_Date]]), 1)</f>
        <v>45383</v>
      </c>
      <c r="Q400" t="str">
        <f>_xlfn.XLOOKUP(Table14[[#This Row],[Product]],Product_Master!$B$2:$B$11,Product_Master!$D$2:$D$11)</f>
        <v>SoftWeave</v>
      </c>
      <c r="R400" t="str">
        <f>_xlfn.XLOOKUP(Table14[[#This Row],[Product]],Product_Master!$B$2:$B$11,Product_Master!$E$2:$E$11)</f>
        <v>Turkey</v>
      </c>
      <c r="S400">
        <f>_xlfn.XLOOKUP(Table14[[#This Row],[Product]],Product_Master!$B$2:$B$11,Product_Master!$F$2:$F$11)</f>
        <v>25</v>
      </c>
    </row>
    <row r="401" spans="1:19" x14ac:dyDescent="0.3">
      <c r="A401" t="s">
        <v>573</v>
      </c>
      <c r="B401" s="23" t="s">
        <v>56</v>
      </c>
      <c r="C401" t="s">
        <v>195</v>
      </c>
      <c r="D401" t="s">
        <v>101</v>
      </c>
      <c r="E401" t="s">
        <v>69</v>
      </c>
      <c r="F401" t="s">
        <v>59</v>
      </c>
      <c r="G401">
        <v>43</v>
      </c>
      <c r="H401" s="4">
        <v>27.41</v>
      </c>
      <c r="I401" s="8">
        <v>1178.6300000000001</v>
      </c>
      <c r="J401">
        <v>55.82</v>
      </c>
      <c r="K401">
        <v>456.31</v>
      </c>
      <c r="L401" t="s">
        <v>44</v>
      </c>
      <c r="M401" t="s">
        <v>31</v>
      </c>
      <c r="N401" t="s">
        <v>102</v>
      </c>
      <c r="O401" s="5">
        <f>Table14[[#This Row],[Profit]]/Table14[[#This Row],[Total_Sales]]</f>
        <v>0.38715288088713162</v>
      </c>
      <c r="P401" s="23">
        <f>DATE(YEAR(Table14[[#This Row],[Order_Date]]), MONTH(Table14[[#This Row],[Order_Date]]), 1)</f>
        <v>45444</v>
      </c>
      <c r="Q401" t="str">
        <f>_xlfn.XLOOKUP(Table14[[#This Row],[Product]],Product_Master!$B$2:$B$11,Product_Master!$D$2:$D$11)</f>
        <v>Artisans Co.</v>
      </c>
      <c r="R401" t="str">
        <f>_xlfn.XLOOKUP(Table14[[#This Row],[Product]],Product_Master!$B$2:$B$11,Product_Master!$E$2:$E$11)</f>
        <v>India</v>
      </c>
      <c r="S401">
        <f>_xlfn.XLOOKUP(Table14[[#This Row],[Product]],Product_Master!$B$2:$B$11,Product_Master!$F$2:$F$11)</f>
        <v>15.5</v>
      </c>
    </row>
    <row r="402" spans="1:19" x14ac:dyDescent="0.3">
      <c r="A402" t="s">
        <v>574</v>
      </c>
      <c r="B402" s="23" t="s">
        <v>71</v>
      </c>
      <c r="C402" t="s">
        <v>492</v>
      </c>
      <c r="D402" t="s">
        <v>53</v>
      </c>
      <c r="E402" t="s">
        <v>54</v>
      </c>
      <c r="F402" t="s">
        <v>43</v>
      </c>
      <c r="G402">
        <v>28</v>
      </c>
      <c r="H402" s="4">
        <v>31.84</v>
      </c>
      <c r="I402" s="8">
        <v>891.52</v>
      </c>
      <c r="J402">
        <v>54.24</v>
      </c>
      <c r="K402">
        <v>277.27999999999997</v>
      </c>
      <c r="L402" t="s">
        <v>22</v>
      </c>
      <c r="M402" t="s">
        <v>31</v>
      </c>
      <c r="N402" t="s">
        <v>24</v>
      </c>
      <c r="O402" s="5">
        <f>Table14[[#This Row],[Profit]]/Table14[[#This Row],[Total_Sales]]</f>
        <v>0.31101938262742279</v>
      </c>
      <c r="P402" s="23">
        <f>DATE(YEAR(Table14[[#This Row],[Order_Date]]), MONTH(Table14[[#This Row],[Order_Date]]), 1)</f>
        <v>45505</v>
      </c>
      <c r="Q402" t="str">
        <f>_xlfn.XLOOKUP(Table14[[#This Row],[Product]],Product_Master!$B$2:$B$11,Product_Master!$D$2:$D$11)</f>
        <v>ClickTech</v>
      </c>
      <c r="R402" t="str">
        <f>_xlfn.XLOOKUP(Table14[[#This Row],[Product]],Product_Master!$B$2:$B$11,Product_Master!$E$2:$E$11)</f>
        <v>China</v>
      </c>
      <c r="S402">
        <f>_xlfn.XLOOKUP(Table14[[#This Row],[Product]],Product_Master!$B$2:$B$11,Product_Master!$F$2:$F$11)</f>
        <v>20</v>
      </c>
    </row>
    <row r="403" spans="1:19" x14ac:dyDescent="0.3">
      <c r="A403" t="s">
        <v>575</v>
      </c>
      <c r="B403" s="23" t="s">
        <v>78</v>
      </c>
      <c r="C403" t="s">
        <v>310</v>
      </c>
      <c r="D403" t="s">
        <v>63</v>
      </c>
      <c r="E403" t="s">
        <v>64</v>
      </c>
      <c r="F403" t="s">
        <v>65</v>
      </c>
      <c r="G403">
        <v>42</v>
      </c>
      <c r="H403" s="4">
        <v>35.840000000000003</v>
      </c>
      <c r="I403" s="8">
        <v>1505.28</v>
      </c>
      <c r="J403">
        <v>60.65</v>
      </c>
      <c r="K403">
        <v>394.63</v>
      </c>
      <c r="L403" t="s">
        <v>44</v>
      </c>
      <c r="M403" t="s">
        <v>31</v>
      </c>
      <c r="N403" t="s">
        <v>66</v>
      </c>
      <c r="O403" s="5">
        <f>Table14[[#This Row],[Profit]]/Table14[[#This Row],[Total_Sales]]</f>
        <v>0.262163849914966</v>
      </c>
      <c r="P403" s="23">
        <f>DATE(YEAR(Table14[[#This Row],[Order_Date]]), MONTH(Table14[[#This Row],[Order_Date]]), 1)</f>
        <v>45627</v>
      </c>
      <c r="Q403" t="str">
        <f>_xlfn.XLOOKUP(Table14[[#This Row],[Product]],Product_Master!$B$2:$B$11,Product_Master!$D$2:$D$11)</f>
        <v>SoftWeave</v>
      </c>
      <c r="R403" t="str">
        <f>_xlfn.XLOOKUP(Table14[[#This Row],[Product]],Product_Master!$B$2:$B$11,Product_Master!$E$2:$E$11)</f>
        <v>Turkey</v>
      </c>
      <c r="S403">
        <f>_xlfn.XLOOKUP(Table14[[#This Row],[Product]],Product_Master!$B$2:$B$11,Product_Master!$F$2:$F$11)</f>
        <v>25</v>
      </c>
    </row>
    <row r="404" spans="1:19" x14ac:dyDescent="0.3">
      <c r="A404" t="s">
        <v>576</v>
      </c>
      <c r="B404" s="23" t="s">
        <v>68</v>
      </c>
      <c r="C404" t="s">
        <v>72</v>
      </c>
      <c r="D404" t="s">
        <v>81</v>
      </c>
      <c r="E404" t="s">
        <v>58</v>
      </c>
      <c r="F404" t="s">
        <v>59</v>
      </c>
      <c r="G404">
        <v>22</v>
      </c>
      <c r="H404" s="4">
        <v>30.55</v>
      </c>
      <c r="I404" s="8">
        <v>672.1</v>
      </c>
      <c r="J404">
        <v>46.8</v>
      </c>
      <c r="K404">
        <v>130.30000000000001</v>
      </c>
      <c r="L404" t="s">
        <v>30</v>
      </c>
      <c r="M404" t="s">
        <v>37</v>
      </c>
      <c r="N404" t="s">
        <v>66</v>
      </c>
      <c r="O404" s="5">
        <f>Table14[[#This Row],[Profit]]/Table14[[#This Row],[Total_Sales]]</f>
        <v>0.19386995982740665</v>
      </c>
      <c r="P404" s="23">
        <f>DATE(YEAR(Table14[[#This Row],[Order_Date]]), MONTH(Table14[[#This Row],[Order_Date]]), 1)</f>
        <v>45536</v>
      </c>
      <c r="Q404" t="str">
        <f>_xlfn.XLOOKUP(Table14[[#This Row],[Product]],Product_Master!$B$2:$B$11,Product_Master!$D$2:$D$11)</f>
        <v>ClearCraft</v>
      </c>
      <c r="R404" t="str">
        <f>_xlfn.XLOOKUP(Table14[[#This Row],[Product]],Product_Master!$B$2:$B$11,Product_Master!$E$2:$E$11)</f>
        <v>India</v>
      </c>
      <c r="S404">
        <f>_xlfn.XLOOKUP(Table14[[#This Row],[Product]],Product_Master!$B$2:$B$11,Product_Master!$F$2:$F$11)</f>
        <v>22.5</v>
      </c>
    </row>
    <row r="405" spans="1:19" x14ac:dyDescent="0.3">
      <c r="A405" t="s">
        <v>577</v>
      </c>
      <c r="B405" s="23" t="s">
        <v>75</v>
      </c>
      <c r="C405" t="s">
        <v>240</v>
      </c>
      <c r="D405" t="s">
        <v>91</v>
      </c>
      <c r="E405" t="s">
        <v>98</v>
      </c>
      <c r="F405" t="s">
        <v>59</v>
      </c>
      <c r="G405">
        <v>13</v>
      </c>
      <c r="H405" s="4">
        <v>45.16</v>
      </c>
      <c r="I405" s="8">
        <v>587.08000000000004</v>
      </c>
      <c r="J405">
        <v>29.68</v>
      </c>
      <c r="K405">
        <v>193.4</v>
      </c>
      <c r="L405" t="s">
        <v>30</v>
      </c>
      <c r="M405" t="s">
        <v>31</v>
      </c>
      <c r="N405" t="s">
        <v>66</v>
      </c>
      <c r="O405" s="5">
        <f>Table14[[#This Row],[Profit]]/Table14[[#This Row],[Total_Sales]]</f>
        <v>0.32942699461742864</v>
      </c>
      <c r="P405" s="23">
        <f>DATE(YEAR(Table14[[#This Row],[Order_Date]]), MONTH(Table14[[#This Row],[Order_Date]]), 1)</f>
        <v>45748</v>
      </c>
      <c r="Q405" t="str">
        <f>_xlfn.XLOOKUP(Table14[[#This Row],[Product]],Product_Master!$B$2:$B$11,Product_Master!$D$2:$D$11)</f>
        <v>BrightHome</v>
      </c>
      <c r="R405" t="str">
        <f>_xlfn.XLOOKUP(Table14[[#This Row],[Product]],Product_Master!$B$2:$B$11,Product_Master!$E$2:$E$11)</f>
        <v>India</v>
      </c>
      <c r="S405">
        <f>_xlfn.XLOOKUP(Table14[[#This Row],[Product]],Product_Master!$B$2:$B$11,Product_Master!$F$2:$F$11)</f>
        <v>28</v>
      </c>
    </row>
    <row r="406" spans="1:19" x14ac:dyDescent="0.3">
      <c r="A406" t="s">
        <v>578</v>
      </c>
      <c r="B406" s="23" t="s">
        <v>56</v>
      </c>
      <c r="C406" t="s">
        <v>161</v>
      </c>
      <c r="D406" t="s">
        <v>147</v>
      </c>
      <c r="E406" t="s">
        <v>20</v>
      </c>
      <c r="F406" t="s">
        <v>21</v>
      </c>
      <c r="G406">
        <v>40</v>
      </c>
      <c r="H406" s="4">
        <v>45.23</v>
      </c>
      <c r="I406" s="8">
        <v>1809.2</v>
      </c>
      <c r="J406">
        <v>136.25</v>
      </c>
      <c r="K406">
        <v>272.95</v>
      </c>
      <c r="L406" t="s">
        <v>44</v>
      </c>
      <c r="M406" t="s">
        <v>37</v>
      </c>
      <c r="N406" t="s">
        <v>148</v>
      </c>
      <c r="O406" s="5">
        <f>Table14[[#This Row],[Profit]]/Table14[[#This Row],[Total_Sales]]</f>
        <v>0.15086778686712357</v>
      </c>
      <c r="P406" s="23">
        <f>DATE(YEAR(Table14[[#This Row],[Order_Date]]), MONTH(Table14[[#This Row],[Order_Date]]), 1)</f>
        <v>45444</v>
      </c>
      <c r="Q406" t="str">
        <f>_xlfn.XLOOKUP(Table14[[#This Row],[Product]],Product_Master!$B$2:$B$11,Product_Master!$D$2:$D$11)</f>
        <v>CarryPro</v>
      </c>
      <c r="R406" t="str">
        <f>_xlfn.XLOOKUP(Table14[[#This Row],[Product]],Product_Master!$B$2:$B$11,Product_Master!$E$2:$E$11)</f>
        <v>Vietnam</v>
      </c>
      <c r="S406">
        <f>_xlfn.XLOOKUP(Table14[[#This Row],[Product]],Product_Master!$B$2:$B$11,Product_Master!$F$2:$F$11)</f>
        <v>35</v>
      </c>
    </row>
    <row r="407" spans="1:19" x14ac:dyDescent="0.3">
      <c r="A407" t="s">
        <v>579</v>
      </c>
      <c r="B407" s="23" t="s">
        <v>157</v>
      </c>
      <c r="C407" t="s">
        <v>276</v>
      </c>
      <c r="D407" t="s">
        <v>91</v>
      </c>
      <c r="E407" t="s">
        <v>29</v>
      </c>
      <c r="F407" t="s">
        <v>21</v>
      </c>
      <c r="G407">
        <v>41</v>
      </c>
      <c r="H407" s="4">
        <v>22.78</v>
      </c>
      <c r="I407" s="8">
        <v>933.98</v>
      </c>
      <c r="J407">
        <v>38.369999999999997</v>
      </c>
      <c r="K407">
        <v>157.61000000000001</v>
      </c>
      <c r="L407" t="s">
        <v>30</v>
      </c>
      <c r="M407" t="s">
        <v>23</v>
      </c>
      <c r="N407" t="s">
        <v>66</v>
      </c>
      <c r="O407" s="5">
        <f>Table14[[#This Row],[Profit]]/Table14[[#This Row],[Total_Sales]]</f>
        <v>0.16875093685089618</v>
      </c>
      <c r="P407" s="23">
        <f>DATE(YEAR(Table14[[#This Row],[Order_Date]]), MONTH(Table14[[#This Row],[Order_Date]]), 1)</f>
        <v>45292</v>
      </c>
      <c r="Q407" t="str">
        <f>_xlfn.XLOOKUP(Table14[[#This Row],[Product]],Product_Master!$B$2:$B$11,Product_Master!$D$2:$D$11)</f>
        <v>CraftLine</v>
      </c>
      <c r="R407" t="str">
        <f>_xlfn.XLOOKUP(Table14[[#This Row],[Product]],Product_Master!$B$2:$B$11,Product_Master!$E$2:$E$11)</f>
        <v>Italy</v>
      </c>
      <c r="S407">
        <f>_xlfn.XLOOKUP(Table14[[#This Row],[Product]],Product_Master!$B$2:$B$11,Product_Master!$F$2:$F$11)</f>
        <v>18</v>
      </c>
    </row>
    <row r="408" spans="1:19" x14ac:dyDescent="0.3">
      <c r="A408" t="s">
        <v>580</v>
      </c>
      <c r="B408" s="23" t="s">
        <v>95</v>
      </c>
      <c r="C408" t="s">
        <v>119</v>
      </c>
      <c r="D408" t="s">
        <v>123</v>
      </c>
      <c r="E408" t="s">
        <v>69</v>
      </c>
      <c r="F408" t="s">
        <v>59</v>
      </c>
      <c r="G408">
        <v>34</v>
      </c>
      <c r="H408" s="4">
        <v>24.21</v>
      </c>
      <c r="I408" s="8">
        <v>823.14</v>
      </c>
      <c r="J408">
        <v>58.25</v>
      </c>
      <c r="K408">
        <v>237.89</v>
      </c>
      <c r="L408" t="s">
        <v>22</v>
      </c>
      <c r="M408" t="s">
        <v>23</v>
      </c>
      <c r="N408" t="s">
        <v>32</v>
      </c>
      <c r="O408" s="5">
        <f>Table14[[#This Row],[Profit]]/Table14[[#This Row],[Total_Sales]]</f>
        <v>0.28900308574483075</v>
      </c>
      <c r="P408" s="23">
        <f>DATE(YEAR(Table14[[#This Row],[Order_Date]]), MONTH(Table14[[#This Row],[Order_Date]]), 1)</f>
        <v>45474</v>
      </c>
      <c r="Q408" t="str">
        <f>_xlfn.XLOOKUP(Table14[[#This Row],[Product]],Product_Master!$B$2:$B$11,Product_Master!$D$2:$D$11)</f>
        <v>Artisans Co.</v>
      </c>
      <c r="R408" t="str">
        <f>_xlfn.XLOOKUP(Table14[[#This Row],[Product]],Product_Master!$B$2:$B$11,Product_Master!$E$2:$E$11)</f>
        <v>India</v>
      </c>
      <c r="S408">
        <f>_xlfn.XLOOKUP(Table14[[#This Row],[Product]],Product_Master!$B$2:$B$11,Product_Master!$F$2:$F$11)</f>
        <v>15.5</v>
      </c>
    </row>
    <row r="409" spans="1:19" x14ac:dyDescent="0.3">
      <c r="A409" t="s">
        <v>581</v>
      </c>
      <c r="B409" s="23" t="s">
        <v>75</v>
      </c>
      <c r="C409" t="s">
        <v>133</v>
      </c>
      <c r="D409" t="s">
        <v>28</v>
      </c>
      <c r="E409" t="s">
        <v>54</v>
      </c>
      <c r="F409" t="s">
        <v>43</v>
      </c>
      <c r="G409">
        <v>46</v>
      </c>
      <c r="H409" s="4">
        <v>34.64</v>
      </c>
      <c r="I409" s="8">
        <v>1593.44</v>
      </c>
      <c r="J409">
        <v>45.93</v>
      </c>
      <c r="K409">
        <v>627.51</v>
      </c>
      <c r="L409" t="s">
        <v>44</v>
      </c>
      <c r="M409" t="s">
        <v>23</v>
      </c>
      <c r="N409" t="s">
        <v>32</v>
      </c>
      <c r="O409" s="5">
        <f>Table14[[#This Row],[Profit]]/Table14[[#This Row],[Total_Sales]]</f>
        <v>0.39380836429360377</v>
      </c>
      <c r="P409" s="23">
        <f>DATE(YEAR(Table14[[#This Row],[Order_Date]]), MONTH(Table14[[#This Row],[Order_Date]]), 1)</f>
        <v>45748</v>
      </c>
      <c r="Q409" t="str">
        <f>_xlfn.XLOOKUP(Table14[[#This Row],[Product]],Product_Master!$B$2:$B$11,Product_Master!$D$2:$D$11)</f>
        <v>ClickTech</v>
      </c>
      <c r="R409" t="str">
        <f>_xlfn.XLOOKUP(Table14[[#This Row],[Product]],Product_Master!$B$2:$B$11,Product_Master!$E$2:$E$11)</f>
        <v>China</v>
      </c>
      <c r="S409">
        <f>_xlfn.XLOOKUP(Table14[[#This Row],[Product]],Product_Master!$B$2:$B$11,Product_Master!$F$2:$F$11)</f>
        <v>20</v>
      </c>
    </row>
    <row r="410" spans="1:19" x14ac:dyDescent="0.3">
      <c r="A410" t="s">
        <v>582</v>
      </c>
      <c r="B410" s="23" t="s">
        <v>157</v>
      </c>
      <c r="C410" t="s">
        <v>161</v>
      </c>
      <c r="D410" t="s">
        <v>48</v>
      </c>
      <c r="E410" t="s">
        <v>54</v>
      </c>
      <c r="F410" t="s">
        <v>43</v>
      </c>
      <c r="G410">
        <v>10</v>
      </c>
      <c r="H410" s="4">
        <v>27.06</v>
      </c>
      <c r="I410" s="8">
        <v>270.60000000000002</v>
      </c>
      <c r="J410">
        <v>15.35</v>
      </c>
      <c r="K410">
        <v>55.25</v>
      </c>
      <c r="L410" t="s">
        <v>22</v>
      </c>
      <c r="M410" t="s">
        <v>37</v>
      </c>
      <c r="N410" t="s">
        <v>24</v>
      </c>
      <c r="O410" s="5">
        <f>Table14[[#This Row],[Profit]]/Table14[[#This Row],[Total_Sales]]</f>
        <v>0.20417590539541758</v>
      </c>
      <c r="P410" s="23">
        <f>DATE(YEAR(Table14[[#This Row],[Order_Date]]), MONTH(Table14[[#This Row],[Order_Date]]), 1)</f>
        <v>45292</v>
      </c>
      <c r="Q410" t="str">
        <f>_xlfn.XLOOKUP(Table14[[#This Row],[Product]],Product_Master!$B$2:$B$11,Product_Master!$D$2:$D$11)</f>
        <v>ClickTech</v>
      </c>
      <c r="R410" t="str">
        <f>_xlfn.XLOOKUP(Table14[[#This Row],[Product]],Product_Master!$B$2:$B$11,Product_Master!$E$2:$E$11)</f>
        <v>China</v>
      </c>
      <c r="S410">
        <f>_xlfn.XLOOKUP(Table14[[#This Row],[Product]],Product_Master!$B$2:$B$11,Product_Master!$F$2:$F$11)</f>
        <v>20</v>
      </c>
    </row>
    <row r="411" spans="1:19" x14ac:dyDescent="0.3">
      <c r="A411" t="s">
        <v>583</v>
      </c>
      <c r="B411" s="23" t="s">
        <v>39</v>
      </c>
      <c r="C411" t="s">
        <v>158</v>
      </c>
      <c r="D411" t="s">
        <v>28</v>
      </c>
      <c r="E411" t="s">
        <v>29</v>
      </c>
      <c r="F411" t="s">
        <v>21</v>
      </c>
      <c r="G411">
        <v>11</v>
      </c>
      <c r="H411" s="4">
        <v>27.74</v>
      </c>
      <c r="I411" s="8">
        <v>305.14</v>
      </c>
      <c r="J411">
        <v>10.81</v>
      </c>
      <c r="K411">
        <v>96.33</v>
      </c>
      <c r="L411" t="s">
        <v>30</v>
      </c>
      <c r="M411" t="s">
        <v>37</v>
      </c>
      <c r="N411" t="s">
        <v>32</v>
      </c>
      <c r="O411" s="5">
        <f>Table14[[#This Row],[Profit]]/Table14[[#This Row],[Total_Sales]]</f>
        <v>0.31569115815691157</v>
      </c>
      <c r="P411" s="23">
        <f>DATE(YEAR(Table14[[#This Row],[Order_Date]]), MONTH(Table14[[#This Row],[Order_Date]]), 1)</f>
        <v>45566</v>
      </c>
      <c r="Q411" t="str">
        <f>_xlfn.XLOOKUP(Table14[[#This Row],[Product]],Product_Master!$B$2:$B$11,Product_Master!$D$2:$D$11)</f>
        <v>CraftLine</v>
      </c>
      <c r="R411" t="str">
        <f>_xlfn.XLOOKUP(Table14[[#This Row],[Product]],Product_Master!$B$2:$B$11,Product_Master!$E$2:$E$11)</f>
        <v>Italy</v>
      </c>
      <c r="S411">
        <f>_xlfn.XLOOKUP(Table14[[#This Row],[Product]],Product_Master!$B$2:$B$11,Product_Master!$F$2:$F$11)</f>
        <v>18</v>
      </c>
    </row>
    <row r="412" spans="1:19" x14ac:dyDescent="0.3">
      <c r="A412" t="s">
        <v>584</v>
      </c>
      <c r="B412" s="23" t="s">
        <v>157</v>
      </c>
      <c r="C412" t="s">
        <v>114</v>
      </c>
      <c r="D412" t="s">
        <v>48</v>
      </c>
      <c r="E412" t="s">
        <v>98</v>
      </c>
      <c r="F412" t="s">
        <v>59</v>
      </c>
      <c r="G412">
        <v>29</v>
      </c>
      <c r="H412" s="4">
        <v>38.08</v>
      </c>
      <c r="I412" s="8">
        <v>1104.32</v>
      </c>
      <c r="J412">
        <v>25.63</v>
      </c>
      <c r="K412">
        <v>266.69</v>
      </c>
      <c r="L412" t="s">
        <v>30</v>
      </c>
      <c r="M412" t="s">
        <v>37</v>
      </c>
      <c r="N412" t="s">
        <v>24</v>
      </c>
      <c r="O412" s="5">
        <f>Table14[[#This Row],[Profit]]/Table14[[#This Row],[Total_Sales]]</f>
        <v>0.24149702984642135</v>
      </c>
      <c r="P412" s="23">
        <f>DATE(YEAR(Table14[[#This Row],[Order_Date]]), MONTH(Table14[[#This Row],[Order_Date]]), 1)</f>
        <v>45292</v>
      </c>
      <c r="Q412" t="str">
        <f>_xlfn.XLOOKUP(Table14[[#This Row],[Product]],Product_Master!$B$2:$B$11,Product_Master!$D$2:$D$11)</f>
        <v>BrightHome</v>
      </c>
      <c r="R412" t="str">
        <f>_xlfn.XLOOKUP(Table14[[#This Row],[Product]],Product_Master!$B$2:$B$11,Product_Master!$E$2:$E$11)</f>
        <v>India</v>
      </c>
      <c r="S412">
        <f>_xlfn.XLOOKUP(Table14[[#This Row],[Product]],Product_Master!$B$2:$B$11,Product_Master!$F$2:$F$11)</f>
        <v>28</v>
      </c>
    </row>
    <row r="413" spans="1:19" x14ac:dyDescent="0.3">
      <c r="A413" t="s">
        <v>585</v>
      </c>
      <c r="B413" s="23" t="s">
        <v>75</v>
      </c>
      <c r="C413" t="s">
        <v>137</v>
      </c>
      <c r="D413" t="s">
        <v>48</v>
      </c>
      <c r="E413" t="s">
        <v>98</v>
      </c>
      <c r="F413" t="s">
        <v>59</v>
      </c>
      <c r="G413">
        <v>18</v>
      </c>
      <c r="H413" s="4">
        <v>43.65</v>
      </c>
      <c r="I413" s="8">
        <v>785.7</v>
      </c>
      <c r="J413">
        <v>54.52</v>
      </c>
      <c r="K413">
        <v>227.18</v>
      </c>
      <c r="L413" t="s">
        <v>30</v>
      </c>
      <c r="M413" t="s">
        <v>23</v>
      </c>
      <c r="N413" t="s">
        <v>24</v>
      </c>
      <c r="O413" s="5">
        <f>Table14[[#This Row],[Profit]]/Table14[[#This Row],[Total_Sales]]</f>
        <v>0.28914343897161765</v>
      </c>
      <c r="P413" s="23">
        <f>DATE(YEAR(Table14[[#This Row],[Order_Date]]), MONTH(Table14[[#This Row],[Order_Date]]), 1)</f>
        <v>45748</v>
      </c>
      <c r="Q413" t="str">
        <f>_xlfn.XLOOKUP(Table14[[#This Row],[Product]],Product_Master!$B$2:$B$11,Product_Master!$D$2:$D$11)</f>
        <v>BrightHome</v>
      </c>
      <c r="R413" t="str">
        <f>_xlfn.XLOOKUP(Table14[[#This Row],[Product]],Product_Master!$B$2:$B$11,Product_Master!$E$2:$E$11)</f>
        <v>India</v>
      </c>
      <c r="S413">
        <f>_xlfn.XLOOKUP(Table14[[#This Row],[Product]],Product_Master!$B$2:$B$11,Product_Master!$F$2:$F$11)</f>
        <v>28</v>
      </c>
    </row>
    <row r="414" spans="1:19" x14ac:dyDescent="0.3">
      <c r="A414" t="s">
        <v>586</v>
      </c>
      <c r="B414" s="23" t="s">
        <v>83</v>
      </c>
      <c r="C414" t="s">
        <v>373</v>
      </c>
      <c r="D414" t="s">
        <v>123</v>
      </c>
      <c r="E414" t="s">
        <v>20</v>
      </c>
      <c r="F414" t="s">
        <v>21</v>
      </c>
      <c r="G414">
        <v>49</v>
      </c>
      <c r="H414" s="4">
        <v>51.97</v>
      </c>
      <c r="I414" s="8">
        <v>2546.5300000000002</v>
      </c>
      <c r="J414">
        <v>112.26</v>
      </c>
      <c r="K414">
        <v>719.27</v>
      </c>
      <c r="L414" t="s">
        <v>30</v>
      </c>
      <c r="M414" t="s">
        <v>31</v>
      </c>
      <c r="N414" t="s">
        <v>32</v>
      </c>
      <c r="O414" s="5">
        <f>Table14[[#This Row],[Profit]]/Table14[[#This Row],[Total_Sales]]</f>
        <v>0.28245102158623692</v>
      </c>
      <c r="P414" s="23">
        <f>DATE(YEAR(Table14[[#This Row],[Order_Date]]), MONTH(Table14[[#This Row],[Order_Date]]), 1)</f>
        <v>45323</v>
      </c>
      <c r="Q414" t="str">
        <f>_xlfn.XLOOKUP(Table14[[#This Row],[Product]],Product_Master!$B$2:$B$11,Product_Master!$D$2:$D$11)</f>
        <v>CarryPro</v>
      </c>
      <c r="R414" t="str">
        <f>_xlfn.XLOOKUP(Table14[[#This Row],[Product]],Product_Master!$B$2:$B$11,Product_Master!$E$2:$E$11)</f>
        <v>Vietnam</v>
      </c>
      <c r="S414">
        <f>_xlfn.XLOOKUP(Table14[[#This Row],[Product]],Product_Master!$B$2:$B$11,Product_Master!$F$2:$F$11)</f>
        <v>35</v>
      </c>
    </row>
    <row r="415" spans="1:19" x14ac:dyDescent="0.3">
      <c r="A415" t="s">
        <v>587</v>
      </c>
      <c r="B415" s="23" t="s">
        <v>17</v>
      </c>
      <c r="C415" t="s">
        <v>141</v>
      </c>
      <c r="D415" t="s">
        <v>81</v>
      </c>
      <c r="E415" t="s">
        <v>64</v>
      </c>
      <c r="F415" t="s">
        <v>65</v>
      </c>
      <c r="G415">
        <v>13</v>
      </c>
      <c r="H415" s="4">
        <v>36.85</v>
      </c>
      <c r="I415" s="8">
        <v>479.05</v>
      </c>
      <c r="J415">
        <v>10.15</v>
      </c>
      <c r="K415">
        <v>143.9</v>
      </c>
      <c r="L415" t="s">
        <v>22</v>
      </c>
      <c r="M415" t="s">
        <v>37</v>
      </c>
      <c r="N415" t="s">
        <v>66</v>
      </c>
      <c r="O415" s="5">
        <f>Table14[[#This Row],[Profit]]/Table14[[#This Row],[Total_Sales]]</f>
        <v>0.30038618098319592</v>
      </c>
      <c r="P415" s="23">
        <f>DATE(YEAR(Table14[[#This Row],[Order_Date]]), MONTH(Table14[[#This Row],[Order_Date]]), 1)</f>
        <v>45658</v>
      </c>
      <c r="Q415" t="str">
        <f>_xlfn.XLOOKUP(Table14[[#This Row],[Product]],Product_Master!$B$2:$B$11,Product_Master!$D$2:$D$11)</f>
        <v>SoftWeave</v>
      </c>
      <c r="R415" t="str">
        <f>_xlfn.XLOOKUP(Table14[[#This Row],[Product]],Product_Master!$B$2:$B$11,Product_Master!$E$2:$E$11)</f>
        <v>Turkey</v>
      </c>
      <c r="S415">
        <f>_xlfn.XLOOKUP(Table14[[#This Row],[Product]],Product_Master!$B$2:$B$11,Product_Master!$F$2:$F$11)</f>
        <v>25</v>
      </c>
    </row>
    <row r="416" spans="1:19" x14ac:dyDescent="0.3">
      <c r="A416" t="s">
        <v>588</v>
      </c>
      <c r="B416" s="23" t="s">
        <v>107</v>
      </c>
      <c r="C416" t="s">
        <v>87</v>
      </c>
      <c r="D416" t="s">
        <v>48</v>
      </c>
      <c r="E416" t="s">
        <v>42</v>
      </c>
      <c r="F416" t="s">
        <v>43</v>
      </c>
      <c r="G416">
        <v>33</v>
      </c>
      <c r="H416" s="4">
        <v>38.520000000000003</v>
      </c>
      <c r="I416" s="8">
        <v>1271.1600000000001</v>
      </c>
      <c r="J416">
        <v>81.459999999999994</v>
      </c>
      <c r="K416">
        <v>133.69999999999999</v>
      </c>
      <c r="L416" t="s">
        <v>22</v>
      </c>
      <c r="M416" t="s">
        <v>23</v>
      </c>
      <c r="N416" t="s">
        <v>24</v>
      </c>
      <c r="O416" s="5">
        <f>Table14[[#This Row],[Profit]]/Table14[[#This Row],[Total_Sales]]</f>
        <v>0.10517952106737152</v>
      </c>
      <c r="P416" s="23">
        <f>DATE(YEAR(Table14[[#This Row],[Order_Date]]), MONTH(Table14[[#This Row],[Order_Date]]), 1)</f>
        <v>45413</v>
      </c>
      <c r="Q416" t="str">
        <f>_xlfn.XLOOKUP(Table14[[#This Row],[Product]],Product_Master!$B$2:$B$11,Product_Master!$D$2:$D$11)</f>
        <v>AudioTech Ltd.</v>
      </c>
      <c r="R416" t="str">
        <f>_xlfn.XLOOKUP(Table14[[#This Row],[Product]],Product_Master!$B$2:$B$11,Product_Master!$E$2:$E$11)</f>
        <v>China</v>
      </c>
      <c r="S416">
        <f>_xlfn.XLOOKUP(Table14[[#This Row],[Product]],Product_Master!$B$2:$B$11,Product_Master!$F$2:$F$11)</f>
        <v>32</v>
      </c>
    </row>
    <row r="417" spans="1:19" x14ac:dyDescent="0.3">
      <c r="A417" t="s">
        <v>589</v>
      </c>
      <c r="B417" s="23" t="s">
        <v>75</v>
      </c>
      <c r="C417" t="s">
        <v>259</v>
      </c>
      <c r="D417" t="s">
        <v>63</v>
      </c>
      <c r="E417" t="s">
        <v>69</v>
      </c>
      <c r="F417" t="s">
        <v>59</v>
      </c>
      <c r="G417">
        <v>41</v>
      </c>
      <c r="H417" s="4">
        <v>26.98</v>
      </c>
      <c r="I417" s="8">
        <v>1106.18</v>
      </c>
      <c r="J417">
        <v>51.77</v>
      </c>
      <c r="K417">
        <v>418.91</v>
      </c>
      <c r="L417" t="s">
        <v>44</v>
      </c>
      <c r="M417" t="s">
        <v>31</v>
      </c>
      <c r="N417" t="s">
        <v>66</v>
      </c>
      <c r="O417" s="5">
        <f>Table14[[#This Row],[Profit]]/Table14[[#This Row],[Total_Sales]]</f>
        <v>0.37869966913160608</v>
      </c>
      <c r="P417" s="23">
        <f>DATE(YEAR(Table14[[#This Row],[Order_Date]]), MONTH(Table14[[#This Row],[Order_Date]]), 1)</f>
        <v>45748</v>
      </c>
      <c r="Q417" t="str">
        <f>_xlfn.XLOOKUP(Table14[[#This Row],[Product]],Product_Master!$B$2:$B$11,Product_Master!$D$2:$D$11)</f>
        <v>Artisans Co.</v>
      </c>
      <c r="R417" t="str">
        <f>_xlfn.XLOOKUP(Table14[[#This Row],[Product]],Product_Master!$B$2:$B$11,Product_Master!$E$2:$E$11)</f>
        <v>India</v>
      </c>
      <c r="S417">
        <f>_xlfn.XLOOKUP(Table14[[#This Row],[Product]],Product_Master!$B$2:$B$11,Product_Master!$F$2:$F$11)</f>
        <v>15.5</v>
      </c>
    </row>
    <row r="418" spans="1:19" x14ac:dyDescent="0.3">
      <c r="A418" t="s">
        <v>590</v>
      </c>
      <c r="B418" s="23" t="s">
        <v>83</v>
      </c>
      <c r="C418" t="s">
        <v>114</v>
      </c>
      <c r="D418" t="s">
        <v>123</v>
      </c>
      <c r="E418" t="s">
        <v>69</v>
      </c>
      <c r="F418" t="s">
        <v>59</v>
      </c>
      <c r="G418">
        <v>4</v>
      </c>
      <c r="H418" s="4">
        <v>23.56</v>
      </c>
      <c r="I418" s="8">
        <v>94.24</v>
      </c>
      <c r="J418">
        <v>7.03</v>
      </c>
      <c r="K418">
        <v>25.21</v>
      </c>
      <c r="L418" t="s">
        <v>44</v>
      </c>
      <c r="M418" t="s">
        <v>37</v>
      </c>
      <c r="N418" t="s">
        <v>32</v>
      </c>
      <c r="O418" s="5">
        <f>Table14[[#This Row],[Profit]]/Table14[[#This Row],[Total_Sales]]</f>
        <v>0.26750848896434637</v>
      </c>
      <c r="P418" s="23">
        <f>DATE(YEAR(Table14[[#This Row],[Order_Date]]), MONTH(Table14[[#This Row],[Order_Date]]), 1)</f>
        <v>45323</v>
      </c>
      <c r="Q418" t="str">
        <f>_xlfn.XLOOKUP(Table14[[#This Row],[Product]],Product_Master!$B$2:$B$11,Product_Master!$D$2:$D$11)</f>
        <v>Artisans Co.</v>
      </c>
      <c r="R418" t="str">
        <f>_xlfn.XLOOKUP(Table14[[#This Row],[Product]],Product_Master!$B$2:$B$11,Product_Master!$E$2:$E$11)</f>
        <v>India</v>
      </c>
      <c r="S418">
        <f>_xlfn.XLOOKUP(Table14[[#This Row],[Product]],Product_Master!$B$2:$B$11,Product_Master!$F$2:$F$11)</f>
        <v>15.5</v>
      </c>
    </row>
    <row r="419" spans="1:19" x14ac:dyDescent="0.3">
      <c r="A419" t="s">
        <v>591</v>
      </c>
      <c r="B419" s="23" t="s">
        <v>95</v>
      </c>
      <c r="C419" t="s">
        <v>316</v>
      </c>
      <c r="D419" t="s">
        <v>196</v>
      </c>
      <c r="E419" t="s">
        <v>42</v>
      </c>
      <c r="F419" t="s">
        <v>43</v>
      </c>
      <c r="G419">
        <v>17</v>
      </c>
      <c r="H419" s="4">
        <v>57.14</v>
      </c>
      <c r="I419" s="8">
        <v>971.38</v>
      </c>
      <c r="J419">
        <v>70.010000000000005</v>
      </c>
      <c r="K419">
        <v>357.37</v>
      </c>
      <c r="L419" t="s">
        <v>44</v>
      </c>
      <c r="M419" t="s">
        <v>31</v>
      </c>
      <c r="N419" t="s">
        <v>66</v>
      </c>
      <c r="O419" s="5">
        <f>Table14[[#This Row],[Profit]]/Table14[[#This Row],[Total_Sales]]</f>
        <v>0.36789927731680705</v>
      </c>
      <c r="P419" s="23">
        <f>DATE(YEAR(Table14[[#This Row],[Order_Date]]), MONTH(Table14[[#This Row],[Order_Date]]), 1)</f>
        <v>45474</v>
      </c>
      <c r="Q419" t="str">
        <f>_xlfn.XLOOKUP(Table14[[#This Row],[Product]],Product_Master!$B$2:$B$11,Product_Master!$D$2:$D$11)</f>
        <v>AudioTech Ltd.</v>
      </c>
      <c r="R419" t="str">
        <f>_xlfn.XLOOKUP(Table14[[#This Row],[Product]],Product_Master!$B$2:$B$11,Product_Master!$E$2:$E$11)</f>
        <v>China</v>
      </c>
      <c r="S419">
        <f>_xlfn.XLOOKUP(Table14[[#This Row],[Product]],Product_Master!$B$2:$B$11,Product_Master!$F$2:$F$11)</f>
        <v>32</v>
      </c>
    </row>
    <row r="420" spans="1:19" x14ac:dyDescent="0.3">
      <c r="A420" t="s">
        <v>592</v>
      </c>
      <c r="B420" s="23" t="s">
        <v>26</v>
      </c>
      <c r="C420" t="s">
        <v>130</v>
      </c>
      <c r="D420" t="s">
        <v>147</v>
      </c>
      <c r="E420" t="s">
        <v>64</v>
      </c>
      <c r="F420" t="s">
        <v>65</v>
      </c>
      <c r="G420">
        <v>44</v>
      </c>
      <c r="H420" s="4">
        <v>38.14</v>
      </c>
      <c r="I420" s="8">
        <v>1678.16</v>
      </c>
      <c r="J420">
        <v>124.49</v>
      </c>
      <c r="K420">
        <v>453.67</v>
      </c>
      <c r="L420" t="s">
        <v>44</v>
      </c>
      <c r="M420" t="s">
        <v>23</v>
      </c>
      <c r="N420" t="s">
        <v>148</v>
      </c>
      <c r="O420" s="5">
        <f>Table14[[#This Row],[Profit]]/Table14[[#This Row],[Total_Sales]]</f>
        <v>0.27033775087000045</v>
      </c>
      <c r="P420" s="23">
        <f>DATE(YEAR(Table14[[#This Row],[Order_Date]]), MONTH(Table14[[#This Row],[Order_Date]]), 1)</f>
        <v>45689</v>
      </c>
      <c r="Q420" t="str">
        <f>_xlfn.XLOOKUP(Table14[[#This Row],[Product]],Product_Master!$B$2:$B$11,Product_Master!$D$2:$D$11)</f>
        <v>SoftWeave</v>
      </c>
      <c r="R420" t="str">
        <f>_xlfn.XLOOKUP(Table14[[#This Row],[Product]],Product_Master!$B$2:$B$11,Product_Master!$E$2:$E$11)</f>
        <v>Turkey</v>
      </c>
      <c r="S420">
        <f>_xlfn.XLOOKUP(Table14[[#This Row],[Product]],Product_Master!$B$2:$B$11,Product_Master!$F$2:$F$11)</f>
        <v>25</v>
      </c>
    </row>
    <row r="421" spans="1:19" x14ac:dyDescent="0.3">
      <c r="A421" t="s">
        <v>593</v>
      </c>
      <c r="B421" s="23" t="s">
        <v>95</v>
      </c>
      <c r="C421" t="s">
        <v>119</v>
      </c>
      <c r="D421" t="s">
        <v>101</v>
      </c>
      <c r="E421" t="s">
        <v>29</v>
      </c>
      <c r="F421" t="s">
        <v>21</v>
      </c>
      <c r="G421">
        <v>14</v>
      </c>
      <c r="H421" s="4">
        <v>24</v>
      </c>
      <c r="I421" s="8">
        <v>336</v>
      </c>
      <c r="J421">
        <v>22.88</v>
      </c>
      <c r="K421">
        <v>61.12</v>
      </c>
      <c r="L421" t="s">
        <v>30</v>
      </c>
      <c r="M421" t="s">
        <v>31</v>
      </c>
      <c r="N421" t="s">
        <v>102</v>
      </c>
      <c r="O421" s="5">
        <f>Table14[[#This Row],[Profit]]/Table14[[#This Row],[Total_Sales]]</f>
        <v>0.1819047619047619</v>
      </c>
      <c r="P421" s="23">
        <f>DATE(YEAR(Table14[[#This Row],[Order_Date]]), MONTH(Table14[[#This Row],[Order_Date]]), 1)</f>
        <v>45474</v>
      </c>
      <c r="Q421" t="str">
        <f>_xlfn.XLOOKUP(Table14[[#This Row],[Product]],Product_Master!$B$2:$B$11,Product_Master!$D$2:$D$11)</f>
        <v>CraftLine</v>
      </c>
      <c r="R421" t="str">
        <f>_xlfn.XLOOKUP(Table14[[#This Row],[Product]],Product_Master!$B$2:$B$11,Product_Master!$E$2:$E$11)</f>
        <v>Italy</v>
      </c>
      <c r="S421">
        <f>_xlfn.XLOOKUP(Table14[[#This Row],[Product]],Product_Master!$B$2:$B$11,Product_Master!$F$2:$F$11)</f>
        <v>18</v>
      </c>
    </row>
    <row r="422" spans="1:19" x14ac:dyDescent="0.3">
      <c r="A422" t="s">
        <v>594</v>
      </c>
      <c r="B422" s="23" t="s">
        <v>83</v>
      </c>
      <c r="C422" t="s">
        <v>90</v>
      </c>
      <c r="D422" t="s">
        <v>63</v>
      </c>
      <c r="E422" t="s">
        <v>69</v>
      </c>
      <c r="F422" t="s">
        <v>59</v>
      </c>
      <c r="G422">
        <v>50</v>
      </c>
      <c r="H422" s="4">
        <v>26.91</v>
      </c>
      <c r="I422" s="8">
        <v>1345.5</v>
      </c>
      <c r="J422">
        <v>91.7</v>
      </c>
      <c r="K422">
        <v>478.8</v>
      </c>
      <c r="L422" t="s">
        <v>44</v>
      </c>
      <c r="M422" t="s">
        <v>23</v>
      </c>
      <c r="N422" t="s">
        <v>66</v>
      </c>
      <c r="O422" s="5">
        <f>Table14[[#This Row],[Profit]]/Table14[[#This Row],[Total_Sales]]</f>
        <v>0.35585284280936458</v>
      </c>
      <c r="P422" s="23">
        <f>DATE(YEAR(Table14[[#This Row],[Order_Date]]), MONTH(Table14[[#This Row],[Order_Date]]), 1)</f>
        <v>45323</v>
      </c>
      <c r="Q422" t="str">
        <f>_xlfn.XLOOKUP(Table14[[#This Row],[Product]],Product_Master!$B$2:$B$11,Product_Master!$D$2:$D$11)</f>
        <v>Artisans Co.</v>
      </c>
      <c r="R422" t="str">
        <f>_xlfn.XLOOKUP(Table14[[#This Row],[Product]],Product_Master!$B$2:$B$11,Product_Master!$E$2:$E$11)</f>
        <v>India</v>
      </c>
      <c r="S422">
        <f>_xlfn.XLOOKUP(Table14[[#This Row],[Product]],Product_Master!$B$2:$B$11,Product_Master!$F$2:$F$11)</f>
        <v>15.5</v>
      </c>
    </row>
    <row r="423" spans="1:19" x14ac:dyDescent="0.3">
      <c r="A423" t="s">
        <v>595</v>
      </c>
      <c r="B423" s="23" t="s">
        <v>61</v>
      </c>
      <c r="C423" t="s">
        <v>305</v>
      </c>
      <c r="D423" t="s">
        <v>36</v>
      </c>
      <c r="E423" t="s">
        <v>49</v>
      </c>
      <c r="F423" t="s">
        <v>50</v>
      </c>
      <c r="G423">
        <v>7</v>
      </c>
      <c r="H423" s="4">
        <v>59.41</v>
      </c>
      <c r="I423" s="8">
        <v>415.87</v>
      </c>
      <c r="J423">
        <v>25.51</v>
      </c>
      <c r="K423">
        <v>110.36</v>
      </c>
      <c r="L423" t="s">
        <v>22</v>
      </c>
      <c r="M423" t="s">
        <v>37</v>
      </c>
      <c r="N423" t="s">
        <v>32</v>
      </c>
      <c r="O423" s="5">
        <f>Table14[[#This Row],[Profit]]/Table14[[#This Row],[Total_Sales]]</f>
        <v>0.26537139009786714</v>
      </c>
      <c r="P423" s="23">
        <f>DATE(YEAR(Table14[[#This Row],[Order_Date]]), MONTH(Table14[[#This Row],[Order_Date]]), 1)</f>
        <v>45778</v>
      </c>
      <c r="Q423" t="str">
        <f>_xlfn.XLOOKUP(Table14[[#This Row],[Product]],Product_Master!$B$2:$B$11,Product_Master!$D$2:$D$11)</f>
        <v>BlueWear</v>
      </c>
      <c r="R423" t="str">
        <f>_xlfn.XLOOKUP(Table14[[#This Row],[Product]],Product_Master!$B$2:$B$11,Product_Master!$E$2:$E$11)</f>
        <v>Bangladesh</v>
      </c>
      <c r="S423">
        <f>_xlfn.XLOOKUP(Table14[[#This Row],[Product]],Product_Master!$B$2:$B$11,Product_Master!$F$2:$F$11)</f>
        <v>40</v>
      </c>
    </row>
    <row r="424" spans="1:19" x14ac:dyDescent="0.3">
      <c r="A424" t="s">
        <v>596</v>
      </c>
      <c r="B424" s="23" t="s">
        <v>157</v>
      </c>
      <c r="C424" t="s">
        <v>268</v>
      </c>
      <c r="D424" t="s">
        <v>91</v>
      </c>
      <c r="E424" t="s">
        <v>64</v>
      </c>
      <c r="F424" t="s">
        <v>65</v>
      </c>
      <c r="G424">
        <v>48</v>
      </c>
      <c r="H424" s="4">
        <v>37.31</v>
      </c>
      <c r="I424" s="8">
        <v>1790.88</v>
      </c>
      <c r="J424">
        <v>67.45</v>
      </c>
      <c r="K424">
        <v>523.42999999999995</v>
      </c>
      <c r="L424" t="s">
        <v>22</v>
      </c>
      <c r="M424" t="s">
        <v>31</v>
      </c>
      <c r="N424" t="s">
        <v>66</v>
      </c>
      <c r="O424" s="5">
        <f>Table14[[#This Row],[Profit]]/Table14[[#This Row],[Total_Sales]]</f>
        <v>0.29227530599481816</v>
      </c>
      <c r="P424" s="23">
        <f>DATE(YEAR(Table14[[#This Row],[Order_Date]]), MONTH(Table14[[#This Row],[Order_Date]]), 1)</f>
        <v>45292</v>
      </c>
      <c r="Q424" t="str">
        <f>_xlfn.XLOOKUP(Table14[[#This Row],[Product]],Product_Master!$B$2:$B$11,Product_Master!$D$2:$D$11)</f>
        <v>SoftWeave</v>
      </c>
      <c r="R424" t="str">
        <f>_xlfn.XLOOKUP(Table14[[#This Row],[Product]],Product_Master!$B$2:$B$11,Product_Master!$E$2:$E$11)</f>
        <v>Turkey</v>
      </c>
      <c r="S424">
        <f>_xlfn.XLOOKUP(Table14[[#This Row],[Product]],Product_Master!$B$2:$B$11,Product_Master!$F$2:$F$11)</f>
        <v>25</v>
      </c>
    </row>
    <row r="425" spans="1:19" x14ac:dyDescent="0.3">
      <c r="A425" t="s">
        <v>597</v>
      </c>
      <c r="B425" s="23" t="s">
        <v>95</v>
      </c>
      <c r="C425" t="s">
        <v>198</v>
      </c>
      <c r="D425" t="s">
        <v>88</v>
      </c>
      <c r="E425" t="s">
        <v>49</v>
      </c>
      <c r="F425" t="s">
        <v>50</v>
      </c>
      <c r="G425">
        <v>38</v>
      </c>
      <c r="H425" s="4">
        <v>52.91</v>
      </c>
      <c r="I425" s="8">
        <v>2010.58</v>
      </c>
      <c r="J425">
        <v>94.22</v>
      </c>
      <c r="K425">
        <v>396.36</v>
      </c>
      <c r="L425" t="s">
        <v>22</v>
      </c>
      <c r="M425" t="s">
        <v>23</v>
      </c>
      <c r="N425" t="s">
        <v>66</v>
      </c>
      <c r="O425" s="5">
        <f>Table14[[#This Row],[Profit]]/Table14[[#This Row],[Total_Sales]]</f>
        <v>0.19713714450556558</v>
      </c>
      <c r="P425" s="23">
        <f>DATE(YEAR(Table14[[#This Row],[Order_Date]]), MONTH(Table14[[#This Row],[Order_Date]]), 1)</f>
        <v>45474</v>
      </c>
      <c r="Q425" t="str">
        <f>_xlfn.XLOOKUP(Table14[[#This Row],[Product]],Product_Master!$B$2:$B$11,Product_Master!$D$2:$D$11)</f>
        <v>BlueWear</v>
      </c>
      <c r="R425" t="str">
        <f>_xlfn.XLOOKUP(Table14[[#This Row],[Product]],Product_Master!$B$2:$B$11,Product_Master!$E$2:$E$11)</f>
        <v>Bangladesh</v>
      </c>
      <c r="S425">
        <f>_xlfn.XLOOKUP(Table14[[#This Row],[Product]],Product_Master!$B$2:$B$11,Product_Master!$F$2:$F$11)</f>
        <v>40</v>
      </c>
    </row>
    <row r="426" spans="1:19" x14ac:dyDescent="0.3">
      <c r="A426" t="s">
        <v>598</v>
      </c>
      <c r="B426" s="23" t="s">
        <v>61</v>
      </c>
      <c r="C426" t="s">
        <v>79</v>
      </c>
      <c r="D426" t="s">
        <v>28</v>
      </c>
      <c r="E426" t="s">
        <v>29</v>
      </c>
      <c r="F426" t="s">
        <v>21</v>
      </c>
      <c r="G426">
        <v>14</v>
      </c>
      <c r="H426" s="4">
        <v>27.09</v>
      </c>
      <c r="I426" s="8">
        <v>379.26</v>
      </c>
      <c r="J426">
        <v>14.42</v>
      </c>
      <c r="K426">
        <v>112.84</v>
      </c>
      <c r="L426" t="s">
        <v>44</v>
      </c>
      <c r="M426" t="s">
        <v>37</v>
      </c>
      <c r="N426" t="s">
        <v>32</v>
      </c>
      <c r="O426" s="5">
        <f>Table14[[#This Row],[Profit]]/Table14[[#This Row],[Total_Sales]]</f>
        <v>0.29752676264304173</v>
      </c>
      <c r="P426" s="23">
        <f>DATE(YEAR(Table14[[#This Row],[Order_Date]]), MONTH(Table14[[#This Row],[Order_Date]]), 1)</f>
        <v>45778</v>
      </c>
      <c r="Q426" t="str">
        <f>_xlfn.XLOOKUP(Table14[[#This Row],[Product]],Product_Master!$B$2:$B$11,Product_Master!$D$2:$D$11)</f>
        <v>CraftLine</v>
      </c>
      <c r="R426" t="str">
        <f>_xlfn.XLOOKUP(Table14[[#This Row],[Product]],Product_Master!$B$2:$B$11,Product_Master!$E$2:$E$11)</f>
        <v>Italy</v>
      </c>
      <c r="S426">
        <f>_xlfn.XLOOKUP(Table14[[#This Row],[Product]],Product_Master!$B$2:$B$11,Product_Master!$F$2:$F$11)</f>
        <v>18</v>
      </c>
    </row>
    <row r="427" spans="1:19" x14ac:dyDescent="0.3">
      <c r="A427" t="s">
        <v>599</v>
      </c>
      <c r="B427" s="23" t="s">
        <v>83</v>
      </c>
      <c r="C427" t="s">
        <v>130</v>
      </c>
      <c r="D427" t="s">
        <v>91</v>
      </c>
      <c r="E427" t="s">
        <v>58</v>
      </c>
      <c r="F427" t="s">
        <v>59</v>
      </c>
      <c r="G427">
        <v>41</v>
      </c>
      <c r="H427" s="4">
        <v>30.52</v>
      </c>
      <c r="I427" s="8">
        <v>1251.32</v>
      </c>
      <c r="J427">
        <v>56.88</v>
      </c>
      <c r="K427">
        <v>271.94</v>
      </c>
      <c r="L427" t="s">
        <v>22</v>
      </c>
      <c r="M427" t="s">
        <v>37</v>
      </c>
      <c r="N427" t="s">
        <v>66</v>
      </c>
      <c r="O427" s="5">
        <f>Table14[[#This Row],[Profit]]/Table14[[#This Row],[Total_Sales]]</f>
        <v>0.21732250743215165</v>
      </c>
      <c r="P427" s="23">
        <f>DATE(YEAR(Table14[[#This Row],[Order_Date]]), MONTH(Table14[[#This Row],[Order_Date]]), 1)</f>
        <v>45323</v>
      </c>
      <c r="Q427" t="str">
        <f>_xlfn.XLOOKUP(Table14[[#This Row],[Product]],Product_Master!$B$2:$B$11,Product_Master!$D$2:$D$11)</f>
        <v>ClearCraft</v>
      </c>
      <c r="R427" t="str">
        <f>_xlfn.XLOOKUP(Table14[[#This Row],[Product]],Product_Master!$B$2:$B$11,Product_Master!$E$2:$E$11)</f>
        <v>India</v>
      </c>
      <c r="S427">
        <f>_xlfn.XLOOKUP(Table14[[#This Row],[Product]],Product_Master!$B$2:$B$11,Product_Master!$F$2:$F$11)</f>
        <v>22.5</v>
      </c>
    </row>
    <row r="428" spans="1:19" x14ac:dyDescent="0.3">
      <c r="A428" t="s">
        <v>600</v>
      </c>
      <c r="B428" s="23" t="s">
        <v>107</v>
      </c>
      <c r="C428" t="s">
        <v>250</v>
      </c>
      <c r="D428" t="s">
        <v>48</v>
      </c>
      <c r="E428" t="s">
        <v>98</v>
      </c>
      <c r="F428" t="s">
        <v>59</v>
      </c>
      <c r="G428">
        <v>23</v>
      </c>
      <c r="H428" s="4">
        <v>40.94</v>
      </c>
      <c r="I428" s="8">
        <v>941.62</v>
      </c>
      <c r="J428">
        <v>71.66</v>
      </c>
      <c r="K428">
        <v>225.96</v>
      </c>
      <c r="L428" t="s">
        <v>30</v>
      </c>
      <c r="M428" t="s">
        <v>37</v>
      </c>
      <c r="N428" t="s">
        <v>24</v>
      </c>
      <c r="O428" s="5">
        <f>Table14[[#This Row],[Profit]]/Table14[[#This Row],[Total_Sales]]</f>
        <v>0.23996941441345768</v>
      </c>
      <c r="P428" s="23">
        <f>DATE(YEAR(Table14[[#This Row],[Order_Date]]), MONTH(Table14[[#This Row],[Order_Date]]), 1)</f>
        <v>45413</v>
      </c>
      <c r="Q428" t="str">
        <f>_xlfn.XLOOKUP(Table14[[#This Row],[Product]],Product_Master!$B$2:$B$11,Product_Master!$D$2:$D$11)</f>
        <v>BrightHome</v>
      </c>
      <c r="R428" t="str">
        <f>_xlfn.XLOOKUP(Table14[[#This Row],[Product]],Product_Master!$B$2:$B$11,Product_Master!$E$2:$E$11)</f>
        <v>India</v>
      </c>
      <c r="S428">
        <f>_xlfn.XLOOKUP(Table14[[#This Row],[Product]],Product_Master!$B$2:$B$11,Product_Master!$F$2:$F$11)</f>
        <v>28</v>
      </c>
    </row>
    <row r="429" spans="1:19" x14ac:dyDescent="0.3">
      <c r="A429" t="s">
        <v>601</v>
      </c>
      <c r="B429" s="23" t="s">
        <v>56</v>
      </c>
      <c r="C429" t="s">
        <v>316</v>
      </c>
      <c r="D429" t="s">
        <v>170</v>
      </c>
      <c r="E429" t="s">
        <v>98</v>
      </c>
      <c r="F429" t="s">
        <v>59</v>
      </c>
      <c r="G429">
        <v>34</v>
      </c>
      <c r="H429" s="4">
        <v>41.77</v>
      </c>
      <c r="I429" s="8">
        <v>1420.18</v>
      </c>
      <c r="J429">
        <v>112.45</v>
      </c>
      <c r="K429">
        <v>355.73</v>
      </c>
      <c r="L429" t="s">
        <v>30</v>
      </c>
      <c r="M429" t="s">
        <v>37</v>
      </c>
      <c r="N429" t="s">
        <v>32</v>
      </c>
      <c r="O429" s="5">
        <f>Table14[[#This Row],[Profit]]/Table14[[#This Row],[Total_Sales]]</f>
        <v>0.25048233322536578</v>
      </c>
      <c r="P429" s="23">
        <f>DATE(YEAR(Table14[[#This Row],[Order_Date]]), MONTH(Table14[[#This Row],[Order_Date]]), 1)</f>
        <v>45444</v>
      </c>
      <c r="Q429" t="str">
        <f>_xlfn.XLOOKUP(Table14[[#This Row],[Product]],Product_Master!$B$2:$B$11,Product_Master!$D$2:$D$11)</f>
        <v>BrightHome</v>
      </c>
      <c r="R429" t="str">
        <f>_xlfn.XLOOKUP(Table14[[#This Row],[Product]],Product_Master!$B$2:$B$11,Product_Master!$E$2:$E$11)</f>
        <v>India</v>
      </c>
      <c r="S429">
        <f>_xlfn.XLOOKUP(Table14[[#This Row],[Product]],Product_Master!$B$2:$B$11,Product_Master!$F$2:$F$11)</f>
        <v>28</v>
      </c>
    </row>
    <row r="430" spans="1:19" x14ac:dyDescent="0.3">
      <c r="A430" t="s">
        <v>602</v>
      </c>
      <c r="B430" s="23" t="s">
        <v>71</v>
      </c>
      <c r="C430" t="s">
        <v>119</v>
      </c>
      <c r="D430" t="s">
        <v>196</v>
      </c>
      <c r="E430" t="s">
        <v>49</v>
      </c>
      <c r="F430" t="s">
        <v>50</v>
      </c>
      <c r="G430">
        <v>32</v>
      </c>
      <c r="H430" s="4">
        <v>69.98</v>
      </c>
      <c r="I430" s="8">
        <v>2239.36</v>
      </c>
      <c r="J430">
        <v>133.51</v>
      </c>
      <c r="K430">
        <v>825.85</v>
      </c>
      <c r="L430" t="s">
        <v>44</v>
      </c>
      <c r="M430" t="s">
        <v>23</v>
      </c>
      <c r="N430" t="s">
        <v>66</v>
      </c>
      <c r="O430" s="5">
        <f>Table14[[#This Row],[Profit]]/Table14[[#This Row],[Total_Sales]]</f>
        <v>0.3687884038296656</v>
      </c>
      <c r="P430" s="23">
        <f>DATE(YEAR(Table14[[#This Row],[Order_Date]]), MONTH(Table14[[#This Row],[Order_Date]]), 1)</f>
        <v>45505</v>
      </c>
      <c r="Q430" t="str">
        <f>_xlfn.XLOOKUP(Table14[[#This Row],[Product]],Product_Master!$B$2:$B$11,Product_Master!$D$2:$D$11)</f>
        <v>BlueWear</v>
      </c>
      <c r="R430" t="str">
        <f>_xlfn.XLOOKUP(Table14[[#This Row],[Product]],Product_Master!$B$2:$B$11,Product_Master!$E$2:$E$11)</f>
        <v>Bangladesh</v>
      </c>
      <c r="S430">
        <f>_xlfn.XLOOKUP(Table14[[#This Row],[Product]],Product_Master!$B$2:$B$11,Product_Master!$F$2:$F$11)</f>
        <v>40</v>
      </c>
    </row>
    <row r="431" spans="1:19" x14ac:dyDescent="0.3">
      <c r="A431" t="s">
        <v>603</v>
      </c>
      <c r="B431" s="23" t="s">
        <v>157</v>
      </c>
      <c r="C431" t="s">
        <v>185</v>
      </c>
      <c r="D431" t="s">
        <v>28</v>
      </c>
      <c r="E431" t="s">
        <v>20</v>
      </c>
      <c r="F431" t="s">
        <v>21</v>
      </c>
      <c r="G431">
        <v>25</v>
      </c>
      <c r="H431" s="4">
        <v>42.91</v>
      </c>
      <c r="I431" s="8">
        <v>1072.75</v>
      </c>
      <c r="J431">
        <v>80.02</v>
      </c>
      <c r="K431">
        <v>117.73</v>
      </c>
      <c r="L431" t="s">
        <v>30</v>
      </c>
      <c r="M431" t="s">
        <v>31</v>
      </c>
      <c r="N431" t="s">
        <v>32</v>
      </c>
      <c r="O431" s="5">
        <f>Table14[[#This Row],[Profit]]/Table14[[#This Row],[Total_Sales]]</f>
        <v>0.10974597995805174</v>
      </c>
      <c r="P431" s="23">
        <f>DATE(YEAR(Table14[[#This Row],[Order_Date]]), MONTH(Table14[[#This Row],[Order_Date]]), 1)</f>
        <v>45292</v>
      </c>
      <c r="Q431" t="str">
        <f>_xlfn.XLOOKUP(Table14[[#This Row],[Product]],Product_Master!$B$2:$B$11,Product_Master!$D$2:$D$11)</f>
        <v>CarryPro</v>
      </c>
      <c r="R431" t="str">
        <f>_xlfn.XLOOKUP(Table14[[#This Row],[Product]],Product_Master!$B$2:$B$11,Product_Master!$E$2:$E$11)</f>
        <v>Vietnam</v>
      </c>
      <c r="S431">
        <f>_xlfn.XLOOKUP(Table14[[#This Row],[Product]],Product_Master!$B$2:$B$11,Product_Master!$F$2:$F$11)</f>
        <v>35</v>
      </c>
    </row>
    <row r="432" spans="1:19" x14ac:dyDescent="0.3">
      <c r="A432" t="s">
        <v>604</v>
      </c>
      <c r="B432" s="23" t="s">
        <v>78</v>
      </c>
      <c r="C432" t="s">
        <v>427</v>
      </c>
      <c r="D432" t="s">
        <v>48</v>
      </c>
      <c r="E432" t="s">
        <v>73</v>
      </c>
      <c r="F432" t="s">
        <v>43</v>
      </c>
      <c r="G432">
        <v>7</v>
      </c>
      <c r="H432" s="4">
        <v>22.6</v>
      </c>
      <c r="I432" s="8">
        <v>158.19999999999999</v>
      </c>
      <c r="J432">
        <v>7.04</v>
      </c>
      <c r="K432">
        <v>61.91</v>
      </c>
      <c r="L432" t="s">
        <v>44</v>
      </c>
      <c r="M432" t="s">
        <v>23</v>
      </c>
      <c r="N432" t="s">
        <v>24</v>
      </c>
      <c r="O432" s="5">
        <f>Table14[[#This Row],[Profit]]/Table14[[#This Row],[Total_Sales]]</f>
        <v>0.39134007585335018</v>
      </c>
      <c r="P432" s="23">
        <f>DATE(YEAR(Table14[[#This Row],[Order_Date]]), MONTH(Table14[[#This Row],[Order_Date]]), 1)</f>
        <v>45627</v>
      </c>
      <c r="Q432" t="str">
        <f>_xlfn.XLOOKUP(Table14[[#This Row],[Product]],Product_Master!$B$2:$B$11,Product_Master!$D$2:$D$11)</f>
        <v>BrightHome</v>
      </c>
      <c r="R432" t="str">
        <f>_xlfn.XLOOKUP(Table14[[#This Row],[Product]],Product_Master!$B$2:$B$11,Product_Master!$E$2:$E$11)</f>
        <v>Vietnam</v>
      </c>
      <c r="S432">
        <f>_xlfn.XLOOKUP(Table14[[#This Row],[Product]],Product_Master!$B$2:$B$11,Product_Master!$F$2:$F$11)</f>
        <v>12.75</v>
      </c>
    </row>
    <row r="433" spans="1:19" x14ac:dyDescent="0.3">
      <c r="A433" t="s">
        <v>605</v>
      </c>
      <c r="B433" s="23" t="s">
        <v>56</v>
      </c>
      <c r="C433" t="s">
        <v>105</v>
      </c>
      <c r="D433" t="s">
        <v>19</v>
      </c>
      <c r="E433" t="s">
        <v>73</v>
      </c>
      <c r="F433" t="s">
        <v>43</v>
      </c>
      <c r="G433">
        <v>48</v>
      </c>
      <c r="H433" s="4">
        <v>19.5</v>
      </c>
      <c r="I433" s="8">
        <v>936</v>
      </c>
      <c r="J433">
        <v>70.069999999999993</v>
      </c>
      <c r="K433">
        <v>253.93</v>
      </c>
      <c r="L433" t="s">
        <v>22</v>
      </c>
      <c r="M433" t="s">
        <v>31</v>
      </c>
      <c r="N433" t="s">
        <v>24</v>
      </c>
      <c r="O433" s="5">
        <f>Table14[[#This Row],[Profit]]/Table14[[#This Row],[Total_Sales]]</f>
        <v>0.27129273504273504</v>
      </c>
      <c r="P433" s="23">
        <f>DATE(YEAR(Table14[[#This Row],[Order_Date]]), MONTH(Table14[[#This Row],[Order_Date]]), 1)</f>
        <v>45444</v>
      </c>
      <c r="Q433" t="str">
        <f>_xlfn.XLOOKUP(Table14[[#This Row],[Product]],Product_Master!$B$2:$B$11,Product_Master!$D$2:$D$11)</f>
        <v>BrightHome</v>
      </c>
      <c r="R433" t="str">
        <f>_xlfn.XLOOKUP(Table14[[#This Row],[Product]],Product_Master!$B$2:$B$11,Product_Master!$E$2:$E$11)</f>
        <v>Vietnam</v>
      </c>
      <c r="S433">
        <f>_xlfn.XLOOKUP(Table14[[#This Row],[Product]],Product_Master!$B$2:$B$11,Product_Master!$F$2:$F$11)</f>
        <v>12.75</v>
      </c>
    </row>
    <row r="434" spans="1:19" x14ac:dyDescent="0.3">
      <c r="A434" t="s">
        <v>606</v>
      </c>
      <c r="B434" s="23" t="s">
        <v>68</v>
      </c>
      <c r="C434" t="s">
        <v>35</v>
      </c>
      <c r="D434" t="s">
        <v>147</v>
      </c>
      <c r="E434" t="s">
        <v>49</v>
      </c>
      <c r="F434" t="s">
        <v>50</v>
      </c>
      <c r="G434">
        <v>32</v>
      </c>
      <c r="H434" s="4">
        <v>49.97</v>
      </c>
      <c r="I434" s="8">
        <v>1599.04</v>
      </c>
      <c r="J434">
        <v>43.1</v>
      </c>
      <c r="K434">
        <v>275.94</v>
      </c>
      <c r="L434" t="s">
        <v>30</v>
      </c>
      <c r="M434" t="s">
        <v>37</v>
      </c>
      <c r="N434" t="s">
        <v>148</v>
      </c>
      <c r="O434" s="5">
        <f>Table14[[#This Row],[Profit]]/Table14[[#This Row],[Total_Sales]]</f>
        <v>0.17256603962377426</v>
      </c>
      <c r="P434" s="23">
        <f>DATE(YEAR(Table14[[#This Row],[Order_Date]]), MONTH(Table14[[#This Row],[Order_Date]]), 1)</f>
        <v>45536</v>
      </c>
      <c r="Q434" t="str">
        <f>_xlfn.XLOOKUP(Table14[[#This Row],[Product]],Product_Master!$B$2:$B$11,Product_Master!$D$2:$D$11)</f>
        <v>BlueWear</v>
      </c>
      <c r="R434" t="str">
        <f>_xlfn.XLOOKUP(Table14[[#This Row],[Product]],Product_Master!$B$2:$B$11,Product_Master!$E$2:$E$11)</f>
        <v>Bangladesh</v>
      </c>
      <c r="S434">
        <f>_xlfn.XLOOKUP(Table14[[#This Row],[Product]],Product_Master!$B$2:$B$11,Product_Master!$F$2:$F$11)</f>
        <v>40</v>
      </c>
    </row>
    <row r="435" spans="1:19" x14ac:dyDescent="0.3">
      <c r="A435" t="s">
        <v>607</v>
      </c>
      <c r="B435" s="23" t="s">
        <v>17</v>
      </c>
      <c r="C435" t="s">
        <v>18</v>
      </c>
      <c r="D435" t="s">
        <v>123</v>
      </c>
      <c r="E435" t="s">
        <v>69</v>
      </c>
      <c r="F435" t="s">
        <v>59</v>
      </c>
      <c r="G435">
        <v>41</v>
      </c>
      <c r="H435" s="4">
        <v>25.62</v>
      </c>
      <c r="I435" s="8">
        <v>1050.42</v>
      </c>
      <c r="J435">
        <v>79.2</v>
      </c>
      <c r="K435">
        <v>335.72</v>
      </c>
      <c r="L435" t="s">
        <v>22</v>
      </c>
      <c r="M435" t="s">
        <v>31</v>
      </c>
      <c r="N435" t="s">
        <v>32</v>
      </c>
      <c r="O435" s="5">
        <f>Table14[[#This Row],[Profit]]/Table14[[#This Row],[Total_Sales]]</f>
        <v>0.31960549113687858</v>
      </c>
      <c r="P435" s="23">
        <f>DATE(YEAR(Table14[[#This Row],[Order_Date]]), MONTH(Table14[[#This Row],[Order_Date]]), 1)</f>
        <v>45658</v>
      </c>
      <c r="Q435" t="str">
        <f>_xlfn.XLOOKUP(Table14[[#This Row],[Product]],Product_Master!$B$2:$B$11,Product_Master!$D$2:$D$11)</f>
        <v>Artisans Co.</v>
      </c>
      <c r="R435" t="str">
        <f>_xlfn.XLOOKUP(Table14[[#This Row],[Product]],Product_Master!$B$2:$B$11,Product_Master!$E$2:$E$11)</f>
        <v>India</v>
      </c>
      <c r="S435">
        <f>_xlfn.XLOOKUP(Table14[[#This Row],[Product]],Product_Master!$B$2:$B$11,Product_Master!$F$2:$F$11)</f>
        <v>15.5</v>
      </c>
    </row>
    <row r="436" spans="1:19" x14ac:dyDescent="0.3">
      <c r="A436" t="s">
        <v>608</v>
      </c>
      <c r="B436" s="23" t="s">
        <v>83</v>
      </c>
      <c r="C436" t="s">
        <v>312</v>
      </c>
      <c r="D436" t="s">
        <v>19</v>
      </c>
      <c r="E436" t="s">
        <v>73</v>
      </c>
      <c r="F436" t="s">
        <v>43</v>
      </c>
      <c r="G436">
        <v>46</v>
      </c>
      <c r="H436" s="4">
        <v>16.78</v>
      </c>
      <c r="I436" s="8">
        <v>771.88</v>
      </c>
      <c r="J436">
        <v>18.04</v>
      </c>
      <c r="K436">
        <v>167.34</v>
      </c>
      <c r="L436" t="s">
        <v>44</v>
      </c>
      <c r="M436" t="s">
        <v>37</v>
      </c>
      <c r="N436" t="s">
        <v>24</v>
      </c>
      <c r="O436" s="5">
        <f>Table14[[#This Row],[Profit]]/Table14[[#This Row],[Total_Sales]]</f>
        <v>0.21679535679121106</v>
      </c>
      <c r="P436" s="23">
        <f>DATE(YEAR(Table14[[#This Row],[Order_Date]]), MONTH(Table14[[#This Row],[Order_Date]]), 1)</f>
        <v>45323</v>
      </c>
      <c r="Q436" t="str">
        <f>_xlfn.XLOOKUP(Table14[[#This Row],[Product]],Product_Master!$B$2:$B$11,Product_Master!$D$2:$D$11)</f>
        <v>BrightHome</v>
      </c>
      <c r="R436" t="str">
        <f>_xlfn.XLOOKUP(Table14[[#This Row],[Product]],Product_Master!$B$2:$B$11,Product_Master!$E$2:$E$11)</f>
        <v>Vietnam</v>
      </c>
      <c r="S436">
        <f>_xlfn.XLOOKUP(Table14[[#This Row],[Product]],Product_Master!$B$2:$B$11,Product_Master!$F$2:$F$11)</f>
        <v>12.75</v>
      </c>
    </row>
    <row r="437" spans="1:19" x14ac:dyDescent="0.3">
      <c r="A437" t="s">
        <v>609</v>
      </c>
      <c r="B437" s="23" t="s">
        <v>83</v>
      </c>
      <c r="C437" t="s">
        <v>338</v>
      </c>
      <c r="D437" t="s">
        <v>36</v>
      </c>
      <c r="E437" t="s">
        <v>42</v>
      </c>
      <c r="F437" t="s">
        <v>43</v>
      </c>
      <c r="G437">
        <v>16</v>
      </c>
      <c r="H437" s="4">
        <v>42.18</v>
      </c>
      <c r="I437" s="8">
        <v>674.88</v>
      </c>
      <c r="J437">
        <v>19.100000000000001</v>
      </c>
      <c r="K437">
        <v>143.78</v>
      </c>
      <c r="L437" t="s">
        <v>22</v>
      </c>
      <c r="M437" t="s">
        <v>37</v>
      </c>
      <c r="N437" t="s">
        <v>32</v>
      </c>
      <c r="O437" s="5">
        <f>Table14[[#This Row],[Profit]]/Table14[[#This Row],[Total_Sales]]</f>
        <v>0.21304528212422949</v>
      </c>
      <c r="P437" s="23">
        <f>DATE(YEAR(Table14[[#This Row],[Order_Date]]), MONTH(Table14[[#This Row],[Order_Date]]), 1)</f>
        <v>45323</v>
      </c>
      <c r="Q437" t="str">
        <f>_xlfn.XLOOKUP(Table14[[#This Row],[Product]],Product_Master!$B$2:$B$11,Product_Master!$D$2:$D$11)</f>
        <v>AudioTech Ltd.</v>
      </c>
      <c r="R437" t="str">
        <f>_xlfn.XLOOKUP(Table14[[#This Row],[Product]],Product_Master!$B$2:$B$11,Product_Master!$E$2:$E$11)</f>
        <v>China</v>
      </c>
      <c r="S437">
        <f>_xlfn.XLOOKUP(Table14[[#This Row],[Product]],Product_Master!$B$2:$B$11,Product_Master!$F$2:$F$11)</f>
        <v>32</v>
      </c>
    </row>
    <row r="438" spans="1:19" x14ac:dyDescent="0.3">
      <c r="A438" t="s">
        <v>610</v>
      </c>
      <c r="B438" s="23" t="s">
        <v>71</v>
      </c>
      <c r="C438" t="s">
        <v>79</v>
      </c>
      <c r="D438" t="s">
        <v>123</v>
      </c>
      <c r="E438" t="s">
        <v>64</v>
      </c>
      <c r="F438" t="s">
        <v>65</v>
      </c>
      <c r="G438">
        <v>12</v>
      </c>
      <c r="H438" s="4">
        <v>34.97</v>
      </c>
      <c r="I438" s="8">
        <v>419.64</v>
      </c>
      <c r="J438">
        <v>28.48</v>
      </c>
      <c r="K438">
        <v>91.16</v>
      </c>
      <c r="L438" t="s">
        <v>22</v>
      </c>
      <c r="M438" t="s">
        <v>23</v>
      </c>
      <c r="N438" t="s">
        <v>32</v>
      </c>
      <c r="O438" s="5">
        <f>Table14[[#This Row],[Profit]]/Table14[[#This Row],[Total_Sales]]</f>
        <v>0.21723381946430273</v>
      </c>
      <c r="P438" s="23">
        <f>DATE(YEAR(Table14[[#This Row],[Order_Date]]), MONTH(Table14[[#This Row],[Order_Date]]), 1)</f>
        <v>45505</v>
      </c>
      <c r="Q438" t="str">
        <f>_xlfn.XLOOKUP(Table14[[#This Row],[Product]],Product_Master!$B$2:$B$11,Product_Master!$D$2:$D$11)</f>
        <v>SoftWeave</v>
      </c>
      <c r="R438" t="str">
        <f>_xlfn.XLOOKUP(Table14[[#This Row],[Product]],Product_Master!$B$2:$B$11,Product_Master!$E$2:$E$11)</f>
        <v>Turkey</v>
      </c>
      <c r="S438">
        <f>_xlfn.XLOOKUP(Table14[[#This Row],[Product]],Product_Master!$B$2:$B$11,Product_Master!$F$2:$F$11)</f>
        <v>25</v>
      </c>
    </row>
    <row r="439" spans="1:19" x14ac:dyDescent="0.3">
      <c r="A439" t="s">
        <v>611</v>
      </c>
      <c r="B439" s="23" t="s">
        <v>78</v>
      </c>
      <c r="C439" t="s">
        <v>155</v>
      </c>
      <c r="D439" t="s">
        <v>41</v>
      </c>
      <c r="E439" t="s">
        <v>54</v>
      </c>
      <c r="F439" t="s">
        <v>43</v>
      </c>
      <c r="G439">
        <v>31</v>
      </c>
      <c r="H439" s="4">
        <v>33.619999999999997</v>
      </c>
      <c r="I439" s="8">
        <v>1042.22</v>
      </c>
      <c r="J439">
        <v>26.33</v>
      </c>
      <c r="K439">
        <v>395.89</v>
      </c>
      <c r="L439" t="s">
        <v>44</v>
      </c>
      <c r="M439" t="s">
        <v>37</v>
      </c>
      <c r="N439" t="s">
        <v>45</v>
      </c>
      <c r="O439" s="5">
        <f>Table14[[#This Row],[Profit]]/Table14[[#This Row],[Total_Sales]]</f>
        <v>0.37985262228704109</v>
      </c>
      <c r="P439" s="23">
        <f>DATE(YEAR(Table14[[#This Row],[Order_Date]]), MONTH(Table14[[#This Row],[Order_Date]]), 1)</f>
        <v>45627</v>
      </c>
      <c r="Q439" t="str">
        <f>_xlfn.XLOOKUP(Table14[[#This Row],[Product]],Product_Master!$B$2:$B$11,Product_Master!$D$2:$D$11)</f>
        <v>ClickTech</v>
      </c>
      <c r="R439" t="str">
        <f>_xlfn.XLOOKUP(Table14[[#This Row],[Product]],Product_Master!$B$2:$B$11,Product_Master!$E$2:$E$11)</f>
        <v>China</v>
      </c>
      <c r="S439">
        <f>_xlfn.XLOOKUP(Table14[[#This Row],[Product]],Product_Master!$B$2:$B$11,Product_Master!$F$2:$F$11)</f>
        <v>20</v>
      </c>
    </row>
    <row r="440" spans="1:19" x14ac:dyDescent="0.3">
      <c r="A440" t="s">
        <v>612</v>
      </c>
      <c r="B440" s="23" t="s">
        <v>132</v>
      </c>
      <c r="C440" t="s">
        <v>440</v>
      </c>
      <c r="D440" t="s">
        <v>88</v>
      </c>
      <c r="E440" t="s">
        <v>58</v>
      </c>
      <c r="F440" t="s">
        <v>59</v>
      </c>
      <c r="G440">
        <v>40</v>
      </c>
      <c r="H440" s="4">
        <v>30.56</v>
      </c>
      <c r="I440" s="8">
        <v>1222.4000000000001</v>
      </c>
      <c r="J440">
        <v>26.42</v>
      </c>
      <c r="K440">
        <v>295.98</v>
      </c>
      <c r="L440" t="s">
        <v>22</v>
      </c>
      <c r="M440" t="s">
        <v>23</v>
      </c>
      <c r="N440" t="s">
        <v>66</v>
      </c>
      <c r="O440" s="5">
        <f>Table14[[#This Row],[Profit]]/Table14[[#This Row],[Total_Sales]]</f>
        <v>0.24213023560209423</v>
      </c>
      <c r="P440" s="23">
        <f>DATE(YEAR(Table14[[#This Row],[Order_Date]]), MONTH(Table14[[#This Row],[Order_Date]]), 1)</f>
        <v>45597</v>
      </c>
      <c r="Q440" t="str">
        <f>_xlfn.XLOOKUP(Table14[[#This Row],[Product]],Product_Master!$B$2:$B$11,Product_Master!$D$2:$D$11)</f>
        <v>ClearCraft</v>
      </c>
      <c r="R440" t="str">
        <f>_xlfn.XLOOKUP(Table14[[#This Row],[Product]],Product_Master!$B$2:$B$11,Product_Master!$E$2:$E$11)</f>
        <v>India</v>
      </c>
      <c r="S440">
        <f>_xlfn.XLOOKUP(Table14[[#This Row],[Product]],Product_Master!$B$2:$B$11,Product_Master!$F$2:$F$11)</f>
        <v>22.5</v>
      </c>
    </row>
    <row r="441" spans="1:19" x14ac:dyDescent="0.3">
      <c r="A441" t="s">
        <v>613</v>
      </c>
      <c r="B441" s="23" t="s">
        <v>17</v>
      </c>
      <c r="C441" t="s">
        <v>161</v>
      </c>
      <c r="D441" t="s">
        <v>170</v>
      </c>
      <c r="E441" t="s">
        <v>20</v>
      </c>
      <c r="F441" t="s">
        <v>21</v>
      </c>
      <c r="G441">
        <v>15</v>
      </c>
      <c r="H441" s="4">
        <v>61.93</v>
      </c>
      <c r="I441" s="8">
        <v>928.95</v>
      </c>
      <c r="J441">
        <v>25.68</v>
      </c>
      <c r="K441">
        <v>378.27</v>
      </c>
      <c r="L441" t="s">
        <v>30</v>
      </c>
      <c r="M441" t="s">
        <v>37</v>
      </c>
      <c r="N441" t="s">
        <v>32</v>
      </c>
      <c r="O441" s="5">
        <f>Table14[[#This Row],[Profit]]/Table14[[#This Row],[Total_Sales]]</f>
        <v>0.407201679315356</v>
      </c>
      <c r="P441" s="23">
        <f>DATE(YEAR(Table14[[#This Row],[Order_Date]]), MONTH(Table14[[#This Row],[Order_Date]]), 1)</f>
        <v>45658</v>
      </c>
      <c r="Q441" t="str">
        <f>_xlfn.XLOOKUP(Table14[[#This Row],[Product]],Product_Master!$B$2:$B$11,Product_Master!$D$2:$D$11)</f>
        <v>CarryPro</v>
      </c>
      <c r="R441" t="str">
        <f>_xlfn.XLOOKUP(Table14[[#This Row],[Product]],Product_Master!$B$2:$B$11,Product_Master!$E$2:$E$11)</f>
        <v>Vietnam</v>
      </c>
      <c r="S441">
        <f>_xlfn.XLOOKUP(Table14[[#This Row],[Product]],Product_Master!$B$2:$B$11,Product_Master!$F$2:$F$11)</f>
        <v>35</v>
      </c>
    </row>
    <row r="442" spans="1:19" x14ac:dyDescent="0.3">
      <c r="A442" t="s">
        <v>614</v>
      </c>
      <c r="B442" s="23" t="s">
        <v>157</v>
      </c>
      <c r="C442" t="s">
        <v>139</v>
      </c>
      <c r="D442" t="s">
        <v>63</v>
      </c>
      <c r="E442" t="s">
        <v>54</v>
      </c>
      <c r="F442" t="s">
        <v>43</v>
      </c>
      <c r="G442">
        <v>20</v>
      </c>
      <c r="H442" s="4">
        <v>35.770000000000003</v>
      </c>
      <c r="I442" s="8">
        <v>715.4</v>
      </c>
      <c r="J442">
        <v>39.229999999999997</v>
      </c>
      <c r="K442">
        <v>276.17</v>
      </c>
      <c r="L442" t="s">
        <v>22</v>
      </c>
      <c r="M442" t="s">
        <v>23</v>
      </c>
      <c r="N442" t="s">
        <v>66</v>
      </c>
      <c r="O442" s="5">
        <f>Table14[[#This Row],[Profit]]/Table14[[#This Row],[Total_Sales]]</f>
        <v>0.38603578417668438</v>
      </c>
      <c r="P442" s="23">
        <f>DATE(YEAR(Table14[[#This Row],[Order_Date]]), MONTH(Table14[[#This Row],[Order_Date]]), 1)</f>
        <v>45292</v>
      </c>
      <c r="Q442" t="str">
        <f>_xlfn.XLOOKUP(Table14[[#This Row],[Product]],Product_Master!$B$2:$B$11,Product_Master!$D$2:$D$11)</f>
        <v>ClickTech</v>
      </c>
      <c r="R442" t="str">
        <f>_xlfn.XLOOKUP(Table14[[#This Row],[Product]],Product_Master!$B$2:$B$11,Product_Master!$E$2:$E$11)</f>
        <v>China</v>
      </c>
      <c r="S442">
        <f>_xlfn.XLOOKUP(Table14[[#This Row],[Product]],Product_Master!$B$2:$B$11,Product_Master!$F$2:$F$11)</f>
        <v>20</v>
      </c>
    </row>
    <row r="443" spans="1:19" x14ac:dyDescent="0.3">
      <c r="A443" t="s">
        <v>615</v>
      </c>
      <c r="B443" s="23" t="s">
        <v>56</v>
      </c>
      <c r="C443" t="s">
        <v>265</v>
      </c>
      <c r="D443" t="s">
        <v>28</v>
      </c>
      <c r="E443" t="s">
        <v>73</v>
      </c>
      <c r="F443" t="s">
        <v>43</v>
      </c>
      <c r="G443">
        <v>21</v>
      </c>
      <c r="H443" s="4">
        <v>22.48</v>
      </c>
      <c r="I443" s="8">
        <v>472.08</v>
      </c>
      <c r="J443">
        <v>12.96</v>
      </c>
      <c r="K443">
        <v>191.37</v>
      </c>
      <c r="L443" t="s">
        <v>30</v>
      </c>
      <c r="M443" t="s">
        <v>23</v>
      </c>
      <c r="N443" t="s">
        <v>32</v>
      </c>
      <c r="O443" s="5">
        <f>Table14[[#This Row],[Profit]]/Table14[[#This Row],[Total_Sales]]</f>
        <v>0.40537620742247077</v>
      </c>
      <c r="P443" s="23">
        <f>DATE(YEAR(Table14[[#This Row],[Order_Date]]), MONTH(Table14[[#This Row],[Order_Date]]), 1)</f>
        <v>45444</v>
      </c>
      <c r="Q443" t="str">
        <f>_xlfn.XLOOKUP(Table14[[#This Row],[Product]],Product_Master!$B$2:$B$11,Product_Master!$D$2:$D$11)</f>
        <v>BrightHome</v>
      </c>
      <c r="R443" t="str">
        <f>_xlfn.XLOOKUP(Table14[[#This Row],[Product]],Product_Master!$B$2:$B$11,Product_Master!$E$2:$E$11)</f>
        <v>Vietnam</v>
      </c>
      <c r="S443">
        <f>_xlfn.XLOOKUP(Table14[[#This Row],[Product]],Product_Master!$B$2:$B$11,Product_Master!$F$2:$F$11)</f>
        <v>12.75</v>
      </c>
    </row>
    <row r="444" spans="1:19" x14ac:dyDescent="0.3">
      <c r="A444" t="s">
        <v>616</v>
      </c>
      <c r="B444" s="23" t="s">
        <v>17</v>
      </c>
      <c r="C444" t="s">
        <v>293</v>
      </c>
      <c r="D444" t="s">
        <v>63</v>
      </c>
      <c r="E444" t="s">
        <v>29</v>
      </c>
      <c r="F444" t="s">
        <v>21</v>
      </c>
      <c r="G444">
        <v>8</v>
      </c>
      <c r="H444" s="4">
        <v>27.53</v>
      </c>
      <c r="I444" s="8">
        <v>220.24</v>
      </c>
      <c r="J444">
        <v>12.66</v>
      </c>
      <c r="K444">
        <v>63.58</v>
      </c>
      <c r="L444" t="s">
        <v>30</v>
      </c>
      <c r="M444" t="s">
        <v>31</v>
      </c>
      <c r="N444" t="s">
        <v>66</v>
      </c>
      <c r="O444" s="5">
        <f>Table14[[#This Row],[Profit]]/Table14[[#This Row],[Total_Sales]]</f>
        <v>0.28868507083181982</v>
      </c>
      <c r="P444" s="23">
        <f>DATE(YEAR(Table14[[#This Row],[Order_Date]]), MONTH(Table14[[#This Row],[Order_Date]]), 1)</f>
        <v>45658</v>
      </c>
      <c r="Q444" t="str">
        <f>_xlfn.XLOOKUP(Table14[[#This Row],[Product]],Product_Master!$B$2:$B$11,Product_Master!$D$2:$D$11)</f>
        <v>CraftLine</v>
      </c>
      <c r="R444" t="str">
        <f>_xlfn.XLOOKUP(Table14[[#This Row],[Product]],Product_Master!$B$2:$B$11,Product_Master!$E$2:$E$11)</f>
        <v>Italy</v>
      </c>
      <c r="S444">
        <f>_xlfn.XLOOKUP(Table14[[#This Row],[Product]],Product_Master!$B$2:$B$11,Product_Master!$F$2:$F$11)</f>
        <v>18</v>
      </c>
    </row>
    <row r="445" spans="1:19" x14ac:dyDescent="0.3">
      <c r="A445" t="s">
        <v>617</v>
      </c>
      <c r="B445" s="23" t="s">
        <v>68</v>
      </c>
      <c r="C445" t="s">
        <v>245</v>
      </c>
      <c r="D445" t="s">
        <v>196</v>
      </c>
      <c r="E445" t="s">
        <v>58</v>
      </c>
      <c r="F445" t="s">
        <v>59</v>
      </c>
      <c r="G445">
        <v>35</v>
      </c>
      <c r="H445" s="4">
        <v>39.65</v>
      </c>
      <c r="I445" s="8">
        <v>1387.75</v>
      </c>
      <c r="J445">
        <v>60.95</v>
      </c>
      <c r="K445">
        <v>539.29999999999995</v>
      </c>
      <c r="L445" t="s">
        <v>44</v>
      </c>
      <c r="M445" t="s">
        <v>31</v>
      </c>
      <c r="N445" t="s">
        <v>66</v>
      </c>
      <c r="O445" s="5">
        <f>Table14[[#This Row],[Profit]]/Table14[[#This Row],[Total_Sales]]</f>
        <v>0.38861466402450007</v>
      </c>
      <c r="P445" s="23">
        <f>DATE(YEAR(Table14[[#This Row],[Order_Date]]), MONTH(Table14[[#This Row],[Order_Date]]), 1)</f>
        <v>45536</v>
      </c>
      <c r="Q445" t="str">
        <f>_xlfn.XLOOKUP(Table14[[#This Row],[Product]],Product_Master!$B$2:$B$11,Product_Master!$D$2:$D$11)</f>
        <v>ClearCraft</v>
      </c>
      <c r="R445" t="str">
        <f>_xlfn.XLOOKUP(Table14[[#This Row],[Product]],Product_Master!$B$2:$B$11,Product_Master!$E$2:$E$11)</f>
        <v>India</v>
      </c>
      <c r="S445">
        <f>_xlfn.XLOOKUP(Table14[[#This Row],[Product]],Product_Master!$B$2:$B$11,Product_Master!$F$2:$F$11)</f>
        <v>22.5</v>
      </c>
    </row>
    <row r="446" spans="1:19" x14ac:dyDescent="0.3">
      <c r="A446" t="s">
        <v>618</v>
      </c>
      <c r="B446" s="23" t="s">
        <v>83</v>
      </c>
      <c r="C446" t="s">
        <v>200</v>
      </c>
      <c r="D446" t="s">
        <v>101</v>
      </c>
      <c r="E446" t="s">
        <v>69</v>
      </c>
      <c r="F446" t="s">
        <v>59</v>
      </c>
      <c r="G446">
        <v>50</v>
      </c>
      <c r="H446" s="4">
        <v>23.68</v>
      </c>
      <c r="I446" s="8">
        <v>1184</v>
      </c>
      <c r="J446">
        <v>46.62</v>
      </c>
      <c r="K446">
        <v>362.38</v>
      </c>
      <c r="L446" t="s">
        <v>30</v>
      </c>
      <c r="M446" t="s">
        <v>31</v>
      </c>
      <c r="N446" t="s">
        <v>102</v>
      </c>
      <c r="O446" s="5">
        <f>Table14[[#This Row],[Profit]]/Table14[[#This Row],[Total_Sales]]</f>
        <v>0.30606418918918921</v>
      </c>
      <c r="P446" s="23">
        <f>DATE(YEAR(Table14[[#This Row],[Order_Date]]), MONTH(Table14[[#This Row],[Order_Date]]), 1)</f>
        <v>45323</v>
      </c>
      <c r="Q446" t="str">
        <f>_xlfn.XLOOKUP(Table14[[#This Row],[Product]],Product_Master!$B$2:$B$11,Product_Master!$D$2:$D$11)</f>
        <v>Artisans Co.</v>
      </c>
      <c r="R446" t="str">
        <f>_xlfn.XLOOKUP(Table14[[#This Row],[Product]],Product_Master!$B$2:$B$11,Product_Master!$E$2:$E$11)</f>
        <v>India</v>
      </c>
      <c r="S446">
        <f>_xlfn.XLOOKUP(Table14[[#This Row],[Product]],Product_Master!$B$2:$B$11,Product_Master!$F$2:$F$11)</f>
        <v>15.5</v>
      </c>
    </row>
    <row r="447" spans="1:19" x14ac:dyDescent="0.3">
      <c r="A447" t="s">
        <v>619</v>
      </c>
      <c r="B447" s="23" t="s">
        <v>26</v>
      </c>
      <c r="C447" t="s">
        <v>202</v>
      </c>
      <c r="D447" t="s">
        <v>88</v>
      </c>
      <c r="E447" t="s">
        <v>73</v>
      </c>
      <c r="F447" t="s">
        <v>43</v>
      </c>
      <c r="G447">
        <v>5</v>
      </c>
      <c r="H447" s="4">
        <v>19.809999999999999</v>
      </c>
      <c r="I447" s="8">
        <v>99.05</v>
      </c>
      <c r="J447">
        <v>5.91</v>
      </c>
      <c r="K447">
        <v>29.39</v>
      </c>
      <c r="L447" t="s">
        <v>30</v>
      </c>
      <c r="M447" t="s">
        <v>37</v>
      </c>
      <c r="N447" t="s">
        <v>66</v>
      </c>
      <c r="O447" s="5">
        <f>Table14[[#This Row],[Profit]]/Table14[[#This Row],[Total_Sales]]</f>
        <v>0.2967188288743059</v>
      </c>
      <c r="P447" s="23">
        <f>DATE(YEAR(Table14[[#This Row],[Order_Date]]), MONTH(Table14[[#This Row],[Order_Date]]), 1)</f>
        <v>45689</v>
      </c>
      <c r="Q447" t="str">
        <f>_xlfn.XLOOKUP(Table14[[#This Row],[Product]],Product_Master!$B$2:$B$11,Product_Master!$D$2:$D$11)</f>
        <v>BrightHome</v>
      </c>
      <c r="R447" t="str">
        <f>_xlfn.XLOOKUP(Table14[[#This Row],[Product]],Product_Master!$B$2:$B$11,Product_Master!$E$2:$E$11)</f>
        <v>Vietnam</v>
      </c>
      <c r="S447">
        <f>_xlfn.XLOOKUP(Table14[[#This Row],[Product]],Product_Master!$B$2:$B$11,Product_Master!$F$2:$F$11)</f>
        <v>12.75</v>
      </c>
    </row>
    <row r="448" spans="1:19" x14ac:dyDescent="0.3">
      <c r="A448" t="s">
        <v>620</v>
      </c>
      <c r="B448" s="23" t="s">
        <v>107</v>
      </c>
      <c r="C448" t="s">
        <v>90</v>
      </c>
      <c r="D448" t="s">
        <v>41</v>
      </c>
      <c r="E448" t="s">
        <v>73</v>
      </c>
      <c r="F448" t="s">
        <v>43</v>
      </c>
      <c r="G448">
        <v>27</v>
      </c>
      <c r="H448" s="4">
        <v>18.03</v>
      </c>
      <c r="I448" s="8">
        <v>486.81</v>
      </c>
      <c r="J448">
        <v>36.630000000000003</v>
      </c>
      <c r="K448">
        <v>105.93</v>
      </c>
      <c r="L448" t="s">
        <v>22</v>
      </c>
      <c r="M448" t="s">
        <v>37</v>
      </c>
      <c r="N448" t="s">
        <v>45</v>
      </c>
      <c r="O448" s="5">
        <f>Table14[[#This Row],[Profit]]/Table14[[#This Row],[Total_Sales]]</f>
        <v>0.21760029580329082</v>
      </c>
      <c r="P448" s="23">
        <f>DATE(YEAR(Table14[[#This Row],[Order_Date]]), MONTH(Table14[[#This Row],[Order_Date]]), 1)</f>
        <v>45413</v>
      </c>
      <c r="Q448" t="str">
        <f>_xlfn.XLOOKUP(Table14[[#This Row],[Product]],Product_Master!$B$2:$B$11,Product_Master!$D$2:$D$11)</f>
        <v>BrightHome</v>
      </c>
      <c r="R448" t="str">
        <f>_xlfn.XLOOKUP(Table14[[#This Row],[Product]],Product_Master!$B$2:$B$11,Product_Master!$E$2:$E$11)</f>
        <v>Vietnam</v>
      </c>
      <c r="S448">
        <f>_xlfn.XLOOKUP(Table14[[#This Row],[Product]],Product_Master!$B$2:$B$11,Product_Master!$F$2:$F$11)</f>
        <v>12.75</v>
      </c>
    </row>
    <row r="449" spans="1:19" x14ac:dyDescent="0.3">
      <c r="A449" t="s">
        <v>621</v>
      </c>
      <c r="B449" s="23" t="s">
        <v>34</v>
      </c>
      <c r="C449" t="s">
        <v>280</v>
      </c>
      <c r="D449" t="s">
        <v>101</v>
      </c>
      <c r="E449" t="s">
        <v>29</v>
      </c>
      <c r="F449" t="s">
        <v>21</v>
      </c>
      <c r="G449">
        <v>45</v>
      </c>
      <c r="H449" s="4">
        <v>26.93</v>
      </c>
      <c r="I449" s="8">
        <v>1211.8499999999999</v>
      </c>
      <c r="J449">
        <v>62.85</v>
      </c>
      <c r="K449">
        <v>339</v>
      </c>
      <c r="L449" t="s">
        <v>30</v>
      </c>
      <c r="M449" t="s">
        <v>31</v>
      </c>
      <c r="N449" t="s">
        <v>102</v>
      </c>
      <c r="O449" s="5">
        <f>Table14[[#This Row],[Profit]]/Table14[[#This Row],[Total_Sales]]</f>
        <v>0.2797375912860503</v>
      </c>
      <c r="P449" s="23">
        <f>DATE(YEAR(Table14[[#This Row],[Order_Date]]), MONTH(Table14[[#This Row],[Order_Date]]), 1)</f>
        <v>45383</v>
      </c>
      <c r="Q449" t="str">
        <f>_xlfn.XLOOKUP(Table14[[#This Row],[Product]],Product_Master!$B$2:$B$11,Product_Master!$D$2:$D$11)</f>
        <v>CraftLine</v>
      </c>
      <c r="R449" t="str">
        <f>_xlfn.XLOOKUP(Table14[[#This Row],[Product]],Product_Master!$B$2:$B$11,Product_Master!$E$2:$E$11)</f>
        <v>Italy</v>
      </c>
      <c r="S449">
        <f>_xlfn.XLOOKUP(Table14[[#This Row],[Product]],Product_Master!$B$2:$B$11,Product_Master!$F$2:$F$11)</f>
        <v>18</v>
      </c>
    </row>
    <row r="450" spans="1:19" x14ac:dyDescent="0.3">
      <c r="A450" t="s">
        <v>622</v>
      </c>
      <c r="B450" s="23" t="s">
        <v>56</v>
      </c>
      <c r="C450" t="s">
        <v>338</v>
      </c>
      <c r="D450" t="s">
        <v>36</v>
      </c>
      <c r="E450" t="s">
        <v>54</v>
      </c>
      <c r="F450" t="s">
        <v>43</v>
      </c>
      <c r="G450">
        <v>40</v>
      </c>
      <c r="H450" s="4">
        <v>32.54</v>
      </c>
      <c r="I450" s="8">
        <v>1301.5999999999999</v>
      </c>
      <c r="J450">
        <v>47.06</v>
      </c>
      <c r="K450">
        <v>454.54</v>
      </c>
      <c r="L450" t="s">
        <v>22</v>
      </c>
      <c r="M450" t="s">
        <v>31</v>
      </c>
      <c r="N450" t="s">
        <v>32</v>
      </c>
      <c r="O450" s="5">
        <f>Table14[[#This Row],[Profit]]/Table14[[#This Row],[Total_Sales]]</f>
        <v>0.34921634910878924</v>
      </c>
      <c r="P450" s="23">
        <f>DATE(YEAR(Table14[[#This Row],[Order_Date]]), MONTH(Table14[[#This Row],[Order_Date]]), 1)</f>
        <v>45444</v>
      </c>
      <c r="Q450" t="str">
        <f>_xlfn.XLOOKUP(Table14[[#This Row],[Product]],Product_Master!$B$2:$B$11,Product_Master!$D$2:$D$11)</f>
        <v>ClickTech</v>
      </c>
      <c r="R450" t="str">
        <f>_xlfn.XLOOKUP(Table14[[#This Row],[Product]],Product_Master!$B$2:$B$11,Product_Master!$E$2:$E$11)</f>
        <v>China</v>
      </c>
      <c r="S450">
        <f>_xlfn.XLOOKUP(Table14[[#This Row],[Product]],Product_Master!$B$2:$B$11,Product_Master!$F$2:$F$11)</f>
        <v>20</v>
      </c>
    </row>
    <row r="451" spans="1:19" x14ac:dyDescent="0.3">
      <c r="A451" t="s">
        <v>623</v>
      </c>
      <c r="B451" s="23" t="s">
        <v>61</v>
      </c>
      <c r="C451" t="s">
        <v>100</v>
      </c>
      <c r="D451" t="s">
        <v>196</v>
      </c>
      <c r="E451" t="s">
        <v>58</v>
      </c>
      <c r="F451" t="s">
        <v>59</v>
      </c>
      <c r="G451">
        <v>26</v>
      </c>
      <c r="H451" s="4">
        <v>35.32</v>
      </c>
      <c r="I451" s="8">
        <v>918.32</v>
      </c>
      <c r="J451">
        <v>60.02</v>
      </c>
      <c r="K451">
        <v>273.3</v>
      </c>
      <c r="L451" t="s">
        <v>44</v>
      </c>
      <c r="M451" t="s">
        <v>23</v>
      </c>
      <c r="N451" t="s">
        <v>66</v>
      </c>
      <c r="O451" s="5">
        <f>Table14[[#This Row],[Profit]]/Table14[[#This Row],[Total_Sales]]</f>
        <v>0.29760867671399949</v>
      </c>
      <c r="P451" s="23">
        <f>DATE(YEAR(Table14[[#This Row],[Order_Date]]), MONTH(Table14[[#This Row],[Order_Date]]), 1)</f>
        <v>45778</v>
      </c>
      <c r="Q451" t="str">
        <f>_xlfn.XLOOKUP(Table14[[#This Row],[Product]],Product_Master!$B$2:$B$11,Product_Master!$D$2:$D$11)</f>
        <v>ClearCraft</v>
      </c>
      <c r="R451" t="str">
        <f>_xlfn.XLOOKUP(Table14[[#This Row],[Product]],Product_Master!$B$2:$B$11,Product_Master!$E$2:$E$11)</f>
        <v>India</v>
      </c>
      <c r="S451">
        <f>_xlfn.XLOOKUP(Table14[[#This Row],[Product]],Product_Master!$B$2:$B$11,Product_Master!$F$2:$F$11)</f>
        <v>22.5</v>
      </c>
    </row>
    <row r="452" spans="1:19" x14ac:dyDescent="0.3">
      <c r="A452" t="s">
        <v>624</v>
      </c>
      <c r="B452" s="23" t="s">
        <v>17</v>
      </c>
      <c r="C452" t="s">
        <v>110</v>
      </c>
      <c r="D452" t="s">
        <v>41</v>
      </c>
      <c r="E452" t="s">
        <v>73</v>
      </c>
      <c r="F452" t="s">
        <v>43</v>
      </c>
      <c r="G452">
        <v>16</v>
      </c>
      <c r="H452" s="4">
        <v>16.440000000000001</v>
      </c>
      <c r="I452" s="8">
        <v>263.04000000000002</v>
      </c>
      <c r="J452">
        <v>17.64</v>
      </c>
      <c r="K452">
        <v>41.4</v>
      </c>
      <c r="L452" t="s">
        <v>22</v>
      </c>
      <c r="M452" t="s">
        <v>23</v>
      </c>
      <c r="N452" t="s">
        <v>45</v>
      </c>
      <c r="O452" s="5">
        <f>Table14[[#This Row],[Profit]]/Table14[[#This Row],[Total_Sales]]</f>
        <v>0.1573905109489051</v>
      </c>
      <c r="P452" s="23">
        <f>DATE(YEAR(Table14[[#This Row],[Order_Date]]), MONTH(Table14[[#This Row],[Order_Date]]), 1)</f>
        <v>45658</v>
      </c>
      <c r="Q452" t="str">
        <f>_xlfn.XLOOKUP(Table14[[#This Row],[Product]],Product_Master!$B$2:$B$11,Product_Master!$D$2:$D$11)</f>
        <v>BrightHome</v>
      </c>
      <c r="R452" t="str">
        <f>_xlfn.XLOOKUP(Table14[[#This Row],[Product]],Product_Master!$B$2:$B$11,Product_Master!$E$2:$E$11)</f>
        <v>Vietnam</v>
      </c>
      <c r="S452">
        <f>_xlfn.XLOOKUP(Table14[[#This Row],[Product]],Product_Master!$B$2:$B$11,Product_Master!$F$2:$F$11)</f>
        <v>12.75</v>
      </c>
    </row>
    <row r="453" spans="1:19" x14ac:dyDescent="0.3">
      <c r="A453" t="s">
        <v>625</v>
      </c>
      <c r="B453" s="23" t="s">
        <v>104</v>
      </c>
      <c r="C453" t="s">
        <v>245</v>
      </c>
      <c r="D453" t="s">
        <v>123</v>
      </c>
      <c r="E453" t="s">
        <v>98</v>
      </c>
      <c r="F453" t="s">
        <v>59</v>
      </c>
      <c r="G453">
        <v>39</v>
      </c>
      <c r="H453" s="4">
        <v>46.27</v>
      </c>
      <c r="I453" s="8">
        <v>1804.53</v>
      </c>
      <c r="J453">
        <v>38.57</v>
      </c>
      <c r="K453">
        <v>673.96</v>
      </c>
      <c r="L453" t="s">
        <v>44</v>
      </c>
      <c r="M453" t="s">
        <v>37</v>
      </c>
      <c r="N453" t="s">
        <v>32</v>
      </c>
      <c r="O453" s="5">
        <f>Table14[[#This Row],[Profit]]/Table14[[#This Row],[Total_Sales]]</f>
        <v>0.37348229178788939</v>
      </c>
      <c r="P453" s="23">
        <f>DATE(YEAR(Table14[[#This Row],[Order_Date]]), MONTH(Table14[[#This Row],[Order_Date]]), 1)</f>
        <v>45717</v>
      </c>
      <c r="Q453" t="str">
        <f>_xlfn.XLOOKUP(Table14[[#This Row],[Product]],Product_Master!$B$2:$B$11,Product_Master!$D$2:$D$11)</f>
        <v>BrightHome</v>
      </c>
      <c r="R453" t="str">
        <f>_xlfn.XLOOKUP(Table14[[#This Row],[Product]],Product_Master!$B$2:$B$11,Product_Master!$E$2:$E$11)</f>
        <v>India</v>
      </c>
      <c r="S453">
        <f>_xlfn.XLOOKUP(Table14[[#This Row],[Product]],Product_Master!$B$2:$B$11,Product_Master!$F$2:$F$11)</f>
        <v>28</v>
      </c>
    </row>
    <row r="454" spans="1:19" x14ac:dyDescent="0.3">
      <c r="A454" t="s">
        <v>626</v>
      </c>
      <c r="B454" s="23" t="s">
        <v>39</v>
      </c>
      <c r="C454" t="s">
        <v>173</v>
      </c>
      <c r="D454" t="s">
        <v>28</v>
      </c>
      <c r="E454" t="s">
        <v>64</v>
      </c>
      <c r="F454" t="s">
        <v>65</v>
      </c>
      <c r="G454">
        <v>15</v>
      </c>
      <c r="H454" s="4">
        <v>33.22</v>
      </c>
      <c r="I454" s="8">
        <v>498.3</v>
      </c>
      <c r="J454">
        <v>36.85</v>
      </c>
      <c r="K454">
        <v>86.45</v>
      </c>
      <c r="L454" t="s">
        <v>44</v>
      </c>
      <c r="M454" t="s">
        <v>37</v>
      </c>
      <c r="N454" t="s">
        <v>32</v>
      </c>
      <c r="O454" s="5">
        <f>Table14[[#This Row],[Profit]]/Table14[[#This Row],[Total_Sales]]</f>
        <v>0.17348986554284568</v>
      </c>
      <c r="P454" s="23">
        <f>DATE(YEAR(Table14[[#This Row],[Order_Date]]), MONTH(Table14[[#This Row],[Order_Date]]), 1)</f>
        <v>45566</v>
      </c>
      <c r="Q454" t="str">
        <f>_xlfn.XLOOKUP(Table14[[#This Row],[Product]],Product_Master!$B$2:$B$11,Product_Master!$D$2:$D$11)</f>
        <v>SoftWeave</v>
      </c>
      <c r="R454" t="str">
        <f>_xlfn.XLOOKUP(Table14[[#This Row],[Product]],Product_Master!$B$2:$B$11,Product_Master!$E$2:$E$11)</f>
        <v>Turkey</v>
      </c>
      <c r="S454">
        <f>_xlfn.XLOOKUP(Table14[[#This Row],[Product]],Product_Master!$B$2:$B$11,Product_Master!$F$2:$F$11)</f>
        <v>25</v>
      </c>
    </row>
    <row r="455" spans="1:19" x14ac:dyDescent="0.3">
      <c r="A455" t="s">
        <v>627</v>
      </c>
      <c r="B455" s="23" t="s">
        <v>56</v>
      </c>
      <c r="C455" t="s">
        <v>226</v>
      </c>
      <c r="D455" t="s">
        <v>101</v>
      </c>
      <c r="E455" t="s">
        <v>49</v>
      </c>
      <c r="F455" t="s">
        <v>50</v>
      </c>
      <c r="G455">
        <v>35</v>
      </c>
      <c r="H455" s="4">
        <v>71.02</v>
      </c>
      <c r="I455" s="8">
        <v>2485.6999999999998</v>
      </c>
      <c r="J455">
        <v>137.22</v>
      </c>
      <c r="K455">
        <v>948.48</v>
      </c>
      <c r="L455" t="s">
        <v>30</v>
      </c>
      <c r="M455" t="s">
        <v>31</v>
      </c>
      <c r="N455" t="s">
        <v>102</v>
      </c>
      <c r="O455" s="5">
        <f>Table14[[#This Row],[Profit]]/Table14[[#This Row],[Total_Sales]]</f>
        <v>0.38157460675061355</v>
      </c>
      <c r="P455" s="23">
        <f>DATE(YEAR(Table14[[#This Row],[Order_Date]]), MONTH(Table14[[#This Row],[Order_Date]]), 1)</f>
        <v>45444</v>
      </c>
      <c r="Q455" t="str">
        <f>_xlfn.XLOOKUP(Table14[[#This Row],[Product]],Product_Master!$B$2:$B$11,Product_Master!$D$2:$D$11)</f>
        <v>BlueWear</v>
      </c>
      <c r="R455" t="str">
        <f>_xlfn.XLOOKUP(Table14[[#This Row],[Product]],Product_Master!$B$2:$B$11,Product_Master!$E$2:$E$11)</f>
        <v>Bangladesh</v>
      </c>
      <c r="S455">
        <f>_xlfn.XLOOKUP(Table14[[#This Row],[Product]],Product_Master!$B$2:$B$11,Product_Master!$F$2:$F$11)</f>
        <v>40</v>
      </c>
    </row>
    <row r="456" spans="1:19" x14ac:dyDescent="0.3">
      <c r="A456" t="s">
        <v>628</v>
      </c>
      <c r="B456" s="23" t="s">
        <v>68</v>
      </c>
      <c r="C456" t="s">
        <v>119</v>
      </c>
      <c r="D456" t="s">
        <v>88</v>
      </c>
      <c r="E456" t="s">
        <v>98</v>
      </c>
      <c r="F456" t="s">
        <v>59</v>
      </c>
      <c r="G456">
        <v>2</v>
      </c>
      <c r="H456" s="4">
        <v>42.31</v>
      </c>
      <c r="I456" s="8">
        <v>84.62</v>
      </c>
      <c r="J456">
        <v>4.28</v>
      </c>
      <c r="K456">
        <v>24.34</v>
      </c>
      <c r="L456" t="s">
        <v>30</v>
      </c>
      <c r="M456" t="s">
        <v>31</v>
      </c>
      <c r="N456" t="s">
        <v>66</v>
      </c>
      <c r="O456" s="5">
        <f>Table14[[#This Row],[Profit]]/Table14[[#This Row],[Total_Sales]]</f>
        <v>0.28763885606239659</v>
      </c>
      <c r="P456" s="23">
        <f>DATE(YEAR(Table14[[#This Row],[Order_Date]]), MONTH(Table14[[#This Row],[Order_Date]]), 1)</f>
        <v>45536</v>
      </c>
      <c r="Q456" t="str">
        <f>_xlfn.XLOOKUP(Table14[[#This Row],[Product]],Product_Master!$B$2:$B$11,Product_Master!$D$2:$D$11)</f>
        <v>BrightHome</v>
      </c>
      <c r="R456" t="str">
        <f>_xlfn.XLOOKUP(Table14[[#This Row],[Product]],Product_Master!$B$2:$B$11,Product_Master!$E$2:$E$11)</f>
        <v>India</v>
      </c>
      <c r="S456">
        <f>_xlfn.XLOOKUP(Table14[[#This Row],[Product]],Product_Master!$B$2:$B$11,Product_Master!$F$2:$F$11)</f>
        <v>28</v>
      </c>
    </row>
    <row r="457" spans="1:19" x14ac:dyDescent="0.3">
      <c r="A457" t="s">
        <v>629</v>
      </c>
      <c r="B457" s="23" t="s">
        <v>75</v>
      </c>
      <c r="C457" t="s">
        <v>108</v>
      </c>
      <c r="D457" t="s">
        <v>81</v>
      </c>
      <c r="E457" t="s">
        <v>64</v>
      </c>
      <c r="F457" t="s">
        <v>65</v>
      </c>
      <c r="G457">
        <v>8</v>
      </c>
      <c r="H457" s="4">
        <v>41.36</v>
      </c>
      <c r="I457" s="8">
        <v>330.88</v>
      </c>
      <c r="J457">
        <v>11.78</v>
      </c>
      <c r="K457">
        <v>119.1</v>
      </c>
      <c r="L457" t="s">
        <v>22</v>
      </c>
      <c r="M457" t="s">
        <v>23</v>
      </c>
      <c r="N457" t="s">
        <v>66</v>
      </c>
      <c r="O457" s="5">
        <f>Table14[[#This Row],[Profit]]/Table14[[#This Row],[Total_Sales]]</f>
        <v>0.35994922630560927</v>
      </c>
      <c r="P457" s="23">
        <f>DATE(YEAR(Table14[[#This Row],[Order_Date]]), MONTH(Table14[[#This Row],[Order_Date]]), 1)</f>
        <v>45748</v>
      </c>
      <c r="Q457" t="str">
        <f>_xlfn.XLOOKUP(Table14[[#This Row],[Product]],Product_Master!$B$2:$B$11,Product_Master!$D$2:$D$11)</f>
        <v>SoftWeave</v>
      </c>
      <c r="R457" t="str">
        <f>_xlfn.XLOOKUP(Table14[[#This Row],[Product]],Product_Master!$B$2:$B$11,Product_Master!$E$2:$E$11)</f>
        <v>Turkey</v>
      </c>
      <c r="S457">
        <f>_xlfn.XLOOKUP(Table14[[#This Row],[Product]],Product_Master!$B$2:$B$11,Product_Master!$F$2:$F$11)</f>
        <v>25</v>
      </c>
    </row>
    <row r="458" spans="1:19" x14ac:dyDescent="0.3">
      <c r="A458" t="s">
        <v>630</v>
      </c>
      <c r="B458" s="23" t="s">
        <v>68</v>
      </c>
      <c r="C458" t="s">
        <v>139</v>
      </c>
      <c r="D458" t="s">
        <v>48</v>
      </c>
      <c r="E458" t="s">
        <v>29</v>
      </c>
      <c r="F458" t="s">
        <v>21</v>
      </c>
      <c r="G458">
        <v>3</v>
      </c>
      <c r="H458">
        <v>31.39</v>
      </c>
      <c r="I458">
        <v>94.17</v>
      </c>
      <c r="J458">
        <v>2.52</v>
      </c>
      <c r="K458">
        <v>37.65</v>
      </c>
      <c r="L458" t="s">
        <v>44</v>
      </c>
      <c r="M458" t="s">
        <v>37</v>
      </c>
      <c r="N458" t="s">
        <v>24</v>
      </c>
      <c r="O458" s="5">
        <f>Table14[[#This Row],[Profit]]/Table14[[#This Row],[Total_Sales]]</f>
        <v>0.39980885632366991</v>
      </c>
      <c r="P458" s="23">
        <f>DATE(YEAR(Table14[[#This Row],[Order_Date]]), MONTH(Table14[[#This Row],[Order_Date]]), 1)</f>
        <v>45536</v>
      </c>
      <c r="Q458" t="str">
        <f>_xlfn.XLOOKUP(Table14[[#This Row],[Product]],Product_Master!$B$2:$B$11,Product_Master!$D$2:$D$11)</f>
        <v>CraftLine</v>
      </c>
      <c r="R458" t="str">
        <f>_xlfn.XLOOKUP(Table14[[#This Row],[Product]],Product_Master!$B$2:$B$11,Product_Master!$E$2:$E$11)</f>
        <v>Italy</v>
      </c>
      <c r="S458">
        <f>_xlfn.XLOOKUP(Table14[[#This Row],[Product]],Product_Master!$B$2:$B$11,Product_Master!$F$2:$F$11)</f>
        <v>18</v>
      </c>
    </row>
    <row r="459" spans="1:19" x14ac:dyDescent="0.3">
      <c r="A459" t="s">
        <v>631</v>
      </c>
      <c r="B459" s="23" t="s">
        <v>17</v>
      </c>
      <c r="C459" t="s">
        <v>164</v>
      </c>
      <c r="D459" t="s">
        <v>123</v>
      </c>
      <c r="E459" t="s">
        <v>58</v>
      </c>
      <c r="F459" t="s">
        <v>59</v>
      </c>
      <c r="G459">
        <v>48</v>
      </c>
      <c r="H459" s="4">
        <v>33.61</v>
      </c>
      <c r="I459" s="8">
        <v>1613.28</v>
      </c>
      <c r="J459">
        <v>109.92</v>
      </c>
      <c r="K459">
        <v>423.36</v>
      </c>
      <c r="L459" t="s">
        <v>22</v>
      </c>
      <c r="M459" t="s">
        <v>37</v>
      </c>
      <c r="N459" t="s">
        <v>32</v>
      </c>
      <c r="O459" s="5">
        <f>Table14[[#This Row],[Profit]]/Table14[[#This Row],[Total_Sales]]</f>
        <v>0.26242189824457007</v>
      </c>
      <c r="P459" s="23">
        <f>DATE(YEAR(Table14[[#This Row],[Order_Date]]), MONTH(Table14[[#This Row],[Order_Date]]), 1)</f>
        <v>45658</v>
      </c>
      <c r="Q459" t="str">
        <f>_xlfn.XLOOKUP(Table14[[#This Row],[Product]],Product_Master!$B$2:$B$11,Product_Master!$D$2:$D$11)</f>
        <v>ClearCraft</v>
      </c>
      <c r="R459" t="str">
        <f>_xlfn.XLOOKUP(Table14[[#This Row],[Product]],Product_Master!$B$2:$B$11,Product_Master!$E$2:$E$11)</f>
        <v>India</v>
      </c>
      <c r="S459">
        <f>_xlfn.XLOOKUP(Table14[[#This Row],[Product]],Product_Master!$B$2:$B$11,Product_Master!$F$2:$F$11)</f>
        <v>22.5</v>
      </c>
    </row>
    <row r="460" spans="1:19" x14ac:dyDescent="0.3">
      <c r="A460" t="s">
        <v>632</v>
      </c>
      <c r="B460" s="23" t="s">
        <v>83</v>
      </c>
      <c r="C460" t="s">
        <v>192</v>
      </c>
      <c r="D460" t="s">
        <v>170</v>
      </c>
      <c r="E460" t="s">
        <v>42</v>
      </c>
      <c r="F460" t="s">
        <v>43</v>
      </c>
      <c r="G460">
        <v>9</v>
      </c>
      <c r="H460" s="4">
        <v>50.29</v>
      </c>
      <c r="I460" s="8">
        <v>452.61</v>
      </c>
      <c r="J460">
        <v>32.93</v>
      </c>
      <c r="K460">
        <v>131.68</v>
      </c>
      <c r="L460" t="s">
        <v>30</v>
      </c>
      <c r="M460" t="s">
        <v>37</v>
      </c>
      <c r="N460" t="s">
        <v>32</v>
      </c>
      <c r="O460" s="5">
        <f>Table14[[#This Row],[Profit]]/Table14[[#This Row],[Total_Sales]]</f>
        <v>0.29093480038001812</v>
      </c>
      <c r="P460" s="23">
        <f>DATE(YEAR(Table14[[#This Row],[Order_Date]]), MONTH(Table14[[#This Row],[Order_Date]]), 1)</f>
        <v>45323</v>
      </c>
      <c r="Q460" t="str">
        <f>_xlfn.XLOOKUP(Table14[[#This Row],[Product]],Product_Master!$B$2:$B$11,Product_Master!$D$2:$D$11)</f>
        <v>AudioTech Ltd.</v>
      </c>
      <c r="R460" t="str">
        <f>_xlfn.XLOOKUP(Table14[[#This Row],[Product]],Product_Master!$B$2:$B$11,Product_Master!$E$2:$E$11)</f>
        <v>China</v>
      </c>
      <c r="S460">
        <f>_xlfn.XLOOKUP(Table14[[#This Row],[Product]],Product_Master!$B$2:$B$11,Product_Master!$F$2:$F$11)</f>
        <v>32</v>
      </c>
    </row>
    <row r="461" spans="1:19" x14ac:dyDescent="0.3">
      <c r="A461" t="s">
        <v>633</v>
      </c>
      <c r="B461" s="23" t="s">
        <v>39</v>
      </c>
      <c r="C461" t="s">
        <v>164</v>
      </c>
      <c r="D461" t="s">
        <v>19</v>
      </c>
      <c r="E461" t="s">
        <v>58</v>
      </c>
      <c r="F461" t="s">
        <v>59</v>
      </c>
      <c r="G461">
        <v>12</v>
      </c>
      <c r="H461" s="4">
        <v>34.96</v>
      </c>
      <c r="I461" s="8">
        <v>419.52</v>
      </c>
      <c r="J461">
        <v>15.43</v>
      </c>
      <c r="K461">
        <v>134.09</v>
      </c>
      <c r="L461" t="s">
        <v>30</v>
      </c>
      <c r="M461" t="s">
        <v>37</v>
      </c>
      <c r="N461" t="s">
        <v>24</v>
      </c>
      <c r="O461" s="5">
        <f>Table14[[#This Row],[Profit]]/Table14[[#This Row],[Total_Sales]]</f>
        <v>0.31962719298245618</v>
      </c>
      <c r="P461" s="23">
        <f>DATE(YEAR(Table14[[#This Row],[Order_Date]]), MONTH(Table14[[#This Row],[Order_Date]]), 1)</f>
        <v>45566</v>
      </c>
      <c r="Q461" t="str">
        <f>_xlfn.XLOOKUP(Table14[[#This Row],[Product]],Product_Master!$B$2:$B$11,Product_Master!$D$2:$D$11)</f>
        <v>ClearCraft</v>
      </c>
      <c r="R461" t="str">
        <f>_xlfn.XLOOKUP(Table14[[#This Row],[Product]],Product_Master!$B$2:$B$11,Product_Master!$E$2:$E$11)</f>
        <v>India</v>
      </c>
      <c r="S461">
        <f>_xlfn.XLOOKUP(Table14[[#This Row],[Product]],Product_Master!$B$2:$B$11,Product_Master!$F$2:$F$11)</f>
        <v>22.5</v>
      </c>
    </row>
    <row r="462" spans="1:19" x14ac:dyDescent="0.3">
      <c r="A462" t="s">
        <v>634</v>
      </c>
      <c r="B462" s="23" t="s">
        <v>26</v>
      </c>
      <c r="C462" t="s">
        <v>390</v>
      </c>
      <c r="D462" t="s">
        <v>147</v>
      </c>
      <c r="E462" t="s">
        <v>20</v>
      </c>
      <c r="F462" t="s">
        <v>21</v>
      </c>
      <c r="G462">
        <v>29</v>
      </c>
      <c r="H462" s="4">
        <v>52.72</v>
      </c>
      <c r="I462" s="8">
        <v>1528.88</v>
      </c>
      <c r="J462">
        <v>96.91</v>
      </c>
      <c r="K462">
        <v>416.97</v>
      </c>
      <c r="L462" t="s">
        <v>30</v>
      </c>
      <c r="M462" t="s">
        <v>37</v>
      </c>
      <c r="N462" t="s">
        <v>148</v>
      </c>
      <c r="O462" s="5">
        <f>Table14[[#This Row],[Profit]]/Table14[[#This Row],[Total_Sales]]</f>
        <v>0.27272905656428237</v>
      </c>
      <c r="P462" s="23">
        <f>DATE(YEAR(Table14[[#This Row],[Order_Date]]), MONTH(Table14[[#This Row],[Order_Date]]), 1)</f>
        <v>45689</v>
      </c>
      <c r="Q462" t="str">
        <f>_xlfn.XLOOKUP(Table14[[#This Row],[Product]],Product_Master!$B$2:$B$11,Product_Master!$D$2:$D$11)</f>
        <v>CarryPro</v>
      </c>
      <c r="R462" t="str">
        <f>_xlfn.XLOOKUP(Table14[[#This Row],[Product]],Product_Master!$B$2:$B$11,Product_Master!$E$2:$E$11)</f>
        <v>Vietnam</v>
      </c>
      <c r="S462">
        <f>_xlfn.XLOOKUP(Table14[[#This Row],[Product]],Product_Master!$B$2:$B$11,Product_Master!$F$2:$F$11)</f>
        <v>35</v>
      </c>
    </row>
    <row r="463" spans="1:19" x14ac:dyDescent="0.3">
      <c r="A463" t="s">
        <v>635</v>
      </c>
      <c r="B463" s="23" t="s">
        <v>26</v>
      </c>
      <c r="C463" t="s">
        <v>349</v>
      </c>
      <c r="D463" t="s">
        <v>48</v>
      </c>
      <c r="E463" t="s">
        <v>69</v>
      </c>
      <c r="F463" t="s">
        <v>59</v>
      </c>
      <c r="G463">
        <v>39</v>
      </c>
      <c r="H463" s="4">
        <v>22.18</v>
      </c>
      <c r="I463" s="8">
        <v>865.02</v>
      </c>
      <c r="J463">
        <v>26.23</v>
      </c>
      <c r="K463">
        <v>234.29</v>
      </c>
      <c r="L463" t="s">
        <v>22</v>
      </c>
      <c r="M463" t="s">
        <v>37</v>
      </c>
      <c r="N463" t="s">
        <v>24</v>
      </c>
      <c r="O463" s="5">
        <f>Table14[[#This Row],[Profit]]/Table14[[#This Row],[Total_Sales]]</f>
        <v>0.27084922891956253</v>
      </c>
      <c r="P463" s="23">
        <f>DATE(YEAR(Table14[[#This Row],[Order_Date]]), MONTH(Table14[[#This Row],[Order_Date]]), 1)</f>
        <v>45689</v>
      </c>
      <c r="Q463" t="str">
        <f>_xlfn.XLOOKUP(Table14[[#This Row],[Product]],Product_Master!$B$2:$B$11,Product_Master!$D$2:$D$11)</f>
        <v>Artisans Co.</v>
      </c>
      <c r="R463" t="str">
        <f>_xlfn.XLOOKUP(Table14[[#This Row],[Product]],Product_Master!$B$2:$B$11,Product_Master!$E$2:$E$11)</f>
        <v>India</v>
      </c>
      <c r="S463">
        <f>_xlfn.XLOOKUP(Table14[[#This Row],[Product]],Product_Master!$B$2:$B$11,Product_Master!$F$2:$F$11)</f>
        <v>15.5</v>
      </c>
    </row>
    <row r="464" spans="1:19" x14ac:dyDescent="0.3">
      <c r="A464" t="s">
        <v>636</v>
      </c>
      <c r="B464" s="23" t="s">
        <v>26</v>
      </c>
      <c r="C464" t="s">
        <v>342</v>
      </c>
      <c r="D464" t="s">
        <v>81</v>
      </c>
      <c r="E464" t="s">
        <v>69</v>
      </c>
      <c r="F464" t="s">
        <v>59</v>
      </c>
      <c r="G464">
        <v>11</v>
      </c>
      <c r="H464" s="4">
        <v>21.4</v>
      </c>
      <c r="I464" s="8">
        <v>235.4</v>
      </c>
      <c r="J464">
        <v>11.64</v>
      </c>
      <c r="K464">
        <v>53.26</v>
      </c>
      <c r="L464" t="s">
        <v>22</v>
      </c>
      <c r="M464" t="s">
        <v>37</v>
      </c>
      <c r="N464" t="s">
        <v>66</v>
      </c>
      <c r="O464" s="5">
        <f>Table14[[#This Row],[Profit]]/Table14[[#This Row],[Total_Sales]]</f>
        <v>0.22625318606627015</v>
      </c>
      <c r="P464" s="23">
        <f>DATE(YEAR(Table14[[#This Row],[Order_Date]]), MONTH(Table14[[#This Row],[Order_Date]]), 1)</f>
        <v>45689</v>
      </c>
      <c r="Q464" t="str">
        <f>_xlfn.XLOOKUP(Table14[[#This Row],[Product]],Product_Master!$B$2:$B$11,Product_Master!$D$2:$D$11)</f>
        <v>Artisans Co.</v>
      </c>
      <c r="R464" t="str">
        <f>_xlfn.XLOOKUP(Table14[[#This Row],[Product]],Product_Master!$B$2:$B$11,Product_Master!$E$2:$E$11)</f>
        <v>India</v>
      </c>
      <c r="S464">
        <f>_xlfn.XLOOKUP(Table14[[#This Row],[Product]],Product_Master!$B$2:$B$11,Product_Master!$F$2:$F$11)</f>
        <v>15.5</v>
      </c>
    </row>
    <row r="465" spans="1:19" x14ac:dyDescent="0.3">
      <c r="A465" t="s">
        <v>637</v>
      </c>
      <c r="B465" s="23" t="s">
        <v>34</v>
      </c>
      <c r="C465" t="s">
        <v>310</v>
      </c>
      <c r="D465" t="s">
        <v>81</v>
      </c>
      <c r="E465" t="s">
        <v>64</v>
      </c>
      <c r="F465" t="s">
        <v>65</v>
      </c>
      <c r="G465">
        <v>21</v>
      </c>
      <c r="H465" s="4">
        <v>36.26</v>
      </c>
      <c r="I465" s="8">
        <v>761.46</v>
      </c>
      <c r="J465">
        <v>56.99</v>
      </c>
      <c r="K465">
        <v>179.47</v>
      </c>
      <c r="L465" t="s">
        <v>30</v>
      </c>
      <c r="M465" t="s">
        <v>23</v>
      </c>
      <c r="N465" t="s">
        <v>66</v>
      </c>
      <c r="O465" s="5">
        <f>Table14[[#This Row],[Profit]]/Table14[[#This Row],[Total_Sales]]</f>
        <v>0.23569196018175609</v>
      </c>
      <c r="P465" s="23">
        <f>DATE(YEAR(Table14[[#This Row],[Order_Date]]), MONTH(Table14[[#This Row],[Order_Date]]), 1)</f>
        <v>45383</v>
      </c>
      <c r="Q465" t="str">
        <f>_xlfn.XLOOKUP(Table14[[#This Row],[Product]],Product_Master!$B$2:$B$11,Product_Master!$D$2:$D$11)</f>
        <v>SoftWeave</v>
      </c>
      <c r="R465" t="str">
        <f>_xlfn.XLOOKUP(Table14[[#This Row],[Product]],Product_Master!$B$2:$B$11,Product_Master!$E$2:$E$11)</f>
        <v>Turkey</v>
      </c>
      <c r="S465">
        <f>_xlfn.XLOOKUP(Table14[[#This Row],[Product]],Product_Master!$B$2:$B$11,Product_Master!$F$2:$F$11)</f>
        <v>25</v>
      </c>
    </row>
    <row r="466" spans="1:19" x14ac:dyDescent="0.3">
      <c r="A466" t="s">
        <v>638</v>
      </c>
      <c r="B466" s="23" t="s">
        <v>39</v>
      </c>
      <c r="C466" t="s">
        <v>226</v>
      </c>
      <c r="D466" t="s">
        <v>63</v>
      </c>
      <c r="E466" t="s">
        <v>58</v>
      </c>
      <c r="F466" t="s">
        <v>59</v>
      </c>
      <c r="G466">
        <v>39</v>
      </c>
      <c r="H466" s="4">
        <v>35.409999999999997</v>
      </c>
      <c r="I466" s="8">
        <v>1380.99</v>
      </c>
      <c r="J466">
        <v>84.56</v>
      </c>
      <c r="K466">
        <v>418.93</v>
      </c>
      <c r="L466" t="s">
        <v>30</v>
      </c>
      <c r="M466" t="s">
        <v>23</v>
      </c>
      <c r="N466" t="s">
        <v>66</v>
      </c>
      <c r="O466" s="5">
        <f>Table14[[#This Row],[Profit]]/Table14[[#This Row],[Total_Sales]]</f>
        <v>0.30335483964402349</v>
      </c>
      <c r="P466" s="23">
        <f>DATE(YEAR(Table14[[#This Row],[Order_Date]]), MONTH(Table14[[#This Row],[Order_Date]]), 1)</f>
        <v>45566</v>
      </c>
      <c r="Q466" t="str">
        <f>_xlfn.XLOOKUP(Table14[[#This Row],[Product]],Product_Master!$B$2:$B$11,Product_Master!$D$2:$D$11)</f>
        <v>ClearCraft</v>
      </c>
      <c r="R466" t="str">
        <f>_xlfn.XLOOKUP(Table14[[#This Row],[Product]],Product_Master!$B$2:$B$11,Product_Master!$E$2:$E$11)</f>
        <v>India</v>
      </c>
      <c r="S466">
        <f>_xlfn.XLOOKUP(Table14[[#This Row],[Product]],Product_Master!$B$2:$B$11,Product_Master!$F$2:$F$11)</f>
        <v>22.5</v>
      </c>
    </row>
    <row r="467" spans="1:19" x14ac:dyDescent="0.3">
      <c r="A467" t="s">
        <v>639</v>
      </c>
      <c r="B467" s="23" t="s">
        <v>34</v>
      </c>
      <c r="C467" t="s">
        <v>127</v>
      </c>
      <c r="D467" t="s">
        <v>63</v>
      </c>
      <c r="E467" t="s">
        <v>29</v>
      </c>
      <c r="F467" t="s">
        <v>21</v>
      </c>
      <c r="G467">
        <v>13</v>
      </c>
      <c r="H467" s="4">
        <v>27.35</v>
      </c>
      <c r="I467" s="8">
        <v>355.55</v>
      </c>
      <c r="J467">
        <v>26.23</v>
      </c>
      <c r="K467">
        <v>95.32</v>
      </c>
      <c r="L467" t="s">
        <v>30</v>
      </c>
      <c r="M467" t="s">
        <v>37</v>
      </c>
      <c r="N467" t="s">
        <v>66</v>
      </c>
      <c r="O467" s="5">
        <f>Table14[[#This Row],[Profit]]/Table14[[#This Row],[Total_Sales]]</f>
        <v>0.26809168893263957</v>
      </c>
      <c r="P467" s="23">
        <f>DATE(YEAR(Table14[[#This Row],[Order_Date]]), MONTH(Table14[[#This Row],[Order_Date]]), 1)</f>
        <v>45383</v>
      </c>
      <c r="Q467" t="str">
        <f>_xlfn.XLOOKUP(Table14[[#This Row],[Product]],Product_Master!$B$2:$B$11,Product_Master!$D$2:$D$11)</f>
        <v>CraftLine</v>
      </c>
      <c r="R467" t="str">
        <f>_xlfn.XLOOKUP(Table14[[#This Row],[Product]],Product_Master!$B$2:$B$11,Product_Master!$E$2:$E$11)</f>
        <v>Italy</v>
      </c>
      <c r="S467">
        <f>_xlfn.XLOOKUP(Table14[[#This Row],[Product]],Product_Master!$B$2:$B$11,Product_Master!$F$2:$F$11)</f>
        <v>18</v>
      </c>
    </row>
    <row r="468" spans="1:19" x14ac:dyDescent="0.3">
      <c r="A468" t="s">
        <v>640</v>
      </c>
      <c r="B468" s="23" t="s">
        <v>157</v>
      </c>
      <c r="C468" t="s">
        <v>108</v>
      </c>
      <c r="D468" t="s">
        <v>41</v>
      </c>
      <c r="E468" t="s">
        <v>73</v>
      </c>
      <c r="F468" t="s">
        <v>43</v>
      </c>
      <c r="G468">
        <v>40</v>
      </c>
      <c r="H468" s="4">
        <v>21.08</v>
      </c>
      <c r="I468" s="8">
        <v>843.2</v>
      </c>
      <c r="J468">
        <v>66.81</v>
      </c>
      <c r="K468">
        <v>266.39</v>
      </c>
      <c r="L468" t="s">
        <v>44</v>
      </c>
      <c r="M468" t="s">
        <v>31</v>
      </c>
      <c r="N468" t="s">
        <v>45</v>
      </c>
      <c r="O468" s="5">
        <f>Table14[[#This Row],[Profit]]/Table14[[#This Row],[Total_Sales]]</f>
        <v>0.3159274193548387</v>
      </c>
      <c r="P468" s="23">
        <f>DATE(YEAR(Table14[[#This Row],[Order_Date]]), MONTH(Table14[[#This Row],[Order_Date]]), 1)</f>
        <v>45292</v>
      </c>
      <c r="Q468" t="str">
        <f>_xlfn.XLOOKUP(Table14[[#This Row],[Product]],Product_Master!$B$2:$B$11,Product_Master!$D$2:$D$11)</f>
        <v>BrightHome</v>
      </c>
      <c r="R468" t="str">
        <f>_xlfn.XLOOKUP(Table14[[#This Row],[Product]],Product_Master!$B$2:$B$11,Product_Master!$E$2:$E$11)</f>
        <v>Vietnam</v>
      </c>
      <c r="S468">
        <f>_xlfn.XLOOKUP(Table14[[#This Row],[Product]],Product_Master!$B$2:$B$11,Product_Master!$F$2:$F$11)</f>
        <v>12.75</v>
      </c>
    </row>
    <row r="469" spans="1:19" x14ac:dyDescent="0.3">
      <c r="A469" t="s">
        <v>641</v>
      </c>
      <c r="B469" s="23" t="s">
        <v>39</v>
      </c>
      <c r="C469" t="s">
        <v>390</v>
      </c>
      <c r="D469" t="s">
        <v>53</v>
      </c>
      <c r="E469" t="s">
        <v>69</v>
      </c>
      <c r="F469" t="s">
        <v>59</v>
      </c>
      <c r="G469">
        <v>47</v>
      </c>
      <c r="H469" s="4">
        <v>27.54</v>
      </c>
      <c r="I469" s="8">
        <v>1294.3800000000001</v>
      </c>
      <c r="J469">
        <v>62.78</v>
      </c>
      <c r="K469">
        <v>503.1</v>
      </c>
      <c r="L469" t="s">
        <v>22</v>
      </c>
      <c r="M469" t="s">
        <v>23</v>
      </c>
      <c r="N469" t="s">
        <v>24</v>
      </c>
      <c r="O469" s="5">
        <f>Table14[[#This Row],[Profit]]/Table14[[#This Row],[Total_Sales]]</f>
        <v>0.38868029481296062</v>
      </c>
      <c r="P469" s="23">
        <f>DATE(YEAR(Table14[[#This Row],[Order_Date]]), MONTH(Table14[[#This Row],[Order_Date]]), 1)</f>
        <v>45566</v>
      </c>
      <c r="Q469" t="str">
        <f>_xlfn.XLOOKUP(Table14[[#This Row],[Product]],Product_Master!$B$2:$B$11,Product_Master!$D$2:$D$11)</f>
        <v>Artisans Co.</v>
      </c>
      <c r="R469" t="str">
        <f>_xlfn.XLOOKUP(Table14[[#This Row],[Product]],Product_Master!$B$2:$B$11,Product_Master!$E$2:$E$11)</f>
        <v>India</v>
      </c>
      <c r="S469">
        <f>_xlfn.XLOOKUP(Table14[[#This Row],[Product]],Product_Master!$B$2:$B$11,Product_Master!$F$2:$F$11)</f>
        <v>15.5</v>
      </c>
    </row>
    <row r="470" spans="1:19" x14ac:dyDescent="0.3">
      <c r="A470" t="s">
        <v>642</v>
      </c>
      <c r="B470" s="23" t="s">
        <v>86</v>
      </c>
      <c r="C470" t="s">
        <v>40</v>
      </c>
      <c r="D470" t="s">
        <v>196</v>
      </c>
      <c r="E470" t="s">
        <v>42</v>
      </c>
      <c r="F470" t="s">
        <v>43</v>
      </c>
      <c r="G470">
        <v>16</v>
      </c>
      <c r="H470" s="4">
        <v>45.08</v>
      </c>
      <c r="I470" s="8">
        <v>721.28</v>
      </c>
      <c r="J470">
        <v>21.61</v>
      </c>
      <c r="K470">
        <v>187.67</v>
      </c>
      <c r="L470" t="s">
        <v>30</v>
      </c>
      <c r="M470" t="s">
        <v>37</v>
      </c>
      <c r="N470" t="s">
        <v>66</v>
      </c>
      <c r="O470" s="5">
        <f>Table14[[#This Row],[Profit]]/Table14[[#This Row],[Total_Sales]]</f>
        <v>0.26019021739130432</v>
      </c>
      <c r="P470" s="23">
        <f>DATE(YEAR(Table14[[#This Row],[Order_Date]]), MONTH(Table14[[#This Row],[Order_Date]]), 1)</f>
        <v>45352</v>
      </c>
      <c r="Q470" t="str">
        <f>_xlfn.XLOOKUP(Table14[[#This Row],[Product]],Product_Master!$B$2:$B$11,Product_Master!$D$2:$D$11)</f>
        <v>AudioTech Ltd.</v>
      </c>
      <c r="R470" t="str">
        <f>_xlfn.XLOOKUP(Table14[[#This Row],[Product]],Product_Master!$B$2:$B$11,Product_Master!$E$2:$E$11)</f>
        <v>China</v>
      </c>
      <c r="S470">
        <f>_xlfn.XLOOKUP(Table14[[#This Row],[Product]],Product_Master!$B$2:$B$11,Product_Master!$F$2:$F$11)</f>
        <v>32</v>
      </c>
    </row>
    <row r="471" spans="1:19" x14ac:dyDescent="0.3">
      <c r="A471" t="s">
        <v>643</v>
      </c>
      <c r="B471" s="23" t="s">
        <v>75</v>
      </c>
      <c r="C471" t="s">
        <v>141</v>
      </c>
      <c r="D471" t="s">
        <v>88</v>
      </c>
      <c r="E471" t="s">
        <v>58</v>
      </c>
      <c r="F471" t="s">
        <v>59</v>
      </c>
      <c r="G471">
        <v>37</v>
      </c>
      <c r="H471" s="4">
        <v>33.200000000000003</v>
      </c>
      <c r="I471" s="8">
        <v>1228.4000000000001</v>
      </c>
      <c r="J471">
        <v>41.34</v>
      </c>
      <c r="K471">
        <v>354.56</v>
      </c>
      <c r="L471" t="s">
        <v>44</v>
      </c>
      <c r="M471" t="s">
        <v>31</v>
      </c>
      <c r="N471" t="s">
        <v>66</v>
      </c>
      <c r="O471" s="5">
        <f>Table14[[#This Row],[Profit]]/Table14[[#This Row],[Total_Sales]]</f>
        <v>0.28863562357538258</v>
      </c>
      <c r="P471" s="23">
        <f>DATE(YEAR(Table14[[#This Row],[Order_Date]]), MONTH(Table14[[#This Row],[Order_Date]]), 1)</f>
        <v>45748</v>
      </c>
      <c r="Q471" t="str">
        <f>_xlfn.XLOOKUP(Table14[[#This Row],[Product]],Product_Master!$B$2:$B$11,Product_Master!$D$2:$D$11)</f>
        <v>ClearCraft</v>
      </c>
      <c r="R471" t="str">
        <f>_xlfn.XLOOKUP(Table14[[#This Row],[Product]],Product_Master!$B$2:$B$11,Product_Master!$E$2:$E$11)</f>
        <v>India</v>
      </c>
      <c r="S471">
        <f>_xlfn.XLOOKUP(Table14[[#This Row],[Product]],Product_Master!$B$2:$B$11,Product_Master!$F$2:$F$11)</f>
        <v>22.5</v>
      </c>
    </row>
    <row r="472" spans="1:19" x14ac:dyDescent="0.3">
      <c r="A472" t="s">
        <v>644</v>
      </c>
      <c r="B472" s="23" t="s">
        <v>78</v>
      </c>
      <c r="C472" t="s">
        <v>18</v>
      </c>
      <c r="D472" t="s">
        <v>88</v>
      </c>
      <c r="E472" t="s">
        <v>29</v>
      </c>
      <c r="F472" t="s">
        <v>21</v>
      </c>
      <c r="G472">
        <v>8</v>
      </c>
      <c r="H472" s="4">
        <v>27.31</v>
      </c>
      <c r="I472" s="8">
        <v>218.48</v>
      </c>
      <c r="J472">
        <v>9.51</v>
      </c>
      <c r="K472">
        <v>64.97</v>
      </c>
      <c r="L472" t="s">
        <v>44</v>
      </c>
      <c r="M472" t="s">
        <v>23</v>
      </c>
      <c r="N472" t="s">
        <v>66</v>
      </c>
      <c r="O472" s="5">
        <f>Table14[[#This Row],[Profit]]/Table14[[#This Row],[Total_Sales]]</f>
        <v>0.29737275723178325</v>
      </c>
      <c r="P472" s="23">
        <f>DATE(YEAR(Table14[[#This Row],[Order_Date]]), MONTH(Table14[[#This Row],[Order_Date]]), 1)</f>
        <v>45627</v>
      </c>
      <c r="Q472" t="str">
        <f>_xlfn.XLOOKUP(Table14[[#This Row],[Product]],Product_Master!$B$2:$B$11,Product_Master!$D$2:$D$11)</f>
        <v>CraftLine</v>
      </c>
      <c r="R472" t="str">
        <f>_xlfn.XLOOKUP(Table14[[#This Row],[Product]],Product_Master!$B$2:$B$11,Product_Master!$E$2:$E$11)</f>
        <v>Italy</v>
      </c>
      <c r="S472">
        <f>_xlfn.XLOOKUP(Table14[[#This Row],[Product]],Product_Master!$B$2:$B$11,Product_Master!$F$2:$F$11)</f>
        <v>18</v>
      </c>
    </row>
    <row r="473" spans="1:19" x14ac:dyDescent="0.3">
      <c r="A473" t="s">
        <v>645</v>
      </c>
      <c r="B473" s="23" t="s">
        <v>34</v>
      </c>
      <c r="C473" t="s">
        <v>114</v>
      </c>
      <c r="D473" t="s">
        <v>101</v>
      </c>
      <c r="E473" t="s">
        <v>29</v>
      </c>
      <c r="F473" t="s">
        <v>21</v>
      </c>
      <c r="G473">
        <v>19</v>
      </c>
      <c r="H473" s="4">
        <v>29.14</v>
      </c>
      <c r="I473" s="8">
        <v>553.66</v>
      </c>
      <c r="J473">
        <v>19.7</v>
      </c>
      <c r="K473">
        <v>191.96</v>
      </c>
      <c r="L473" t="s">
        <v>22</v>
      </c>
      <c r="M473" t="s">
        <v>31</v>
      </c>
      <c r="N473" t="s">
        <v>102</v>
      </c>
      <c r="O473" s="5">
        <f>Table14[[#This Row],[Profit]]/Table14[[#This Row],[Total_Sales]]</f>
        <v>0.34671097785644622</v>
      </c>
      <c r="P473" s="23">
        <f>DATE(YEAR(Table14[[#This Row],[Order_Date]]), MONTH(Table14[[#This Row],[Order_Date]]), 1)</f>
        <v>45383</v>
      </c>
      <c r="Q473" t="str">
        <f>_xlfn.XLOOKUP(Table14[[#This Row],[Product]],Product_Master!$B$2:$B$11,Product_Master!$D$2:$D$11)</f>
        <v>CraftLine</v>
      </c>
      <c r="R473" t="str">
        <f>_xlfn.XLOOKUP(Table14[[#This Row],[Product]],Product_Master!$B$2:$B$11,Product_Master!$E$2:$E$11)</f>
        <v>Italy</v>
      </c>
      <c r="S473">
        <f>_xlfn.XLOOKUP(Table14[[#This Row],[Product]],Product_Master!$B$2:$B$11,Product_Master!$F$2:$F$11)</f>
        <v>18</v>
      </c>
    </row>
    <row r="474" spans="1:19" x14ac:dyDescent="0.3">
      <c r="A474" t="s">
        <v>646</v>
      </c>
      <c r="B474" s="23" t="s">
        <v>68</v>
      </c>
      <c r="C474" t="s">
        <v>228</v>
      </c>
      <c r="D474" t="s">
        <v>81</v>
      </c>
      <c r="E474" t="s">
        <v>20</v>
      </c>
      <c r="F474" t="s">
        <v>21</v>
      </c>
      <c r="G474">
        <v>6</v>
      </c>
      <c r="H474" s="4">
        <v>55.41</v>
      </c>
      <c r="I474" s="8">
        <v>332.46</v>
      </c>
      <c r="J474">
        <v>15.57</v>
      </c>
      <c r="K474">
        <v>106.89</v>
      </c>
      <c r="L474" t="s">
        <v>22</v>
      </c>
      <c r="M474" t="s">
        <v>23</v>
      </c>
      <c r="N474" t="s">
        <v>66</v>
      </c>
      <c r="O474" s="5">
        <f>Table14[[#This Row],[Profit]]/Table14[[#This Row],[Total_Sales]]</f>
        <v>0.3215123623894604</v>
      </c>
      <c r="P474" s="23">
        <f>DATE(YEAR(Table14[[#This Row],[Order_Date]]), MONTH(Table14[[#This Row],[Order_Date]]), 1)</f>
        <v>45536</v>
      </c>
      <c r="Q474" t="str">
        <f>_xlfn.XLOOKUP(Table14[[#This Row],[Product]],Product_Master!$B$2:$B$11,Product_Master!$D$2:$D$11)</f>
        <v>CarryPro</v>
      </c>
      <c r="R474" t="str">
        <f>_xlfn.XLOOKUP(Table14[[#This Row],[Product]],Product_Master!$B$2:$B$11,Product_Master!$E$2:$E$11)</f>
        <v>Vietnam</v>
      </c>
      <c r="S474">
        <f>_xlfn.XLOOKUP(Table14[[#This Row],[Product]],Product_Master!$B$2:$B$11,Product_Master!$F$2:$F$11)</f>
        <v>35</v>
      </c>
    </row>
    <row r="475" spans="1:19" x14ac:dyDescent="0.3">
      <c r="A475" t="s">
        <v>647</v>
      </c>
      <c r="B475" s="23" t="s">
        <v>75</v>
      </c>
      <c r="C475" t="s">
        <v>212</v>
      </c>
      <c r="D475" t="s">
        <v>88</v>
      </c>
      <c r="E475" t="s">
        <v>29</v>
      </c>
      <c r="F475" t="s">
        <v>21</v>
      </c>
      <c r="G475">
        <v>48</v>
      </c>
      <c r="H475" s="4">
        <v>29.07</v>
      </c>
      <c r="I475" s="8">
        <v>1395.36</v>
      </c>
      <c r="J475">
        <v>70.38</v>
      </c>
      <c r="K475">
        <v>460.98</v>
      </c>
      <c r="L475" t="s">
        <v>30</v>
      </c>
      <c r="M475" t="s">
        <v>37</v>
      </c>
      <c r="N475" t="s">
        <v>66</v>
      </c>
      <c r="O475" s="5">
        <f>Table14[[#This Row],[Profit]]/Table14[[#This Row],[Total_Sales]]</f>
        <v>0.33036635706914347</v>
      </c>
      <c r="P475" s="23">
        <f>DATE(YEAR(Table14[[#This Row],[Order_Date]]), MONTH(Table14[[#This Row],[Order_Date]]), 1)</f>
        <v>45748</v>
      </c>
      <c r="Q475" t="str">
        <f>_xlfn.XLOOKUP(Table14[[#This Row],[Product]],Product_Master!$B$2:$B$11,Product_Master!$D$2:$D$11)</f>
        <v>CraftLine</v>
      </c>
      <c r="R475" t="str">
        <f>_xlfn.XLOOKUP(Table14[[#This Row],[Product]],Product_Master!$B$2:$B$11,Product_Master!$E$2:$E$11)</f>
        <v>Italy</v>
      </c>
      <c r="S475">
        <f>_xlfn.XLOOKUP(Table14[[#This Row],[Product]],Product_Master!$B$2:$B$11,Product_Master!$F$2:$F$11)</f>
        <v>18</v>
      </c>
    </row>
    <row r="476" spans="1:19" x14ac:dyDescent="0.3">
      <c r="A476" t="s">
        <v>648</v>
      </c>
      <c r="B476" s="23" t="s">
        <v>107</v>
      </c>
      <c r="C476" t="s">
        <v>305</v>
      </c>
      <c r="D476" t="s">
        <v>41</v>
      </c>
      <c r="E476" t="s">
        <v>58</v>
      </c>
      <c r="F476" t="s">
        <v>59</v>
      </c>
      <c r="G476">
        <v>26</v>
      </c>
      <c r="H476" s="4">
        <v>27.17</v>
      </c>
      <c r="I476" s="8">
        <v>706.42</v>
      </c>
      <c r="J476">
        <v>33.94</v>
      </c>
      <c r="K476">
        <v>87.48</v>
      </c>
      <c r="L476" t="s">
        <v>44</v>
      </c>
      <c r="M476" t="s">
        <v>31</v>
      </c>
      <c r="N476" t="s">
        <v>45</v>
      </c>
      <c r="O476" s="5">
        <f>Table14[[#This Row],[Profit]]/Table14[[#This Row],[Total_Sales]]</f>
        <v>0.12383567849154895</v>
      </c>
      <c r="P476" s="23">
        <f>DATE(YEAR(Table14[[#This Row],[Order_Date]]), MONTH(Table14[[#This Row],[Order_Date]]), 1)</f>
        <v>45413</v>
      </c>
      <c r="Q476" t="str">
        <f>_xlfn.XLOOKUP(Table14[[#This Row],[Product]],Product_Master!$B$2:$B$11,Product_Master!$D$2:$D$11)</f>
        <v>ClearCraft</v>
      </c>
      <c r="R476" t="str">
        <f>_xlfn.XLOOKUP(Table14[[#This Row],[Product]],Product_Master!$B$2:$B$11,Product_Master!$E$2:$E$11)</f>
        <v>India</v>
      </c>
      <c r="S476">
        <f>_xlfn.XLOOKUP(Table14[[#This Row],[Product]],Product_Master!$B$2:$B$11,Product_Master!$F$2:$F$11)</f>
        <v>22.5</v>
      </c>
    </row>
    <row r="477" spans="1:19" x14ac:dyDescent="0.3">
      <c r="A477" t="s">
        <v>649</v>
      </c>
      <c r="B477" s="23" t="s">
        <v>107</v>
      </c>
      <c r="C477" t="s">
        <v>122</v>
      </c>
      <c r="D477" t="s">
        <v>91</v>
      </c>
      <c r="E477" t="s">
        <v>20</v>
      </c>
      <c r="F477" t="s">
        <v>21</v>
      </c>
      <c r="G477">
        <v>9</v>
      </c>
      <c r="H477" s="4">
        <v>48.76</v>
      </c>
      <c r="I477" s="8">
        <v>438.84</v>
      </c>
      <c r="J477">
        <v>16.91</v>
      </c>
      <c r="K477">
        <v>106.93</v>
      </c>
      <c r="L477" t="s">
        <v>44</v>
      </c>
      <c r="M477" t="s">
        <v>23</v>
      </c>
      <c r="N477" t="s">
        <v>66</v>
      </c>
      <c r="O477" s="5">
        <f>Table14[[#This Row],[Profit]]/Table14[[#This Row],[Total_Sales]]</f>
        <v>0.24366511712697114</v>
      </c>
      <c r="P477" s="23">
        <f>DATE(YEAR(Table14[[#This Row],[Order_Date]]), MONTH(Table14[[#This Row],[Order_Date]]), 1)</f>
        <v>45413</v>
      </c>
      <c r="Q477" t="str">
        <f>_xlfn.XLOOKUP(Table14[[#This Row],[Product]],Product_Master!$B$2:$B$11,Product_Master!$D$2:$D$11)</f>
        <v>CarryPro</v>
      </c>
      <c r="R477" t="str">
        <f>_xlfn.XLOOKUP(Table14[[#This Row],[Product]],Product_Master!$B$2:$B$11,Product_Master!$E$2:$E$11)</f>
        <v>Vietnam</v>
      </c>
      <c r="S477">
        <f>_xlfn.XLOOKUP(Table14[[#This Row],[Product]],Product_Master!$B$2:$B$11,Product_Master!$F$2:$F$11)</f>
        <v>35</v>
      </c>
    </row>
    <row r="478" spans="1:19" x14ac:dyDescent="0.3">
      <c r="A478" t="s">
        <v>651</v>
      </c>
      <c r="B478" s="23" t="s">
        <v>157</v>
      </c>
      <c r="C478" t="s">
        <v>245</v>
      </c>
      <c r="D478" t="s">
        <v>28</v>
      </c>
      <c r="E478" t="s">
        <v>58</v>
      </c>
      <c r="F478" t="s">
        <v>59</v>
      </c>
      <c r="G478">
        <v>37</v>
      </c>
      <c r="H478" s="4">
        <v>33.21</v>
      </c>
      <c r="I478" s="8">
        <v>1228.77</v>
      </c>
      <c r="J478">
        <v>96.12</v>
      </c>
      <c r="K478">
        <v>300.14999999999998</v>
      </c>
      <c r="L478" t="s">
        <v>44</v>
      </c>
      <c r="M478" t="s">
        <v>31</v>
      </c>
      <c r="N478" t="s">
        <v>32</v>
      </c>
      <c r="O478" s="5">
        <f>Table14[[#This Row],[Profit]]/Table14[[#This Row],[Total_Sales]]</f>
        <v>0.24426865890280522</v>
      </c>
      <c r="P478" s="23">
        <f>DATE(YEAR(Table14[[#This Row],[Order_Date]]), MONTH(Table14[[#This Row],[Order_Date]]), 1)</f>
        <v>45292</v>
      </c>
      <c r="Q478" t="str">
        <f>_xlfn.XLOOKUP(Table14[[#This Row],[Product]],Product_Master!$B$2:$B$11,Product_Master!$D$2:$D$11)</f>
        <v>ClearCraft</v>
      </c>
      <c r="R478" t="str">
        <f>_xlfn.XLOOKUP(Table14[[#This Row],[Product]],Product_Master!$B$2:$B$11,Product_Master!$E$2:$E$11)</f>
        <v>India</v>
      </c>
      <c r="S478">
        <f>_xlfn.XLOOKUP(Table14[[#This Row],[Product]],Product_Master!$B$2:$B$11,Product_Master!$F$2:$F$11)</f>
        <v>22.5</v>
      </c>
    </row>
    <row r="479" spans="1:19" x14ac:dyDescent="0.3">
      <c r="A479" t="s">
        <v>653</v>
      </c>
      <c r="B479" s="23" t="s">
        <v>56</v>
      </c>
      <c r="C479" t="s">
        <v>122</v>
      </c>
      <c r="D479" t="s">
        <v>41</v>
      </c>
      <c r="E479" t="s">
        <v>73</v>
      </c>
      <c r="F479" t="s">
        <v>43</v>
      </c>
      <c r="G479">
        <v>29</v>
      </c>
      <c r="H479" s="4">
        <v>16.54</v>
      </c>
      <c r="I479" s="8">
        <v>479.66</v>
      </c>
      <c r="J479">
        <v>30.23</v>
      </c>
      <c r="K479">
        <v>79.680000000000007</v>
      </c>
      <c r="L479" t="s">
        <v>30</v>
      </c>
      <c r="M479" t="s">
        <v>37</v>
      </c>
      <c r="N479" t="s">
        <v>45</v>
      </c>
      <c r="O479" s="5">
        <f>Table14[[#This Row],[Profit]]/Table14[[#This Row],[Total_Sales]]</f>
        <v>0.16611766668056541</v>
      </c>
      <c r="P479" s="23">
        <f>DATE(YEAR(Table14[[#This Row],[Order_Date]]), MONTH(Table14[[#This Row],[Order_Date]]), 1)</f>
        <v>45444</v>
      </c>
      <c r="Q479" t="str">
        <f>_xlfn.XLOOKUP(Table14[[#This Row],[Product]],Product_Master!$B$2:$B$11,Product_Master!$D$2:$D$11)</f>
        <v>BrightHome</v>
      </c>
      <c r="R479" t="str">
        <f>_xlfn.XLOOKUP(Table14[[#This Row],[Product]],Product_Master!$B$2:$B$11,Product_Master!$E$2:$E$11)</f>
        <v>Vietnam</v>
      </c>
      <c r="S479">
        <f>_xlfn.XLOOKUP(Table14[[#This Row],[Product]],Product_Master!$B$2:$B$11,Product_Master!$F$2:$F$11)</f>
        <v>12.75</v>
      </c>
    </row>
    <row r="480" spans="1:19" x14ac:dyDescent="0.3">
      <c r="A480" t="s">
        <v>655</v>
      </c>
      <c r="B480" s="23" t="s">
        <v>75</v>
      </c>
      <c r="C480" t="s">
        <v>90</v>
      </c>
      <c r="D480" t="s">
        <v>147</v>
      </c>
      <c r="E480" t="s">
        <v>64</v>
      </c>
      <c r="F480" t="s">
        <v>65</v>
      </c>
      <c r="G480">
        <v>11</v>
      </c>
      <c r="H480" s="4">
        <v>44.56</v>
      </c>
      <c r="I480" s="8">
        <v>490.16</v>
      </c>
      <c r="J480">
        <v>23.97</v>
      </c>
      <c r="K480">
        <v>191.19</v>
      </c>
      <c r="L480" t="s">
        <v>30</v>
      </c>
      <c r="M480" t="s">
        <v>37</v>
      </c>
      <c r="N480" t="s">
        <v>148</v>
      </c>
      <c r="O480" s="5">
        <f>Table14[[#This Row],[Profit]]/Table14[[#This Row],[Total_Sales]]</f>
        <v>0.39005630814427938</v>
      </c>
      <c r="P480" s="23">
        <f>DATE(YEAR(Table14[[#This Row],[Order_Date]]), MONTH(Table14[[#This Row],[Order_Date]]), 1)</f>
        <v>45748</v>
      </c>
      <c r="Q480" t="str">
        <f>_xlfn.XLOOKUP(Table14[[#This Row],[Product]],Product_Master!$B$2:$B$11,Product_Master!$D$2:$D$11)</f>
        <v>SoftWeave</v>
      </c>
      <c r="R480" t="str">
        <f>_xlfn.XLOOKUP(Table14[[#This Row],[Product]],Product_Master!$B$2:$B$11,Product_Master!$E$2:$E$11)</f>
        <v>Turkey</v>
      </c>
      <c r="S480">
        <f>_xlfn.XLOOKUP(Table14[[#This Row],[Product]],Product_Master!$B$2:$B$11,Product_Master!$F$2:$F$11)</f>
        <v>25</v>
      </c>
    </row>
    <row r="481" spans="1:19" x14ac:dyDescent="0.3">
      <c r="A481" t="s">
        <v>657</v>
      </c>
      <c r="B481" s="23" t="s">
        <v>132</v>
      </c>
      <c r="C481" t="s">
        <v>57</v>
      </c>
      <c r="D481" t="s">
        <v>53</v>
      </c>
      <c r="E481" t="s">
        <v>42</v>
      </c>
      <c r="F481" t="s">
        <v>43</v>
      </c>
      <c r="G481">
        <v>50</v>
      </c>
      <c r="H481" s="4">
        <v>44.78</v>
      </c>
      <c r="I481" s="8">
        <v>2239</v>
      </c>
      <c r="J481">
        <v>169.97</v>
      </c>
      <c r="K481">
        <v>469.03</v>
      </c>
      <c r="L481" t="s">
        <v>22</v>
      </c>
      <c r="M481" t="s">
        <v>37</v>
      </c>
      <c r="N481" t="s">
        <v>24</v>
      </c>
      <c r="O481" s="5">
        <f>Table14[[#This Row],[Profit]]/Table14[[#This Row],[Total_Sales]]</f>
        <v>0.20948191156766413</v>
      </c>
      <c r="P481" s="23">
        <f>DATE(YEAR(Table14[[#This Row],[Order_Date]]), MONTH(Table14[[#This Row],[Order_Date]]), 1)</f>
        <v>45597</v>
      </c>
      <c r="Q481" t="str">
        <f>_xlfn.XLOOKUP(Table14[[#This Row],[Product]],Product_Master!$B$2:$B$11,Product_Master!$D$2:$D$11)</f>
        <v>AudioTech Ltd.</v>
      </c>
      <c r="R481" t="str">
        <f>_xlfn.XLOOKUP(Table14[[#This Row],[Product]],Product_Master!$B$2:$B$11,Product_Master!$E$2:$E$11)</f>
        <v>China</v>
      </c>
      <c r="S481">
        <f>_xlfn.XLOOKUP(Table14[[#This Row],[Product]],Product_Master!$B$2:$B$11,Product_Master!$F$2:$F$11)</f>
        <v>32</v>
      </c>
    </row>
    <row r="482" spans="1:19" x14ac:dyDescent="0.3">
      <c r="A482" t="s">
        <v>659</v>
      </c>
      <c r="B482" s="23" t="s">
        <v>78</v>
      </c>
      <c r="C482" t="s">
        <v>87</v>
      </c>
      <c r="D482" t="s">
        <v>19</v>
      </c>
      <c r="E482" t="s">
        <v>29</v>
      </c>
      <c r="F482" t="s">
        <v>21</v>
      </c>
      <c r="G482">
        <v>30</v>
      </c>
      <c r="H482">
        <v>22.51</v>
      </c>
      <c r="I482">
        <v>675.3</v>
      </c>
      <c r="J482">
        <v>26.26</v>
      </c>
      <c r="K482">
        <v>109.04</v>
      </c>
      <c r="L482" t="s">
        <v>22</v>
      </c>
      <c r="M482" t="s">
        <v>23</v>
      </c>
      <c r="N482" t="s">
        <v>24</v>
      </c>
      <c r="O482" s="5">
        <f>Table14[[#This Row],[Profit]]/Table14[[#This Row],[Total_Sales]]</f>
        <v>0.16146897675107361</v>
      </c>
      <c r="P482" s="23">
        <f>DATE(YEAR(Table14[[#This Row],[Order_Date]]), MONTH(Table14[[#This Row],[Order_Date]]), 1)</f>
        <v>45627</v>
      </c>
      <c r="Q482" t="str">
        <f>_xlfn.XLOOKUP(Table14[[#This Row],[Product]],Product_Master!$B$2:$B$11,Product_Master!$D$2:$D$11)</f>
        <v>CraftLine</v>
      </c>
      <c r="R482" t="str">
        <f>_xlfn.XLOOKUP(Table14[[#This Row],[Product]],Product_Master!$B$2:$B$11,Product_Master!$E$2:$E$11)</f>
        <v>Italy</v>
      </c>
      <c r="S482">
        <f>_xlfn.XLOOKUP(Table14[[#This Row],[Product]],Product_Master!$B$2:$B$11,Product_Master!$F$2:$F$11)</f>
        <v>18</v>
      </c>
    </row>
    <row r="483" spans="1:19" x14ac:dyDescent="0.3">
      <c r="A483" t="s">
        <v>661</v>
      </c>
      <c r="B483" s="23" t="s">
        <v>86</v>
      </c>
      <c r="C483" t="s">
        <v>265</v>
      </c>
      <c r="D483" t="s">
        <v>147</v>
      </c>
      <c r="E483" t="s">
        <v>69</v>
      </c>
      <c r="F483" t="s">
        <v>59</v>
      </c>
      <c r="G483">
        <v>50</v>
      </c>
      <c r="H483" s="4">
        <v>27.18</v>
      </c>
      <c r="I483" s="8">
        <v>1359</v>
      </c>
      <c r="J483">
        <v>45.67</v>
      </c>
      <c r="K483">
        <v>538.33000000000004</v>
      </c>
      <c r="L483" t="s">
        <v>22</v>
      </c>
      <c r="M483" t="s">
        <v>37</v>
      </c>
      <c r="N483" t="s">
        <v>148</v>
      </c>
      <c r="O483" s="5">
        <f>Table14[[#This Row],[Profit]]/Table14[[#This Row],[Total_Sales]]</f>
        <v>0.39612214863870499</v>
      </c>
      <c r="P483" s="23">
        <f>DATE(YEAR(Table14[[#This Row],[Order_Date]]), MONTH(Table14[[#This Row],[Order_Date]]), 1)</f>
        <v>45352</v>
      </c>
      <c r="Q483" t="str">
        <f>_xlfn.XLOOKUP(Table14[[#This Row],[Product]],Product_Master!$B$2:$B$11,Product_Master!$D$2:$D$11)</f>
        <v>Artisans Co.</v>
      </c>
      <c r="R483" t="str">
        <f>_xlfn.XLOOKUP(Table14[[#This Row],[Product]],Product_Master!$B$2:$B$11,Product_Master!$E$2:$E$11)</f>
        <v>India</v>
      </c>
      <c r="S483">
        <f>_xlfn.XLOOKUP(Table14[[#This Row],[Product]],Product_Master!$B$2:$B$11,Product_Master!$F$2:$F$11)</f>
        <v>15.5</v>
      </c>
    </row>
    <row r="484" spans="1:19" x14ac:dyDescent="0.3">
      <c r="A484" t="s">
        <v>663</v>
      </c>
      <c r="B484" s="23" t="s">
        <v>68</v>
      </c>
      <c r="C484" t="s">
        <v>153</v>
      </c>
      <c r="D484" t="s">
        <v>36</v>
      </c>
      <c r="E484" t="s">
        <v>98</v>
      </c>
      <c r="F484" t="s">
        <v>59</v>
      </c>
      <c r="G484">
        <v>28</v>
      </c>
      <c r="H484" s="4">
        <v>37.51</v>
      </c>
      <c r="I484" s="8">
        <v>1050.28</v>
      </c>
      <c r="J484">
        <v>45.83</v>
      </c>
      <c r="K484">
        <v>220.45</v>
      </c>
      <c r="L484" t="s">
        <v>44</v>
      </c>
      <c r="M484" t="s">
        <v>31</v>
      </c>
      <c r="N484" t="s">
        <v>32</v>
      </c>
      <c r="O484" s="5">
        <f>Table14[[#This Row],[Profit]]/Table14[[#This Row],[Total_Sales]]</f>
        <v>0.20989640857676048</v>
      </c>
      <c r="P484" s="23">
        <f>DATE(YEAR(Table14[[#This Row],[Order_Date]]), MONTH(Table14[[#This Row],[Order_Date]]), 1)</f>
        <v>45536</v>
      </c>
      <c r="Q484" t="str">
        <f>_xlfn.XLOOKUP(Table14[[#This Row],[Product]],Product_Master!$B$2:$B$11,Product_Master!$D$2:$D$11)</f>
        <v>BrightHome</v>
      </c>
      <c r="R484" t="str">
        <f>_xlfn.XLOOKUP(Table14[[#This Row],[Product]],Product_Master!$B$2:$B$11,Product_Master!$E$2:$E$11)</f>
        <v>India</v>
      </c>
      <c r="S484">
        <f>_xlfn.XLOOKUP(Table14[[#This Row],[Product]],Product_Master!$B$2:$B$11,Product_Master!$F$2:$F$11)</f>
        <v>28</v>
      </c>
    </row>
    <row r="485" spans="1:19" x14ac:dyDescent="0.3">
      <c r="A485" t="s">
        <v>665</v>
      </c>
      <c r="B485" s="23" t="s">
        <v>86</v>
      </c>
      <c r="C485" t="s">
        <v>79</v>
      </c>
      <c r="D485" t="s">
        <v>147</v>
      </c>
      <c r="E485" t="s">
        <v>49</v>
      </c>
      <c r="F485" t="s">
        <v>50</v>
      </c>
      <c r="G485">
        <v>50</v>
      </c>
      <c r="H485" s="4">
        <v>53.71</v>
      </c>
      <c r="I485" s="8">
        <v>2685.5</v>
      </c>
      <c r="J485">
        <v>197.89</v>
      </c>
      <c r="K485">
        <v>487.61</v>
      </c>
      <c r="L485" t="s">
        <v>30</v>
      </c>
      <c r="M485" t="s">
        <v>37</v>
      </c>
      <c r="N485" t="s">
        <v>148</v>
      </c>
      <c r="O485" s="5">
        <f>Table14[[#This Row],[Profit]]/Table14[[#This Row],[Total_Sales]]</f>
        <v>0.18157140197356172</v>
      </c>
      <c r="P485" s="23">
        <f>DATE(YEAR(Table14[[#This Row],[Order_Date]]), MONTH(Table14[[#This Row],[Order_Date]]), 1)</f>
        <v>45352</v>
      </c>
      <c r="Q485" t="str">
        <f>_xlfn.XLOOKUP(Table14[[#This Row],[Product]],Product_Master!$B$2:$B$11,Product_Master!$D$2:$D$11)</f>
        <v>BlueWear</v>
      </c>
      <c r="R485" t="str">
        <f>_xlfn.XLOOKUP(Table14[[#This Row],[Product]],Product_Master!$B$2:$B$11,Product_Master!$E$2:$E$11)</f>
        <v>Bangladesh</v>
      </c>
      <c r="S485">
        <f>_xlfn.XLOOKUP(Table14[[#This Row],[Product]],Product_Master!$B$2:$B$11,Product_Master!$F$2:$F$11)</f>
        <v>40</v>
      </c>
    </row>
    <row r="486" spans="1:19" x14ac:dyDescent="0.3">
      <c r="A486" t="s">
        <v>667</v>
      </c>
      <c r="B486" s="23" t="s">
        <v>78</v>
      </c>
      <c r="C486" t="s">
        <v>418</v>
      </c>
      <c r="D486" t="s">
        <v>101</v>
      </c>
      <c r="E486" t="s">
        <v>69</v>
      </c>
      <c r="F486" t="s">
        <v>59</v>
      </c>
      <c r="G486">
        <v>24</v>
      </c>
      <c r="H486" s="4">
        <v>18.62</v>
      </c>
      <c r="I486" s="8">
        <v>446.88</v>
      </c>
      <c r="J486">
        <v>26.91</v>
      </c>
      <c r="K486">
        <v>47.97</v>
      </c>
      <c r="L486" t="s">
        <v>30</v>
      </c>
      <c r="M486" t="s">
        <v>31</v>
      </c>
      <c r="N486" t="s">
        <v>102</v>
      </c>
      <c r="O486" s="5">
        <f>Table14[[#This Row],[Profit]]/Table14[[#This Row],[Total_Sales]]</f>
        <v>0.10734425349087003</v>
      </c>
      <c r="P486" s="23">
        <f>DATE(YEAR(Table14[[#This Row],[Order_Date]]), MONTH(Table14[[#This Row],[Order_Date]]), 1)</f>
        <v>45627</v>
      </c>
      <c r="Q486" t="str">
        <f>_xlfn.XLOOKUP(Table14[[#This Row],[Product]],Product_Master!$B$2:$B$11,Product_Master!$D$2:$D$11)</f>
        <v>Artisans Co.</v>
      </c>
      <c r="R486" t="str">
        <f>_xlfn.XLOOKUP(Table14[[#This Row],[Product]],Product_Master!$B$2:$B$11,Product_Master!$E$2:$E$11)</f>
        <v>India</v>
      </c>
      <c r="S486">
        <f>_xlfn.XLOOKUP(Table14[[#This Row],[Product]],Product_Master!$B$2:$B$11,Product_Master!$F$2:$F$11)</f>
        <v>15.5</v>
      </c>
    </row>
    <row r="487" spans="1:19" x14ac:dyDescent="0.3">
      <c r="A487" t="s">
        <v>669</v>
      </c>
      <c r="B487" s="23" t="s">
        <v>17</v>
      </c>
      <c r="C487" t="s">
        <v>202</v>
      </c>
      <c r="D487" t="s">
        <v>81</v>
      </c>
      <c r="E487" t="s">
        <v>49</v>
      </c>
      <c r="F487" t="s">
        <v>50</v>
      </c>
      <c r="G487">
        <v>10</v>
      </c>
      <c r="H487" s="4">
        <v>49.15</v>
      </c>
      <c r="I487" s="8">
        <v>491.5</v>
      </c>
      <c r="J487">
        <v>13.3</v>
      </c>
      <c r="K487">
        <v>78.2</v>
      </c>
      <c r="L487" t="s">
        <v>44</v>
      </c>
      <c r="M487" t="s">
        <v>37</v>
      </c>
      <c r="N487" t="s">
        <v>66</v>
      </c>
      <c r="O487" s="5">
        <f>Table14[[#This Row],[Profit]]/Table14[[#This Row],[Total_Sales]]</f>
        <v>0.15910478128179045</v>
      </c>
      <c r="P487" s="23">
        <f>DATE(YEAR(Table14[[#This Row],[Order_Date]]), MONTH(Table14[[#This Row],[Order_Date]]), 1)</f>
        <v>45658</v>
      </c>
      <c r="Q487" t="str">
        <f>_xlfn.XLOOKUP(Table14[[#This Row],[Product]],Product_Master!$B$2:$B$11,Product_Master!$D$2:$D$11)</f>
        <v>BlueWear</v>
      </c>
      <c r="R487" t="str">
        <f>_xlfn.XLOOKUP(Table14[[#This Row],[Product]],Product_Master!$B$2:$B$11,Product_Master!$E$2:$E$11)</f>
        <v>Bangladesh</v>
      </c>
      <c r="S487">
        <f>_xlfn.XLOOKUP(Table14[[#This Row],[Product]],Product_Master!$B$2:$B$11,Product_Master!$F$2:$F$11)</f>
        <v>40</v>
      </c>
    </row>
    <row r="488" spans="1:19" x14ac:dyDescent="0.3">
      <c r="A488" t="s">
        <v>671</v>
      </c>
      <c r="B488" s="23" t="s">
        <v>78</v>
      </c>
      <c r="C488" t="s">
        <v>226</v>
      </c>
      <c r="D488" t="s">
        <v>63</v>
      </c>
      <c r="E488" t="s">
        <v>49</v>
      </c>
      <c r="F488" t="s">
        <v>50</v>
      </c>
      <c r="G488">
        <v>42</v>
      </c>
      <c r="H488" s="4">
        <v>50.96</v>
      </c>
      <c r="I488" s="8">
        <v>2140.3200000000002</v>
      </c>
      <c r="J488">
        <v>127.85</v>
      </c>
      <c r="K488">
        <v>332.47</v>
      </c>
      <c r="L488" t="s">
        <v>22</v>
      </c>
      <c r="M488" t="s">
        <v>31</v>
      </c>
      <c r="N488" t="s">
        <v>66</v>
      </c>
      <c r="O488" s="5">
        <f>Table14[[#This Row],[Profit]]/Table14[[#This Row],[Total_Sales]]</f>
        <v>0.15533658518352397</v>
      </c>
      <c r="P488" s="23">
        <f>DATE(YEAR(Table14[[#This Row],[Order_Date]]), MONTH(Table14[[#This Row],[Order_Date]]), 1)</f>
        <v>45627</v>
      </c>
      <c r="Q488" t="str">
        <f>_xlfn.XLOOKUP(Table14[[#This Row],[Product]],Product_Master!$B$2:$B$11,Product_Master!$D$2:$D$11)</f>
        <v>BlueWear</v>
      </c>
      <c r="R488" t="str">
        <f>_xlfn.XLOOKUP(Table14[[#This Row],[Product]],Product_Master!$B$2:$B$11,Product_Master!$E$2:$E$11)</f>
        <v>Bangladesh</v>
      </c>
      <c r="S488">
        <f>_xlfn.XLOOKUP(Table14[[#This Row],[Product]],Product_Master!$B$2:$B$11,Product_Master!$F$2:$F$11)</f>
        <v>40</v>
      </c>
    </row>
    <row r="489" spans="1:19" x14ac:dyDescent="0.3">
      <c r="A489" t="s">
        <v>673</v>
      </c>
      <c r="B489" s="23" t="s">
        <v>157</v>
      </c>
      <c r="C489" t="s">
        <v>223</v>
      </c>
      <c r="D489" t="s">
        <v>63</v>
      </c>
      <c r="E489" t="s">
        <v>64</v>
      </c>
      <c r="F489" t="s">
        <v>65</v>
      </c>
      <c r="G489">
        <v>39</v>
      </c>
      <c r="H489" s="4">
        <v>37.46</v>
      </c>
      <c r="I489" s="8">
        <v>1460.94</v>
      </c>
      <c r="J489">
        <v>82.25</v>
      </c>
      <c r="K489">
        <v>403.69</v>
      </c>
      <c r="L489" t="s">
        <v>44</v>
      </c>
      <c r="M489" t="s">
        <v>23</v>
      </c>
      <c r="N489" t="s">
        <v>66</v>
      </c>
      <c r="O489" s="5">
        <f>Table14[[#This Row],[Profit]]/Table14[[#This Row],[Total_Sales]]</f>
        <v>0.27632209399427765</v>
      </c>
      <c r="P489" s="23">
        <f>DATE(YEAR(Table14[[#This Row],[Order_Date]]), MONTH(Table14[[#This Row],[Order_Date]]), 1)</f>
        <v>45292</v>
      </c>
      <c r="Q489" t="str">
        <f>_xlfn.XLOOKUP(Table14[[#This Row],[Product]],Product_Master!$B$2:$B$11,Product_Master!$D$2:$D$11)</f>
        <v>SoftWeave</v>
      </c>
      <c r="R489" t="str">
        <f>_xlfn.XLOOKUP(Table14[[#This Row],[Product]],Product_Master!$B$2:$B$11,Product_Master!$E$2:$E$11)</f>
        <v>Turkey</v>
      </c>
      <c r="S489">
        <f>_xlfn.XLOOKUP(Table14[[#This Row],[Product]],Product_Master!$B$2:$B$11,Product_Master!$F$2:$F$11)</f>
        <v>25</v>
      </c>
    </row>
    <row r="490" spans="1:19" x14ac:dyDescent="0.3">
      <c r="A490" t="s">
        <v>675</v>
      </c>
      <c r="B490" s="23" t="s">
        <v>61</v>
      </c>
      <c r="C490" t="s">
        <v>125</v>
      </c>
      <c r="D490" t="s">
        <v>123</v>
      </c>
      <c r="E490" t="s">
        <v>73</v>
      </c>
      <c r="F490" t="s">
        <v>43</v>
      </c>
      <c r="G490">
        <v>7</v>
      </c>
      <c r="H490" s="4">
        <v>20.2</v>
      </c>
      <c r="I490" s="8">
        <v>141.4</v>
      </c>
      <c r="J490">
        <v>4.3499999999999996</v>
      </c>
      <c r="K490">
        <v>47.8</v>
      </c>
      <c r="L490" t="s">
        <v>30</v>
      </c>
      <c r="M490" t="s">
        <v>37</v>
      </c>
      <c r="N490" t="s">
        <v>32</v>
      </c>
      <c r="O490" s="5">
        <f>Table14[[#This Row],[Profit]]/Table14[[#This Row],[Total_Sales]]</f>
        <v>0.33804809052333801</v>
      </c>
      <c r="P490" s="23">
        <f>DATE(YEAR(Table14[[#This Row],[Order_Date]]), MONTH(Table14[[#This Row],[Order_Date]]), 1)</f>
        <v>45778</v>
      </c>
      <c r="Q490" t="str">
        <f>_xlfn.XLOOKUP(Table14[[#This Row],[Product]],Product_Master!$B$2:$B$11,Product_Master!$D$2:$D$11)</f>
        <v>BrightHome</v>
      </c>
      <c r="R490" t="str">
        <f>_xlfn.XLOOKUP(Table14[[#This Row],[Product]],Product_Master!$B$2:$B$11,Product_Master!$E$2:$E$11)</f>
        <v>Vietnam</v>
      </c>
      <c r="S490">
        <f>_xlfn.XLOOKUP(Table14[[#This Row],[Product]],Product_Master!$B$2:$B$11,Product_Master!$F$2:$F$11)</f>
        <v>12.75</v>
      </c>
    </row>
    <row r="491" spans="1:19" x14ac:dyDescent="0.3">
      <c r="A491" t="s">
        <v>677</v>
      </c>
      <c r="B491" s="23" t="s">
        <v>68</v>
      </c>
      <c r="C491" t="s">
        <v>141</v>
      </c>
      <c r="D491" t="s">
        <v>48</v>
      </c>
      <c r="E491" t="s">
        <v>73</v>
      </c>
      <c r="F491" t="s">
        <v>43</v>
      </c>
      <c r="G491">
        <v>18</v>
      </c>
      <c r="H491" s="4">
        <v>18.63</v>
      </c>
      <c r="I491" s="8">
        <v>335.34</v>
      </c>
      <c r="J491">
        <v>26.18</v>
      </c>
      <c r="K491">
        <v>79.66</v>
      </c>
      <c r="L491" t="s">
        <v>30</v>
      </c>
      <c r="M491" t="s">
        <v>23</v>
      </c>
      <c r="N491" t="s">
        <v>24</v>
      </c>
      <c r="O491" s="5">
        <f>Table14[[#This Row],[Profit]]/Table14[[#This Row],[Total_Sales]]</f>
        <v>0.23754994930518281</v>
      </c>
      <c r="P491" s="23">
        <f>DATE(YEAR(Table14[[#This Row],[Order_Date]]), MONTH(Table14[[#This Row],[Order_Date]]), 1)</f>
        <v>45536</v>
      </c>
      <c r="Q491" t="str">
        <f>_xlfn.XLOOKUP(Table14[[#This Row],[Product]],Product_Master!$B$2:$B$11,Product_Master!$D$2:$D$11)</f>
        <v>BrightHome</v>
      </c>
      <c r="R491" t="str">
        <f>_xlfn.XLOOKUP(Table14[[#This Row],[Product]],Product_Master!$B$2:$B$11,Product_Master!$E$2:$E$11)</f>
        <v>Vietnam</v>
      </c>
      <c r="S491">
        <f>_xlfn.XLOOKUP(Table14[[#This Row],[Product]],Product_Master!$B$2:$B$11,Product_Master!$F$2:$F$11)</f>
        <v>12.75</v>
      </c>
    </row>
    <row r="492" spans="1:19" x14ac:dyDescent="0.3">
      <c r="A492" t="s">
        <v>679</v>
      </c>
      <c r="B492" s="23" t="s">
        <v>107</v>
      </c>
      <c r="C492" t="s">
        <v>310</v>
      </c>
      <c r="D492" t="s">
        <v>147</v>
      </c>
      <c r="E492" t="s">
        <v>58</v>
      </c>
      <c r="F492" t="s">
        <v>59</v>
      </c>
      <c r="G492">
        <v>12</v>
      </c>
      <c r="H492" s="4">
        <v>27.08</v>
      </c>
      <c r="I492" s="8">
        <v>324.95999999999998</v>
      </c>
      <c r="J492">
        <v>15.59</v>
      </c>
      <c r="K492">
        <v>39.369999999999997</v>
      </c>
      <c r="L492" t="s">
        <v>30</v>
      </c>
      <c r="M492" t="s">
        <v>37</v>
      </c>
      <c r="N492" t="s">
        <v>148</v>
      </c>
      <c r="O492" s="5">
        <f>Table14[[#This Row],[Profit]]/Table14[[#This Row],[Total_Sales]]</f>
        <v>0.12115337272279665</v>
      </c>
      <c r="P492" s="23">
        <f>DATE(YEAR(Table14[[#This Row],[Order_Date]]), MONTH(Table14[[#This Row],[Order_Date]]), 1)</f>
        <v>45413</v>
      </c>
      <c r="Q492" t="str">
        <f>_xlfn.XLOOKUP(Table14[[#This Row],[Product]],Product_Master!$B$2:$B$11,Product_Master!$D$2:$D$11)</f>
        <v>ClearCraft</v>
      </c>
      <c r="R492" t="str">
        <f>_xlfn.XLOOKUP(Table14[[#This Row],[Product]],Product_Master!$B$2:$B$11,Product_Master!$E$2:$E$11)</f>
        <v>India</v>
      </c>
      <c r="S492">
        <f>_xlfn.XLOOKUP(Table14[[#This Row],[Product]],Product_Master!$B$2:$B$11,Product_Master!$F$2:$F$11)</f>
        <v>22.5</v>
      </c>
    </row>
    <row r="493" spans="1:19" x14ac:dyDescent="0.3">
      <c r="A493" t="s">
        <v>681</v>
      </c>
      <c r="B493" s="23" t="s">
        <v>75</v>
      </c>
      <c r="C493" t="s">
        <v>334</v>
      </c>
      <c r="D493" t="s">
        <v>123</v>
      </c>
      <c r="E493" t="s">
        <v>64</v>
      </c>
      <c r="F493" t="s">
        <v>65</v>
      </c>
      <c r="G493">
        <v>50</v>
      </c>
      <c r="H493" s="4">
        <v>32.21</v>
      </c>
      <c r="I493" s="8">
        <v>1610.5</v>
      </c>
      <c r="J493">
        <v>32.68</v>
      </c>
      <c r="K493">
        <v>327.82</v>
      </c>
      <c r="L493" t="s">
        <v>30</v>
      </c>
      <c r="M493" t="s">
        <v>37</v>
      </c>
      <c r="N493" t="s">
        <v>32</v>
      </c>
      <c r="O493" s="5">
        <f>Table14[[#This Row],[Profit]]/Table14[[#This Row],[Total_Sales]]</f>
        <v>0.20355169202111145</v>
      </c>
      <c r="P493" s="23">
        <f>DATE(YEAR(Table14[[#This Row],[Order_Date]]), MONTH(Table14[[#This Row],[Order_Date]]), 1)</f>
        <v>45748</v>
      </c>
      <c r="Q493" t="str">
        <f>_xlfn.XLOOKUP(Table14[[#This Row],[Product]],Product_Master!$B$2:$B$11,Product_Master!$D$2:$D$11)</f>
        <v>SoftWeave</v>
      </c>
      <c r="R493" t="str">
        <f>_xlfn.XLOOKUP(Table14[[#This Row],[Product]],Product_Master!$B$2:$B$11,Product_Master!$E$2:$E$11)</f>
        <v>Turkey</v>
      </c>
      <c r="S493">
        <f>_xlfn.XLOOKUP(Table14[[#This Row],[Product]],Product_Master!$B$2:$B$11,Product_Master!$F$2:$F$11)</f>
        <v>25</v>
      </c>
    </row>
    <row r="494" spans="1:19" x14ac:dyDescent="0.3">
      <c r="A494" t="s">
        <v>683</v>
      </c>
      <c r="B494" s="23" t="s">
        <v>104</v>
      </c>
      <c r="C494" t="s">
        <v>429</v>
      </c>
      <c r="D494" t="s">
        <v>101</v>
      </c>
      <c r="E494" t="s">
        <v>73</v>
      </c>
      <c r="F494" t="s">
        <v>43</v>
      </c>
      <c r="G494">
        <v>49</v>
      </c>
      <c r="H494" s="4">
        <v>20.59</v>
      </c>
      <c r="I494" s="8">
        <v>1008.91</v>
      </c>
      <c r="J494">
        <v>78.03</v>
      </c>
      <c r="K494">
        <v>306.13</v>
      </c>
      <c r="L494" t="s">
        <v>30</v>
      </c>
      <c r="M494" t="s">
        <v>37</v>
      </c>
      <c r="N494" t="s">
        <v>102</v>
      </c>
      <c r="O494" s="5">
        <f>Table14[[#This Row],[Profit]]/Table14[[#This Row],[Total_Sales]]</f>
        <v>0.30342647015095497</v>
      </c>
      <c r="P494" s="23">
        <f>DATE(YEAR(Table14[[#This Row],[Order_Date]]), MONTH(Table14[[#This Row],[Order_Date]]), 1)</f>
        <v>45717</v>
      </c>
      <c r="Q494" t="str">
        <f>_xlfn.XLOOKUP(Table14[[#This Row],[Product]],Product_Master!$B$2:$B$11,Product_Master!$D$2:$D$11)</f>
        <v>BrightHome</v>
      </c>
      <c r="R494" t="str">
        <f>_xlfn.XLOOKUP(Table14[[#This Row],[Product]],Product_Master!$B$2:$B$11,Product_Master!$E$2:$E$11)</f>
        <v>Vietnam</v>
      </c>
      <c r="S494">
        <f>_xlfn.XLOOKUP(Table14[[#This Row],[Product]],Product_Master!$B$2:$B$11,Product_Master!$F$2:$F$11)</f>
        <v>12.75</v>
      </c>
    </row>
    <row r="495" spans="1:19" x14ac:dyDescent="0.3">
      <c r="A495" t="s">
        <v>685</v>
      </c>
      <c r="B495" s="23" t="s">
        <v>34</v>
      </c>
      <c r="C495" t="s">
        <v>100</v>
      </c>
      <c r="D495" t="s">
        <v>36</v>
      </c>
      <c r="E495" t="s">
        <v>54</v>
      </c>
      <c r="F495" t="s">
        <v>43</v>
      </c>
      <c r="G495">
        <v>22</v>
      </c>
      <c r="H495" s="4">
        <v>28.63</v>
      </c>
      <c r="I495" s="8">
        <v>629.86</v>
      </c>
      <c r="J495">
        <v>29.08</v>
      </c>
      <c r="K495">
        <v>160.78</v>
      </c>
      <c r="L495" t="s">
        <v>30</v>
      </c>
      <c r="M495" t="s">
        <v>31</v>
      </c>
      <c r="N495" t="s">
        <v>32</v>
      </c>
      <c r="O495" s="5">
        <f>Table14[[#This Row],[Profit]]/Table14[[#This Row],[Total_Sales]]</f>
        <v>0.25526307433397899</v>
      </c>
      <c r="P495" s="23">
        <f>DATE(YEAR(Table14[[#This Row],[Order_Date]]), MONTH(Table14[[#This Row],[Order_Date]]), 1)</f>
        <v>45383</v>
      </c>
      <c r="Q495" t="str">
        <f>_xlfn.XLOOKUP(Table14[[#This Row],[Product]],Product_Master!$B$2:$B$11,Product_Master!$D$2:$D$11)</f>
        <v>ClickTech</v>
      </c>
      <c r="R495" t="str">
        <f>_xlfn.XLOOKUP(Table14[[#This Row],[Product]],Product_Master!$B$2:$B$11,Product_Master!$E$2:$E$11)</f>
        <v>China</v>
      </c>
      <c r="S495">
        <f>_xlfn.XLOOKUP(Table14[[#This Row],[Product]],Product_Master!$B$2:$B$11,Product_Master!$F$2:$F$11)</f>
        <v>20</v>
      </c>
    </row>
    <row r="496" spans="1:19" x14ac:dyDescent="0.3">
      <c r="A496" t="s">
        <v>687</v>
      </c>
      <c r="B496" s="23" t="s">
        <v>26</v>
      </c>
      <c r="C496" t="s">
        <v>202</v>
      </c>
      <c r="D496" t="s">
        <v>63</v>
      </c>
      <c r="E496" t="s">
        <v>49</v>
      </c>
      <c r="F496" t="s">
        <v>50</v>
      </c>
      <c r="G496">
        <v>11</v>
      </c>
      <c r="H496" s="4">
        <v>56.12</v>
      </c>
      <c r="I496" s="8">
        <v>617.32000000000005</v>
      </c>
      <c r="J496">
        <v>38.26</v>
      </c>
      <c r="K496">
        <v>139.06</v>
      </c>
      <c r="L496" t="s">
        <v>30</v>
      </c>
      <c r="M496" t="s">
        <v>31</v>
      </c>
      <c r="N496" t="s">
        <v>66</v>
      </c>
      <c r="O496" s="5">
        <f>Table14[[#This Row],[Profit]]/Table14[[#This Row],[Total_Sales]]</f>
        <v>0.22526404457979651</v>
      </c>
      <c r="P496" s="23">
        <f>DATE(YEAR(Table14[[#This Row],[Order_Date]]), MONTH(Table14[[#This Row],[Order_Date]]), 1)</f>
        <v>45689</v>
      </c>
      <c r="Q496" t="str">
        <f>_xlfn.XLOOKUP(Table14[[#This Row],[Product]],Product_Master!$B$2:$B$11,Product_Master!$D$2:$D$11)</f>
        <v>BlueWear</v>
      </c>
      <c r="R496" t="str">
        <f>_xlfn.XLOOKUP(Table14[[#This Row],[Product]],Product_Master!$B$2:$B$11,Product_Master!$E$2:$E$11)</f>
        <v>Bangladesh</v>
      </c>
      <c r="S496">
        <f>_xlfn.XLOOKUP(Table14[[#This Row],[Product]],Product_Master!$B$2:$B$11,Product_Master!$F$2:$F$11)</f>
        <v>40</v>
      </c>
    </row>
    <row r="497" spans="1:19" x14ac:dyDescent="0.3">
      <c r="A497" t="s">
        <v>689</v>
      </c>
      <c r="B497" s="23" t="s">
        <v>34</v>
      </c>
      <c r="C497" t="s">
        <v>47</v>
      </c>
      <c r="D497" t="s">
        <v>19</v>
      </c>
      <c r="E497" t="s">
        <v>64</v>
      </c>
      <c r="F497" t="s">
        <v>65</v>
      </c>
      <c r="G497">
        <v>2</v>
      </c>
      <c r="H497" s="4">
        <v>30.88</v>
      </c>
      <c r="I497" s="8">
        <v>61.76</v>
      </c>
      <c r="J497">
        <v>4.42</v>
      </c>
      <c r="K497">
        <v>7.34</v>
      </c>
      <c r="L497" t="s">
        <v>44</v>
      </c>
      <c r="M497" t="s">
        <v>31</v>
      </c>
      <c r="N497" t="s">
        <v>24</v>
      </c>
      <c r="O497" s="5">
        <f>Table14[[#This Row],[Profit]]/Table14[[#This Row],[Total_Sales]]</f>
        <v>0.11884715025906736</v>
      </c>
      <c r="P497" s="23">
        <f>DATE(YEAR(Table14[[#This Row],[Order_Date]]), MONTH(Table14[[#This Row],[Order_Date]]), 1)</f>
        <v>45383</v>
      </c>
      <c r="Q497" t="str">
        <f>_xlfn.XLOOKUP(Table14[[#This Row],[Product]],Product_Master!$B$2:$B$11,Product_Master!$D$2:$D$11)</f>
        <v>SoftWeave</v>
      </c>
      <c r="R497" t="str">
        <f>_xlfn.XLOOKUP(Table14[[#This Row],[Product]],Product_Master!$B$2:$B$11,Product_Master!$E$2:$E$11)</f>
        <v>Turkey</v>
      </c>
      <c r="S497">
        <f>_xlfn.XLOOKUP(Table14[[#This Row],[Product]],Product_Master!$B$2:$B$11,Product_Master!$F$2:$F$11)</f>
        <v>25</v>
      </c>
    </row>
    <row r="498" spans="1:19" x14ac:dyDescent="0.3">
      <c r="A498" t="s">
        <v>691</v>
      </c>
      <c r="B498" s="23" t="s">
        <v>95</v>
      </c>
      <c r="C498" t="s">
        <v>316</v>
      </c>
      <c r="D498" t="s">
        <v>147</v>
      </c>
      <c r="E498" t="s">
        <v>49</v>
      </c>
      <c r="F498" t="s">
        <v>50</v>
      </c>
      <c r="G498">
        <v>34</v>
      </c>
      <c r="H498" s="4">
        <v>63.8</v>
      </c>
      <c r="I498" s="8">
        <v>2169.1999999999998</v>
      </c>
      <c r="J498">
        <v>69.650000000000006</v>
      </c>
      <c r="K498">
        <v>739.55</v>
      </c>
      <c r="L498" t="s">
        <v>30</v>
      </c>
      <c r="M498" t="s">
        <v>37</v>
      </c>
      <c r="N498" t="s">
        <v>148</v>
      </c>
      <c r="O498" s="5">
        <f>Table14[[#This Row],[Profit]]/Table14[[#This Row],[Total_Sales]]</f>
        <v>0.34093214088143092</v>
      </c>
      <c r="P498" s="23">
        <f>DATE(YEAR(Table14[[#This Row],[Order_Date]]), MONTH(Table14[[#This Row],[Order_Date]]), 1)</f>
        <v>45474</v>
      </c>
      <c r="Q498" t="str">
        <f>_xlfn.XLOOKUP(Table14[[#This Row],[Product]],Product_Master!$B$2:$B$11,Product_Master!$D$2:$D$11)</f>
        <v>BlueWear</v>
      </c>
      <c r="R498" t="str">
        <f>_xlfn.XLOOKUP(Table14[[#This Row],[Product]],Product_Master!$B$2:$B$11,Product_Master!$E$2:$E$11)</f>
        <v>Bangladesh</v>
      </c>
      <c r="S498">
        <f>_xlfn.XLOOKUP(Table14[[#This Row],[Product]],Product_Master!$B$2:$B$11,Product_Master!$F$2:$F$11)</f>
        <v>40</v>
      </c>
    </row>
    <row r="499" spans="1:19" x14ac:dyDescent="0.3">
      <c r="A499" t="s">
        <v>693</v>
      </c>
      <c r="B499" s="23" t="s">
        <v>78</v>
      </c>
      <c r="C499" t="s">
        <v>195</v>
      </c>
      <c r="D499" t="s">
        <v>53</v>
      </c>
      <c r="E499" t="s">
        <v>98</v>
      </c>
      <c r="F499" t="s">
        <v>59</v>
      </c>
      <c r="G499">
        <v>50</v>
      </c>
      <c r="H499" s="4">
        <v>44.61</v>
      </c>
      <c r="I499" s="8">
        <v>2230.5</v>
      </c>
      <c r="J499">
        <v>91.32</v>
      </c>
      <c r="K499">
        <v>739.18</v>
      </c>
      <c r="L499" t="s">
        <v>44</v>
      </c>
      <c r="M499" t="s">
        <v>23</v>
      </c>
      <c r="N499" t="s">
        <v>24</v>
      </c>
      <c r="O499" s="5">
        <f>Table14[[#This Row],[Profit]]/Table14[[#This Row],[Total_Sales]]</f>
        <v>0.33139654785922434</v>
      </c>
      <c r="P499" s="23">
        <f>DATE(YEAR(Table14[[#This Row],[Order_Date]]), MONTH(Table14[[#This Row],[Order_Date]]), 1)</f>
        <v>45627</v>
      </c>
      <c r="Q499" t="str">
        <f>_xlfn.XLOOKUP(Table14[[#This Row],[Product]],Product_Master!$B$2:$B$11,Product_Master!$D$2:$D$11)</f>
        <v>BrightHome</v>
      </c>
      <c r="R499" t="str">
        <f>_xlfn.XLOOKUP(Table14[[#This Row],[Product]],Product_Master!$B$2:$B$11,Product_Master!$E$2:$E$11)</f>
        <v>India</v>
      </c>
      <c r="S499">
        <f>_xlfn.XLOOKUP(Table14[[#This Row],[Product]],Product_Master!$B$2:$B$11,Product_Master!$F$2:$F$11)</f>
        <v>28</v>
      </c>
    </row>
    <row r="500" spans="1:19" x14ac:dyDescent="0.3">
      <c r="A500" t="s">
        <v>695</v>
      </c>
      <c r="B500" s="23" t="s">
        <v>68</v>
      </c>
      <c r="C500" t="s">
        <v>84</v>
      </c>
      <c r="D500" t="s">
        <v>88</v>
      </c>
      <c r="E500" t="s">
        <v>73</v>
      </c>
      <c r="F500" t="s">
        <v>43</v>
      </c>
      <c r="G500">
        <v>14</v>
      </c>
      <c r="H500" s="4">
        <v>18.61</v>
      </c>
      <c r="I500" s="8">
        <v>260.54000000000002</v>
      </c>
      <c r="J500">
        <v>5.39</v>
      </c>
      <c r="K500">
        <v>76.650000000000006</v>
      </c>
      <c r="L500" t="s">
        <v>30</v>
      </c>
      <c r="M500" t="s">
        <v>37</v>
      </c>
      <c r="N500" t="s">
        <v>66</v>
      </c>
      <c r="O500" s="5">
        <f>Table14[[#This Row],[Profit]]/Table14[[#This Row],[Total_Sales]]</f>
        <v>0.29419666845781839</v>
      </c>
      <c r="P500" s="23">
        <f>DATE(YEAR(Table14[[#This Row],[Order_Date]]), MONTH(Table14[[#This Row],[Order_Date]]), 1)</f>
        <v>45536</v>
      </c>
      <c r="Q500" t="str">
        <f>_xlfn.XLOOKUP(Table14[[#This Row],[Product]],Product_Master!$B$2:$B$11,Product_Master!$D$2:$D$11)</f>
        <v>BrightHome</v>
      </c>
      <c r="R500" t="str">
        <f>_xlfn.XLOOKUP(Table14[[#This Row],[Product]],Product_Master!$B$2:$B$11,Product_Master!$E$2:$E$11)</f>
        <v>Vietnam</v>
      </c>
      <c r="S500">
        <f>_xlfn.XLOOKUP(Table14[[#This Row],[Product]],Product_Master!$B$2:$B$11,Product_Master!$F$2:$F$11)</f>
        <v>12.75</v>
      </c>
    </row>
    <row r="501" spans="1:19" x14ac:dyDescent="0.3">
      <c r="A501" t="s">
        <v>697</v>
      </c>
      <c r="B501" s="23" t="s">
        <v>95</v>
      </c>
      <c r="C501" t="s">
        <v>305</v>
      </c>
      <c r="D501" t="s">
        <v>28</v>
      </c>
      <c r="E501" t="s">
        <v>69</v>
      </c>
      <c r="F501" t="s">
        <v>59</v>
      </c>
      <c r="G501">
        <v>7</v>
      </c>
      <c r="H501" s="4">
        <v>24.61</v>
      </c>
      <c r="I501" s="8">
        <v>172.27</v>
      </c>
      <c r="J501">
        <v>9.64</v>
      </c>
      <c r="K501">
        <v>54.13</v>
      </c>
      <c r="L501" t="s">
        <v>44</v>
      </c>
      <c r="M501" t="s">
        <v>37</v>
      </c>
      <c r="N501" t="s">
        <v>32</v>
      </c>
      <c r="O501" s="5">
        <f>Table14[[#This Row],[Profit]]/Table14[[#This Row],[Total_Sales]]</f>
        <v>0.31421605619086318</v>
      </c>
      <c r="P501" s="23">
        <f>DATE(YEAR(Table14[[#This Row],[Order_Date]]), MONTH(Table14[[#This Row],[Order_Date]]), 1)</f>
        <v>45474</v>
      </c>
      <c r="Q501" t="str">
        <f>_xlfn.XLOOKUP(Table14[[#This Row],[Product]],Product_Master!$B$2:$B$11,Product_Master!$D$2:$D$11)</f>
        <v>Artisans Co.</v>
      </c>
      <c r="R501" t="str">
        <f>_xlfn.XLOOKUP(Table14[[#This Row],[Product]],Product_Master!$B$2:$B$11,Product_Master!$E$2:$E$11)</f>
        <v>India</v>
      </c>
      <c r="S501">
        <f>_xlfn.XLOOKUP(Table14[[#This Row],[Product]],Product_Master!$B$2:$B$11,Product_Master!$F$2:$F$11)</f>
        <v>15.5</v>
      </c>
    </row>
  </sheetData>
  <conditionalFormatting sqref="K3:K40 K42:K45 K47:K49 K51:K56 K58:K76 K78:K169 K171:K174 K176:K177 K179:K185 K187 K189:K193 K195:K232 K234:K248 K250:K275 K277:K281 K283:K285 K287:K368 K370:K457 K459:K481 K483:K501">
    <cfRule type="cellIs" dxfId="0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C8260-C90D-40FD-866B-7C19F9DF08BF}">
  <dimension ref="A1:J13"/>
  <sheetViews>
    <sheetView workbookViewId="0">
      <selection sqref="A1:XFD1048576"/>
    </sheetView>
  </sheetViews>
  <sheetFormatPr defaultRowHeight="14.4" x14ac:dyDescent="0.3"/>
  <cols>
    <col min="1" max="1" width="11.21875" bestFit="1" customWidth="1"/>
    <col min="2" max="2" width="17" bestFit="1" customWidth="1"/>
    <col min="3" max="3" width="12.5546875" bestFit="1" customWidth="1"/>
    <col min="4" max="4" width="22" bestFit="1" customWidth="1"/>
    <col min="5" max="5" width="22.88671875" bestFit="1" customWidth="1"/>
    <col min="6" max="6" width="12.5546875" bestFit="1" customWidth="1"/>
    <col min="7" max="7" width="17" bestFit="1" customWidth="1"/>
    <col min="9" max="9" width="16.109375" bestFit="1" customWidth="1"/>
    <col min="10" max="11" width="12.77734375" bestFit="1" customWidth="1"/>
  </cols>
  <sheetData>
    <row r="1" spans="1:10" x14ac:dyDescent="0.3">
      <c r="D1" s="31"/>
    </row>
    <row r="2" spans="1:10" x14ac:dyDescent="0.3">
      <c r="A2" t="s">
        <v>824</v>
      </c>
      <c r="B2" t="s">
        <v>805</v>
      </c>
      <c r="C2" t="s">
        <v>806</v>
      </c>
      <c r="D2" s="31" t="s">
        <v>826</v>
      </c>
      <c r="E2" s="31" t="s">
        <v>825</v>
      </c>
      <c r="F2" s="32" t="s">
        <v>802</v>
      </c>
      <c r="G2" s="31" t="s">
        <v>805</v>
      </c>
      <c r="I2" s="32" t="s">
        <v>802</v>
      </c>
      <c r="J2" s="31" t="s">
        <v>806</v>
      </c>
    </row>
    <row r="3" spans="1:10" x14ac:dyDescent="0.3">
      <c r="A3">
        <v>500</v>
      </c>
      <c r="B3" s="4">
        <v>474704.6200000004</v>
      </c>
      <c r="C3" s="4">
        <v>133528.35999999993</v>
      </c>
      <c r="D3" s="30">
        <v>0.27120315880795653</v>
      </c>
      <c r="E3" s="4">
        <v>47.214439999999982</v>
      </c>
      <c r="F3" s="33" t="s">
        <v>66</v>
      </c>
      <c r="G3" s="4">
        <v>171168.39999999991</v>
      </c>
      <c r="I3" s="33" t="s">
        <v>49</v>
      </c>
      <c r="J3" s="4">
        <v>21393.769999999997</v>
      </c>
    </row>
    <row r="4" spans="1:10" x14ac:dyDescent="0.3">
      <c r="F4" s="33" t="s">
        <v>32</v>
      </c>
      <c r="G4" s="4">
        <v>115214.62000000004</v>
      </c>
      <c r="I4" s="33" t="s">
        <v>20</v>
      </c>
      <c r="J4" s="4">
        <v>19312.750000000004</v>
      </c>
    </row>
    <row r="5" spans="1:10" x14ac:dyDescent="0.3">
      <c r="F5" s="33" t="s">
        <v>24</v>
      </c>
      <c r="G5" s="4">
        <v>86945.07</v>
      </c>
      <c r="I5" s="33" t="s">
        <v>98</v>
      </c>
      <c r="J5" s="4">
        <v>14378.440000000002</v>
      </c>
    </row>
    <row r="6" spans="1:10" x14ac:dyDescent="0.3">
      <c r="F6" s="33" t="s">
        <v>148</v>
      </c>
      <c r="G6" s="4">
        <v>37017.46</v>
      </c>
      <c r="I6" s="33" t="s">
        <v>64</v>
      </c>
      <c r="J6" s="4">
        <v>13199.760000000002</v>
      </c>
    </row>
    <row r="7" spans="1:10" x14ac:dyDescent="0.3">
      <c r="F7" s="33" t="s">
        <v>45</v>
      </c>
      <c r="G7" s="4">
        <v>34864.03</v>
      </c>
      <c r="I7" s="33" t="s">
        <v>54</v>
      </c>
      <c r="J7" s="4">
        <v>12566.510000000004</v>
      </c>
    </row>
    <row r="8" spans="1:10" x14ac:dyDescent="0.3">
      <c r="F8" s="33" t="s">
        <v>102</v>
      </c>
      <c r="G8" s="4">
        <v>29495.040000000001</v>
      </c>
      <c r="I8" s="33" t="s">
        <v>69</v>
      </c>
      <c r="J8" s="4">
        <v>12294.769999999995</v>
      </c>
    </row>
    <row r="9" spans="1:10" x14ac:dyDescent="0.3">
      <c r="F9" s="33" t="s">
        <v>804</v>
      </c>
      <c r="G9" s="4">
        <v>474704.62</v>
      </c>
      <c r="I9" s="33" t="s">
        <v>42</v>
      </c>
      <c r="J9" s="4">
        <v>11647.44</v>
      </c>
    </row>
    <row r="10" spans="1:10" x14ac:dyDescent="0.3">
      <c r="I10" s="33" t="s">
        <v>29</v>
      </c>
      <c r="J10" s="4">
        <v>11364.289999999999</v>
      </c>
    </row>
    <row r="11" spans="1:10" x14ac:dyDescent="0.3">
      <c r="I11" s="33" t="s">
        <v>58</v>
      </c>
      <c r="J11" s="4">
        <v>9804.130000000001</v>
      </c>
    </row>
    <row r="12" spans="1:10" x14ac:dyDescent="0.3">
      <c r="I12" s="33" t="s">
        <v>73</v>
      </c>
      <c r="J12" s="4">
        <v>7566.5000000000009</v>
      </c>
    </row>
    <row r="13" spans="1:10" x14ac:dyDescent="0.3">
      <c r="I13" s="33" t="s">
        <v>804</v>
      </c>
      <c r="J13" s="4">
        <v>133528.35999999999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858A1-71BC-449D-8991-4E430CC33C9C}">
  <dimension ref="A1"/>
  <sheetViews>
    <sheetView tabSelected="1" workbookViewId="0">
      <selection sqref="A1:XFD1048576"/>
    </sheetView>
  </sheetViews>
  <sheetFormatPr defaultRowHeight="14.4" x14ac:dyDescent="0.3"/>
  <cols>
    <col min="1" max="1" width="3" customWidth="1"/>
    <col min="3" max="3" width="13.5546875" customWidth="1"/>
    <col min="4" max="4" width="4.5546875" customWidth="1"/>
  </cols>
  <sheetData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CE1C2-F5F9-41DC-86C2-C79ACF9C2811}">
  <dimension ref="A1"/>
  <sheetViews>
    <sheetView workbookViewId="0">
      <selection activeCell="D11" sqref="D11"/>
    </sheetView>
  </sheetViews>
  <sheetFormatPr defaultRowHeight="14.4" x14ac:dyDescent="0.3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31A20-1B07-4361-9138-27EE8DFE70D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Sheet3</vt:lpstr>
      <vt:lpstr>Global_trade</vt:lpstr>
      <vt:lpstr>Product_Master</vt:lpstr>
      <vt:lpstr>Performance</vt:lpstr>
      <vt:lpstr>Region</vt:lpstr>
      <vt:lpstr>Q2</vt:lpstr>
      <vt:lpstr>Q1</vt:lpstr>
      <vt:lpstr>Q3</vt:lpstr>
      <vt:lpstr>Q4</vt:lpstr>
      <vt:lpstr>Q5</vt:lpstr>
      <vt:lpstr>Q6</vt:lpstr>
      <vt:lpstr>Q7-Data</vt:lpstr>
      <vt:lpstr>Sheet7</vt:lpstr>
      <vt:lpstr>Q8</vt:lpstr>
      <vt:lpstr>Sheet8</vt:lpstr>
      <vt:lpstr>Sheet1</vt:lpstr>
      <vt:lpstr>Sheet2</vt:lpstr>
      <vt:lpstr>Q10 Data</vt:lpstr>
      <vt:lpstr>pivot_Q10</vt:lpstr>
      <vt:lpstr>Q10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more</dc:creator>
  <cp:lastModifiedBy>sachin more</cp:lastModifiedBy>
  <dcterms:created xsi:type="dcterms:W3CDTF">2026-04-18T05:04:29Z</dcterms:created>
  <dcterms:modified xsi:type="dcterms:W3CDTF">2026-04-20T10:31:50Z</dcterms:modified>
</cp:coreProperties>
</file>