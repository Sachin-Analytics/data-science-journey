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marticus\Excel\Practice sheet\"/>
    </mc:Choice>
  </mc:AlternateContent>
  <xr:revisionPtr revIDLastSave="0" documentId="13_ncr:1_{E68327AB-FEFE-42F6-82BE-B27964DFB4D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udents" sheetId="1" r:id="rId1"/>
    <sheet name="Term 1 Marks" sheetId="2" r:id="rId2"/>
    <sheet name="Backup Marks" sheetId="3" r:id="rId3"/>
    <sheet name="Attendance Sheet" sheetId="4" r:id="rId4"/>
    <sheet name="Ques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9neBwsyzgMupPHUllTbbKS+ZUP3cVS9C+YpsW1XiB3E="/>
    </ext>
  </extLst>
</workbook>
</file>

<file path=xl/calcChain.xml><?xml version="1.0" encoding="utf-8"?>
<calcChain xmlns="http://schemas.openxmlformats.org/spreadsheetml/2006/main">
  <c r="F7" i="5" l="1"/>
  <c r="F8" i="5"/>
  <c r="F9" i="5"/>
  <c r="F10" i="5"/>
  <c r="F11" i="5"/>
  <c r="F12" i="5"/>
  <c r="F6" i="5"/>
  <c r="E7" i="5"/>
  <c r="E8" i="5"/>
  <c r="E9" i="5"/>
  <c r="E10" i="5"/>
  <c r="E11" i="5"/>
  <c r="E12" i="5"/>
  <c r="E6" i="5"/>
  <c r="D6" i="5"/>
  <c r="D7" i="5"/>
  <c r="D8" i="5"/>
  <c r="D9" i="5"/>
  <c r="D10" i="5"/>
  <c r="D11" i="5"/>
  <c r="D12" i="5"/>
</calcChain>
</file>

<file path=xl/sharedStrings.xml><?xml version="1.0" encoding="utf-8"?>
<sst xmlns="http://schemas.openxmlformats.org/spreadsheetml/2006/main" count="47" uniqueCount="25">
  <si>
    <t>Roll No</t>
  </si>
  <si>
    <t>Name</t>
  </si>
  <si>
    <t>Class</t>
  </si>
  <si>
    <t>Aarav Shah</t>
  </si>
  <si>
    <t>10A</t>
  </si>
  <si>
    <t>Priya Nair</t>
  </si>
  <si>
    <t>Kabir Verma</t>
  </si>
  <si>
    <t>Sanya Joshi</t>
  </si>
  <si>
    <t>Raj Mehta</t>
  </si>
  <si>
    <t>Ananya Gupta</t>
  </si>
  <si>
    <t>Rohan Iyer</t>
  </si>
  <si>
    <t>Math</t>
  </si>
  <si>
    <t>Science</t>
  </si>
  <si>
    <t>English</t>
  </si>
  <si>
    <t>Total Days</t>
  </si>
  <si>
    <t>Present Days</t>
  </si>
  <si>
    <t>Question 1:</t>
  </si>
  <si>
    <r>
      <rPr>
        <sz val="11"/>
        <color theme="1"/>
        <rFont val="Calibri"/>
      </rPr>
      <t xml:space="preserve">Using VLOOKUP, retrieve each student’s Science marks from the Term 1 Marks sheet for the list of students in the </t>
    </r>
    <r>
      <rPr>
        <sz val="10"/>
        <color theme="1"/>
        <rFont val="Arial Unicode MS"/>
      </rPr>
      <t>Students</t>
    </r>
    <r>
      <rPr>
        <sz val="11"/>
        <color theme="1"/>
        <rFont val="Calibri"/>
      </rPr>
      <t xml:space="preserve"> sheet. Enter "Not Found!" if the marks of any student is not present in any of the sheets.</t>
    </r>
  </si>
  <si>
    <t>Question 2:</t>
  </si>
  <si>
    <t>Using VLOOKUP, Calculate the attendance % of each student and create a new column to show the attendance % of each student in the table given above.</t>
  </si>
  <si>
    <t>Question 3:</t>
  </si>
  <si>
    <t xml:space="preserve">Add a pass or fail column, on the basis of science marks, next to the attendance column. 
</t>
  </si>
  <si>
    <r>
      <rPr>
        <b/>
        <sz val="11"/>
        <color theme="1"/>
        <rFont val="Calibri"/>
      </rPr>
      <t>Pass/Fail Criteria:</t>
    </r>
    <r>
      <rPr>
        <sz val="11"/>
        <color theme="1"/>
        <rFont val="Calibri"/>
      </rPr>
      <t xml:space="preserve"> The students who've scored equal to or above 70 &amp; have attendance greater than 85% have passed.</t>
    </r>
  </si>
  <si>
    <t>Attendance</t>
  </si>
  <si>
    <t>Pass/Fail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</si>
</sst>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9" fontId="2" fillId="0" borderId="0" xfId="0" applyNumberFormat="1" applyFont="1"/>
    <xf numFmtId="0" fontId="1" fillId="0" borderId="0" xfId="0" applyFont="1"/>
    <xf numFmtId="0" fontId="3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0" fillId="0" borderId="3" xfId="0" applyBorder="1"/>
    <xf numFmtId="9" fontId="0" fillId="0" borderId="3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1000"/>
  <sheetViews>
    <sheetView workbookViewId="0"/>
  </sheetViews>
  <sheetFormatPr defaultColWidth="14.44140625" defaultRowHeight="15" customHeight="1"/>
  <cols>
    <col min="1" max="1" width="8.6640625" customWidth="1"/>
    <col min="2" max="2" width="16.44140625" customWidth="1"/>
    <col min="3" max="3" width="9.5546875" customWidth="1"/>
    <col min="4" max="4" width="19.5546875" customWidth="1"/>
    <col min="5" max="5" width="8.5546875" customWidth="1"/>
    <col min="6" max="26" width="8.6640625" customWidth="1"/>
  </cols>
  <sheetData>
    <row r="1" spans="3:5" ht="14.25" customHeight="1"/>
    <row r="2" spans="3:5" ht="14.25" customHeight="1"/>
    <row r="3" spans="3:5" ht="14.25" customHeight="1"/>
    <row r="4" spans="3:5" ht="14.25" customHeight="1"/>
    <row r="5" spans="3:5" ht="14.25" customHeight="1"/>
    <row r="6" spans="3:5" ht="14.25" customHeight="1">
      <c r="C6" s="1" t="s">
        <v>0</v>
      </c>
      <c r="D6" s="1" t="s">
        <v>1</v>
      </c>
      <c r="E6" s="1" t="s">
        <v>2</v>
      </c>
    </row>
    <row r="7" spans="3:5" ht="14.25" customHeight="1">
      <c r="C7" s="2">
        <v>101</v>
      </c>
      <c r="D7" s="2" t="s">
        <v>3</v>
      </c>
      <c r="E7" s="2" t="s">
        <v>4</v>
      </c>
    </row>
    <row r="8" spans="3:5" ht="14.25" customHeight="1">
      <c r="C8" s="2">
        <v>102</v>
      </c>
      <c r="D8" s="2" t="s">
        <v>5</v>
      </c>
      <c r="E8" s="2" t="s">
        <v>4</v>
      </c>
    </row>
    <row r="9" spans="3:5" ht="14.25" customHeight="1">
      <c r="C9" s="2">
        <v>103</v>
      </c>
      <c r="D9" s="2" t="s">
        <v>6</v>
      </c>
      <c r="E9" s="2" t="s">
        <v>4</v>
      </c>
    </row>
    <row r="10" spans="3:5" ht="14.25" customHeight="1">
      <c r="C10" s="2">
        <v>104</v>
      </c>
      <c r="D10" s="2" t="s">
        <v>7</v>
      </c>
      <c r="E10" s="2" t="s">
        <v>4</v>
      </c>
    </row>
    <row r="11" spans="3:5" ht="14.25" customHeight="1">
      <c r="C11" s="2">
        <v>105</v>
      </c>
      <c r="D11" s="2" t="s">
        <v>8</v>
      </c>
      <c r="E11" s="2" t="s">
        <v>4</v>
      </c>
    </row>
    <row r="12" spans="3:5" ht="14.25" customHeight="1">
      <c r="C12" s="2">
        <v>106</v>
      </c>
      <c r="D12" s="2" t="s">
        <v>9</v>
      </c>
      <c r="E12" s="2" t="s">
        <v>4</v>
      </c>
    </row>
    <row r="13" spans="3:5" ht="14.25" customHeight="1">
      <c r="C13" s="2">
        <v>107</v>
      </c>
      <c r="D13" s="2" t="s">
        <v>10</v>
      </c>
      <c r="E13" s="2" t="s">
        <v>4</v>
      </c>
    </row>
    <row r="14" spans="3:5" ht="14.25" customHeight="1"/>
    <row r="15" spans="3:5" ht="14.25" customHeight="1"/>
    <row r="16" spans="3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:H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5:8" ht="14.25" customHeight="1"/>
    <row r="2" spans="5:8" ht="14.25" customHeight="1"/>
    <row r="3" spans="5:8" ht="14.25" customHeight="1"/>
    <row r="4" spans="5:8" ht="14.25" customHeight="1"/>
    <row r="5" spans="5:8" ht="14.25" customHeight="1">
      <c r="E5" s="3" t="s">
        <v>0</v>
      </c>
      <c r="F5" s="3" t="s">
        <v>11</v>
      </c>
      <c r="G5" s="3" t="s">
        <v>12</v>
      </c>
      <c r="H5" s="3" t="s">
        <v>13</v>
      </c>
    </row>
    <row r="6" spans="5:8" ht="14.25" customHeight="1">
      <c r="E6" s="2">
        <v>101</v>
      </c>
      <c r="F6" s="2">
        <v>85</v>
      </c>
      <c r="G6" s="2">
        <v>90</v>
      </c>
      <c r="H6" s="2">
        <v>88</v>
      </c>
    </row>
    <row r="7" spans="5:8" ht="14.25" customHeight="1">
      <c r="E7" s="2">
        <v>102</v>
      </c>
      <c r="F7" s="2">
        <v>78</v>
      </c>
      <c r="G7" s="2">
        <v>82</v>
      </c>
      <c r="H7" s="2">
        <v>79</v>
      </c>
    </row>
    <row r="8" spans="5:8" ht="14.25" customHeight="1">
      <c r="E8" s="2">
        <v>103</v>
      </c>
      <c r="F8" s="2">
        <v>92</v>
      </c>
      <c r="G8" s="2">
        <v>89</v>
      </c>
      <c r="H8" s="2">
        <v>94</v>
      </c>
    </row>
    <row r="9" spans="5:8" ht="14.25" customHeight="1">
      <c r="E9" s="2">
        <v>104</v>
      </c>
      <c r="F9" s="2">
        <v>65</v>
      </c>
      <c r="G9" s="2">
        <v>70</v>
      </c>
      <c r="H9" s="2">
        <v>68</v>
      </c>
    </row>
    <row r="10" spans="5:8" ht="14.25" customHeight="1">
      <c r="E10" s="2">
        <v>105</v>
      </c>
      <c r="F10" s="2">
        <v>80</v>
      </c>
      <c r="G10" s="2">
        <v>85</v>
      </c>
      <c r="H10" s="2">
        <v>83</v>
      </c>
    </row>
    <row r="11" spans="5:8" ht="14.25" customHeight="1">
      <c r="E11" s="2">
        <v>106</v>
      </c>
      <c r="F11" s="2">
        <v>74</v>
      </c>
      <c r="G11" s="2">
        <v>78</v>
      </c>
      <c r="H11" s="2">
        <v>77</v>
      </c>
    </row>
    <row r="12" spans="5:8" ht="14.25" customHeight="1">
      <c r="E12" s="4"/>
      <c r="F12" s="4"/>
      <c r="G12" s="4"/>
      <c r="H12" s="4"/>
    </row>
    <row r="13" spans="5:8" ht="14.25" customHeight="1"/>
    <row r="14" spans="5:8" ht="14.25" customHeight="1"/>
    <row r="15" spans="5:8" ht="14.25" customHeight="1"/>
    <row r="16" spans="5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H1000"/>
  <sheetViews>
    <sheetView workbookViewId="0"/>
  </sheetViews>
  <sheetFormatPr defaultColWidth="14.44140625" defaultRowHeight="15" customHeight="1"/>
  <cols>
    <col min="1" max="26" width="8.6640625" customWidth="1"/>
  </cols>
  <sheetData>
    <row r="1" spans="5:8" ht="14.25" customHeight="1"/>
    <row r="2" spans="5:8" ht="14.25" customHeight="1"/>
    <row r="3" spans="5:8" ht="14.25" customHeight="1"/>
    <row r="4" spans="5:8" ht="14.25" customHeight="1"/>
    <row r="5" spans="5:8" ht="14.25" customHeight="1"/>
    <row r="6" spans="5:8" ht="14.25" customHeight="1">
      <c r="E6" s="5" t="s">
        <v>0</v>
      </c>
      <c r="F6" s="5" t="s">
        <v>11</v>
      </c>
      <c r="G6" s="5" t="s">
        <v>12</v>
      </c>
      <c r="H6" s="5" t="s">
        <v>13</v>
      </c>
    </row>
    <row r="7" spans="5:8" ht="14.25" customHeight="1">
      <c r="E7" s="2">
        <v>107</v>
      </c>
      <c r="F7" s="2">
        <v>88</v>
      </c>
      <c r="G7" s="2">
        <v>90</v>
      </c>
      <c r="H7" s="2">
        <v>85</v>
      </c>
    </row>
    <row r="8" spans="5:8" ht="14.25" customHeight="1"/>
    <row r="9" spans="5:8" ht="14.25" customHeight="1"/>
    <row r="10" spans="5:8" ht="14.25" customHeight="1"/>
    <row r="11" spans="5:8" ht="14.25" customHeight="1"/>
    <row r="12" spans="5:8" ht="14.25" customHeight="1"/>
    <row r="13" spans="5:8" ht="14.25" customHeight="1"/>
    <row r="14" spans="5:8" ht="14.25" customHeight="1"/>
    <row r="15" spans="5:8" ht="14.25" customHeight="1"/>
    <row r="16" spans="5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H1000"/>
  <sheetViews>
    <sheetView workbookViewId="0"/>
  </sheetViews>
  <sheetFormatPr defaultColWidth="14.44140625" defaultRowHeight="15" customHeight="1"/>
  <cols>
    <col min="1" max="4" width="8.6640625" customWidth="1"/>
    <col min="5" max="5" width="16.5546875" customWidth="1"/>
    <col min="6" max="6" width="15.44140625" customWidth="1"/>
    <col min="7" max="26" width="8.6640625" customWidth="1"/>
  </cols>
  <sheetData>
    <row r="1" spans="4:8" ht="14.25" customHeight="1"/>
    <row r="2" spans="4:8" ht="14.25" customHeight="1"/>
    <row r="3" spans="4:8" ht="14.25" customHeight="1">
      <c r="D3" s="6" t="s">
        <v>0</v>
      </c>
      <c r="E3" s="6" t="s">
        <v>14</v>
      </c>
      <c r="F3" s="6" t="s">
        <v>15</v>
      </c>
    </row>
    <row r="4" spans="4:8" ht="14.25" customHeight="1">
      <c r="D4" s="2">
        <v>101</v>
      </c>
      <c r="E4" s="2">
        <v>200</v>
      </c>
      <c r="F4" s="2">
        <v>180</v>
      </c>
      <c r="H4" s="7"/>
    </row>
    <row r="5" spans="4:8" ht="14.25" customHeight="1">
      <c r="D5" s="2">
        <v>102</v>
      </c>
      <c r="E5" s="2">
        <v>200</v>
      </c>
      <c r="F5" s="2">
        <v>175</v>
      </c>
    </row>
    <row r="6" spans="4:8" ht="14.25" customHeight="1">
      <c r="D6" s="2">
        <v>103</v>
      </c>
      <c r="E6" s="2">
        <v>200</v>
      </c>
      <c r="F6" s="2">
        <v>190</v>
      </c>
    </row>
    <row r="7" spans="4:8" ht="14.25" customHeight="1">
      <c r="D7" s="2">
        <v>104</v>
      </c>
      <c r="E7" s="2">
        <v>200</v>
      </c>
      <c r="F7" s="2">
        <v>160</v>
      </c>
    </row>
    <row r="8" spans="4:8" ht="14.25" customHeight="1">
      <c r="D8" s="2">
        <v>105</v>
      </c>
      <c r="E8" s="2">
        <v>200</v>
      </c>
      <c r="F8" s="2">
        <v>170</v>
      </c>
    </row>
    <row r="9" spans="4:8" ht="14.25" customHeight="1">
      <c r="D9" s="2">
        <v>106</v>
      </c>
      <c r="E9" s="2">
        <v>200</v>
      </c>
      <c r="F9" s="2">
        <v>185</v>
      </c>
    </row>
    <row r="10" spans="4:8" ht="14.25" customHeight="1">
      <c r="D10" s="2">
        <v>107</v>
      </c>
      <c r="E10" s="2">
        <v>200</v>
      </c>
      <c r="F10" s="2">
        <v>178</v>
      </c>
    </row>
    <row r="11" spans="4:8" ht="14.25" customHeight="1"/>
    <row r="12" spans="4:8" ht="14.25" customHeight="1"/>
    <row r="13" spans="4:8" ht="14.25" customHeight="1"/>
    <row r="14" spans="4:8" ht="14.25" customHeight="1"/>
    <row r="15" spans="4:8" ht="14.25" customHeight="1"/>
    <row r="16" spans="4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1000"/>
  <sheetViews>
    <sheetView tabSelected="1" workbookViewId="0">
      <selection activeCell="F6" sqref="F6:F12"/>
    </sheetView>
  </sheetViews>
  <sheetFormatPr defaultColWidth="14.44140625" defaultRowHeight="15" customHeight="1"/>
  <cols>
    <col min="1" max="1" width="8.6640625" customWidth="1"/>
    <col min="2" max="2" width="10.44140625" customWidth="1"/>
    <col min="3" max="3" width="20.109375" customWidth="1"/>
    <col min="4" max="4" width="10.109375" customWidth="1"/>
    <col min="5" max="5" width="13.44140625" customWidth="1"/>
    <col min="6" max="26" width="8.6640625" customWidth="1"/>
  </cols>
  <sheetData>
    <row r="1" spans="2:6" ht="14.25" customHeight="1"/>
    <row r="2" spans="2:6" ht="14.25" customHeight="1">
      <c r="B2" s="8" t="s">
        <v>16</v>
      </c>
    </row>
    <row r="3" spans="2:6" ht="14.25" customHeight="1">
      <c r="B3" s="9" t="s">
        <v>17</v>
      </c>
    </row>
    <row r="4" spans="2:6" ht="14.25" customHeight="1"/>
    <row r="5" spans="2:6" ht="14.25" customHeight="1">
      <c r="B5" s="11" t="s">
        <v>0</v>
      </c>
      <c r="C5" s="11" t="s">
        <v>1</v>
      </c>
      <c r="D5" s="11" t="s">
        <v>12</v>
      </c>
      <c r="E5" s="10" t="s">
        <v>23</v>
      </c>
      <c r="F5" s="10" t="s">
        <v>24</v>
      </c>
    </row>
    <row r="6" spans="2:6" ht="14.25" customHeight="1">
      <c r="B6" s="12">
        <v>101</v>
      </c>
      <c r="C6" s="12" t="s">
        <v>3</v>
      </c>
      <c r="D6" s="13">
        <f>IFERROR(IFERROR(VLOOKUP(B6,'Term 1 Marks'!E$6:H$11,3,0),VLOOKUP(B6,'Backup Marks'!$E$7:$H$7,MATCH(D$5,'Backup Marks'!$E$6:$H$6,0),0)),"Not Found!")</f>
        <v>90</v>
      </c>
      <c r="E6" s="15">
        <f>VLOOKUP(B6,'Attendance Sheet'!$D$4:$F$10,3,0) / VLOOKUP(B6,'Attendance Sheet'!$D$4:$F$10,2,0)</f>
        <v>0.9</v>
      </c>
      <c r="F6" s="14" t="str">
        <f>IF(AND(D6&gt;=70,E6&gt;85%),"Pass","Fail")</f>
        <v>Pass</v>
      </c>
    </row>
    <row r="7" spans="2:6" ht="14.25" customHeight="1">
      <c r="B7" s="12">
        <v>106</v>
      </c>
      <c r="C7" s="12" t="s">
        <v>9</v>
      </c>
      <c r="D7" s="13">
        <f>IFERROR(VLOOKUP(B7,'Term 1 Marks'!E$6:H$11,3,0),VLOOKUP(B7,'Backup Marks'!$E$7:$H$7,MATCH(D$5,'Backup Marks'!$E$6:$H$6,0),0))</f>
        <v>78</v>
      </c>
      <c r="E7" s="15">
        <f>VLOOKUP(B7,'Attendance Sheet'!$D$4:$F$10,3,0) / VLOOKUP(B7,'Attendance Sheet'!$D$4:$F$10,2,0)</f>
        <v>0.92500000000000004</v>
      </c>
      <c r="F7" s="14" t="str">
        <f t="shared" ref="F7:F12" si="0">IF(AND(D7&gt;=70,E7&gt;85%),"Pass","Fail")</f>
        <v>Pass</v>
      </c>
    </row>
    <row r="8" spans="2:6" ht="14.25" customHeight="1">
      <c r="B8" s="12">
        <v>103</v>
      </c>
      <c r="C8" s="12" t="s">
        <v>6</v>
      </c>
      <c r="D8" s="13">
        <f>IFERROR(VLOOKUP(B8,'Term 1 Marks'!E$6:H$11,3,0),VLOOKUP(B8,'Backup Marks'!$E$7:$H$7,MATCH(D$5,'Backup Marks'!$E$6:$H$6,0),0))</f>
        <v>89</v>
      </c>
      <c r="E8" s="15">
        <f>VLOOKUP(B8,'Attendance Sheet'!$D$4:$F$10,3,0) / VLOOKUP(B8,'Attendance Sheet'!$D$4:$F$10,2,0)</f>
        <v>0.95</v>
      </c>
      <c r="F8" s="14" t="str">
        <f t="shared" si="0"/>
        <v>Pass</v>
      </c>
    </row>
    <row r="9" spans="2:6" ht="14.25" customHeight="1">
      <c r="B9" s="12">
        <v>102</v>
      </c>
      <c r="C9" s="12" t="s">
        <v>5</v>
      </c>
      <c r="D9" s="13">
        <f>IFERROR(VLOOKUP(B9,'Term 1 Marks'!E$6:H$11,3,0),VLOOKUP(B9,'Backup Marks'!$E$7:$H$7,MATCH(D$5,'Backup Marks'!$E$6:$H$6,0),0))</f>
        <v>82</v>
      </c>
      <c r="E9" s="15">
        <f>VLOOKUP(B9,'Attendance Sheet'!$D$4:$F$10,3,0) / VLOOKUP(B9,'Attendance Sheet'!$D$4:$F$10,2,0)</f>
        <v>0.875</v>
      </c>
      <c r="F9" s="14" t="str">
        <f t="shared" si="0"/>
        <v>Pass</v>
      </c>
    </row>
    <row r="10" spans="2:6" ht="14.25" customHeight="1">
      <c r="B10" s="12">
        <v>105</v>
      </c>
      <c r="C10" s="12" t="s">
        <v>8</v>
      </c>
      <c r="D10" s="13">
        <f>IFERROR(VLOOKUP(B10,'Term 1 Marks'!E$6:H$11,3,0),VLOOKUP(B10,'Backup Marks'!$E$7:$H$7,MATCH(D$5,'Backup Marks'!$E$6:$H$6,0),0))</f>
        <v>85</v>
      </c>
      <c r="E10" s="15">
        <f>VLOOKUP(B10,'Attendance Sheet'!$D$4:$F$10,3,0) / VLOOKUP(B10,'Attendance Sheet'!$D$4:$F$10,2,0)</f>
        <v>0.85</v>
      </c>
      <c r="F10" s="14" t="str">
        <f t="shared" si="0"/>
        <v>Fail</v>
      </c>
    </row>
    <row r="11" spans="2:6" ht="14.25" customHeight="1">
      <c r="B11" s="12">
        <v>107</v>
      </c>
      <c r="C11" s="12" t="s">
        <v>10</v>
      </c>
      <c r="D11" s="13">
        <f>IFERROR(VLOOKUP(B11,'Term 1 Marks'!E$6:H$11,3,0),VLOOKUP(B11,'Backup Marks'!$E$7:$H$7,MATCH(D$5,'Backup Marks'!$E$6:$H$6,0),0))</f>
        <v>90</v>
      </c>
      <c r="E11" s="15">
        <f>VLOOKUP(B11,'Attendance Sheet'!$D$4:$F$10,3,0) / VLOOKUP(B11,'Attendance Sheet'!$D$4:$F$10,2,0)</f>
        <v>0.89</v>
      </c>
      <c r="F11" s="14" t="str">
        <f t="shared" si="0"/>
        <v>Pass</v>
      </c>
    </row>
    <row r="12" spans="2:6" ht="14.25" customHeight="1">
      <c r="B12" s="12">
        <v>104</v>
      </c>
      <c r="C12" s="12" t="s">
        <v>7</v>
      </c>
      <c r="D12" s="13">
        <f>IFERROR(VLOOKUP(B12,'Term 1 Marks'!E$6:H$11,3,0),VLOOKUP(B12,'Backup Marks'!$E$7:$H$7,MATCH(D$5,'Backup Marks'!$E$6:$H$6,0),0))</f>
        <v>70</v>
      </c>
      <c r="E12" s="15">
        <f>VLOOKUP(B12,'Attendance Sheet'!$D$4:$F$10,3,0) / VLOOKUP(B12,'Attendance Sheet'!$D$4:$F$10,2,0)</f>
        <v>0.8</v>
      </c>
      <c r="F12" s="14" t="str">
        <f t="shared" si="0"/>
        <v>Fail</v>
      </c>
    </row>
    <row r="13" spans="2:6" ht="14.25" customHeight="1"/>
    <row r="14" spans="2:6" ht="14.25" customHeight="1"/>
    <row r="15" spans="2:6" ht="14.25" customHeight="1">
      <c r="B15" s="8" t="s">
        <v>18</v>
      </c>
    </row>
    <row r="16" spans="2:6" ht="14.25" customHeight="1">
      <c r="B16" s="9" t="s">
        <v>19</v>
      </c>
    </row>
    <row r="17" spans="2:2" ht="14.25" customHeight="1"/>
    <row r="18" spans="2:2" ht="14.25" customHeight="1"/>
    <row r="19" spans="2:2" ht="14.25" customHeight="1">
      <c r="B19" s="8" t="s">
        <v>20</v>
      </c>
    </row>
    <row r="20" spans="2:2" ht="18.75" customHeight="1">
      <c r="B20" s="9" t="s">
        <v>21</v>
      </c>
    </row>
    <row r="21" spans="2:2" ht="14.25" customHeight="1">
      <c r="B21" s="9" t="s">
        <v>22</v>
      </c>
    </row>
    <row r="22" spans="2:2" ht="14.25" customHeight="1"/>
    <row r="23" spans="2:2" ht="14.25" customHeight="1"/>
    <row r="24" spans="2:2" ht="14.25" customHeight="1"/>
    <row r="25" spans="2:2" ht="14.25" customHeight="1"/>
    <row r="26" spans="2:2" ht="14.25" customHeight="1"/>
    <row r="27" spans="2:2" ht="14.25" customHeight="1"/>
    <row r="28" spans="2:2" ht="14.25" customHeight="1"/>
    <row r="29" spans="2:2" ht="14.25" customHeight="1"/>
    <row r="30" spans="2:2" ht="14.25" customHeight="1"/>
    <row r="31" spans="2:2" ht="14.25" customHeight="1"/>
    <row r="32" spans="2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Term 1 Marks</vt:lpstr>
      <vt:lpstr>Backup Marks</vt:lpstr>
      <vt:lpstr>Attendance Sheet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Rele</dc:creator>
  <cp:lastModifiedBy>sachin more</cp:lastModifiedBy>
  <dcterms:created xsi:type="dcterms:W3CDTF">2025-06-28T11:53:15Z</dcterms:created>
  <dcterms:modified xsi:type="dcterms:W3CDTF">2026-04-17T19:17:17Z</dcterms:modified>
</cp:coreProperties>
</file>